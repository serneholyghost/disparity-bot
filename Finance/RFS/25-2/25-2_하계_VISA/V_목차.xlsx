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채현기\Desktop\RFS\25-2\25-2_하계_VISA\"/>
    </mc:Choice>
  </mc:AlternateContent>
  <xr:revisionPtr revIDLastSave="0" documentId="13_ncr:1_{4EB8DC6D-F492-4811-B3E7-27861599C2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니 목을 찰거야 목차" sheetId="19" r:id="rId1"/>
    <sheet name="매출추정로직" sheetId="20" r:id="rId2"/>
    <sheet name="결제 정보 데이터" sheetId="21" r:id="rId3"/>
    <sheet name="IS BBG 조정" sheetId="2" r:id="rId4"/>
    <sheet name="IS BBG GAAP" sheetId="3" r:id="rId5"/>
    <sheet name="BS 표준화" sheetId="4" r:id="rId6"/>
    <sheet name="BS 공시기준" sheetId="6" r:id="rId7"/>
    <sheet name="CF 표준화" sheetId="5" r:id="rId8"/>
    <sheet name="CF 공시기준" sheetId="7" r:id="rId9"/>
    <sheet name="수익성 비율" sheetId="8" r:id="rId10"/>
    <sheet name="성장률" sheetId="9" r:id="rId11"/>
    <sheet name="유동성" sheetId="10" r:id="rId12"/>
    <sheet name="수익률 분석" sheetId="11" r:id="rId13"/>
    <sheet name="측정" sheetId="12" r:id="rId14"/>
    <sheet name="세분화" sheetId="13" r:id="rId15"/>
    <sheet name="신용카드 &amp; 직불카드" sheetId="14" r:id="rId16"/>
    <sheet name="고정비용" sheetId="15" r:id="rId17"/>
    <sheet name="CAPEX &amp; 감가상각비" sheetId="16" r:id="rId18"/>
    <sheet name="부가 - 개요" sheetId="17" r:id="rId19"/>
    <sheet name="배당주식분할 요약" sheetId="18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0" l="1"/>
  <c r="I24" i="20"/>
  <c r="I25" i="20" s="1"/>
  <c r="N11" i="20"/>
  <c r="J17" i="20"/>
  <c r="K17" i="20" s="1"/>
  <c r="L17" i="20" s="1"/>
  <c r="M17" i="20" s="1"/>
  <c r="N17" i="20" s="1"/>
  <c r="I21" i="14"/>
  <c r="J21" i="14"/>
  <c r="K21" i="14"/>
  <c r="L21" i="14"/>
  <c r="H21" i="14"/>
  <c r="G15" i="13"/>
  <c r="H15" i="13"/>
  <c r="I15" i="13"/>
  <c r="F15" i="13"/>
  <c r="J20" i="20"/>
  <c r="K20" i="20" s="1"/>
  <c r="L20" i="20" s="1"/>
  <c r="M20" i="20" s="1"/>
  <c r="N20" i="20" s="1"/>
  <c r="J23" i="20"/>
  <c r="K23" i="20" s="1"/>
  <c r="L23" i="20" s="1"/>
  <c r="M23" i="20" s="1"/>
  <c r="N23" i="20" s="1"/>
  <c r="I18" i="20"/>
  <c r="I19" i="20" s="1"/>
  <c r="I15" i="20"/>
  <c r="I16" i="20" s="1"/>
  <c r="I9" i="20"/>
  <c r="J9" i="20" s="1"/>
  <c r="K9" i="20" s="1"/>
  <c r="L9" i="20" s="1"/>
  <c r="M9" i="20" s="1"/>
  <c r="N9" i="20" l="1"/>
  <c r="N10" i="20" s="1"/>
  <c r="M10" i="20"/>
  <c r="J24" i="20"/>
  <c r="K24" i="20" s="1"/>
  <c r="L24" i="20" s="1"/>
  <c r="L10" i="20"/>
  <c r="J10" i="20"/>
  <c r="K10" i="20"/>
  <c r="I10" i="20"/>
  <c r="K25" i="20"/>
  <c r="J25" i="20"/>
  <c r="J15" i="20"/>
  <c r="J18" i="20"/>
  <c r="K15" i="20" l="1"/>
  <c r="J16" i="20"/>
  <c r="K18" i="20"/>
  <c r="J19" i="20"/>
  <c r="L25" i="20"/>
  <c r="M24" i="20"/>
  <c r="L18" i="20" l="1"/>
  <c r="K19" i="20"/>
  <c r="L15" i="20"/>
  <c r="K16" i="20"/>
  <c r="N24" i="20"/>
  <c r="N25" i="20" s="1"/>
  <c r="M25" i="20"/>
  <c r="M15" i="20" l="1"/>
  <c r="L16" i="20"/>
  <c r="M18" i="20"/>
  <c r="L19" i="20"/>
  <c r="N18" i="20" l="1"/>
  <c r="N19" i="20" s="1"/>
  <c r="M19" i="20"/>
  <c r="N15" i="20"/>
  <c r="N16" i="20" s="1"/>
  <c r="M16" i="20"/>
  <c r="I21" i="20" l="1"/>
  <c r="I12" i="20"/>
  <c r="F16" i="20"/>
  <c r="G16" i="20"/>
  <c r="H16" i="20"/>
  <c r="F19" i="20"/>
  <c r="G19" i="20"/>
  <c r="H19" i="20"/>
  <c r="F22" i="20"/>
  <c r="G22" i="20"/>
  <c r="H22" i="20"/>
  <c r="F25" i="20"/>
  <c r="G25" i="20"/>
  <c r="H25" i="20"/>
  <c r="F30" i="20"/>
  <c r="G30" i="20"/>
  <c r="H30" i="20"/>
  <c r="F39" i="20"/>
  <c r="G39" i="20"/>
  <c r="H39" i="20"/>
  <c r="F41" i="20"/>
  <c r="G41" i="20"/>
  <c r="H41" i="20"/>
  <c r="F43" i="20"/>
  <c r="G43" i="20"/>
  <c r="H43" i="20"/>
  <c r="F45" i="20"/>
  <c r="G45" i="20"/>
  <c r="H45" i="20"/>
  <c r="F47" i="20"/>
  <c r="G47" i="20"/>
  <c r="H47" i="20"/>
  <c r="F49" i="20"/>
  <c r="G49" i="20"/>
  <c r="H49" i="20"/>
  <c r="F52" i="20"/>
  <c r="G52" i="20"/>
  <c r="H52" i="20"/>
  <c r="F53" i="20"/>
  <c r="G53" i="20"/>
  <c r="H53" i="20"/>
  <c r="F54" i="20"/>
  <c r="G54" i="20"/>
  <c r="H54" i="20"/>
  <c r="F55" i="20"/>
  <c r="G55" i="20"/>
  <c r="H55" i="20"/>
  <c r="F56" i="20"/>
  <c r="G56" i="20"/>
  <c r="H56" i="20"/>
  <c r="F57" i="20"/>
  <c r="G57" i="20"/>
  <c r="H57" i="20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1" i="21"/>
  <c r="F21" i="21"/>
  <c r="G21" i="21"/>
  <c r="H21" i="21"/>
  <c r="I21" i="21"/>
  <c r="E28" i="21"/>
  <c r="F28" i="21"/>
  <c r="G28" i="21"/>
  <c r="H28" i="21"/>
  <c r="I28" i="21"/>
  <c r="E35" i="21"/>
  <c r="F35" i="21"/>
  <c r="G35" i="21"/>
  <c r="H35" i="21"/>
  <c r="I35" i="21"/>
  <c r="E42" i="21"/>
  <c r="F42" i="21"/>
  <c r="G42" i="21"/>
  <c r="H42" i="21"/>
  <c r="I42" i="21"/>
  <c r="E49" i="21"/>
  <c r="F49" i="21"/>
  <c r="G49" i="21"/>
  <c r="H49" i="21"/>
  <c r="I49" i="21"/>
  <c r="E56" i="21"/>
  <c r="F56" i="21"/>
  <c r="G56" i="21"/>
  <c r="H56" i="21"/>
  <c r="I56" i="21"/>
  <c r="D74" i="21"/>
  <c r="E74" i="21"/>
  <c r="E4" i="21" s="1"/>
  <c r="F74" i="21"/>
  <c r="G74" i="21"/>
  <c r="E5" i="21" s="1"/>
  <c r="H74" i="21"/>
  <c r="I74" i="21"/>
  <c r="J74" i="21"/>
  <c r="F4" i="21" s="1"/>
  <c r="K74" i="21"/>
  <c r="L74" i="21"/>
  <c r="F5" i="21" s="1"/>
  <c r="M74" i="21"/>
  <c r="N74" i="21"/>
  <c r="O74" i="21"/>
  <c r="G4" i="21" s="1"/>
  <c r="P74" i="21"/>
  <c r="Q74" i="21"/>
  <c r="G5" i="21" s="1"/>
  <c r="R74" i="21"/>
  <c r="S74" i="21"/>
  <c r="T74" i="21"/>
  <c r="H4" i="21" s="1"/>
  <c r="U74" i="21"/>
  <c r="V74" i="21"/>
  <c r="H5" i="21" s="1"/>
  <c r="W74" i="21"/>
  <c r="X74" i="21"/>
  <c r="Y74" i="21"/>
  <c r="I4" i="21" s="1"/>
  <c r="Z74" i="21"/>
  <c r="AA74" i="21"/>
  <c r="I5" i="21" s="1"/>
  <c r="AB74" i="21"/>
  <c r="D79" i="21"/>
  <c r="E79" i="21"/>
  <c r="E7" i="21" s="1"/>
  <c r="F79" i="21"/>
  <c r="G79" i="21"/>
  <c r="E8" i="21" s="1"/>
  <c r="H79" i="21"/>
  <c r="I79" i="21"/>
  <c r="J79" i="21"/>
  <c r="F7" i="21" s="1"/>
  <c r="K79" i="21"/>
  <c r="L79" i="21"/>
  <c r="F8" i="21" s="1"/>
  <c r="M79" i="21"/>
  <c r="N79" i="21"/>
  <c r="O79" i="21"/>
  <c r="G7" i="21" s="1"/>
  <c r="P79" i="21"/>
  <c r="Q79" i="21"/>
  <c r="G8" i="21" s="1"/>
  <c r="R79" i="21"/>
  <c r="S79" i="21"/>
  <c r="T79" i="21"/>
  <c r="H7" i="21" s="1"/>
  <c r="U79" i="21"/>
  <c r="V79" i="21"/>
  <c r="H8" i="21" s="1"/>
  <c r="W79" i="21"/>
  <c r="X79" i="21"/>
  <c r="Y79" i="21"/>
  <c r="I7" i="21" s="1"/>
  <c r="Z79" i="21"/>
  <c r="AA79" i="21"/>
  <c r="I8" i="21" s="1"/>
  <c r="AB79" i="21"/>
  <c r="D84" i="21"/>
  <c r="E84" i="21"/>
  <c r="E10" i="21" s="1"/>
  <c r="F84" i="21"/>
  <c r="G84" i="21"/>
  <c r="E11" i="21" s="1"/>
  <c r="H84" i="21"/>
  <c r="I84" i="21"/>
  <c r="J84" i="21"/>
  <c r="F10" i="21" s="1"/>
  <c r="K84" i="21"/>
  <c r="L84" i="21"/>
  <c r="F11" i="21" s="1"/>
  <c r="M84" i="21"/>
  <c r="N84" i="21"/>
  <c r="O84" i="21"/>
  <c r="G10" i="21" s="1"/>
  <c r="P84" i="21"/>
  <c r="Q84" i="21"/>
  <c r="G11" i="21" s="1"/>
  <c r="R84" i="21"/>
  <c r="S84" i="21"/>
  <c r="T84" i="21"/>
  <c r="H10" i="21" s="1"/>
  <c r="U84" i="21"/>
  <c r="V84" i="21"/>
  <c r="H11" i="21" s="1"/>
  <c r="W84" i="21"/>
  <c r="X84" i="21"/>
  <c r="Y84" i="21"/>
  <c r="I10" i="21" s="1"/>
  <c r="Z84" i="21"/>
  <c r="AA84" i="21"/>
  <c r="I11" i="21" s="1"/>
  <c r="AB84" i="21"/>
  <c r="I3" i="21" l="1"/>
  <c r="J21" i="20"/>
  <c r="I22" i="20"/>
  <c r="J12" i="20"/>
  <c r="I13" i="20"/>
  <c r="F3" i="21"/>
  <c r="G6" i="21"/>
  <c r="E9" i="21"/>
  <c r="I6" i="21"/>
  <c r="H9" i="21"/>
  <c r="G9" i="21"/>
  <c r="E3" i="21"/>
  <c r="F9" i="21"/>
  <c r="H6" i="21"/>
  <c r="F6" i="21"/>
  <c r="E6" i="21"/>
  <c r="H3" i="21"/>
  <c r="G3" i="21"/>
  <c r="I9" i="21"/>
  <c r="E30" i="20"/>
  <c r="H105" i="20"/>
  <c r="G105" i="20"/>
  <c r="F105" i="20"/>
  <c r="E105" i="20"/>
  <c r="H110" i="20"/>
  <c r="H109" i="20"/>
  <c r="H108" i="20"/>
  <c r="H107" i="20"/>
  <c r="E64" i="20"/>
  <c r="F64" i="20"/>
  <c r="G64" i="20"/>
  <c r="H64" i="20"/>
  <c r="D64" i="20"/>
  <c r="H10" i="20"/>
  <c r="G10" i="20"/>
  <c r="F10" i="20"/>
  <c r="E10" i="20"/>
  <c r="H13" i="20"/>
  <c r="E49" i="20"/>
  <c r="E47" i="20"/>
  <c r="E45" i="20"/>
  <c r="E43" i="20"/>
  <c r="E41" i="20"/>
  <c r="E39" i="20"/>
  <c r="E25" i="20"/>
  <c r="E22" i="20"/>
  <c r="E19" i="20"/>
  <c r="E16" i="20"/>
  <c r="F13" i="20"/>
  <c r="G13" i="20"/>
  <c r="E13" i="20"/>
  <c r="D27" i="20"/>
  <c r="D31" i="20" s="1"/>
  <c r="D53" i="20"/>
  <c r="E53" i="20"/>
  <c r="D54" i="20"/>
  <c r="E54" i="20"/>
  <c r="D55" i="20"/>
  <c r="E55" i="20"/>
  <c r="D56" i="20"/>
  <c r="E56" i="20"/>
  <c r="D57" i="20"/>
  <c r="E57" i="20"/>
  <c r="E52" i="20"/>
  <c r="D52" i="20"/>
  <c r="K93" i="19"/>
  <c r="K12" i="20" l="1"/>
  <c r="J13" i="20"/>
  <c r="K21" i="20"/>
  <c r="J22" i="20"/>
  <c r="G27" i="20"/>
  <c r="G31" i="20" s="1"/>
  <c r="F27" i="20"/>
  <c r="F31" i="20" s="1"/>
  <c r="H27" i="20"/>
  <c r="H28" i="20" s="1"/>
  <c r="L88" i="19"/>
  <c r="L89" i="19"/>
  <c r="E27" i="20"/>
  <c r="F28" i="20" s="1"/>
  <c r="L90" i="19"/>
  <c r="L91" i="19"/>
  <c r="L21" i="20" l="1"/>
  <c r="K22" i="20"/>
  <c r="L12" i="20"/>
  <c r="K13" i="20"/>
  <c r="H31" i="20"/>
  <c r="G28" i="20"/>
  <c r="E31" i="20"/>
  <c r="E28" i="20"/>
  <c r="M12" i="20" l="1"/>
  <c r="L13" i="20"/>
  <c r="M21" i="20"/>
  <c r="L22" i="20"/>
  <c r="M22" i="20" l="1"/>
  <c r="N21" i="20"/>
  <c r="N22" i="20" s="1"/>
  <c r="M13" i="20"/>
  <c r="N12" i="20"/>
  <c r="N13" i="20" s="1"/>
</calcChain>
</file>

<file path=xl/sharedStrings.xml><?xml version="1.0" encoding="utf-8"?>
<sst xmlns="http://schemas.openxmlformats.org/spreadsheetml/2006/main" count="4394" uniqueCount="1394">
  <si>
    <t>비자 (V US) - BBG 조정</t>
  </si>
  <si>
    <t>단위: USD 백만(주당수치 제외)</t>
  </si>
  <si>
    <t>FY 2020</t>
  </si>
  <si>
    <t>FY 2021</t>
  </si>
  <si>
    <t>FY 2022</t>
  </si>
  <si>
    <t>FY 2023</t>
  </si>
  <si>
    <t>FY 2024</t>
  </si>
  <si>
    <t>최근12개월</t>
  </si>
  <si>
    <t>FY 2025 예상</t>
  </si>
  <si>
    <t>FY 2026 예상</t>
  </si>
  <si>
    <t>12 개월 결산</t>
  </si>
  <si>
    <t>09/30/2020</t>
  </si>
  <si>
    <t>09/30/2021</t>
  </si>
  <si>
    <t>09/30/2022</t>
  </si>
  <si>
    <t>09/30/2023</t>
  </si>
  <si>
    <t>09/30/2024</t>
  </si>
  <si>
    <t>03/31/2025</t>
  </si>
  <si>
    <t>09/30/2025</t>
  </si>
  <si>
    <t>09/30/2026</t>
  </si>
  <si>
    <t>매출액</t>
  </si>
  <si>
    <t>SALES_REV_TURN</t>
  </si>
  <si>
    <t xml:space="preserve">    + 매출 &amp; 서비스 수익</t>
  </si>
  <si>
    <t>IS_SALES_AND_SERVICES_REVENUES</t>
  </si>
  <si>
    <t xml:space="preserve">    + 기타수익</t>
  </si>
  <si>
    <t>IS_OTHER_REVENUE</t>
  </si>
  <si>
    <t>매출총이익</t>
  </si>
  <si>
    <t>GROSS_PROFIT</t>
  </si>
  <si>
    <t xml:space="preserve">  + 기타영업이익</t>
  </si>
  <si>
    <t>IS_OTHER_OPER_INC</t>
  </si>
  <si>
    <t xml:space="preserve">  - 영업비용</t>
  </si>
  <si>
    <t>IS_OPERATING_EXPN</t>
  </si>
  <si>
    <t xml:space="preserve">    + 일반판매관리비</t>
  </si>
  <si>
    <t>IS_SGA_EXPENSE</t>
  </si>
  <si>
    <t xml:space="preserve">    + 판매 및 마케팅 비용</t>
  </si>
  <si>
    <t>IS_SELLING_EXPENSES</t>
  </si>
  <si>
    <t xml:space="preserve">    + 일반관리비</t>
  </si>
  <si>
    <t>IS_GENERAL_AND_ADMINISTRATIVE</t>
  </si>
  <si>
    <t xml:space="preserve">    + 연구개발 (R&amp;D)</t>
  </si>
  <si>
    <t>IS_OPERATING_EXPENSES_RD</t>
  </si>
  <si>
    <t xml:space="preserve">    + 감가상각 &amp; 무형자산상각</t>
  </si>
  <si>
    <t>IS_DEPRECIATION_AND_AMORTIZATION</t>
  </si>
  <si>
    <t xml:space="preserve">    + 기타 영업비용</t>
  </si>
  <si>
    <t>IS_OTHER_OPERATING_EXPENSES</t>
  </si>
  <si>
    <t>영업이익 (손실)</t>
  </si>
  <si>
    <t>IS_OPER_INC</t>
  </si>
  <si>
    <t xml:space="preserve">  - 영업외 (이익) 손실</t>
  </si>
  <si>
    <t>IS_NONOP_INCOME_LOSS</t>
  </si>
  <si>
    <t xml:space="preserve">    + 순 이자비용</t>
  </si>
  <si>
    <t>IS_NET_INTEREST_EXPENSE</t>
  </si>
  <si>
    <t xml:space="preserve">    + 이자비용</t>
  </si>
  <si>
    <t>IS_INT_EXPENSE</t>
  </si>
  <si>
    <t xml:space="preserve">    - 이자수익</t>
  </si>
  <si>
    <t>IS_INT_INC</t>
  </si>
  <si>
    <t xml:space="preserve">    + 외환 (이익) 손실</t>
  </si>
  <si>
    <t>IS_FOREIGN_EXCH_LOSS</t>
  </si>
  <si>
    <t xml:space="preserve">    + 관계회사 (이익) 손실</t>
  </si>
  <si>
    <t>INCOME_LOSS_FROM_AFFILIATES</t>
  </si>
  <si>
    <t xml:space="preserve">    + 기타 영업외 (이익) 손실</t>
  </si>
  <si>
    <t>IS_OTHER_NON_OPERATING_INC_LOSS</t>
  </si>
  <si>
    <t>세전이익 (손실), 조정</t>
  </si>
  <si>
    <t>PRETAX_INC</t>
  </si>
  <si>
    <t xml:space="preserve">  - 비정상 손실</t>
  </si>
  <si>
    <t>IS_ABNORMAL_ITEM</t>
  </si>
  <si>
    <t xml:space="preserve">    + 합병/인수비용</t>
  </si>
  <si>
    <t>IS_MERGER_ACQUISITION_EXPENSE</t>
  </si>
  <si>
    <t xml:space="preserve">    + 비정상 파생상품</t>
  </si>
  <si>
    <t>IS_DERIVATIVES_HEDGING</t>
  </si>
  <si>
    <t xml:space="preserve">    + 사업 매각/인수 손익</t>
  </si>
  <si>
    <t>IS_SALE_OF_BUSINESS</t>
  </si>
  <si>
    <t xml:space="preserve">    + 소송합의</t>
  </si>
  <si>
    <t>IS_LEGAL_LITIGATION_SETTLEMENT</t>
  </si>
  <si>
    <t xml:space="preserve">    + 구조조정</t>
  </si>
  <si>
    <t>IS_RESTRUCTURING_EXPENSES</t>
  </si>
  <si>
    <t xml:space="preserve">    + 투자증권처분</t>
  </si>
  <si>
    <t>IS_GAIN_LOSS_ON_INVESTMENTS</t>
  </si>
  <si>
    <t xml:space="preserve">    + 기타 비정상항목</t>
  </si>
  <si>
    <t>IS_OTHER_ONE_TIME_ITEMS</t>
  </si>
  <si>
    <t>세전이익 (손실), GAAP</t>
  </si>
  <si>
    <t xml:space="preserve">  - 법인세 비용(수익)</t>
  </si>
  <si>
    <t>IS_INC_TAX_EXP</t>
  </si>
  <si>
    <t xml:space="preserve">    + 당기법인세</t>
  </si>
  <si>
    <t>IS_CURRENT_INCOME_TAX_BENEFIT</t>
  </si>
  <si>
    <t xml:space="preserve">    + 이연법인세</t>
  </si>
  <si>
    <t>IS_DEFERRED_INCOME_TAX_BENEFIT</t>
  </si>
  <si>
    <t>계속사업 이익 (손실)</t>
  </si>
  <si>
    <t>IS_INC_BEF_XO_ITEM</t>
  </si>
  <si>
    <t xml:space="preserve">  - 순 특별손실(이익)</t>
  </si>
  <si>
    <t>XO_GL_NET_OF_TAX</t>
  </si>
  <si>
    <t xml:space="preserve">    + 중단사업</t>
  </si>
  <si>
    <t>IS_DISCONTINUED_OPERATIONS</t>
  </si>
  <si>
    <t xml:space="preserve">    + 특별항목 &amp; 회계기준 변경</t>
  </si>
  <si>
    <t>EXTRAORD_ITEMS_ACCOUNTING_CHANGS</t>
  </si>
  <si>
    <t>소수주주지분 포함 이익 (손실)</t>
  </si>
  <si>
    <t>NI_INCLUDING_MINORITY_INT_RATIO</t>
  </si>
  <si>
    <t xml:space="preserve">  - 소수주주지분</t>
  </si>
  <si>
    <t>MIN_NONCONTROL_INTEREST_CREDITS</t>
  </si>
  <si>
    <t>순이익, GAAP</t>
  </si>
  <si>
    <t>NET_INCOME</t>
  </si>
  <si>
    <t xml:space="preserve">  - 우선주 배당</t>
  </si>
  <si>
    <t>IS_TOT_CASH_PFD_DVD</t>
  </si>
  <si>
    <t xml:space="preserve">  - 기타조정액</t>
  </si>
  <si>
    <t>OTHER_ADJUSTMENTS</t>
  </si>
  <si>
    <t>보통주 순이익, GAAP</t>
  </si>
  <si>
    <t>EARN_FOR_COMMON</t>
  </si>
  <si>
    <t>보통주주에 대한 배당가능 순이익, 조정</t>
  </si>
  <si>
    <t xml:space="preserve">  비정상손익</t>
  </si>
  <si>
    <t>IS_NET_ABNORMAL_ITEMS</t>
  </si>
  <si>
    <t xml:space="preserve">  순 특별손실(이익)</t>
  </si>
  <si>
    <t>기본 가중평균주수</t>
  </si>
  <si>
    <t>IS_AVG_NUM_SH_FOR_EPS</t>
  </si>
  <si>
    <t>기본 EPS, GAAP</t>
  </si>
  <si>
    <t>IS_EPS</t>
  </si>
  <si>
    <t>계속사업 기본 EPS, GAAP</t>
  </si>
  <si>
    <t>IS_EARN_BEF_XO_ITEMS_PER_SH</t>
  </si>
  <si>
    <t>계속사업 기본 EPS, 조정</t>
  </si>
  <si>
    <t>IS_BASIC_EPS_CONT_OPS</t>
  </si>
  <si>
    <t>희석가중평균주수</t>
  </si>
  <si>
    <t>IS_SH_FOR_DILUTED_EPS</t>
  </si>
  <si>
    <t>희석 EPS, GAAP</t>
  </si>
  <si>
    <t>IS_DILUTED_EPS</t>
  </si>
  <si>
    <t>계속사업 희석 EPS, GAAP</t>
  </si>
  <si>
    <t>IS_DIL_EPS_BEF_XO</t>
  </si>
  <si>
    <t>계속사업 희석 EPS, 조정</t>
  </si>
  <si>
    <t>IS_DIL_EPS_CONT_OPS</t>
  </si>
  <si>
    <t>주석 항목</t>
  </si>
  <si>
    <t>회계기준</t>
  </si>
  <si>
    <t>ACCOUNTING_STANDARD</t>
  </si>
  <si>
    <t>US GAAP</t>
  </si>
  <si>
    <t>EBITDA</t>
  </si>
  <si>
    <t>EBITDA 마진 (T12M)</t>
  </si>
  <si>
    <t>EBITDA_MARGIN</t>
  </si>
  <si>
    <t>EBITA</t>
  </si>
  <si>
    <t>EBIT</t>
  </si>
  <si>
    <t>매출총이익률</t>
  </si>
  <si>
    <t>GROSS_MARGIN</t>
  </si>
  <si>
    <t>영업이익률</t>
  </si>
  <si>
    <t>OPER_MARGIN</t>
  </si>
  <si>
    <t>매출이익률</t>
  </si>
  <si>
    <t>PROF_MARGIN</t>
  </si>
  <si>
    <t>경상이익</t>
  </si>
  <si>
    <t>CUR_PROFIT_JAPAN</t>
  </si>
  <si>
    <t>직원당 매출</t>
  </si>
  <si>
    <t>ACTUAL_SALES_PER_EMPL</t>
  </si>
  <si>
    <t>주당 배당</t>
  </si>
  <si>
    <t>EQY_DPS</t>
  </si>
  <si>
    <t>보통주현금배당금</t>
  </si>
  <si>
    <t>IS_TOT_CASH_COM_DVD</t>
  </si>
  <si>
    <t>인건비</t>
  </si>
  <si>
    <t>IS_PERSONNEL_EXP</t>
  </si>
  <si>
    <t>감가상각비</t>
  </si>
  <si>
    <t>IS_DEPR_EXP</t>
  </si>
  <si>
    <t>임차지출비용</t>
  </si>
  <si>
    <t>BS_CURR_RENTAL_EXPENSE</t>
  </si>
  <si>
    <t>출처: 블룸버그</t>
  </si>
  <si>
    <t>데이터 투명성을 표시하려면 우클릭하세요 (전체 가치에 지원되지는 않음)</t>
  </si>
  <si>
    <t>—</t>
  </si>
  <si>
    <t>세전이익</t>
  </si>
  <si>
    <t>OTHER_NONOP_INCOME_LOSS</t>
  </si>
  <si>
    <t>NONOP_INCOME_LOSS</t>
  </si>
  <si>
    <t>OTHER_OPERATING_EXPENSES_RATIO</t>
  </si>
  <si>
    <t>IS_OPER_EXPENSES_RD_GAAP</t>
  </si>
  <si>
    <t>비자 (V US) - BBG GAAP</t>
  </si>
  <si>
    <t>NUM_OF_EMPLOYEES</t>
  </si>
  <si>
    <t>직원 수</t>
  </si>
  <si>
    <t>BS_CASH_HELD_OVERSEAS</t>
  </si>
  <si>
    <t>해외 현금 보유</t>
  </si>
  <si>
    <t>CUR_RATIO</t>
  </si>
  <si>
    <t>유동비율</t>
  </si>
  <si>
    <t>TCE_RATIO</t>
  </si>
  <si>
    <t>유형자산 보통주식 비율</t>
  </si>
  <si>
    <t>NET_DEBT_TO_SHRHLDR_EQTY</t>
  </si>
  <si>
    <t>순부채비율</t>
  </si>
  <si>
    <t>NET_DEBT</t>
  </si>
  <si>
    <t>순 부채</t>
  </si>
  <si>
    <t>BS_OPTIONS_OUTSTANDING</t>
  </si>
  <si>
    <t>기말일 잔존 옵션</t>
  </si>
  <si>
    <t>BS_OPTIONS_GRANTED</t>
  </si>
  <si>
    <t>기간중 허가된 옵션</t>
  </si>
  <si>
    <t>BS_TOTAL_CAPITAL_LEASES</t>
  </si>
  <si>
    <t>자본리스 - 총계</t>
  </si>
  <si>
    <t>BS_FUTURE_MIN_OPER_LEASE_OBLIG</t>
  </si>
  <si>
    <t>미래최저 운용리스채무합계</t>
  </si>
  <si>
    <t>BS_PENSION_RSRV</t>
  </si>
  <si>
    <t>연금 채무</t>
  </si>
  <si>
    <t>BS_NUM_OF_TSY_SH</t>
  </si>
  <si>
    <t>자기주식 수</t>
  </si>
  <si>
    <t>BS_SH_OUT</t>
  </si>
  <si>
    <t>유통주식수</t>
  </si>
  <si>
    <t>TOT_LIAB_AND_EQY</t>
  </si>
  <si>
    <t>부채와자본총계</t>
  </si>
  <si>
    <t>TOTAL_EQUITY</t>
  </si>
  <si>
    <t>자본총계</t>
  </si>
  <si>
    <t>MINORITY_NONCONTROLLING_INTEREST</t>
  </si>
  <si>
    <t xml:space="preserve">  + 소수주주/비지배 지분</t>
  </si>
  <si>
    <t>EQTY_BEF_MINORITY_INT_DETAILED</t>
  </si>
  <si>
    <t>소수주주지분 전 지분</t>
  </si>
  <si>
    <t>OTHER_EQUITY_RATIO</t>
  </si>
  <si>
    <t xml:space="preserve">  + 기타 지분</t>
  </si>
  <si>
    <t>BS_PURE_RETAINED_EARNINGS</t>
  </si>
  <si>
    <t xml:space="preserve">  + 이익잉여금</t>
  </si>
  <si>
    <t>BS_AMT_OF_TSY_STOCK</t>
  </si>
  <si>
    <t xml:space="preserve">  - 자기주식</t>
  </si>
  <si>
    <t>BS_ADD_PAID_IN_CAP</t>
  </si>
  <si>
    <t xml:space="preserve">    + 주식발행초과금</t>
  </si>
  <si>
    <t>BS_COMMON_STOCK</t>
  </si>
  <si>
    <t xml:space="preserve">    + 보통주</t>
  </si>
  <si>
    <t>BS_SH_CAP_AND_APIC</t>
  </si>
  <si>
    <t xml:space="preserve">  + 보통주자본금 및 주식발행초과금</t>
  </si>
  <si>
    <t>PFD_EQTY_HYBRID_CAPITAL</t>
  </si>
  <si>
    <t xml:space="preserve">  + 우선주 및 하이브리드 자본</t>
  </si>
  <si>
    <t>BS_TOT_LIAB2</t>
  </si>
  <si>
    <t>전체 부채</t>
  </si>
  <si>
    <t>NON_CUR_LIAB</t>
  </si>
  <si>
    <t>고정부채 총계</t>
  </si>
  <si>
    <t>OTHER_NONCURRENT_LIABS_DETAILED</t>
  </si>
  <si>
    <t xml:space="preserve">    + 기타 장기 부채</t>
  </si>
  <si>
    <t>BS_DERIV_HEDGING_LIAB_LT</t>
  </si>
  <si>
    <t xml:space="preserve">    + 파생상품 &amp; 헤지</t>
  </si>
  <si>
    <t>BS_DEFERRED_TAX_LIABILITIES_LT</t>
  </si>
  <si>
    <t xml:space="preserve">    + 이연법인세차입금</t>
  </si>
  <si>
    <t>LT_DEFERRED_REVENUE</t>
  </si>
  <si>
    <t xml:space="preserve">    + 이연수익</t>
  </si>
  <si>
    <t>PENSION_LIABILITIES</t>
  </si>
  <si>
    <t xml:space="preserve">    + 순확정급여부채</t>
  </si>
  <si>
    <t>BS_ACCRUED_LIABILITIES</t>
  </si>
  <si>
    <t xml:space="preserve">    + 미지급 부채</t>
  </si>
  <si>
    <t>OTHER_NONCUR_LIABS_SUB_DETAILED</t>
  </si>
  <si>
    <t xml:space="preserve">  + 기타장기부채</t>
  </si>
  <si>
    <t>BS_LT_OPERATING_LEASE_LIABS</t>
  </si>
  <si>
    <t xml:space="preserve">      + 장기운영리스</t>
  </si>
  <si>
    <t>LT_CAPITAL_LEASE_OBLIGATIONS</t>
  </si>
  <si>
    <t xml:space="preserve">      + 장기 금융리스</t>
  </si>
  <si>
    <t>LT_CAPITALIZED_LEASE_LIABILITIES</t>
  </si>
  <si>
    <t xml:space="preserve">    + 장기 리스부채</t>
  </si>
  <si>
    <t>LONG_TERM_BORROWINGS_DETAILED</t>
  </si>
  <si>
    <t xml:space="preserve">    + 장기차입금</t>
  </si>
  <si>
    <t>BS_LT_BORROW</t>
  </si>
  <si>
    <t xml:space="preserve">  + 장기 부채</t>
  </si>
  <si>
    <t>BS_CUR_LIAB</t>
  </si>
  <si>
    <t>유동부채총계</t>
  </si>
  <si>
    <t>OTHER_CURRENT_LIABS_DETAILED</t>
  </si>
  <si>
    <t xml:space="preserve">    + 기타 단기 부채</t>
  </si>
  <si>
    <t>BS_DERIV_HEDGING_LIAB_ST</t>
  </si>
  <si>
    <t>ST_DEFERRED_REVENUE</t>
  </si>
  <si>
    <t>OTHER_CURRENT_LIABS_SUB_DETAILED</t>
  </si>
  <si>
    <t xml:space="preserve">  + 기타유동부채</t>
  </si>
  <si>
    <t>BS_CURR_PORTION_LT_DEBT</t>
  </si>
  <si>
    <t xml:space="preserve">    + 유동성 장기부채</t>
  </si>
  <si>
    <t>BS_ST_OPERATING_LEASE_LIABS</t>
  </si>
  <si>
    <t xml:space="preserve">      + 단기운영리스</t>
  </si>
  <si>
    <t>ST_CAPITAL_LEASE_OBLIGATIONS</t>
  </si>
  <si>
    <t xml:space="preserve">      + 단기 금융리스</t>
  </si>
  <si>
    <t>ST_CAPITALIZED_LEASE_LIABILITIES</t>
  </si>
  <si>
    <t xml:space="preserve">    + 단기 리스부채</t>
  </si>
  <si>
    <t>SHORT_TERM_DEBT_DETAILED</t>
  </si>
  <si>
    <t xml:space="preserve">    + 단기 차입금</t>
  </si>
  <si>
    <t>BS_ST_BORROW</t>
  </si>
  <si>
    <t xml:space="preserve">  + 단기 부채</t>
  </si>
  <si>
    <t>BS_ACCRUAL</t>
  </si>
  <si>
    <t xml:space="preserve">    + 기타 매입채무 &amp; 미지급금</t>
  </si>
  <si>
    <t>BS_TAXES_PAYABLE</t>
  </si>
  <si>
    <t xml:space="preserve">    + 미지급법인세</t>
  </si>
  <si>
    <t>BS_ACCT_PAYABLE</t>
  </si>
  <si>
    <t xml:space="preserve">    + 매입채무</t>
  </si>
  <si>
    <t>ACCT_PAYABLE_ACCRUALS_DETAILED</t>
  </si>
  <si>
    <t xml:space="preserve">  + 매입채무</t>
  </si>
  <si>
    <t>부채와자본</t>
  </si>
  <si>
    <t>BS_TOT_ASSET</t>
  </si>
  <si>
    <t>자산총계</t>
  </si>
  <si>
    <t>BS_TOT_NON_CUR_ASSET</t>
  </si>
  <si>
    <t>Total Noncurrent Assets</t>
  </si>
  <si>
    <t>OTHER_NONCURRENT_ASSETS_DETAILED</t>
  </si>
  <si>
    <t xml:space="preserve">    + 기타 고정 자산</t>
  </si>
  <si>
    <t>BS_DERIV_HEDGING_ASST_LT</t>
  </si>
  <si>
    <t xml:space="preserve">    + 파생상품 및 헤지자산</t>
  </si>
  <si>
    <t>BS_DEFERRED_TAX_ASSETS_LT</t>
  </si>
  <si>
    <t xml:space="preserve">    + 이연법인세자산</t>
  </si>
  <si>
    <t>OTHER_INTANGIBLE_ASSETS_DETAILED</t>
  </si>
  <si>
    <t xml:space="preserve">    + 기타 무형자산</t>
  </si>
  <si>
    <t>BS_GOODWILL</t>
  </si>
  <si>
    <t xml:space="preserve">    + 영업권 총액 기업 기준</t>
  </si>
  <si>
    <t>BS_DISCLOSED_INTANGIBLES</t>
  </si>
  <si>
    <t xml:space="preserve">    + 무형자산 총계</t>
  </si>
  <si>
    <t>BS_OTHER_ASSETS_DEF_CHRG_OTHER</t>
  </si>
  <si>
    <t xml:space="preserve">  + 기타 장기 자산</t>
  </si>
  <si>
    <t>BS_LT_MARKETABLE_SECURITIES</t>
  </si>
  <si>
    <t xml:space="preserve">    + 장기 유가증권</t>
  </si>
  <si>
    <t>BS_LT_INVEST</t>
  </si>
  <si>
    <t xml:space="preserve">  + 장기 투자 &amp; 미수금</t>
  </si>
  <si>
    <t>BS_ACCUM_DEPR</t>
  </si>
  <si>
    <t xml:space="preserve">    - 감가상각누계</t>
  </si>
  <si>
    <t>BS_GROSS_FIX_ASSET</t>
  </si>
  <si>
    <t xml:space="preserve">    + 유형고정자산</t>
  </si>
  <si>
    <t>BS_NET_FIX_ASSET</t>
  </si>
  <si>
    <t xml:space="preserve">  + 유형고정자산, 순</t>
  </si>
  <si>
    <t>BS_CUR_ASSET_REPORT</t>
  </si>
  <si>
    <t>유동자산총계</t>
  </si>
  <si>
    <t>BS_OTHER_CUR_ASSET_LESS_PREPAY</t>
  </si>
  <si>
    <t xml:space="preserve">    + 기타 단기 자산</t>
  </si>
  <si>
    <t>BS_TAXES_RECEIVABLE_SHORT_TERM</t>
  </si>
  <si>
    <t xml:space="preserve">    + 미수법인세</t>
  </si>
  <si>
    <t>BS_DERIV_HEDGING_ASST_ST</t>
  </si>
  <si>
    <t>OTHER_CURRENT_ASSETS_DETAILED</t>
  </si>
  <si>
    <t xml:space="preserve">  + 기타 단기 자산</t>
  </si>
  <si>
    <t>BS_OTHER_INV</t>
  </si>
  <si>
    <t xml:space="preserve">    + 기타 재고</t>
  </si>
  <si>
    <t>INVTRY_FINISHED_GOODS</t>
  </si>
  <si>
    <t xml:space="preserve">    + 완제품</t>
  </si>
  <si>
    <t>INVTRY_IN_PROGRESS</t>
  </si>
  <si>
    <t xml:space="preserve">    + 재공품</t>
  </si>
  <si>
    <t>INVTRY_RAW_MATERIALS</t>
  </si>
  <si>
    <t xml:space="preserve">    + 원자재</t>
  </si>
  <si>
    <t>BS_INVENTORIES</t>
  </si>
  <si>
    <t xml:space="preserve">  + 재고</t>
  </si>
  <si>
    <t>NOTES_RECEIVABLE</t>
  </si>
  <si>
    <t xml:space="preserve">    + 받을 어음, 순</t>
  </si>
  <si>
    <t>BS_ACCTS_REC_EXCL_NOTES_REC</t>
  </si>
  <si>
    <t xml:space="preserve">    + 매출채권, 순액</t>
  </si>
  <si>
    <t>BS_ACCT_NOTE_RCV</t>
  </si>
  <si>
    <t xml:space="preserve">  + 매출채권</t>
  </si>
  <si>
    <t>BS_MKT_SEC_OTHER_ST_INVEST</t>
  </si>
  <si>
    <t xml:space="preserve">    + 단기투자</t>
  </si>
  <si>
    <t>BS_CASH_NEAR_CASH_ITEM</t>
  </si>
  <si>
    <t xml:space="preserve">    + 현금 &amp; 현금등가물</t>
  </si>
  <si>
    <t>CASH_CASH_EQTY_STI_DETAILED</t>
  </si>
  <si>
    <t xml:space="preserve">  + 현금, 현금등가물, 단기투자</t>
  </si>
  <si>
    <t>총자산</t>
  </si>
  <si>
    <t>비자 (V US) - 표준화</t>
  </si>
  <si>
    <t>CASH_FLOW_TO_NET_INC</t>
  </si>
  <si>
    <t>영업현금 현금흐름/순수익</t>
  </si>
  <si>
    <t>PX_TO_FREE_CASH_FLOW</t>
  </si>
  <si>
    <t>주가/잉여현금흐름</t>
  </si>
  <si>
    <t>FREE_CASH_FLOW_PER_SH</t>
  </si>
  <si>
    <t>기본주당 잉여현금흐름</t>
  </si>
  <si>
    <t>FREE_CASH_FLOW_EQUITY</t>
  </si>
  <si>
    <t>주주 잉여현금흐름</t>
  </si>
  <si>
    <t>CF_FREE_CASH_FLOW_FIRM</t>
  </si>
  <si>
    <t>기업 귀속 잉여현금흐름</t>
  </si>
  <si>
    <t>CF_FREE_CASH_FLOW</t>
  </si>
  <si>
    <t>잉여현금흐름</t>
  </si>
  <si>
    <t>CF_TAX_BENEFIT_FRM_STOCK_OPTIONS</t>
  </si>
  <si>
    <t>스톡옵션 세제혜택</t>
  </si>
  <si>
    <t>CF_NET_CASH_PAID_FOR_AQUIS</t>
  </si>
  <si>
    <t>종속기업에대한투자자산의취득</t>
  </si>
  <si>
    <t>최근 12개월 EBITDA 마진</t>
  </si>
  <si>
    <t>CF_ACT_CASH_PAID_FOR_INT_DEBT</t>
  </si>
  <si>
    <t>현금지급이자</t>
  </si>
  <si>
    <t>CF_CASH_PAID_FOR_TAX</t>
  </si>
  <si>
    <t>법인세지불액</t>
  </si>
  <si>
    <t>CF_NET_CHNG_CASH</t>
  </si>
  <si>
    <t>현금의 증가(감소)</t>
  </si>
  <si>
    <t>CF_EFFECT_FOREIGN_EXCHANGES</t>
  </si>
  <si>
    <t xml:space="preserve">  환율 효과</t>
  </si>
  <si>
    <t>CFF_ACTIVITIES_DETAILED</t>
  </si>
  <si>
    <t>재무활동에서 현금흐름</t>
  </si>
  <si>
    <t>CF_NET_CASH_DISCONTINUED_OPS_FIN</t>
  </si>
  <si>
    <t xml:space="preserve">  + 중단사업으로 인한 순현금</t>
  </si>
  <si>
    <t>OTHER_FIN_AND_DEC_CAP</t>
  </si>
  <si>
    <t xml:space="preserve">  + 기타재무활동</t>
  </si>
  <si>
    <t>CF_DECR_CAP_STOCK</t>
  </si>
  <si>
    <t xml:space="preserve">    + 자본금감소</t>
  </si>
  <si>
    <t>CF_INCR_CAP_STOCK</t>
  </si>
  <si>
    <t xml:space="preserve">    + 자본금증가</t>
  </si>
  <si>
    <t>PROC_FR_REPURCH_EQTY_DETAILED</t>
  </si>
  <si>
    <t xml:space="preserve">  + 자사주(재매입) 현금</t>
  </si>
  <si>
    <t>CF_LT_DEBT_CAP_LEAS_PAYMENT</t>
  </si>
  <si>
    <t xml:space="preserve">    + 장기부채 상환</t>
  </si>
  <si>
    <t>CF_LT_DEBT_CAP_LEAS_PROCEEDS</t>
  </si>
  <si>
    <t xml:space="preserve">    + 장기부채에서 발생한 현금</t>
  </si>
  <si>
    <t>CF_NET_CHG_ST_DEBT_CPTL_LEAS</t>
  </si>
  <si>
    <t xml:space="preserve">    + 단기부채(상환)에서 발생한 현금</t>
  </si>
  <si>
    <t>PROC_FR_REPAYMNTS_BOR_DETAILED</t>
  </si>
  <si>
    <t xml:space="preserve">  + 부채(상환)에서 발생한 현금</t>
  </si>
  <si>
    <t>CF_DVD_PAID</t>
  </si>
  <si>
    <t xml:space="preserve">  + 지급배당금</t>
  </si>
  <si>
    <t>CF_CASH_FROM_INV_ACT</t>
  </si>
  <si>
    <t>투자활동에서 현금흐름</t>
  </si>
  <si>
    <t>CF_NET_CASH_DISCONTINUED_OPS_INV</t>
  </si>
  <si>
    <t>OTHER_INVESTING_ACT_DETAILED</t>
  </si>
  <si>
    <t xml:space="preserve">  + 기타투자활동</t>
  </si>
  <si>
    <t>CF_CASH_FOR_JOINT_VENTURES_ASSOC</t>
  </si>
  <si>
    <t xml:space="preserve">    + 조인트벤처 현금</t>
  </si>
  <si>
    <t>CF_CASH_FOR_ACQUIS_SUBSIDIARIES</t>
  </si>
  <si>
    <t xml:space="preserve">    + 자회사인수 현금</t>
  </si>
  <si>
    <t>CF_CASH_FOR_DIVESTITURES</t>
  </si>
  <si>
    <t xml:space="preserve">    + 사업분할로 인한 현금</t>
  </si>
  <si>
    <t>CF_NT_CSH_RCVD_PD_FOR_ACQUIS_DIV</t>
  </si>
  <si>
    <t xml:space="preserve">  + 인수 &amp; 사업단위매각으로 인한 순현금</t>
  </si>
  <si>
    <t>CF_INCR_INVEST</t>
  </si>
  <si>
    <t xml:space="preserve">    + 장기투자 증가</t>
  </si>
  <si>
    <t>CF_DECR_INVEST</t>
  </si>
  <si>
    <t xml:space="preserve">    + 장기투자 감소</t>
  </si>
  <si>
    <t>NET_CHG_IN_LT_INVEST_DETAILED</t>
  </si>
  <si>
    <t xml:space="preserve">  + 장기투자 순 변동</t>
  </si>
  <si>
    <t>CF_ACQUISITION_OF_INTANG_ASSETS</t>
  </si>
  <si>
    <t xml:space="preserve">    + 무형자산 인수</t>
  </si>
  <si>
    <t>CF_PURCHASE_OF_FIXED_PROD_ASSETS</t>
  </si>
  <si>
    <t xml:space="preserve">    + 유형생산자산 인수</t>
  </si>
  <si>
    <t>ACQUIS_OF_FIXED_INTANG</t>
  </si>
  <si>
    <t xml:space="preserve">    + 고정 &amp; 무형자산 인수</t>
  </si>
  <si>
    <t>CF_DISPOSAL_OF_INTANGIBLE_ASSETS</t>
  </si>
  <si>
    <t xml:space="preserve">    + 무형자산 처분</t>
  </si>
  <si>
    <t>CF_DISPOSAL_OF_FIXED_PROD_ASSETS</t>
  </si>
  <si>
    <t xml:space="preserve">    + 유형생산자산 처분</t>
  </si>
  <si>
    <t>DISPOSAL_OF_FIXED_INTANG</t>
  </si>
  <si>
    <t xml:space="preserve">    + 고정 &amp; 무형자산 처분</t>
  </si>
  <si>
    <t>FIXED_INTANG_ASST_CHANGE</t>
  </si>
  <si>
    <t xml:space="preserve">  + 고정 &amp; 무형자산 변동</t>
  </si>
  <si>
    <t>CF_CASH_FROM_OPER</t>
  </si>
  <si>
    <t>영업활동으로 인한 현금</t>
  </si>
  <si>
    <t>CF_NET_CASH_DISCONT_OPS_OPER</t>
  </si>
  <si>
    <t>INC_DEC_IN_OT_OP_AST_LIAB_DETAIL</t>
  </si>
  <si>
    <t xml:space="preserve">    + 기타 증가(감소)</t>
  </si>
  <si>
    <t>CF_CHANGE_IN_ACCOUNTS_PAYABLE</t>
  </si>
  <si>
    <t xml:space="preserve">    + 매입채무 증가(감소)</t>
  </si>
  <si>
    <t>CF_CHANGE_IN_INVENTORIES</t>
  </si>
  <si>
    <t xml:space="preserve">    + 재고 (증가) 감소</t>
  </si>
  <si>
    <t>CF_ACCT_RCV_UNBILLED_REV</t>
  </si>
  <si>
    <t xml:space="preserve">    + 매출채권 (증가) 감소</t>
  </si>
  <si>
    <t>CF_CHNG_NON_CASH_WORK_CAP</t>
  </si>
  <si>
    <t xml:space="preserve">  + 비현금 운전자본 변동</t>
  </si>
  <si>
    <t>OTHER_NON_CASH_ADJ_LESS_DETAILED</t>
  </si>
  <si>
    <t xml:space="preserve">    + 기타 비현금조정</t>
  </si>
  <si>
    <t>CF_DEF_INC_TAX</t>
  </si>
  <si>
    <t>CF_STOCK_BASED_COMPENSATION</t>
  </si>
  <si>
    <t xml:space="preserve">    + 주식지분보상</t>
  </si>
  <si>
    <t>NON_CASH_ITEMS_DETAILED</t>
  </si>
  <si>
    <t xml:space="preserve">  + 비현금항목</t>
  </si>
  <si>
    <t>CF_DEPR_AMORT</t>
  </si>
  <si>
    <t xml:space="preserve">  + 감가상각 &amp; 무형자산상각</t>
  </si>
  <si>
    <t>CF_NET_INC</t>
  </si>
  <si>
    <t xml:space="preserve">  + 순이익</t>
  </si>
  <si>
    <t>Total</t>
  </si>
  <si>
    <t>TotalNumber ofSharesPurchasedas Part ofPubliclyAnnouncedPlans orProg</t>
  </si>
  <si>
    <t>Total Commercial Paper Program Size</t>
  </si>
  <si>
    <t>Cash Held Overseas</t>
  </si>
  <si>
    <t>Available Commercial Paper for Issuing</t>
  </si>
  <si>
    <t>Outstanding at September 30, 2016</t>
  </si>
  <si>
    <t>Foreign exchange derivative instruments</t>
  </si>
  <si>
    <t>Unremitted/Undistributed Earnings</t>
  </si>
  <si>
    <t>Statutes of Limitations under UTB</t>
  </si>
  <si>
    <t>Decreases related to settlements with taxing authorities</t>
  </si>
  <si>
    <t>Decreases of unrecognized tax benefits related to prior years</t>
  </si>
  <si>
    <t>Increases of unrecognized tax benefits related to prior years</t>
  </si>
  <si>
    <t>Increases of unrecognized tax benefits related to current year</t>
  </si>
  <si>
    <t>Balance at end of period</t>
  </si>
  <si>
    <t>Balance at beginning of period</t>
  </si>
  <si>
    <t>Weighted-Average Repurchase Price Per Share</t>
  </si>
  <si>
    <t>Forfeited</t>
  </si>
  <si>
    <t>Expired</t>
  </si>
  <si>
    <t>Options Outstanding Beginning of Period</t>
  </si>
  <si>
    <t xml:space="preserve">  Derivative Hedging:- Total Liabilities</t>
  </si>
  <si>
    <t xml:space="preserve">  Derivative Hedging:- Total Assets</t>
  </si>
  <si>
    <t>Net operating loss carryforwards</t>
  </si>
  <si>
    <t>Foreign Exchange Derivative Instruments Level 2 ( Liabilities)</t>
  </si>
  <si>
    <t>Performance Rights Outstanding End of Period</t>
  </si>
  <si>
    <t>Performance Rights Granted During Period</t>
  </si>
  <si>
    <t>U.S. Government-Sponsored Debt Securities  (Fair Valu)</t>
  </si>
  <si>
    <t>Foreign Exchange Derivative Instruments - Level 2 ( Assets)</t>
  </si>
  <si>
    <t>U.S. Treasury Securities Level 1</t>
  </si>
  <si>
    <t>Auction Rate Securities Level 3</t>
  </si>
  <si>
    <t>Corporate Debt Securities</t>
  </si>
  <si>
    <t>U.S. Treasury securities</t>
  </si>
  <si>
    <t>FV Liabilities - Rec. - Total - Derivatives</t>
  </si>
  <si>
    <t>Deferred compensation liability</t>
  </si>
  <si>
    <t>FV Liabilities - Rec. - Level 2 - Derivatives</t>
  </si>
  <si>
    <t>FV Liabilities - Rec. - Level 1 - Other</t>
  </si>
  <si>
    <t>FV Liabilities - Rec. - Level 1 - Derivatives</t>
  </si>
  <si>
    <t>Derivative instruments</t>
  </si>
  <si>
    <t>U.S. government-sponsored debt securities</t>
  </si>
  <si>
    <t>Money market funds</t>
  </si>
  <si>
    <t>Equity securities</t>
  </si>
  <si>
    <t>FV Assets-Rec.-Total:Derivatives</t>
  </si>
  <si>
    <t>FV Assets-Rec.-Total:Investment securities</t>
  </si>
  <si>
    <t>Marketable equity securities</t>
  </si>
  <si>
    <t>FV Assets-Rec.-Total:Cash &amp; Securities Deposited /Clearing</t>
  </si>
  <si>
    <t>Foreign Exchange Derivative Instruments ( Assets)</t>
  </si>
  <si>
    <t>FV Assets- Rec- Level 2- Securities AFS</t>
  </si>
  <si>
    <t>U.S. Government-Sponsored Debt Securities (Invesment) Level 2</t>
  </si>
  <si>
    <t>FV Assets-Rec.-Level 2-Securities AFS: GSE-.CMO &amp; MBS</t>
  </si>
  <si>
    <t>Corporate debt securities</t>
  </si>
  <si>
    <t>Equity Securities- Invesment Level 1</t>
  </si>
  <si>
    <t>FV Assets-Rec.-Level 1-Securities AFS:US Treas/CP/Money Mark</t>
  </si>
  <si>
    <t>Money Market Funds And Time Deposits Level 1</t>
  </si>
  <si>
    <t>September 1-30, 2016</t>
  </si>
  <si>
    <t>Total Value of Shares Authorized under Repurchase Program ($)</t>
  </si>
  <si>
    <t>Valuation allowance</t>
  </si>
  <si>
    <t>Hedge accounting fair value adjustments(2)</t>
  </si>
  <si>
    <t>Unamortized Discount, Debt Issuance Costs And Other Costs</t>
  </si>
  <si>
    <t>Options Exercisable End of Period</t>
  </si>
  <si>
    <t>Weighted Average Exercise Price (Options Outstanding)</t>
  </si>
  <si>
    <t>Weighted Average Exercise Price (Options Exercisable)</t>
  </si>
  <si>
    <t>Stock Option Valuation- Dividend Yield %</t>
  </si>
  <si>
    <t>Stock Option Valuation- Expected Volatility</t>
  </si>
  <si>
    <t>Stock Option Valuation- Expected Life</t>
  </si>
  <si>
    <t>Stock Option Valuation- Risk-Free Rate of Return</t>
  </si>
  <si>
    <t>Weighted-Average Fair Value Per Option Granted</t>
  </si>
  <si>
    <t>Current Liability- Other Postretirement Benefits</t>
  </si>
  <si>
    <t>Current Liability- Pension</t>
  </si>
  <si>
    <t>Long-term debt(1)</t>
  </si>
  <si>
    <t>Present value of lease liabilities</t>
  </si>
  <si>
    <t>Fair Value of Derivatives, Net - Liabilities</t>
  </si>
  <si>
    <t>Fair Value of Derivatives, Net - Assets</t>
  </si>
  <si>
    <t>Total Contractual Obligations</t>
  </si>
  <si>
    <t>Contractual Obligations- Beyond Year 5</t>
  </si>
  <si>
    <t>Contractual Obligations Years 4 &amp; 5</t>
  </si>
  <si>
    <t>Contractual Obligations Years 2 &amp; 3</t>
  </si>
  <si>
    <t>Contractual Obligations Year 1</t>
  </si>
  <si>
    <t>Options Forfeited/ Expired</t>
  </si>
  <si>
    <t>Fair Value Liab Recur- Total</t>
  </si>
  <si>
    <t>Fair Value Liab Recur- Total B</t>
  </si>
  <si>
    <t>Fair Value Liab Recur- Total A</t>
  </si>
  <si>
    <t>Foreign Exchange Derivative Instruments (Liabilities)</t>
  </si>
  <si>
    <t>Fair Value Assets Recur- Total</t>
  </si>
  <si>
    <t>Fair Value Assets Recur- Total B</t>
  </si>
  <si>
    <t>Fair Value Assets Recur- Total A</t>
  </si>
  <si>
    <t>Fair Value Assets Recur- Level 2</t>
  </si>
  <si>
    <t>Fair Value Assets Recur- Level 2 F</t>
  </si>
  <si>
    <t>Fair Value Assets Recur- Level 2 E</t>
  </si>
  <si>
    <t>Fair Value Assets Recur- Level 2 D</t>
  </si>
  <si>
    <t>Fair Value Assets Recur- Level 2 C</t>
  </si>
  <si>
    <t>Fair Value Assets Recur - Level 2 B</t>
  </si>
  <si>
    <t>Fair Value Assets Recur- Level 2 A</t>
  </si>
  <si>
    <t>Fair Value Assets- Recurring- Level 2</t>
  </si>
  <si>
    <t>Foreign Exchange Derivatives Instrument Level 1</t>
  </si>
  <si>
    <t>Fair Value Assets Recurring- Level 1</t>
  </si>
  <si>
    <t>respectively. At September 30, 2021 and 2020, the current portion of</t>
  </si>
  <si>
    <t>Total undiscounted lease payments</t>
  </si>
  <si>
    <t>Value of Common Shares Repurchased</t>
  </si>
  <si>
    <t>Shares Repurchased in The Open Market</t>
  </si>
  <si>
    <t>Long-Term Debt.</t>
  </si>
  <si>
    <t>Total Principal Amount Of Debt</t>
  </si>
  <si>
    <t>Debt Schedule beyond Year 5</t>
  </si>
  <si>
    <t>Debt Schedule In Yr 5</t>
  </si>
  <si>
    <t>Debt Schedule In Yr 4</t>
  </si>
  <si>
    <t>Debt Schedule In Yr 3</t>
  </si>
  <si>
    <t>Debt Schedule In Yr 2</t>
  </si>
  <si>
    <t>Debt Schedule In Yr 1</t>
  </si>
  <si>
    <t>Customer collateral (Note 10)</t>
  </si>
  <si>
    <t>U.S. litigation escrow</t>
  </si>
  <si>
    <t>Cash and cash equivalents</t>
  </si>
  <si>
    <t>Purchase Obligations</t>
  </si>
  <si>
    <t>Net deferred tax liabilities</t>
  </si>
  <si>
    <t>Exercised</t>
  </si>
  <si>
    <t>Balance as of September 30, 2020</t>
  </si>
  <si>
    <t>Balance as of September 30, 2016</t>
  </si>
  <si>
    <t>Options Outstanding End Period</t>
  </si>
  <si>
    <t>Options Granted During Period</t>
  </si>
  <si>
    <t>Litigation Liabilities</t>
  </si>
  <si>
    <t>Guarantees</t>
  </si>
  <si>
    <t>Total Contingent Payable</t>
  </si>
  <si>
    <t>Total intangible assets, net</t>
  </si>
  <si>
    <t>Number of Employees at Period End Date</t>
  </si>
  <si>
    <t>Customer relationships and reacquired rights</t>
  </si>
  <si>
    <t>Customer relationships</t>
  </si>
  <si>
    <t>Shares of Class A Common Stock Outstanding</t>
  </si>
  <si>
    <t>Class USA Common Share Of Visa Inc Issued  And Outstanding</t>
  </si>
  <si>
    <t>Class  LAC Common Share Of Visa Inc Issued And Outstanding</t>
  </si>
  <si>
    <t>Shares of Class C Common Stock Outstanding</t>
  </si>
  <si>
    <t>Shares of Class B Common Stock Outstanding</t>
  </si>
  <si>
    <t>Letters of credit</t>
  </si>
  <si>
    <t>Number of Employees</t>
  </si>
  <si>
    <t>Income tax receivable (See Note 19—Income Taxes)</t>
  </si>
  <si>
    <t>Commercial Paper Outstanding</t>
  </si>
  <si>
    <t>Total Equity</t>
  </si>
  <si>
    <t>Non-current deferred tax assets (See Note 19-Income Taxes)</t>
  </si>
  <si>
    <t>Deferred tax liabilities</t>
  </si>
  <si>
    <t>Rent Expense- Beyond Year 5</t>
  </si>
  <si>
    <t>Rent Expense- Year 5</t>
  </si>
  <si>
    <t>Rent Expense- Year 4</t>
  </si>
  <si>
    <t>Rent Expense- Year 3</t>
  </si>
  <si>
    <t>Rent Expense- Year 2</t>
  </si>
  <si>
    <t>Rent Expense- Year 1</t>
  </si>
  <si>
    <t>Operating Leases</t>
  </si>
  <si>
    <t>Total Available Line of Credit</t>
  </si>
  <si>
    <t>Total Line of Credit</t>
  </si>
  <si>
    <t>Balance as of September 30, 2017</t>
  </si>
  <si>
    <t>Par Value</t>
  </si>
  <si>
    <t>Share Outstanding  Class  A</t>
  </si>
  <si>
    <t>Shares Issued   Class C ( Series III)</t>
  </si>
  <si>
    <t>Shares Outstanding Class C ( Series I)</t>
  </si>
  <si>
    <t>Shares Outstanding Class B</t>
  </si>
  <si>
    <t>Other Equity</t>
  </si>
  <si>
    <t>Accumulated Income</t>
  </si>
  <si>
    <t>Total Accumulated Other Comprehensive Loss, Net</t>
  </si>
  <si>
    <t>Treasury Stock (Amount)</t>
  </si>
  <si>
    <t>Non-Current Liability- Other Post Retirement</t>
  </si>
  <si>
    <t>Non Current Liability- Pension</t>
  </si>
  <si>
    <t>Deferred Tax Liabilities</t>
  </si>
  <si>
    <t>Current Portion of Long-Term Debt</t>
  </si>
  <si>
    <t>Visa trade name</t>
  </si>
  <si>
    <t>Trade names</t>
  </si>
  <si>
    <t>Goodwill</t>
  </si>
  <si>
    <t>Total Intangible Assets, Net</t>
  </si>
  <si>
    <t xml:space="preserve">  Net Intangible Assets,</t>
  </si>
  <si>
    <t>Total finite-lived intangible assets</t>
  </si>
  <si>
    <t>Goodwill, end of period</t>
  </si>
  <si>
    <t>Total indefinite-lived intangible assets</t>
  </si>
  <si>
    <t>Deferred Tax Assets</t>
  </si>
  <si>
    <t>Property, Equipment And Technology, Net</t>
  </si>
  <si>
    <t>Accumulated Depreciation and Amortization</t>
  </si>
  <si>
    <t>Total Property, Equipment and Technology</t>
  </si>
  <si>
    <t>Technology</t>
  </si>
  <si>
    <t>Furniture, Equipment and Leasehold Improvements</t>
  </si>
  <si>
    <t>Construction-In-Progress</t>
  </si>
  <si>
    <t>Buildings and Building Improvements</t>
  </si>
  <si>
    <t>Land</t>
  </si>
  <si>
    <t>Vested</t>
  </si>
  <si>
    <t>Granted</t>
  </si>
  <si>
    <t>Outstanding at September 30, 2020</t>
  </si>
  <si>
    <t xml:space="preserve">  주석 항목</t>
  </si>
  <si>
    <t>Total Liabilities and Shareholders Equity</t>
  </si>
  <si>
    <t>Total Visa Including  Stockholders  Equity</t>
  </si>
  <si>
    <t>Investment securities</t>
  </si>
  <si>
    <t>Prefererred Stock Shares Outstanding</t>
  </si>
  <si>
    <t>Shares Authorized Class C ( Series I)</t>
  </si>
  <si>
    <t>Shares Authorized Class C ( Series III)</t>
  </si>
  <si>
    <t>Shares Authorized Class B</t>
  </si>
  <si>
    <t>Shares Authorized Class A</t>
  </si>
  <si>
    <t>Series C c</t>
  </si>
  <si>
    <t>Series B c</t>
  </si>
  <si>
    <t>Series A c</t>
  </si>
  <si>
    <t>Shares Issued</t>
  </si>
  <si>
    <t>Additional paid-in capital</t>
  </si>
  <si>
    <t>Share Issued B</t>
  </si>
  <si>
    <t>Shares Issued A</t>
  </si>
  <si>
    <t>Shares Issued Class C ( Series IV)</t>
  </si>
  <si>
    <t>Shares Issued C</t>
  </si>
  <si>
    <t>Series A convertible participating preferred stock, none issued (Not</t>
  </si>
  <si>
    <t>Series B convertible participating preferred stock, 2 shares issued</t>
  </si>
  <si>
    <t xml:space="preserve">  자본총계</t>
  </si>
  <si>
    <t>Total Liabilities</t>
  </si>
  <si>
    <t>Accrued litigation</t>
  </si>
  <si>
    <t>Other Liabilities</t>
  </si>
  <si>
    <t>Long-Term Debt</t>
  </si>
  <si>
    <t>Other liabilities</t>
  </si>
  <si>
    <t>Long-term debt</t>
  </si>
  <si>
    <t>Total liabilities</t>
  </si>
  <si>
    <t>Total current liabilities</t>
  </si>
  <si>
    <t xml:space="preserve">  비유동부채</t>
  </si>
  <si>
    <t>Total Current Liabilities</t>
  </si>
  <si>
    <t>Settlement payable</t>
  </si>
  <si>
    <t>Current Portion Of Member Deposits</t>
  </si>
  <si>
    <t>Settlement Payable - Current Liabilities</t>
  </si>
  <si>
    <t>Volume And Support Ineciative Current Liabilities</t>
  </si>
  <si>
    <t>Other Current Liabilities - Redeemable Common Stock</t>
  </si>
  <si>
    <t>Other Current Liabilities - Long Term Debt</t>
  </si>
  <si>
    <t>Customer Collateral - Current Liabilities</t>
  </si>
  <si>
    <t>Deferred purchase consideration</t>
  </si>
  <si>
    <t>Accrued Liabilities</t>
  </si>
  <si>
    <t>Current Portion of Accrued Litigation</t>
  </si>
  <si>
    <t>Accrued Compensation And Benefits</t>
  </si>
  <si>
    <t>Accounts Payable</t>
  </si>
  <si>
    <t xml:space="preserve">  유동부채</t>
  </si>
  <si>
    <t>Total Assets</t>
  </si>
  <si>
    <t>Client incentives</t>
  </si>
  <si>
    <t>Intangible assets, net</t>
  </si>
  <si>
    <t>Property, equipment and technology, net</t>
  </si>
  <si>
    <t>Other assets</t>
  </si>
  <si>
    <t>Total assets</t>
  </si>
  <si>
    <t>Total current assets</t>
  </si>
  <si>
    <t>Client Incentives ( Noncurrent Portion)</t>
  </si>
  <si>
    <t>Other Assets</t>
  </si>
  <si>
    <t>Investment Securities, Available-for-Sale</t>
  </si>
  <si>
    <t xml:space="preserve">  Noncurrent Assets</t>
  </si>
  <si>
    <t>Total Current Assets</t>
  </si>
  <si>
    <t>Current portion of client incentives</t>
  </si>
  <si>
    <t>Restricted cash equivalents—U.S. litigation escrow</t>
  </si>
  <si>
    <t>Settlement Receivable</t>
  </si>
  <si>
    <t>Customer Collateral (Other Current Assets)</t>
  </si>
  <si>
    <t>Current Portion of Client Incentives</t>
  </si>
  <si>
    <t>Restricted Cash—Litigation Escrow.</t>
  </si>
  <si>
    <t>Prepaid Expenses And Other Current Assets</t>
  </si>
  <si>
    <t>Accounts Receivable.</t>
  </si>
  <si>
    <t>Trading Securities</t>
  </si>
  <si>
    <t>Available-for-Sale Securities</t>
  </si>
  <si>
    <t>Cash And Cash Equivalents</t>
  </si>
  <si>
    <t xml:space="preserve">  유동자산</t>
  </si>
  <si>
    <t>대차대조표</t>
  </si>
  <si>
    <t>비자 (V US) - 공시기준</t>
  </si>
  <si>
    <t>Free cash flow</t>
  </si>
  <si>
    <t>Total Cash Flows from Financing</t>
  </si>
  <si>
    <t>Excess Tax Benefit For Share-Based Compensation</t>
  </si>
  <si>
    <t>Increase In Borrowings</t>
  </si>
  <si>
    <t>Repayments of long-term debt</t>
  </si>
  <si>
    <t>Cash and Cash Equivalents at Beginning of Year</t>
  </si>
  <si>
    <t>Cash and Cash Equivalents at End of Period</t>
  </si>
  <si>
    <t>Treasury stock-class C common stock (Note 2)</t>
  </si>
  <si>
    <t>(Decrease) Increase in Cash and Cash Equivalents</t>
  </si>
  <si>
    <t>Cash Proceeds From Exercise Of Stock Options</t>
  </si>
  <si>
    <t>Interest Payments on Debt</t>
  </si>
  <si>
    <t>Income Taxes Paid, Net of Refunds</t>
  </si>
  <si>
    <t>Payment From Tax On Litigation Escrow Account - Retrospective Respon</t>
  </si>
  <si>
    <t>Deposit From Tax On Litigation Escrow Account - Restrospective Respo</t>
  </si>
  <si>
    <t>Payments From   Litigation Escrow Account—Retrospective Responsibi</t>
  </si>
  <si>
    <t>Deposits into Litigation Escrow Account—Retrospective Responsibili</t>
  </si>
  <si>
    <t>Debt issuance costs (Note 9)</t>
  </si>
  <si>
    <t>Effect Of Exchange Rate Changes On Cash And Cash Equivalents</t>
  </si>
  <si>
    <t>Repurchase Of Common Stock</t>
  </si>
  <si>
    <t>Redemption of Common Stock</t>
  </si>
  <si>
    <t>Principal Payments On Debt.</t>
  </si>
  <si>
    <t>Proceeds from issuance of senior notes (Note 9)</t>
  </si>
  <si>
    <t>Dividends Paid</t>
  </si>
  <si>
    <t xml:space="preserve">  재무활동에서 현금흐름</t>
  </si>
  <si>
    <t>Total Cash Flows from Investing</t>
  </si>
  <si>
    <t>Purchases of Short-Term Marketable Securities</t>
  </si>
  <si>
    <t>Proceeds From Sales And Maturities</t>
  </si>
  <si>
    <t>Other Investing Activities</t>
  </si>
  <si>
    <t>Other Investing Activities - Reclassification of Money Market Invest</t>
  </si>
  <si>
    <t>Other Investing Activities -Contributions to Joint Venture</t>
  </si>
  <si>
    <t>Acquisition of Net Cash Received</t>
  </si>
  <si>
    <t>Purchases Of/Contributions To Other Investments</t>
  </si>
  <si>
    <t>Procceds/ Distribution From Other Invesment</t>
  </si>
  <si>
    <t>Distribution In Partnership Invesment</t>
  </si>
  <si>
    <t>Purchases of Property, Equipment and Technology</t>
  </si>
  <si>
    <t>Proceeds From Disposal of Property, Equipment And Technology</t>
  </si>
  <si>
    <t xml:space="preserve">  투자활동에서 현금흐름</t>
  </si>
  <si>
    <t>Change in Tax Payable</t>
  </si>
  <si>
    <t>Fair Value Adjustment for The Visa Europe Put Option</t>
  </si>
  <si>
    <t>Client Incentives</t>
  </si>
  <si>
    <t>Net Cash Provided By Operating Activities</t>
  </si>
  <si>
    <t>Change in Other Assets</t>
  </si>
  <si>
    <t>Operating Activity- Other</t>
  </si>
  <si>
    <t>Amortization of Client Incentives</t>
  </si>
  <si>
    <t>Excess Tax Benefit For Share-Based Compensation- CF</t>
  </si>
  <si>
    <t>Change in Other Current Liabilities</t>
  </si>
  <si>
    <t>Change in Other Current Liabilities -Settlement Payable</t>
  </si>
  <si>
    <t>Change in Other Current Assets -Trading Securities</t>
  </si>
  <si>
    <t>Accrued And Other Liabilities</t>
  </si>
  <si>
    <t>Accrued Expenses And Accretion</t>
  </si>
  <si>
    <t>Change In Accrued Litigation</t>
  </si>
  <si>
    <t>Accounts Receivable</t>
  </si>
  <si>
    <t>Change In Accounts Payable</t>
  </si>
  <si>
    <t>Restricted Stock Instruments Settled In Cash For Taxes</t>
  </si>
  <si>
    <t>Litigation Provision And Accretion</t>
  </si>
  <si>
    <t>Share-Based Compensation CF</t>
  </si>
  <si>
    <t>Deferred Income Taxes</t>
  </si>
  <si>
    <t>Depreciation and Amortization of Property, Equipment and Technology</t>
  </si>
  <si>
    <t>Net Income Including Non-Controlling Interest</t>
  </si>
  <si>
    <t xml:space="preserve">  영업활동으로 인한 현금</t>
  </si>
  <si>
    <t>현금흐름</t>
  </si>
  <si>
    <t>SUSTAIN_GROWTH_RT</t>
  </si>
  <si>
    <t>지속가능 성장률</t>
  </si>
  <si>
    <t>DVD_PAYOUT_RATIO</t>
  </si>
  <si>
    <t>Dvd Payout Ratio</t>
  </si>
  <si>
    <t>EFF_TAX_RATE</t>
  </si>
  <si>
    <t>유효세율</t>
  </si>
  <si>
    <t>추가</t>
  </si>
  <si>
    <t>NET_INCOME_TO_COMMON_MARGIN</t>
  </si>
  <si>
    <t>보통주주할당순이익 이익률</t>
  </si>
  <si>
    <t>매출순이익률</t>
  </si>
  <si>
    <t>INC_BEF_XO_ITEMS_TO_NET_SALES</t>
  </si>
  <si>
    <t>특별항목전이익률</t>
  </si>
  <si>
    <t>PRETAX_INC_TO_NET_SALES</t>
  </si>
  <si>
    <t>세전이익률</t>
  </si>
  <si>
    <t>INCREMENTAL_OPERATING_MARGIN</t>
  </si>
  <si>
    <t>영업 이익률 증분</t>
  </si>
  <si>
    <t>EBITDA_TO_REVENUE</t>
  </si>
  <si>
    <t>EBITDA 이익률</t>
  </si>
  <si>
    <t>마진</t>
  </si>
  <si>
    <t>RETURN_ON_INV_CAPITAL</t>
  </si>
  <si>
    <t>투하자본수익률</t>
  </si>
  <si>
    <t>RETURN_ON_CAP</t>
  </si>
  <si>
    <t>총자본이익률</t>
  </si>
  <si>
    <t>RETURN_ON_ASSET</t>
  </si>
  <si>
    <t>총자산이익률(ROA)</t>
  </si>
  <si>
    <t>RETURN_COM_EQY</t>
  </si>
  <si>
    <t>보통주자본이익률</t>
  </si>
  <si>
    <t>수익</t>
  </si>
  <si>
    <t>비자 (V US) - 수익성 비율</t>
  </si>
  <si>
    <t>FCF_TO_FIRM_SEQUENTIAL_GROWTH</t>
  </si>
  <si>
    <t>Free Cash Flow to Firm</t>
  </si>
  <si>
    <t>CF_TO_FIRM_SEQUENTIAL_GROWTH</t>
  </si>
  <si>
    <t>Cash Flow to Firm</t>
  </si>
  <si>
    <t>FREE_CASH_FLOW_SEQUENTIAL_GROWTH</t>
  </si>
  <si>
    <t>NET_CHANGE_IN_CASH_SEQ_GROWTH</t>
  </si>
  <si>
    <t>유가증권화 소득</t>
  </si>
  <si>
    <t>CAPEX_SEQUENTIAL_GROWTH</t>
  </si>
  <si>
    <t>자본지출</t>
  </si>
  <si>
    <t>CFO_SEQUENTIAL_GROWTH</t>
  </si>
  <si>
    <t>영업활동에서 현금흐름</t>
  </si>
  <si>
    <t>BPS_SEQUENTIAL_GROWTH</t>
  </si>
  <si>
    <t>주당순자산</t>
  </si>
  <si>
    <t>TOTAL_CAPITAL_SEQUENTIAL_GROWTH</t>
  </si>
  <si>
    <t>자본</t>
  </si>
  <si>
    <t>TOTAL_EQUITY_SEQUENTIAL_GROWTH</t>
  </si>
  <si>
    <t>TOTAL_DEBT_SEQUENTIAL_GROWTH</t>
  </si>
  <si>
    <t>총부채</t>
  </si>
  <si>
    <t>ST_DEBT_SEQUENTIAL_GROWTH</t>
  </si>
  <si>
    <t>단기채무</t>
  </si>
  <si>
    <t>ACCOUNTS_PAYABLE_SEQ_GROWTH</t>
  </si>
  <si>
    <t>매입채무</t>
  </si>
  <si>
    <t>EMPLOYEES_SEQUENTIAL_GROWTH</t>
  </si>
  <si>
    <t>Employees</t>
  </si>
  <si>
    <t>WORKING_CAPITAL_SEQ_GROWTH</t>
  </si>
  <si>
    <t>운전자본</t>
  </si>
  <si>
    <t>MODIFIED_WORKING_CPTL_SEQ_GRWTH</t>
  </si>
  <si>
    <t>수정운전자본</t>
  </si>
  <si>
    <t>TOTAL_ASSETS_SEQUENTIAL_GROWTH</t>
  </si>
  <si>
    <t>FIXED_ASSETS_SEQUENTIAL_GROWTH</t>
  </si>
  <si>
    <t>유형자산</t>
  </si>
  <si>
    <t>ACCOUNTS_RECEIVABLE_SEQ_GROWTH</t>
  </si>
  <si>
    <t>외상매출금</t>
  </si>
  <si>
    <t>DPS_SEQUENTIAL_GROWTH</t>
  </si>
  <si>
    <t>주당배당금</t>
  </si>
  <si>
    <t>EPS_DILUTED_BEF_ABNRML_SEQ_GRWTH</t>
  </si>
  <si>
    <t>비정상항목전 희석EPS</t>
  </si>
  <si>
    <t>EPS_DIL_BEF_EXTRAORD_SEQ_GRWTH</t>
  </si>
  <si>
    <t>특별항목전 희석EPS</t>
  </si>
  <si>
    <t>EPS_DILUTED_SEQUENTIAL_GROWTH</t>
  </si>
  <si>
    <t>희석EPS</t>
  </si>
  <si>
    <t>NET_INCOME_TO_COMMON_SEQ_GROWTH</t>
  </si>
  <si>
    <t>보통주순이익</t>
  </si>
  <si>
    <t>OPERATING_INCOME_SEQ_GROWTH</t>
  </si>
  <si>
    <t>영업이익</t>
  </si>
  <si>
    <t>EBITDA_SEQUENTIAL_GROWTH</t>
  </si>
  <si>
    <t>REVENUE_SEQUENTIAL_GROWTH</t>
  </si>
  <si>
    <t>연속적 성장률</t>
  </si>
  <si>
    <t>FCF_TO_FIRM_5_YEAR_GROWTH</t>
  </si>
  <si>
    <t>CASH_FLOW_TO_FIRM_5_YEAR_GROWTH</t>
  </si>
  <si>
    <t>FREE_CASH_FLOW_5_YEAR_GROWTH</t>
  </si>
  <si>
    <t>GEO_GROW_CASH_OPER_ACT</t>
  </si>
  <si>
    <t>GEO_GROW_BOOK_VAL</t>
  </si>
  <si>
    <t>TOTAL_CAPITAL_5_YEAR_GROWTH</t>
  </si>
  <si>
    <t>총 자본 5년 성장률</t>
  </si>
  <si>
    <t>GEO_GROW_TOT_SHRHLDR_EQY</t>
  </si>
  <si>
    <t>TOTAL_DEBT_5_YEAR_GROWTH</t>
  </si>
  <si>
    <t>SHORT_TERM_DEBT_5_YEAR_GROWTH</t>
  </si>
  <si>
    <t>ACCOUNTS_PAYABLE_5_YEAR_GROWTH</t>
  </si>
  <si>
    <t>EMPLOYEES_5_YEAR_GROWTH</t>
  </si>
  <si>
    <t>WORKING_CAPITAL_5_YEAR_GROWTH</t>
  </si>
  <si>
    <t>MODIFIED_WORKING_CPTL_5YR_GRWTH</t>
  </si>
  <si>
    <t>GEO_GROW_TOT_ASSET</t>
  </si>
  <si>
    <t>NET_FIXED_ASSETS_5_YEAR_GROWTH</t>
  </si>
  <si>
    <t>ACCOUNTS_RECEIVABLE_5_YR_GROWTH</t>
  </si>
  <si>
    <t>GEO_GROW_DVD_PER_SH</t>
  </si>
  <si>
    <t>GEO_GROW_DILUTED_EPS_CONT_OPS</t>
  </si>
  <si>
    <t>5Y_GEO_GROWTH_DILUTED_EPS_BEF_XO</t>
  </si>
  <si>
    <t>5Y_GEO_GROWTH_DILUTED_EPS</t>
  </si>
  <si>
    <t>NET_INCOME_TO_COMMON_5_YR_GROWTH</t>
  </si>
  <si>
    <t>GEO_GROW_OPER_INC</t>
  </si>
  <si>
    <t>GEO_GROW_EBITDA</t>
  </si>
  <si>
    <t>GEO_GROW_NET_SALES</t>
  </si>
  <si>
    <t>5년성장률</t>
  </si>
  <si>
    <t>FCF_TO_FIRM_1_YEAR_GROWTH</t>
  </si>
  <si>
    <t>CASH_FLOW_TO_FIRM_1_YEAR_GROWTH</t>
  </si>
  <si>
    <t>FREE_CASH_FLOW_1_YEAR_GROWTH</t>
  </si>
  <si>
    <t>NET_CHANGE_IN_CASH_1_YEAR_GROWTH</t>
  </si>
  <si>
    <t>TOT_CAP_EXPEND_GROWTH</t>
  </si>
  <si>
    <t>CASH_FLOW_GROWTH</t>
  </si>
  <si>
    <t>BVPS_GROWTH</t>
  </si>
  <si>
    <t>GROWTH_IN_CAP</t>
  </si>
  <si>
    <t>TOTAL_EQUITY_1_YEAR_GROWTH</t>
  </si>
  <si>
    <t>TOTAL_DEBT_1_YEAR_GROWTH</t>
  </si>
  <si>
    <t>SHORT_TERM_DEBT_1_YEAR_GROWTH</t>
  </si>
  <si>
    <t>ACCOUNTS_PAYABLE_GROWTH_1YR</t>
  </si>
  <si>
    <t>EMPL_GROWTH</t>
  </si>
  <si>
    <t>WORK_CAP_GROWTH</t>
  </si>
  <si>
    <t>MODIFIED_WORK_CAP_GROWTH</t>
  </si>
  <si>
    <t>ASSET_GROWTH</t>
  </si>
  <si>
    <t>NET_FIXED_ASSETS_1_YEAR_GROWTH</t>
  </si>
  <si>
    <t>ACCOUNTS_RECEIVABLE_GROWTH</t>
  </si>
  <si>
    <t>DIVIDEND_PER_SHARE_1_YEAR_GROWTH</t>
  </si>
  <si>
    <t>RR_DIL_EPS_CONT_OPS_GROWTH</t>
  </si>
  <si>
    <t>DILUTED_EPS_BEF_XO_ITEMS_GROWTH</t>
  </si>
  <si>
    <t>DILUTED_EPS_AFT_XO_ITEMS_GROWTH</t>
  </si>
  <si>
    <t>EARN_FOR_COM_GROWTH</t>
  </si>
  <si>
    <t>OPER_INC_GROWTH</t>
  </si>
  <si>
    <t>EBITDA_GROWTH</t>
  </si>
  <si>
    <t>SALES_GROWTH</t>
  </si>
  <si>
    <t>1년성장률</t>
  </si>
  <si>
    <t>비자 (V US) - 성장률</t>
  </si>
  <si>
    <t>BS_TOT_COM_PAPER_ISSUED</t>
  </si>
  <si>
    <t>발행된 기업어음 총계</t>
  </si>
  <si>
    <t>LINE_OF_CREDIT_UTILIZED_AMOUNT</t>
  </si>
  <si>
    <t xml:space="preserve">  사용한 신용한도 총계</t>
  </si>
  <si>
    <t>BS_TOTAL_AVAIL_LINE_OF_CREDIT</t>
  </si>
  <si>
    <t xml:space="preserve">  대출한도가능 총액</t>
  </si>
  <si>
    <t>BS_TOTAL_LINE_OF_CREDIT</t>
  </si>
  <si>
    <t>총대출한도</t>
  </si>
  <si>
    <t>ALTMAN_Z_SCORE</t>
  </si>
  <si>
    <t>알트만 Z-스코어</t>
  </si>
  <si>
    <t>CAP_EXPEND_RATIO</t>
  </si>
  <si>
    <t>CFO/자본지출</t>
  </si>
  <si>
    <t>CASH_FLOW_TO_TOT_LIAB</t>
  </si>
  <si>
    <t>CFO/부채총계</t>
  </si>
  <si>
    <t>TOT_DEBT_TO_TOT_ASSET</t>
  </si>
  <si>
    <t>총 부채/총 자산</t>
  </si>
  <si>
    <t>TOT_DEBT_TO_TOT_CAP</t>
  </si>
  <si>
    <t>총부채/자본</t>
  </si>
  <si>
    <t>TOT_DEBT_TO_TOT_EQY</t>
  </si>
  <si>
    <t>총부채/자기자본</t>
  </si>
  <si>
    <t>LT_DEBT_TO_TOT_ASSET</t>
  </si>
  <si>
    <t>장기부채/자산총계</t>
  </si>
  <si>
    <t>LT_DEBT_TO_TOT_CAP</t>
  </si>
  <si>
    <t>장기부채/자본</t>
  </si>
  <si>
    <t>LT_DEBT_TO_TOT_EQY</t>
  </si>
  <si>
    <t>장기부채/자기자본</t>
  </si>
  <si>
    <t>COM_EQY_TO_TOT_ASSET</t>
  </si>
  <si>
    <t>보통주/총자산</t>
  </si>
  <si>
    <t>CFO_TO_AVG_CURRENT_LIABILITIES</t>
  </si>
  <si>
    <t>CFO/평균유동부채</t>
  </si>
  <si>
    <t>QUICK_RATIO</t>
  </si>
  <si>
    <t>당좌비율</t>
  </si>
  <si>
    <t>CASH_RATIO</t>
  </si>
  <si>
    <t>현금비율</t>
  </si>
  <si>
    <t>비자 (V US) - 유동성</t>
  </si>
  <si>
    <t>CAPITAL_YIELD</t>
  </si>
  <si>
    <t>T12 자본 수익률</t>
  </si>
  <si>
    <t>ENTERPRISE_VALUE</t>
  </si>
  <si>
    <t>기간 기업가치</t>
  </si>
  <si>
    <t>T12_CFF</t>
  </si>
  <si>
    <t>T12 자본공급자관련 현금흐름</t>
  </si>
  <si>
    <t>T12_OTHER_CFF</t>
  </si>
  <si>
    <t>- 기타</t>
  </si>
  <si>
    <t>T12M_CHG_LT_DEBT</t>
  </si>
  <si>
    <t>- 순장기채무상환</t>
  </si>
  <si>
    <t>T12M_CHG_ST_BORROWINGS</t>
  </si>
  <si>
    <t>- 순단기채무상환</t>
  </si>
  <si>
    <t>T12M_NET_CAPITAL_STOCK</t>
  </si>
  <si>
    <t>- 순자기주식취득</t>
  </si>
  <si>
    <t>T12M_DVDS_PAID</t>
  </si>
  <si>
    <t>- 지급배당금</t>
  </si>
  <si>
    <t>T12M_FCF_TO_FIRM_YIELD</t>
  </si>
  <si>
    <t>T12 FCFF 수익률</t>
  </si>
  <si>
    <t>TRAIL_12M_FREE_CASH_FLOW_FIRM</t>
  </si>
  <si>
    <t>12개월 기업 잉여현금흐름</t>
  </si>
  <si>
    <t>AFTER_TAX_INTEREST_EXPENSE</t>
  </si>
  <si>
    <t>+ 세후 이자비용</t>
  </si>
  <si>
    <t>TRAIL_12M_CAP_EXPEND</t>
  </si>
  <si>
    <t>+ 자본지출</t>
  </si>
  <si>
    <t>TRAIL_12M_CASH_FROM_OPER</t>
  </si>
  <si>
    <t>+ 영업활동에서 현금흐름</t>
  </si>
  <si>
    <t>T12 기업관련 현금흐름</t>
  </si>
  <si>
    <t>SHAREHOLDER_YIELD_EX_DEBT</t>
  </si>
  <si>
    <t>T12 주주 수익률 (채무제외)</t>
  </si>
  <si>
    <t>HISTORICAL_MARKET_CAP</t>
  </si>
  <si>
    <t>시가총액</t>
  </si>
  <si>
    <t>RETURNED_CAPITAL_EX_DEBT</t>
  </si>
  <si>
    <t>T12 주주관련 현금흐름</t>
  </si>
  <si>
    <t>SHAREHOLDER_YIELD_CFF</t>
  </si>
  <si>
    <t>T12 주주수익률</t>
  </si>
  <si>
    <t>기타</t>
  </si>
  <si>
    <t>순장기채무상환</t>
  </si>
  <si>
    <t>순단기채무상환</t>
  </si>
  <si>
    <t>순자기주식취득</t>
  </si>
  <si>
    <t>지급배당금</t>
  </si>
  <si>
    <t>FREE_CASH_FLOW_YIELD</t>
  </si>
  <si>
    <t>잉여 현금흐름 수익률</t>
  </si>
  <si>
    <t>TRAIL_12M_FREE_CASH_FLOW</t>
  </si>
  <si>
    <t>T12 자기자본관련 현금흐름</t>
  </si>
  <si>
    <t>비자 (V US) - 수익률 분석</t>
  </si>
  <si>
    <t>Source: Bloomberg</t>
  </si>
  <si>
    <t/>
  </si>
  <si>
    <t>SEG0000218836 Segment</t>
  </si>
  <si>
    <t>IC207</t>
  </si>
  <si>
    <t>IS_GROSS_REVENUE</t>
  </si>
  <si>
    <t xml:space="preserve">      % of Total</t>
  </si>
  <si>
    <t xml:space="preserve">    Client Incentives</t>
  </si>
  <si>
    <t>SEG0000218882 Segment</t>
  </si>
  <si>
    <t xml:space="preserve">    Other</t>
  </si>
  <si>
    <t>SEG0000218938 Segment</t>
  </si>
  <si>
    <t xml:space="preserve">    International Transaction</t>
  </si>
  <si>
    <t>SEG0000218929 Segment</t>
  </si>
  <si>
    <t xml:space="preserve">    Data Processing</t>
  </si>
  <si>
    <t>SEG0000218949 Segment</t>
  </si>
  <si>
    <t xml:space="preserve">    Service</t>
  </si>
  <si>
    <t xml:space="preserve">  총 매출</t>
  </si>
  <si>
    <t xml:space="preserve">  </t>
  </si>
  <si>
    <t>SEG0000218861 Segment</t>
  </si>
  <si>
    <t>SI874</t>
  </si>
  <si>
    <t>NUM_CRED_CHRG_CARDS_OUTSTDG</t>
  </si>
  <si>
    <t xml:space="preserve">        % of Total</t>
  </si>
  <si>
    <t xml:space="preserve">      International</t>
  </si>
  <si>
    <t>SEG0000218847 Segment</t>
  </si>
  <si>
    <t xml:space="preserve">      United States</t>
  </si>
  <si>
    <t>SEG0000218865 Segment</t>
  </si>
  <si>
    <t xml:space="preserve">    Visa Debit Programs</t>
  </si>
  <si>
    <t>SEG0000218930 Segment</t>
  </si>
  <si>
    <t>SEG0000218888 Segment</t>
  </si>
  <si>
    <t>SEG0000218849 Segment</t>
  </si>
  <si>
    <t xml:space="preserve">    Visa Credit Programs</t>
  </si>
  <si>
    <t xml:space="preserve">  잔존 신용카드 수</t>
  </si>
  <si>
    <t>SI867</t>
  </si>
  <si>
    <t>NUM_CRED_CHRG_CARD_ACCNTS</t>
  </si>
  <si>
    <t xml:space="preserve">  신용카드 계좌 수</t>
  </si>
  <si>
    <t>M6930</t>
  </si>
  <si>
    <t>NTWK_SPENDNG_VOL_PURCHSE</t>
  </si>
  <si>
    <t xml:space="preserve">  네트워크 소비량 구매</t>
  </si>
  <si>
    <t>SI854</t>
  </si>
  <si>
    <t>NTWK_PROCESSED_TRANS_CASH</t>
  </si>
  <si>
    <t xml:space="preserve">  네트워크처리 거래 - 현금</t>
  </si>
  <si>
    <t>M6584</t>
  </si>
  <si>
    <t>NTWK_PROCESSED_TRANS_VAL_CASH</t>
  </si>
  <si>
    <t xml:space="preserve">  네트워크 처리 거래량 - 현금</t>
  </si>
  <si>
    <t>SI855</t>
  </si>
  <si>
    <t>NTWK_PROCESSED_TRANS_PURCH</t>
  </si>
  <si>
    <t xml:space="preserve">  네트워크처리 거래 - 매입</t>
  </si>
  <si>
    <t>M0183</t>
  </si>
  <si>
    <t>CARD_NETW_SPND_VOLUME_GROWTH_LC</t>
  </si>
  <si>
    <t xml:space="preserve">  카드 네트워크 소비량 성장률 현지통화</t>
  </si>
  <si>
    <t>SI860</t>
  </si>
  <si>
    <t>TOTAL_CARD_NTWK_SPND_VOLUME</t>
  </si>
  <si>
    <t xml:space="preserve">  총 카드 네트워크 소비량</t>
  </si>
  <si>
    <t>IC027</t>
  </si>
  <si>
    <t>CB_IS_NII</t>
  </si>
  <si>
    <t xml:space="preserve">  순이자수익 기업기준</t>
  </si>
  <si>
    <t>IS010</t>
  </si>
  <si>
    <t xml:space="preserve">  수익</t>
  </si>
  <si>
    <t>세그먼트 ID</t>
  </si>
  <si>
    <t>Calcrt 항목</t>
  </si>
  <si>
    <t>항목 수식</t>
  </si>
  <si>
    <t>12 개월 종료</t>
  </si>
  <si>
    <t>2026 A (Fwd)</t>
  </si>
  <si>
    <t>2025 A (Fwd)</t>
  </si>
  <si>
    <t>2024 A (Rep)</t>
  </si>
  <si>
    <t>2023 A (Rep)</t>
  </si>
  <si>
    <t>2022 A (Rep)</t>
  </si>
  <si>
    <t>2021 A (Rep)</t>
  </si>
  <si>
    <t>2020 A (Rep)</t>
  </si>
  <si>
    <t>USD 중 백만 단위</t>
  </si>
  <si>
    <t>V US Equity    주기:A    통화:USD    예상 출처:BST    실질치 출처: 블룸버그</t>
  </si>
  <si>
    <t>V US Equity- 기업 재무정보 (복수 기간)</t>
  </si>
  <si>
    <t xml:space="preserve">      잔존 신용카드 수</t>
  </si>
  <si>
    <t xml:space="preserve">      신용카드 계좌 수</t>
  </si>
  <si>
    <t xml:space="preserve">      네트워크 소비량 구매</t>
  </si>
  <si>
    <t xml:space="preserve">      네트워크처리 거래 - 현금</t>
  </si>
  <si>
    <t xml:space="preserve">      네트워크 처리 거래량 - 현금</t>
  </si>
  <si>
    <t xml:space="preserve">      네트워크처리 거래 - 매입</t>
  </si>
  <si>
    <t xml:space="preserve">      카드 네트워크 소비량 성장률 현지통화</t>
  </si>
  <si>
    <t xml:space="preserve">      총 카드 네트워크 소비량</t>
  </si>
  <si>
    <t xml:space="preserve">    International</t>
  </si>
  <si>
    <t xml:space="preserve">    United States</t>
  </si>
  <si>
    <t xml:space="preserve">    잔존 신용카드 수</t>
  </si>
  <si>
    <t xml:space="preserve">    신용카드 계좌 수</t>
  </si>
  <si>
    <t xml:space="preserve">    네트워크 소비량 구매</t>
  </si>
  <si>
    <t xml:space="preserve">    네트워크처리 거래 - 현금</t>
  </si>
  <si>
    <t xml:space="preserve">    네트워크 처리 거래량 - 현금</t>
  </si>
  <si>
    <t xml:space="preserve">    네트워크처리 거래 - 매입</t>
  </si>
  <si>
    <t xml:space="preserve">    카드 네트워크 소비량 성장률 현지통화</t>
  </si>
  <si>
    <t xml:space="preserve">    총 카드 네트워크 소비량</t>
  </si>
  <si>
    <t xml:space="preserve">  Visa Debit Programs</t>
  </si>
  <si>
    <t xml:space="preserve">  Visa Credit Programs</t>
  </si>
  <si>
    <t xml:space="preserve">    총 매출</t>
  </si>
  <si>
    <t xml:space="preserve">    수익</t>
  </si>
  <si>
    <t xml:space="preserve">  Client Incentives</t>
  </si>
  <si>
    <t xml:space="preserve">    순이자수익 기업기준</t>
  </si>
  <si>
    <t xml:space="preserve">  Other</t>
  </si>
  <si>
    <t xml:space="preserve">  International Transaction</t>
  </si>
  <si>
    <t xml:space="preserve">  Data Processing</t>
  </si>
  <si>
    <t xml:space="preserve">  Service</t>
  </si>
  <si>
    <t>신용 메트릭</t>
  </si>
  <si>
    <t>재무 메트릭</t>
  </si>
  <si>
    <t>PAYMENT_PROCESSING_TRANS</t>
  </si>
  <si>
    <t>지급 처리 거래</t>
  </si>
  <si>
    <t>NUMBER_TOTAL_CARDS_OUTSTDG</t>
  </si>
  <si>
    <t>잔존 총 카드 수</t>
  </si>
  <si>
    <t>NUMBER_DEBIT_CARDS_OUTSTDG</t>
  </si>
  <si>
    <t>잔존 직불카드 수</t>
  </si>
  <si>
    <t>잔존 신용카드 수</t>
  </si>
  <si>
    <t>NET_NEW_CARD_ACCOUNTS</t>
  </si>
  <si>
    <t>순 신규 카드 계좌</t>
  </si>
  <si>
    <t>NUM_DEBIT_CARD_ACCOUNTS</t>
  </si>
  <si>
    <t>직불카드 계좌 수</t>
  </si>
  <si>
    <t>신용카드 계좌 수</t>
  </si>
  <si>
    <t>ACQUIRED_VOLUME_GROWTH_LC</t>
  </si>
  <si>
    <t>매입 소비량 증감률</t>
  </si>
  <si>
    <t>NTWK_PROCESSED_TRANS_TOTAL</t>
  </si>
  <si>
    <t>네트워크처리 거래 - 총계</t>
  </si>
  <si>
    <t>네트워크처리 거래 - 매입</t>
  </si>
  <si>
    <t>네트워크처리 거래 - 현금</t>
  </si>
  <si>
    <t>카드 네트워크 소비량 성장률 현지통화</t>
  </si>
  <si>
    <t>NTWK_CROSS_BORDER_VOLUME_GROWTH</t>
  </si>
  <si>
    <t>네트워크 국제간 거래량 성장률</t>
  </si>
  <si>
    <t>총 카드 네트워크 소비량</t>
  </si>
  <si>
    <t>DEBIT_CARD_NTWK_SPND_VOLUME</t>
  </si>
  <si>
    <t>직불카드 네트워크 소비량</t>
  </si>
  <si>
    <t>CRED_CHRG_CARD_NTWK_SPND_VOLUME</t>
  </si>
  <si>
    <t>신용카드 네트워크 소비량</t>
  </si>
  <si>
    <t>운영 메트릭</t>
  </si>
  <si>
    <t>신용 비용</t>
  </si>
  <si>
    <t>ARD_SALES_MKT_ADVERTISING_EXP</t>
  </si>
  <si>
    <t>판매수수료</t>
  </si>
  <si>
    <t>마케팅</t>
  </si>
  <si>
    <t>NUM_TOTAL_CARD_ACCOUNTS</t>
  </si>
  <si>
    <t>총 카드 계좌 수</t>
  </si>
  <si>
    <t>대출업</t>
  </si>
  <si>
    <t>네트워크 및 거래 처리</t>
  </si>
  <si>
    <t>비자 (V US) - 신용카드 &amp; 직불카드</t>
  </si>
  <si>
    <t>NET_DEBT_TO_EBITDA</t>
  </si>
  <si>
    <t>순부채/EBITDA</t>
  </si>
  <si>
    <t>TOT_DEBT_TO_EBITDA</t>
  </si>
  <si>
    <t>총부채/최근12개월 EBITDA</t>
  </si>
  <si>
    <t>OPER_INC_TO_TOT_DEBT</t>
  </si>
  <si>
    <t>영업이익/총부채</t>
  </si>
  <si>
    <t>FCF_TO_TOTAL_DEBT</t>
  </si>
  <si>
    <t>T12M FCF/총차입금</t>
  </si>
  <si>
    <t>CFO_TO_TOT_DEBT</t>
  </si>
  <si>
    <t>T12M CFO/총부채</t>
  </si>
  <si>
    <t>EBITDA_TO_TOT_INT_EXP</t>
  </si>
  <si>
    <t>EBITDA/총이자비용</t>
  </si>
  <si>
    <t>EBITDA_LES_CAP_EXPEND_TO_INT_EXP</t>
  </si>
  <si>
    <t>자본증가제외 EBITDA/이자비용</t>
  </si>
  <si>
    <t>DEGREE_FINANCIAL_LEVERAGE</t>
  </si>
  <si>
    <t>재무레버리지 정도</t>
  </si>
  <si>
    <t>INTEREST_COVERAGE_RATIO</t>
  </si>
  <si>
    <t>EBIT/총이자비용</t>
  </si>
  <si>
    <t>EBIT_TO_INT_EXP</t>
  </si>
  <si>
    <t>EBIT/이자비용</t>
  </si>
  <si>
    <t>비자 (V US) - 고정비용</t>
  </si>
  <si>
    <t>AVG_AGE_OF_ASSETS_IN_YEARS</t>
  </si>
  <si>
    <t>평균 자산기간(년)</t>
  </si>
  <si>
    <t>총자본지출 - 1년성장률</t>
  </si>
  <si>
    <t>5Y_AVG_CAPEX_TO_DEPR_EXPN</t>
  </si>
  <si>
    <t>자본지출/감가상각비 5년 평균</t>
  </si>
  <si>
    <t>CAPEX_TO_DEPR_EXPN_RATIO</t>
  </si>
  <si>
    <t>자본지출/감가상각비</t>
  </si>
  <si>
    <t>CAP_EXPEND_TO_TOT_ASSET</t>
  </si>
  <si>
    <t>CAPEX/총 자산</t>
  </si>
  <si>
    <t>CAP_EXPEND_TO_SALES</t>
  </si>
  <si>
    <t>CAPEX/매출</t>
  </si>
  <si>
    <t>CF_CAP_EXPEND_PRPTY_ADD</t>
  </si>
  <si>
    <t>자본지출/추가부동산</t>
  </si>
  <si>
    <t>ACCUM_DEPR_TO_GROSS_FA</t>
  </si>
  <si>
    <t>감가상각누계/총유형자산</t>
  </si>
  <si>
    <t>ACCUM_DEPR_TO_TOT_ASSET</t>
  </si>
  <si>
    <t>감가상각누계/자산총계</t>
  </si>
  <si>
    <t>DEPR_EXP_TO_NET_FIX_ASSET</t>
  </si>
  <si>
    <t>감가상각비/순유형자산</t>
  </si>
  <si>
    <t>DEPR_EXP_TO_NET_SALES</t>
  </si>
  <si>
    <t>감가상각비/순매출</t>
  </si>
  <si>
    <t>비자 (V US) - CAPEX &amp; 감가상각비</t>
  </si>
  <si>
    <t>CASH_FLOW_PER_SH</t>
  </si>
  <si>
    <t>주당 현금흐름</t>
  </si>
  <si>
    <t>TANG_BOOK_VAL_PER_SH</t>
  </si>
  <si>
    <t>주당순유형자산</t>
  </si>
  <si>
    <t>PX_TO_BOOK_RATIO</t>
  </si>
  <si>
    <t>주가/주당 장부가</t>
  </si>
  <si>
    <t>BOOK_VAL_PER_SH</t>
  </si>
  <si>
    <t>총 부채</t>
  </si>
  <si>
    <t>순유형자산</t>
  </si>
  <si>
    <t>DIVIDEND_12_MONTH_YIELD</t>
  </si>
  <si>
    <t>배당 수익률</t>
  </si>
  <si>
    <t>배당성향</t>
  </si>
  <si>
    <t>PE_RATIO</t>
  </si>
  <si>
    <t>가격/T12M 주당순수익</t>
  </si>
  <si>
    <t>TRAIL_12M_EPS</t>
  </si>
  <si>
    <t>최근 12개월 주당 순이익</t>
  </si>
  <si>
    <t>당기순이익(손실)</t>
  </si>
  <si>
    <t>PX_LAST</t>
  </si>
  <si>
    <t>현재가</t>
  </si>
  <si>
    <t>비자 (V US) - 개요</t>
  </si>
  <si>
    <t>TRAIL_12M_DVD_PER_SH</t>
  </si>
  <si>
    <t>12개월 주당 배당</t>
  </si>
  <si>
    <t>TRAIL_12M_COM_DVD</t>
  </si>
  <si>
    <t>12개월 배당금</t>
  </si>
  <si>
    <t>TRAIL_12M_PFD_DVD</t>
  </si>
  <si>
    <t>최근 12개월 우선주 배당</t>
  </si>
  <si>
    <t>우선주현금배당금</t>
  </si>
  <si>
    <t>CASH_DVD_COVERAGE</t>
  </si>
  <si>
    <t>현금배당보상율</t>
  </si>
  <si>
    <t>주당 배당금 - 5년기하성장률</t>
  </si>
  <si>
    <t>비자 (V US) - 배당/주식분할 요약</t>
  </si>
  <si>
    <t>밸류에이션&amp;추정로직</t>
    <phoneticPr fontId="36" type="noConversion"/>
  </si>
  <si>
    <t>3월 핀테크 포럼 VISA 주요 코멘트</t>
    <phoneticPr fontId="36" type="noConversion"/>
  </si>
  <si>
    <t>결제 서비스, 사이버보안, 디지털 송금, 빅데이터 분석 등</t>
    <phoneticPr fontId="36" type="noConversion"/>
  </si>
  <si>
    <t>M&amp;A를 통해 서비스 고도화를 통한 부가가치 창출 확대 목적</t>
    <phoneticPr fontId="36" type="noConversion"/>
  </si>
  <si>
    <t>이미 시장 과점화를 거대 규모의 M&amp;A 현실적 불가능</t>
    <phoneticPr fontId="36" type="noConversion"/>
  </si>
  <si>
    <t>경기 변동성 심화 시기에는 자사주 매입 금액을 낮춰 대응하는 전략</t>
    <phoneticPr fontId="36" type="noConversion"/>
  </si>
  <si>
    <t>2)자사주 중심의 주주환원</t>
    <phoneticPr fontId="36" type="noConversion"/>
  </si>
  <si>
    <t>1)점진적 DPS 증가</t>
    <phoneticPr fontId="36" type="noConversion"/>
  </si>
  <si>
    <t>자사주 매입을 활용한 주주환원 정책</t>
    <phoneticPr fontId="36" type="noConversion"/>
  </si>
  <si>
    <t>동사는 9월 결산 기준 '24년 주주환원율 106% 기록</t>
    <phoneticPr fontId="36" type="noConversion"/>
  </si>
  <si>
    <t>높은 ROE&amp;저자본요구도를 기반으로 100%에 근접하는 촤별화된 주주환원 정책 유지</t>
    <phoneticPr fontId="36" type="noConversion"/>
  </si>
  <si>
    <t>아직 침투율이 낮음. 미래 프리미엄 확보 가능 영역</t>
    <phoneticPr fontId="36" type="noConversion"/>
  </si>
  <si>
    <t>Value-added serive(부가가치 서비스)의 성장 잠재력도 충분</t>
    <phoneticPr fontId="36" type="noConversion"/>
  </si>
  <si>
    <t>3)최근 매크로 변동성 확대 국면에서도 영업이익률 64.9%를 유지하며 뉴욕 증시 상장 기업 중 6위를 기록</t>
    <phoneticPr fontId="36" type="noConversion"/>
  </si>
  <si>
    <t>2)코로나 19 팬데믹에도 영업이익률 고수준 유지</t>
    <phoneticPr fontId="36" type="noConversion"/>
  </si>
  <si>
    <t>1)'08년 금융위기에 동사의 영업이익률은 오히려 개선</t>
    <phoneticPr fontId="36" type="noConversion"/>
  </si>
  <si>
    <t>하지만 이 현상은 국내 결제 산업에 국한. 미국 카드 네트워크사는 압도적 고수익 지속</t>
    <phoneticPr fontId="36" type="noConversion"/>
  </si>
  <si>
    <t>3)거래 상대방의 가격 협상력 증가가 결제사에 부담 요인으로 작용</t>
    <phoneticPr fontId="36" type="noConversion"/>
  </si>
  <si>
    <t>2)정부의 규제 압력이 높아짐</t>
    <phoneticPr fontId="36" type="noConversion"/>
  </si>
  <si>
    <t>1)시장이 성숙기 단계에 접어듦에 따라 업체간 가격 경쟁 심화로 수익성 훼손</t>
    <phoneticPr fontId="36" type="noConversion"/>
  </si>
  <si>
    <t>결제 산업에 대한 대표적 우려 요인은 수익성 악화</t>
    <phoneticPr fontId="36" type="noConversion"/>
  </si>
  <si>
    <t>EPS 성장과 함께 수익성도 개선</t>
    <phoneticPr fontId="36" type="noConversion"/>
  </si>
  <si>
    <t>25년 가이던스 10%대 초반 유지 전망</t>
    <phoneticPr fontId="36" type="noConversion"/>
  </si>
  <si>
    <t>22년 미국의 비대면 결제 금액은 7.7조달러, 카드 기반 결제 비중이 68.1%</t>
    <phoneticPr fontId="36" type="noConversion"/>
  </si>
  <si>
    <t>인센 차감 전</t>
    <phoneticPr fontId="36" type="noConversion"/>
  </si>
  <si>
    <t>소비자는 물가 부담이 커짐에 따라 온라인 결제로 이동함</t>
    <phoneticPr fontId="36" type="noConversion"/>
  </si>
  <si>
    <t>인센티브</t>
    <phoneticPr fontId="36" type="noConversion"/>
  </si>
  <si>
    <t>물가 상승은 소비금액 감소가 아닌 소비 행태 변화로 이어짐</t>
    <phoneticPr fontId="36" type="noConversion"/>
  </si>
  <si>
    <t>기타</t>
    <phoneticPr fontId="36" type="noConversion"/>
  </si>
  <si>
    <t>물가 상승에 따른 소비 둔화에도 실적 영향 제한적</t>
    <phoneticPr fontId="36" type="noConversion"/>
  </si>
  <si>
    <t>해외 수수료</t>
    <phoneticPr fontId="36" type="noConversion"/>
  </si>
  <si>
    <t>이커머스와 여행 수요가 증가를 견인</t>
    <phoneticPr fontId="36" type="noConversion"/>
  </si>
  <si>
    <t>데이터 처리</t>
    <phoneticPr fontId="36" type="noConversion"/>
  </si>
  <si>
    <t>Cross-border 거래 증가가 매출 성장의 핵심(15%)</t>
    <phoneticPr fontId="36" type="noConversion"/>
  </si>
  <si>
    <t>결제 서비스</t>
    <phoneticPr fontId="36" type="noConversion"/>
  </si>
  <si>
    <t>글로벌 카드결제 시장의 60% M/S</t>
    <phoneticPr fontId="36" type="noConversion"/>
  </si>
  <si>
    <t>인센 차감 전 기준 매출 비중</t>
    <phoneticPr fontId="36" type="noConversion"/>
  </si>
  <si>
    <t>부문</t>
    <phoneticPr fontId="36" type="noConversion"/>
  </si>
  <si>
    <t>3)밸류 멀티플 재차 상승에 대한 기대</t>
    <phoneticPr fontId="36" type="noConversion"/>
  </si>
  <si>
    <t>2)이에 기반한 경기 연착륙 예상 상회</t>
    <phoneticPr fontId="36" type="noConversion"/>
  </si>
  <si>
    <t>1)소비 여력 개선</t>
    <phoneticPr fontId="36" type="noConversion"/>
  </si>
  <si>
    <t>24년 중반부터 기준 금리 인하 기대로 결제사들 주가 상승 추세로 전환</t>
    <phoneticPr fontId="36" type="noConversion"/>
  </si>
  <si>
    <t>3)금리 상승에 따른 밸류 멀리플 하락</t>
    <phoneticPr fontId="36" type="noConversion"/>
  </si>
  <si>
    <t>2)기대했던 플랫폼 실적 개선 지연</t>
    <phoneticPr fontId="36" type="noConversion"/>
  </si>
  <si>
    <t>1)급격한 인플레이션에 따른 소비 위축 및 그에 따른 실적 악화 우려</t>
    <phoneticPr fontId="36" type="noConversion"/>
  </si>
  <si>
    <t>21년 7월~ 주가 상승 견인 요인들이 훼손되며 주가하락</t>
    <phoneticPr fontId="36" type="noConversion"/>
  </si>
  <si>
    <t>3)금리 하락에 따른 밸류 멀티플 확장</t>
    <phoneticPr fontId="36" type="noConversion"/>
  </si>
  <si>
    <t>2)이 과정에서 확보한 고객 및 가맹점 정보 활용에 따른 추가 성장 동력 확보 기대</t>
    <phoneticPr fontId="36" type="noConversion"/>
  </si>
  <si>
    <t>1)코로나19에 따른 비대면 결제의 급격한 성장</t>
    <phoneticPr fontId="36" type="noConversion"/>
  </si>
  <si>
    <t>20년 3월~ 코로나19 당시 결제사 주가는 급등세를 시현</t>
    <phoneticPr fontId="36" type="noConversion"/>
  </si>
  <si>
    <t xml:space="preserve"> </t>
    <phoneticPr fontId="36" type="noConversion"/>
  </si>
  <si>
    <t>단기적으로는 매출을 줄이지만, 장기적 파트너십 확보 및 금융 생태계 확대 전략 수단</t>
    <phoneticPr fontId="36" type="noConversion"/>
  </si>
  <si>
    <t>매출 총액에서 차감(contra-revenue)방식으로 처리</t>
    <phoneticPr fontId="36" type="noConversion"/>
  </si>
  <si>
    <t>동사의 시장 점유율 방어 및 확대 전략에 활용</t>
    <phoneticPr fontId="36" type="noConversion"/>
  </si>
  <si>
    <t>주요 금융기관 및 파트너에 대해 리베이트, 마케팅 지원, 수수료 할인 제공</t>
    <phoneticPr fontId="36" type="noConversion"/>
  </si>
  <si>
    <t>Client Incentives (고객 인센티브)</t>
  </si>
  <si>
    <t>기타는 기타..</t>
    <phoneticPr fontId="36" type="noConversion"/>
  </si>
  <si>
    <t>CAGR 평균 연간성장률</t>
    <phoneticPr fontId="36" type="noConversion"/>
  </si>
  <si>
    <t>Other Revenue (기타 수익)</t>
  </si>
  <si>
    <t>환율 변동과 여행 수요 회복에 민감, 유럽 내보다는 미국-글로벌 구간이 메인</t>
    <phoneticPr fontId="36" type="noConversion"/>
  </si>
  <si>
    <t>국가-국가 거래 발생 시, 총 거래금액에 일정 비율 수수료</t>
    <phoneticPr fontId="36" type="noConversion"/>
  </si>
  <si>
    <t>가장 수수료율이 높은 고마진 부문</t>
    <phoneticPr fontId="36" type="noConversion"/>
  </si>
  <si>
    <t>국가 간 카드 결제 및 현금 인출 시 발생하는 환전 수수료 + 네트워크 이용료</t>
    <phoneticPr fontId="36" type="noConversion"/>
  </si>
  <si>
    <t>International Transaction Revenue (국제 거래 수수료)</t>
  </si>
  <si>
    <t>처리 건수 x 고정 수수료</t>
    <phoneticPr fontId="36" type="noConversion"/>
  </si>
  <si>
    <t>동사의 핵심 매출 원천이자 규모의 경제 기반 플랫폼 사업</t>
    <phoneticPr fontId="36" type="noConversion"/>
  </si>
  <si>
    <t>고객과 가맹점 간 모든 트랜잭션 흐름을 기술적으로 중개하면서 발생</t>
    <phoneticPr fontId="36" type="noConversion"/>
  </si>
  <si>
    <t>VisaNet이라는 동사의 독자 글로벌 네트워크를 통해 발생하는 결제 인증, 승인, 정산, 청구, 처리의 건당 수수료</t>
    <phoneticPr fontId="36" type="noConversion"/>
  </si>
  <si>
    <t>Data Processing Revenue (데이터 처리)</t>
    <phoneticPr fontId="36" type="noConversion"/>
  </si>
  <si>
    <t>카드 결제 금액 x 수수료율</t>
    <phoneticPr fontId="36" type="noConversion"/>
  </si>
  <si>
    <t>미국 내 매출보다는 국제 부문에서 더 단가 높음</t>
    <phoneticPr fontId="36" type="noConversion"/>
  </si>
  <si>
    <t>리스크를 지지 않고, 결제 발생에 따른 수수료 취득</t>
    <phoneticPr fontId="36" type="noConversion"/>
  </si>
  <si>
    <t>수익은 전 분기 고객의 결제 실적 기준, 예측 가능성 높은 반복형 매출 구조</t>
    <phoneticPr fontId="36" type="noConversion"/>
  </si>
  <si>
    <t>발급사가 발급한 동사 카드로 고객이 결제할 때, 해당 결제액 기준으로 동사가 비율 기반 수수료 부과</t>
    <phoneticPr fontId="36" type="noConversion"/>
  </si>
  <si>
    <t>Service Revenue (서비스 수수료)</t>
  </si>
  <si>
    <t>총 순매출 (Net Revenue)</t>
  </si>
  <si>
    <t>(–38.9%) (차감 항목)</t>
  </si>
  <si>
    <t>Data Processing Revenue (데이터 처리)</t>
  </si>
  <si>
    <t>3Q</t>
    <phoneticPr fontId="36" type="noConversion"/>
  </si>
  <si>
    <t>금액 (백만 달러)</t>
  </si>
  <si>
    <t>구분(2Q25)</t>
    <phoneticPr fontId="36" type="noConversion"/>
  </si>
  <si>
    <t>1)과거 인플레이션 사이클에서도 소비는 양호한 증가세를 보임</t>
    <phoneticPr fontId="36" type="noConversion"/>
  </si>
  <si>
    <t>현재 매크로 관련해서도</t>
    <phoneticPr fontId="36" type="noConversion"/>
  </si>
  <si>
    <t>3) 경기변동에도 견고한 EPS 성장률과 고주주환원율의 지속가능성으로 여전히 매력적인 밸류 수준이라 판단.</t>
    <phoneticPr fontId="36" type="noConversion"/>
  </si>
  <si>
    <t>2) 물가 상승에 대한 부정적 영향이 제한적. 실물 물가 상승에 따른 온라인 소비로의 소비 행태 변화가 카드 네트워크사에는 긍정적으로 작용.</t>
    <phoneticPr fontId="36" type="noConversion"/>
  </si>
  <si>
    <t>1) '25년 10%대의 견조한 성장 가이던스 + 부가가시 서비스 확대의 방향성</t>
    <phoneticPr fontId="36" type="noConversion"/>
  </si>
  <si>
    <t>3) 100%에 근접하는 주주환원율, 부가가치 서비스 확대를 위한 M&amp;A 지속적 진행 중</t>
    <phoneticPr fontId="36" type="noConversion"/>
  </si>
  <si>
    <t>2) 양사는 평균 60% 내외의 압도적 고수익성 유지 중. 경기 불황 국면에서도 동일 수준 유지</t>
    <phoneticPr fontId="36" type="noConversion"/>
  </si>
  <si>
    <t>1) 미국 내 결제 영역 확대와 글로벌 확장을 통한 성장 동력 제고에 따른 매출 성장률 확장으로 인한 견조한 탑라인 성장</t>
    <phoneticPr fontId="36" type="noConversion"/>
  </si>
  <si>
    <t>24년 중반부터 카드 네트워크사를 중심으로 밸류에이션 회복</t>
    <phoneticPr fontId="36" type="noConversion"/>
  </si>
  <si>
    <t>목차</t>
    <phoneticPr fontId="36" type="noConversion"/>
  </si>
  <si>
    <t>표지</t>
    <phoneticPr fontId="36" type="noConversion"/>
  </si>
  <si>
    <t>In 2024, Visa said that about two thirds of its VAS revenue is within Data Processing (“Transaction Based”), while a third is split between Other and Service Revenue (“Volume Based”). If we remove these VAS revenues and compare to Mastercard apples-to-apples, Visa would have a higher mix of Volume Based revenue vs.</t>
  </si>
  <si>
    <t>24년</t>
    <phoneticPr fontId="36" type="noConversion"/>
  </si>
  <si>
    <t>23년</t>
    <phoneticPr fontId="36" type="noConversion"/>
  </si>
  <si>
    <t>22년</t>
    <phoneticPr fontId="36" type="noConversion"/>
  </si>
  <si>
    <t>growth</t>
    <phoneticPr fontId="36" type="noConversion"/>
  </si>
  <si>
    <t>VAS</t>
    <phoneticPr fontId="36" type="noConversion"/>
  </si>
  <si>
    <t>*수익률은 국가 간 루트와 환율 영향에 따라 상이</t>
    <phoneticPr fontId="36" type="noConversion"/>
  </si>
  <si>
    <t>*실제 지급 금액은 성과 요건, 계약 시점 등에 따라 다르게 산출.</t>
    <phoneticPr fontId="36" type="noConversion"/>
  </si>
  <si>
    <t>실제 지급 금액은 성과 요건, 계약 시점 등에 따라 다르게 산출.</t>
    <phoneticPr fontId="36" type="noConversion"/>
  </si>
  <si>
    <t>The amount... will vary based on performance expectations, amendments, and new contracts.</t>
  </si>
  <si>
    <t>결제 Volume 성장에 비례하여 인센티브 지급 증가</t>
    <phoneticPr fontId="36" type="noConversion"/>
  </si>
  <si>
    <t>Client incentives increased... primarily due to growth in payments volume</t>
  </si>
  <si>
    <t>2.00% ~ 2.05%</t>
    <phoneticPr fontId="36" type="noConversion"/>
  </si>
  <si>
    <t>Commercial</t>
    <phoneticPr fontId="36" type="noConversion"/>
  </si>
  <si>
    <t>1.98% ~ 2.03%</t>
    <phoneticPr fontId="36" type="noConversion"/>
  </si>
  <si>
    <t>Infinite</t>
    <phoneticPr fontId="36" type="noConversion"/>
  </si>
  <si>
    <t>1.85% ~ 1.90%</t>
    <phoneticPr fontId="36" type="noConversion"/>
  </si>
  <si>
    <t>Signature / Premium</t>
    <phoneticPr fontId="36" type="noConversion"/>
  </si>
  <si>
    <t>1.10% ~ 1.65%</t>
    <phoneticPr fontId="36" type="noConversion"/>
  </si>
  <si>
    <t>Classic / Gold</t>
    <phoneticPr fontId="36" type="noConversion"/>
  </si>
  <si>
    <t>보수적 추정을 하자면</t>
    <phoneticPr fontId="36" type="noConversion"/>
  </si>
  <si>
    <t>카드 등급에 따라 수수료율 다르게 적용</t>
    <phoneticPr fontId="36" type="noConversion"/>
  </si>
  <si>
    <t>총 거래액보다는 처리횟수(빈도)가 중요</t>
    <phoneticPr fontId="36" type="noConversion"/>
  </si>
  <si>
    <t>수수료가 비율의 형태가 아닌, 건당 고정 수수료로 계산</t>
    <phoneticPr fontId="36" type="noConversion"/>
  </si>
  <si>
    <t>서비스 수익은 전분기 Payments Volume 에 일정 수수료율을 곱하여 계산</t>
    <phoneticPr fontId="36" type="noConversion"/>
  </si>
  <si>
    <t>Service revenue in a given quarter is primarily assessed based on nominal payments volume in the prior quarter.</t>
    <phoneticPr fontId="36" type="noConversion"/>
  </si>
  <si>
    <t>지역별로 쪼개야겠다 based on operating data</t>
    <phoneticPr fontId="33" type="noConversion"/>
  </si>
  <si>
    <t>Canada</t>
    <phoneticPr fontId="33" type="noConversion"/>
  </si>
  <si>
    <t>CEMEA</t>
    <phoneticPr fontId="33" type="noConversion"/>
  </si>
  <si>
    <t>LAC</t>
    <phoneticPr fontId="33" type="noConversion"/>
  </si>
  <si>
    <t>US</t>
    <phoneticPr fontId="33" type="noConversion"/>
  </si>
  <si>
    <t>EUROPE</t>
    <phoneticPr fontId="33" type="noConversion"/>
  </si>
  <si>
    <t>평균 건당 걸제액=결제금액/결제건수</t>
    <phoneticPr fontId="33" type="noConversion"/>
  </si>
  <si>
    <t>year payments volume(bn)</t>
    <phoneticPr fontId="33" type="noConversion"/>
  </si>
  <si>
    <t>year payments transctions(mn)</t>
    <phoneticPr fontId="33" type="noConversion"/>
  </si>
  <si>
    <t>Asia Pacific</t>
    <phoneticPr fontId="33" type="noConversion"/>
  </si>
  <si>
    <t>SUM</t>
    <phoneticPr fontId="33" type="noConversion"/>
  </si>
  <si>
    <t>Service Revenue(mn)</t>
    <phoneticPr fontId="33" type="noConversion"/>
  </si>
  <si>
    <t>수수료율=결제서비스 매출액/총 결제액</t>
    <phoneticPr fontId="33" type="noConversion"/>
  </si>
  <si>
    <t>2. 수수료율은 현재로서는 0.12% flat을 적용해놓고</t>
    <phoneticPr fontId="33" type="noConversion"/>
  </si>
  <si>
    <t>3. 총 결제액에 수수료율을 곱하면 매출액이 추정되겠죵</t>
    <phoneticPr fontId="33" type="noConversion"/>
  </si>
  <si>
    <t>1. 지역별 결제액을 추정해서 다 더하면 30년까지 총결제액이 쭈우욱 찍히면서</t>
    <phoneticPr fontId="33" type="noConversion"/>
  </si>
  <si>
    <t>yoy</t>
    <phoneticPr fontId="33" type="noConversion"/>
  </si>
  <si>
    <t>22~23년부터 산업이 재성숙화되며 YoY 성장률 둔화</t>
    <phoneticPr fontId="33" type="noConversion"/>
  </si>
  <si>
    <t>거래량 증가 추이, 팬데믹 이후 둔화</t>
    <phoneticPr fontId="33" type="noConversion"/>
  </si>
  <si>
    <t>20~21년은 팬데믹으로 인한 비대면 결제 확장으로 비자의 거래량 수 폭발적 증가</t>
    <phoneticPr fontId="33" type="noConversion"/>
  </si>
  <si>
    <t>혼란 - 러우전쟁 + 중동국가 통화가치 하락으로 명목 거래액 감소</t>
    <phoneticPr fontId="33" type="noConversion"/>
  </si>
  <si>
    <t>year proceed transactions(mn)</t>
    <phoneticPr fontId="33" type="noConversion"/>
  </si>
  <si>
    <t>Data Processing Revenue(mn)</t>
    <phoneticPr fontId="33" type="noConversion"/>
  </si>
  <si>
    <t>건당 수수료=매출액/처리 정보수</t>
    <phoneticPr fontId="33" type="noConversion"/>
  </si>
  <si>
    <t>3. 데이터 처리 부문은 건당 수수료이므로, 총 처리한 정보수에 수수료을을 곱하여 매출액 추정</t>
    <phoneticPr fontId="33" type="noConversion"/>
  </si>
  <si>
    <t>이건 그냥 확인용 ㅎ</t>
    <phoneticPr fontId="33" type="noConversion"/>
  </si>
  <si>
    <t>Client Incentives</t>
    <phoneticPr fontId="33" type="noConversion"/>
  </si>
  <si>
    <t>인센티브 비중</t>
    <phoneticPr fontId="33" type="noConversion"/>
  </si>
  <si>
    <t>비중 avg</t>
    <phoneticPr fontId="33" type="noConversion"/>
  </si>
  <si>
    <t>비중 가중평균</t>
    <phoneticPr fontId="33" type="noConversion"/>
  </si>
  <si>
    <t>비중 CAGR</t>
    <phoneticPr fontId="33" type="noConversion"/>
  </si>
  <si>
    <t>금액 CAGR</t>
    <phoneticPr fontId="33" type="noConversion"/>
  </si>
  <si>
    <t>사실상 매출액에 비례하는 것으로 계산</t>
    <phoneticPr fontId="36" type="noConversion"/>
  </si>
  <si>
    <t>2. 아마 수수료는 $0.075 flat</t>
    <phoneticPr fontId="33" type="noConversion"/>
  </si>
  <si>
    <t>Visa Inc.</t>
    <phoneticPr fontId="36" type="noConversion"/>
  </si>
  <si>
    <t>International</t>
    <phoneticPr fontId="36" type="noConversion"/>
  </si>
  <si>
    <t>US</t>
    <phoneticPr fontId="36" type="noConversion"/>
  </si>
  <si>
    <t>Visa  Debit Programs - 체크카드(계좌인출)</t>
    <phoneticPr fontId="36" type="noConversion"/>
  </si>
  <si>
    <t>Visa Credit Programs - 신용카드(후불결제)</t>
    <phoneticPr fontId="36" type="noConversion"/>
  </si>
  <si>
    <t>Europe</t>
    <phoneticPr fontId="36" type="noConversion"/>
  </si>
  <si>
    <t>LAC</t>
    <phoneticPr fontId="36" type="noConversion"/>
  </si>
  <si>
    <t>CEMEA</t>
    <phoneticPr fontId="36" type="noConversion"/>
  </si>
  <si>
    <t>Canada</t>
    <phoneticPr fontId="36" type="noConversion"/>
  </si>
  <si>
    <t>Asia Pacific</t>
    <phoneticPr fontId="36" type="noConversion"/>
  </si>
  <si>
    <t>All Visa Credit&amp;Debit</t>
    <phoneticPr fontId="36" type="noConversion"/>
  </si>
  <si>
    <t>Cash Transactions</t>
    <phoneticPr fontId="36" type="noConversion"/>
  </si>
  <si>
    <t>Cash Voume</t>
    <phoneticPr fontId="36" type="noConversion"/>
  </si>
  <si>
    <t>Payments Transactions</t>
    <phoneticPr fontId="36" type="noConversion"/>
  </si>
  <si>
    <t>Payments Volume</t>
    <phoneticPr fontId="36" type="noConversion"/>
  </si>
  <si>
    <t>Total Volume</t>
    <phoneticPr fontId="36" type="noConversion"/>
  </si>
  <si>
    <t>Cash Transactions</t>
  </si>
  <si>
    <t>Cash Voume</t>
  </si>
  <si>
    <t>Payments Transactions</t>
  </si>
  <si>
    <t>유럽 경제성장률 or avg flat</t>
    <phoneticPr fontId="36" type="noConversion"/>
  </si>
  <si>
    <t>Payments Volume</t>
  </si>
  <si>
    <t>Total Volume</t>
  </si>
  <si>
    <t>EUROPE</t>
    <phoneticPr fontId="36" type="noConversion"/>
  </si>
  <si>
    <t>미국 경제성장률 or avg flat</t>
    <phoneticPr fontId="36" type="noConversion"/>
  </si>
  <si>
    <t>LAC는 결제시장의 잠재력이 큰 만큼 프리미엄을 줘도 될까</t>
    <phoneticPr fontId="36" type="noConversion"/>
  </si>
  <si>
    <t>flat</t>
    <phoneticPr fontId="36" type="noConversion"/>
  </si>
  <si>
    <t>캐나다 연간 성장률 or avg flat</t>
    <phoneticPr fontId="36" type="noConversion"/>
  </si>
  <si>
    <t>Payments Transactions(결제건수)</t>
    <phoneticPr fontId="36" type="noConversion"/>
  </si>
  <si>
    <t>Payments Volume(결제금액)</t>
    <phoneticPr fontId="36" type="noConversion"/>
  </si>
  <si>
    <t>Asisa Pacific</t>
    <phoneticPr fontId="36" type="noConversion"/>
  </si>
  <si>
    <t>평균 건당 결제액</t>
    <phoneticPr fontId="36" type="noConversion"/>
  </si>
  <si>
    <t>전체 매출액 대비 비중</t>
    <phoneticPr fontId="36" type="noConversion"/>
  </si>
  <si>
    <t>Cash Volume</t>
    <phoneticPr fontId="36" type="noConversion"/>
  </si>
  <si>
    <t>Paymenrts Volume</t>
    <phoneticPr fontId="36" type="noConversion"/>
  </si>
  <si>
    <t>Visa Debit Programs</t>
    <phoneticPr fontId="36" type="noConversion"/>
  </si>
  <si>
    <t>Visa Credit Programs</t>
    <phoneticPr fontId="36" type="noConversion"/>
  </si>
  <si>
    <t>과거 현재 미래 계속 꾸준한 성장 중이라는 걸 강조</t>
  </si>
  <si>
    <t>팬데믹 때도 방어력이 좋았고</t>
    <phoneticPr fontId="33" type="noConversion"/>
  </si>
  <si>
    <t>미국의 매크로경제 변동성이 심할 때도 꾸준히 성장했고</t>
    <phoneticPr fontId="33" type="noConversion"/>
  </si>
  <si>
    <t>소비와 관련이 큼에도 경기 대비 변동성이 매우 우수함</t>
    <phoneticPr fontId="33" type="noConversion"/>
  </si>
  <si>
    <t>요런 거 강조하면 좋겠송</t>
    <phoneticPr fontId="33" type="noConversion"/>
  </si>
  <si>
    <t>어차피 디지털 결제 사업은 비자랑 마스터카드가 양분하는 구조이기 때문에</t>
    <phoneticPr fontId="33" type="noConversion"/>
  </si>
  <si>
    <t>산업 분석의 내용에서 비자에 유리한 부분을 더 강조하고(실제로도 우위에 있는 부분이 더 많음)</t>
    <phoneticPr fontId="33" type="noConversion"/>
  </si>
  <si>
    <t>자연스럽게 ~~한 이유로 비자를 디지털 결제 산업의 탑픽으로 선정하였다</t>
    <phoneticPr fontId="33" type="noConversion"/>
  </si>
  <si>
    <t>이런 자연스러운 흐름</t>
    <phoneticPr fontId="33" type="noConversion"/>
  </si>
  <si>
    <t>그렇다고 투포에 들어가야할 내용을 먼저 쓰면 안돼ㅠ</t>
    <phoneticPr fontId="33" type="noConversion"/>
  </si>
  <si>
    <t>기업의 비교우위보다는 비자가 유리한 산업군의 수치나 내용들을 기업 언급 없이 집는 정도</t>
    <phoneticPr fontId="33" type="noConversion"/>
  </si>
  <si>
    <t>매우 큰 메가 플레이어 2개 사가 시장 파이를 나눠먹기에 이 산업군에서의 M&amp;A는 인수합병이 아니라 먹히는 거 -&gt; M/S를 기반으로 시장 내 체인 확대</t>
    <phoneticPr fontId="33" type="noConversion"/>
  </si>
  <si>
    <t>미국-해외 결제</t>
    <phoneticPr fontId="33" type="noConversion"/>
  </si>
  <si>
    <t>미국-유럽 결제</t>
    <phoneticPr fontId="33" type="noConversion"/>
  </si>
  <si>
    <t>volume growth(consumer price)</t>
    <phoneticPr fontId="33" type="noConversion"/>
  </si>
  <si>
    <t>1. 총 국제 거래 결제액을 찾고</t>
    <phoneticPr fontId="33" type="noConversion"/>
  </si>
  <si>
    <t>2. 카드 등급별 고객비중을 찾은 다음</t>
    <phoneticPr fontId="33" type="noConversion"/>
  </si>
  <si>
    <t>3. 각 등급별 수수료를 곱해서</t>
    <phoneticPr fontId="33" type="noConversion"/>
  </si>
  <si>
    <t>4. 총 국제 거래 수수료를 찾기</t>
    <phoneticPr fontId="33" type="noConversion"/>
  </si>
  <si>
    <t>1. 향후 처리건수가 얼마나 증가할 것인지에 대한 추정 - 단순한 CAGR 보다 더 합리적인 추정로직이 존재하면 좋을 듯</t>
    <phoneticPr fontId="33" type="noConversion"/>
  </si>
  <si>
    <t>Client Incentives (고객 인센티브) - 아마 비율로 갈듯 26~30%정도</t>
    <phoneticPr fontId="33" type="noConversion"/>
  </si>
  <si>
    <t>4. 뭔가 비자의 프리미엄을 부여해줄 수 있는 로직 생각해보기</t>
    <phoneticPr fontId="33" type="noConversion"/>
  </si>
  <si>
    <t>이러한 우수한 수익률은 핀테크 시장과 달리 시장 내 과점적 지위에서 기반</t>
    <phoneticPr fontId="36" type="noConversion"/>
  </si>
  <si>
    <t>Real GDP와 Consumer Price 중 더 큰 값을 사용</t>
    <phoneticPr fontId="33" type="noConversion"/>
  </si>
  <si>
    <t>모든 국가/지역별 Real GDP와 Consumer Price는 IMF에서 발표한 World Economic Outlook의 전망치를 참조함.</t>
    <phoneticPr fontId="33" type="noConversion"/>
  </si>
  <si>
    <t>미국의 경우, '25년 2.0%에서 '29년 2.1%까지 Consumer Price가 점진적으로 상승한다고 추정함.</t>
    <phoneticPr fontId="33" type="noConversion"/>
  </si>
  <si>
    <t>디지털 결제(Payment) - 팬데믹 전후로부터 - 25년까지</t>
    <phoneticPr fontId="36" type="noConversion"/>
  </si>
  <si>
    <t>이제는 카드 네트워크사에 관심을 가질 시간</t>
    <phoneticPr fontId="36" type="noConversion"/>
  </si>
  <si>
    <t xml:space="preserve">2)VISA 성장의 핵심인 팬데믹 이후 Cross-border 거래도 더 증가하면서 견조한 추이 - </t>
    <phoneticPr fontId="36" type="noConversion"/>
  </si>
  <si>
    <t xml:space="preserve">스테이블코인 관련 영향 점검 - 영향이 없다 </t>
    <phoneticPr fontId="36" type="noConversion"/>
  </si>
  <si>
    <t>1. 견조한 탑라인 성장 - 매출이 잘 나올겨 - 혜원</t>
    <phoneticPr fontId="36" type="noConversion"/>
  </si>
  <si>
    <t>산업분석 - 정훈</t>
    <phoneticPr fontId="36" type="noConversion"/>
  </si>
  <si>
    <t>주가분석 - 팬데믹 전후 ~현재 - 내가할래ㅐ</t>
    <phoneticPr fontId="36" type="noConversion"/>
  </si>
  <si>
    <t>기업분석 - 내가</t>
    <phoneticPr fontId="36" type="noConversion"/>
  </si>
  <si>
    <t>2. 바텀라인의 동반 성장 - 영업이익도 잘 나올겨 - 내가</t>
    <phoneticPr fontId="36" type="noConversion"/>
  </si>
  <si>
    <t>International Transaction Revenue (국제 거래 수수료) - 혜원</t>
    <phoneticPr fontId="33" type="noConversion"/>
  </si>
  <si>
    <t>Data Processing Revenue (데이터 처리) - 정훈</t>
    <phoneticPr fontId="36" type="noConversion"/>
  </si>
  <si>
    <t>각자 파트 참고하세용 ㅎ~</t>
    <phoneticPr fontId="33" type="noConversion"/>
  </si>
  <si>
    <t>Service Revenue (서비스 수수료) - 모든 것은 USD 기준 - 나</t>
    <phoneticPr fontId="33" type="noConversion"/>
  </si>
  <si>
    <t>리스크</t>
    <phoneticPr fontId="36" type="noConversion"/>
  </si>
  <si>
    <t xml:space="preserve">투자포인트 </t>
    <phoneticPr fontId="36" type="noConversion"/>
  </si>
  <si>
    <t xml:space="preserve">체크포인트 </t>
    <phoneticPr fontId="36" type="noConversion"/>
  </si>
  <si>
    <t>주주환원과 성장의 균형 전략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</si>
</sst>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24" formatCode="\$#,##0_);[Red]\(\$#,##0\)"/>
    <numFmt numFmtId="176" formatCode="#,##0.000"/>
    <numFmt numFmtId="177" formatCode="yyyy\-mm\-dd"/>
    <numFmt numFmtId="178" formatCode="_-* #,##0.0_-;\-* #,##0.0_-;_-* &quot;-&quot;_-;_-@_-"/>
    <numFmt numFmtId="179" formatCode="0.0%"/>
    <numFmt numFmtId="180" formatCode="0.0000%"/>
    <numFmt numFmtId="181" formatCode="0.000%"/>
    <numFmt numFmtId="182" formatCode="#,##0.00_ "/>
    <numFmt numFmtId="183" formatCode="_-* #,##0.0_-;\-* #,##0.0_-;_-* &quot;-&quot;??_-;_-@_-"/>
    <numFmt numFmtId="184" formatCode="_-* #,##0_-;\-* #,##0_-;_-* &quot;-&quot;??_-;_-@_-"/>
  </numFmts>
  <fonts count="4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KoPubWorld돋움체 Light"/>
      <family val="3"/>
      <charset val="129"/>
    </font>
    <font>
      <sz val="11"/>
      <color theme="1"/>
      <name val="KoPubWorld돋움체 Bold"/>
      <family val="3"/>
      <charset val="129"/>
    </font>
    <font>
      <sz val="8"/>
      <name val="맑은 고딕"/>
      <family val="2"/>
      <charset val="129"/>
      <scheme val="minor"/>
    </font>
    <font>
      <sz val="11"/>
      <color rgb="FF0070C0"/>
      <name val="KoPubWorld돋움체 Light"/>
      <family val="3"/>
      <charset val="129"/>
    </font>
    <font>
      <sz val="11"/>
      <color rgb="FFFF0000"/>
      <name val="KoPubWorld돋움체 Light"/>
      <family val="3"/>
      <charset val="129"/>
    </font>
    <font>
      <sz val="11"/>
      <name val="KoPubWorld돋움체 Light"/>
      <family val="3"/>
      <charset val="129"/>
    </font>
    <font>
      <sz val="11"/>
      <color rgb="FFFF0000"/>
      <name val="KoPubWorld돋움체 Bold"/>
      <family val="3"/>
      <charset val="129"/>
    </font>
    <font>
      <i/>
      <sz val="11"/>
      <color theme="1"/>
      <name val="KoPubWorld돋움체 Light"/>
      <family val="3"/>
      <charset val="129"/>
    </font>
    <font>
      <sz val="11"/>
      <color theme="0"/>
      <name val="KoPubWorld돋움체 Light"/>
      <family val="3"/>
      <charset val="129"/>
    </font>
    <font>
      <sz val="11"/>
      <color theme="0"/>
      <name val="맑은 고딕"/>
      <family val="2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0">
    <xf numFmtId="0" fontId="0" fillId="0" borderId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6" fillId="33" borderId="0"/>
    <xf numFmtId="0" fontId="26" fillId="6" borderId="9" applyNumberFormat="0" applyAlignment="0" applyProtection="0"/>
    <xf numFmtId="0" fontId="28" fillId="7" borderId="12" applyNumberFormat="0" applyAlignment="0" applyProtection="0"/>
    <xf numFmtId="0" fontId="30" fillId="0" borderId="0" applyNumberFormat="0" applyFill="0" applyBorder="0" applyAlignment="0" applyProtection="0"/>
    <xf numFmtId="0" fontId="11" fillId="33" borderId="1">
      <alignment horizontal="right"/>
    </xf>
    <xf numFmtId="0" fontId="10" fillId="34" borderId="0" applyNumberFormat="0" applyBorder="0" applyProtection="0">
      <alignment horizontal="center"/>
    </xf>
    <xf numFmtId="0" fontId="11" fillId="33" borderId="3">
      <alignment horizontal="right"/>
    </xf>
    <xf numFmtId="0" fontId="11" fillId="33" borderId="3">
      <alignment horizontal="left"/>
    </xf>
    <xf numFmtId="0" fontId="15" fillId="36" borderId="4" applyNumberFormat="0" applyAlignment="0" applyProtection="0"/>
    <xf numFmtId="0" fontId="12" fillId="34" borderId="5"/>
    <xf numFmtId="0" fontId="14" fillId="34" borderId="5"/>
    <xf numFmtId="0" fontId="13" fillId="34" borderId="5"/>
    <xf numFmtId="0" fontId="21" fillId="2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9" applyNumberFormat="0" applyAlignment="0" applyProtection="0"/>
    <xf numFmtId="0" fontId="27" fillId="0" borderId="11" applyNumberFormat="0" applyFill="0" applyAlignment="0" applyProtection="0"/>
    <xf numFmtId="0" fontId="23" fillId="4" borderId="0" applyNumberFormat="0" applyBorder="0" applyAlignment="0" applyProtection="0"/>
    <xf numFmtId="0" fontId="16" fillId="8" borderId="13" applyNumberFormat="0" applyFont="0" applyAlignment="0" applyProtection="0"/>
    <xf numFmtId="0" fontId="25" fillId="6" borderId="10" applyNumberFormat="0" applyAlignment="0" applyProtection="0"/>
    <xf numFmtId="0" fontId="17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9" fillId="33" borderId="15" applyNumberFormat="0" applyProtection="0">
      <alignment horizontal="left" vertical="center" readingOrder="1"/>
    </xf>
    <xf numFmtId="0" fontId="11" fillId="33" borderId="1">
      <alignment horizontal="left"/>
    </xf>
    <xf numFmtId="3" fontId="5" fillId="34" borderId="2">
      <alignment horizontal="right"/>
    </xf>
    <xf numFmtId="176" fontId="5" fillId="34" borderId="2">
      <alignment horizontal="right"/>
    </xf>
    <xf numFmtId="3" fontId="5" fillId="35" borderId="2">
      <alignment horizontal="right"/>
    </xf>
    <xf numFmtId="176" fontId="5" fillId="35" borderId="2">
      <alignment horizontal="right"/>
    </xf>
    <xf numFmtId="3" fontId="12" fillId="34" borderId="2">
      <alignment horizontal="right"/>
    </xf>
    <xf numFmtId="176" fontId="12" fillId="34" borderId="2">
      <alignment horizontal="right"/>
    </xf>
    <xf numFmtId="3" fontId="12" fillId="35" borderId="2">
      <alignment horizontal="right"/>
    </xf>
    <xf numFmtId="176" fontId="12" fillId="35" borderId="2">
      <alignment horizontal="right"/>
    </xf>
    <xf numFmtId="176" fontId="15" fillId="34" borderId="2">
      <alignment horizontal="right"/>
    </xf>
    <xf numFmtId="176" fontId="15" fillId="35" borderId="2">
      <alignment horizontal="right"/>
    </xf>
    <xf numFmtId="0" fontId="8" fillId="0" borderId="0"/>
    <xf numFmtId="4" fontId="5" fillId="34" borderId="2"/>
    <xf numFmtId="4" fontId="5" fillId="34" borderId="2">
      <alignment horizontal="right"/>
    </xf>
    <xf numFmtId="0" fontId="11" fillId="33" borderId="16">
      <alignment horizontal="left"/>
    </xf>
    <xf numFmtId="0" fontId="11" fillId="33" borderId="16">
      <alignment horizontal="right"/>
    </xf>
    <xf numFmtId="0" fontId="11" fillId="33" borderId="17">
      <alignment horizontal="left"/>
    </xf>
    <xf numFmtId="0" fontId="11" fillId="33" borderId="17">
      <alignment horizontal="right"/>
    </xf>
    <xf numFmtId="0" fontId="8" fillId="34" borderId="18"/>
    <xf numFmtId="0" fontId="12" fillId="34" borderId="18"/>
    <xf numFmtId="0" fontId="7" fillId="34" borderId="18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08">
    <xf numFmtId="0" fontId="0" fillId="0" borderId="0" xfId="0"/>
    <xf numFmtId="0" fontId="8" fillId="0" borderId="0" xfId="63"/>
    <xf numFmtId="177" fontId="11" fillId="33" borderId="17" xfId="68" applyNumberFormat="1">
      <alignment horizontal="left"/>
    </xf>
    <xf numFmtId="4" fontId="5" fillId="34" borderId="2" xfId="64"/>
    <xf numFmtId="4" fontId="5" fillId="34" borderId="2" xfId="65">
      <alignment horizontal="right"/>
    </xf>
    <xf numFmtId="0" fontId="6" fillId="33" borderId="0" xfId="26"/>
    <xf numFmtId="0" fontId="9" fillId="33" borderId="15" xfId="51">
      <alignment horizontal="left" vertical="center" readingOrder="1"/>
    </xf>
    <xf numFmtId="0" fontId="10" fillId="34" borderId="0" xfId="31">
      <alignment horizontal="center"/>
    </xf>
    <xf numFmtId="0" fontId="11" fillId="33" borderId="16" xfId="66">
      <alignment horizontal="left"/>
    </xf>
    <xf numFmtId="0" fontId="11" fillId="33" borderId="16" xfId="67">
      <alignment horizontal="right"/>
    </xf>
    <xf numFmtId="0" fontId="11" fillId="33" borderId="17" xfId="68">
      <alignment horizontal="left"/>
    </xf>
    <xf numFmtId="0" fontId="11" fillId="33" borderId="17" xfId="69">
      <alignment horizontal="right"/>
    </xf>
    <xf numFmtId="0" fontId="8" fillId="34" borderId="18" xfId="70"/>
    <xf numFmtId="176" fontId="15" fillId="35" borderId="2" xfId="62">
      <alignment horizontal="right"/>
    </xf>
    <xf numFmtId="176" fontId="15" fillId="34" borderId="2" xfId="61">
      <alignment horizontal="right"/>
    </xf>
    <xf numFmtId="176" fontId="12" fillId="35" borderId="2" xfId="60">
      <alignment horizontal="right"/>
    </xf>
    <xf numFmtId="176" fontId="12" fillId="34" borderId="2" xfId="58">
      <alignment horizontal="right"/>
    </xf>
    <xf numFmtId="0" fontId="12" fillId="34" borderId="18" xfId="71"/>
    <xf numFmtId="3" fontId="12" fillId="35" borderId="2" xfId="59">
      <alignment horizontal="right"/>
    </xf>
    <xf numFmtId="3" fontId="12" fillId="34" borderId="2" xfId="57">
      <alignment horizontal="right"/>
    </xf>
    <xf numFmtId="3" fontId="5" fillId="35" borderId="2" xfId="55">
      <alignment horizontal="right"/>
    </xf>
    <xf numFmtId="3" fontId="5" fillId="34" borderId="2" xfId="53">
      <alignment horizontal="right"/>
    </xf>
    <xf numFmtId="0" fontId="7" fillId="34" borderId="18" xfId="72"/>
    <xf numFmtId="176" fontId="5" fillId="35" borderId="2" xfId="56">
      <alignment horizontal="right"/>
    </xf>
    <xf numFmtId="176" fontId="5" fillId="34" borderId="2" xfId="54">
      <alignment horizontal="right"/>
    </xf>
    <xf numFmtId="0" fontId="15" fillId="36" borderId="4" xfId="34"/>
    <xf numFmtId="0" fontId="11" fillId="33" borderId="3" xfId="33">
      <alignment horizontal="left"/>
    </xf>
    <xf numFmtId="0" fontId="11" fillId="33" borderId="3" xfId="32">
      <alignment horizontal="right"/>
    </xf>
    <xf numFmtId="0" fontId="11" fillId="33" borderId="1" xfId="30">
      <alignment horizontal="right"/>
    </xf>
    <xf numFmtId="0" fontId="12" fillId="34" borderId="5" xfId="35"/>
    <xf numFmtId="0" fontId="11" fillId="33" borderId="1" xfId="52">
      <alignment horizontal="left"/>
    </xf>
    <xf numFmtId="0" fontId="7" fillId="34" borderId="5" xfId="37" applyFont="1"/>
    <xf numFmtId="0" fontId="8" fillId="34" borderId="5" xfId="36" applyFont="1"/>
    <xf numFmtId="0" fontId="34" fillId="0" borderId="0" xfId="75" applyFont="1">
      <alignment vertical="center"/>
    </xf>
    <xf numFmtId="9" fontId="34" fillId="0" borderId="0" xfId="75" applyNumberFormat="1" applyFont="1">
      <alignment vertical="center"/>
    </xf>
    <xf numFmtId="0" fontId="34" fillId="0" borderId="0" xfId="75" quotePrefix="1" applyFont="1">
      <alignment vertical="center"/>
    </xf>
    <xf numFmtId="0" fontId="34" fillId="38" borderId="0" xfId="75" applyFont="1" applyFill="1">
      <alignment vertical="center"/>
    </xf>
    <xf numFmtId="0" fontId="35" fillId="38" borderId="0" xfId="75" applyFont="1" applyFill="1">
      <alignment vertical="center"/>
    </xf>
    <xf numFmtId="0" fontId="37" fillId="0" borderId="0" xfId="75" applyFont="1">
      <alignment vertical="center"/>
    </xf>
    <xf numFmtId="0" fontId="37" fillId="0" borderId="0" xfId="75" quotePrefix="1" applyFont="1">
      <alignment vertical="center"/>
    </xf>
    <xf numFmtId="0" fontId="38" fillId="0" borderId="0" xfId="75" applyFont="1">
      <alignment vertical="center"/>
    </xf>
    <xf numFmtId="0" fontId="39" fillId="0" borderId="0" xfId="75" applyFont="1">
      <alignment vertical="center"/>
    </xf>
    <xf numFmtId="0" fontId="35" fillId="0" borderId="0" xfId="75" applyFont="1">
      <alignment vertical="center"/>
    </xf>
    <xf numFmtId="3" fontId="34" fillId="0" borderId="0" xfId="75" applyNumberFormat="1" applyFont="1">
      <alignment vertical="center"/>
    </xf>
    <xf numFmtId="9" fontId="34" fillId="0" borderId="0" xfId="76" applyFont="1">
      <alignment vertical="center"/>
    </xf>
    <xf numFmtId="1" fontId="34" fillId="0" borderId="0" xfId="75" applyNumberFormat="1" applyFont="1" applyAlignment="1">
      <alignment horizontal="center" vertical="center"/>
    </xf>
    <xf numFmtId="0" fontId="40" fillId="0" borderId="0" xfId="75" applyFont="1">
      <alignment vertical="center"/>
    </xf>
    <xf numFmtId="10" fontId="34" fillId="0" borderId="0" xfId="75" applyNumberFormat="1" applyFont="1">
      <alignment vertical="center"/>
    </xf>
    <xf numFmtId="24" fontId="34" fillId="0" borderId="0" xfId="75" applyNumberFormat="1" applyFont="1">
      <alignment vertical="center"/>
    </xf>
    <xf numFmtId="24" fontId="34" fillId="0" borderId="0" xfId="75" quotePrefix="1" applyNumberFormat="1" applyFont="1">
      <alignment vertical="center"/>
    </xf>
    <xf numFmtId="0" fontId="42" fillId="39" borderId="0" xfId="75" applyFont="1" applyFill="1">
      <alignment vertical="center"/>
    </xf>
    <xf numFmtId="0" fontId="43" fillId="39" borderId="0" xfId="75" applyFont="1" applyFill="1">
      <alignment vertical="center"/>
    </xf>
    <xf numFmtId="0" fontId="4" fillId="38" borderId="0" xfId="75" applyFill="1">
      <alignment vertical="center"/>
    </xf>
    <xf numFmtId="0" fontId="4" fillId="40" borderId="0" xfId="75" applyFill="1">
      <alignment vertical="center"/>
    </xf>
    <xf numFmtId="0" fontId="35" fillId="40" borderId="0" xfId="75" applyFont="1" applyFill="1">
      <alignment vertical="center"/>
    </xf>
    <xf numFmtId="0" fontId="34" fillId="40" borderId="0" xfId="75" applyFont="1" applyFill="1">
      <alignment vertical="center"/>
    </xf>
    <xf numFmtId="0" fontId="4" fillId="40" borderId="0" xfId="75" quotePrefix="1" applyFill="1">
      <alignment vertical="center"/>
    </xf>
    <xf numFmtId="41" fontId="34" fillId="40" borderId="0" xfId="73" applyFont="1" applyFill="1">
      <alignment vertical="center"/>
    </xf>
    <xf numFmtId="9" fontId="34" fillId="40" borderId="0" xfId="74" applyFont="1" applyFill="1">
      <alignment vertical="center"/>
    </xf>
    <xf numFmtId="41" fontId="41" fillId="40" borderId="0" xfId="73" applyFont="1" applyFill="1">
      <alignment vertical="center"/>
    </xf>
    <xf numFmtId="179" fontId="41" fillId="40" borderId="0" xfId="74" applyNumberFormat="1" applyFont="1" applyFill="1">
      <alignment vertical="center"/>
    </xf>
    <xf numFmtId="0" fontId="38" fillId="40" borderId="0" xfId="75" applyFont="1" applyFill="1">
      <alignment vertical="center"/>
    </xf>
    <xf numFmtId="10" fontId="4" fillId="40" borderId="0" xfId="75" applyNumberFormat="1" applyFill="1">
      <alignment vertical="center"/>
    </xf>
    <xf numFmtId="0" fontId="41" fillId="40" borderId="0" xfId="75" applyFont="1" applyFill="1">
      <alignment vertical="center"/>
    </xf>
    <xf numFmtId="0" fontId="34" fillId="40" borderId="0" xfId="75" applyFont="1" applyFill="1" applyAlignment="1">
      <alignment horizontal="center" vertical="center"/>
    </xf>
    <xf numFmtId="41" fontId="34" fillId="40" borderId="0" xfId="73" applyFont="1" applyFill="1" applyAlignment="1">
      <alignment vertical="center"/>
    </xf>
    <xf numFmtId="179" fontId="34" fillId="40" borderId="0" xfId="74" applyNumberFormat="1" applyFont="1" applyFill="1">
      <alignment vertical="center"/>
    </xf>
    <xf numFmtId="178" fontId="34" fillId="40" borderId="0" xfId="73" applyNumberFormat="1" applyFont="1" applyFill="1">
      <alignment vertical="center"/>
    </xf>
    <xf numFmtId="178" fontId="34" fillId="40" borderId="0" xfId="73" applyNumberFormat="1" applyFont="1" applyFill="1" applyAlignment="1">
      <alignment vertical="center"/>
    </xf>
    <xf numFmtId="0" fontId="34" fillId="40" borderId="0" xfId="0" applyFont="1" applyFill="1" applyAlignment="1">
      <alignment vertical="center"/>
    </xf>
    <xf numFmtId="0" fontId="38" fillId="40" borderId="0" xfId="73" applyNumberFormat="1" applyFont="1" applyFill="1">
      <alignment vertical="center"/>
    </xf>
    <xf numFmtId="41" fontId="34" fillId="40" borderId="0" xfId="73" applyFont="1" applyFill="1" applyBorder="1">
      <alignment vertical="center"/>
    </xf>
    <xf numFmtId="0" fontId="34" fillId="40" borderId="0" xfId="73" applyNumberFormat="1" applyFont="1" applyFill="1">
      <alignment vertical="center"/>
    </xf>
    <xf numFmtId="0" fontId="34" fillId="40" borderId="0" xfId="73" applyNumberFormat="1" applyFont="1" applyFill="1" applyBorder="1">
      <alignment vertical="center"/>
    </xf>
    <xf numFmtId="10" fontId="34" fillId="40" borderId="0" xfId="76" applyNumberFormat="1" applyFont="1" applyFill="1">
      <alignment vertical="center"/>
    </xf>
    <xf numFmtId="0" fontId="40" fillId="40" borderId="0" xfId="75" applyFont="1" applyFill="1">
      <alignment vertical="center"/>
    </xf>
    <xf numFmtId="9" fontId="34" fillId="40" borderId="0" xfId="75" applyNumberFormat="1" applyFont="1" applyFill="1">
      <alignment vertical="center"/>
    </xf>
    <xf numFmtId="0" fontId="40" fillId="38" borderId="0" xfId="75" applyFont="1" applyFill="1">
      <alignment vertical="center"/>
    </xf>
    <xf numFmtId="179" fontId="34" fillId="40" borderId="0" xfId="74" applyNumberFormat="1" applyFont="1" applyFill="1" applyBorder="1">
      <alignment vertical="center"/>
    </xf>
    <xf numFmtId="179" fontId="34" fillId="40" borderId="0" xfId="73" applyNumberFormat="1" applyFont="1" applyFill="1" applyBorder="1">
      <alignment vertical="center"/>
    </xf>
    <xf numFmtId="9" fontId="4" fillId="40" borderId="0" xfId="75" applyNumberFormat="1" applyFill="1">
      <alignment vertical="center"/>
    </xf>
    <xf numFmtId="180" fontId="34" fillId="40" borderId="0" xfId="74" applyNumberFormat="1" applyFont="1" applyFill="1">
      <alignment vertical="center"/>
    </xf>
    <xf numFmtId="0" fontId="3" fillId="0" borderId="0" xfId="77">
      <alignment vertical="center"/>
    </xf>
    <xf numFmtId="0" fontId="3" fillId="0" borderId="0" xfId="77" applyAlignment="1">
      <alignment horizontal="left" vertical="center" indent="2"/>
    </xf>
    <xf numFmtId="0" fontId="3" fillId="0" borderId="0" xfId="77" applyAlignment="1">
      <alignment horizontal="left" vertical="center" indent="1"/>
    </xf>
    <xf numFmtId="41" fontId="0" fillId="0" borderId="0" xfId="78" applyFont="1">
      <alignment vertical="center"/>
    </xf>
    <xf numFmtId="9" fontId="0" fillId="0" borderId="0" xfId="79" applyFont="1">
      <alignment vertical="center"/>
    </xf>
    <xf numFmtId="0" fontId="2" fillId="40" borderId="0" xfId="75" applyFont="1" applyFill="1">
      <alignment vertical="center"/>
    </xf>
    <xf numFmtId="10" fontId="34" fillId="40" borderId="0" xfId="75" applyNumberFormat="1" applyFont="1" applyFill="1">
      <alignment vertical="center"/>
    </xf>
    <xf numFmtId="9" fontId="5" fillId="34" borderId="2" xfId="74" applyFont="1" applyFill="1" applyBorder="1" applyAlignment="1">
      <alignment horizontal="right"/>
    </xf>
    <xf numFmtId="182" fontId="0" fillId="0" borderId="0" xfId="0" applyNumberFormat="1"/>
    <xf numFmtId="9" fontId="5" fillId="0" borderId="0" xfId="74" applyFont="1" applyFill="1" applyBorder="1" applyAlignment="1">
      <alignment horizontal="right"/>
    </xf>
    <xf numFmtId="176" fontId="5" fillId="37" borderId="2" xfId="54" applyFill="1">
      <alignment horizontal="right"/>
    </xf>
    <xf numFmtId="4" fontId="5" fillId="40" borderId="2" xfId="65" applyFill="1">
      <alignment horizontal="right"/>
    </xf>
    <xf numFmtId="176" fontId="5" fillId="40" borderId="2" xfId="54" applyFill="1">
      <alignment horizontal="right"/>
    </xf>
    <xf numFmtId="0" fontId="0" fillId="40" borderId="0" xfId="0" applyFill="1"/>
    <xf numFmtId="3" fontId="12" fillId="40" borderId="2" xfId="57" applyFill="1">
      <alignment horizontal="right"/>
    </xf>
    <xf numFmtId="0" fontId="15" fillId="40" borderId="4" xfId="34" applyFill="1"/>
    <xf numFmtId="9" fontId="0" fillId="0" borderId="0" xfId="74" applyFont="1" applyAlignment="1"/>
    <xf numFmtId="10" fontId="34" fillId="37" borderId="0" xfId="75" applyNumberFormat="1" applyFont="1" applyFill="1">
      <alignment vertical="center"/>
    </xf>
    <xf numFmtId="181" fontId="34" fillId="37" borderId="0" xfId="75" applyNumberFormat="1" applyFont="1" applyFill="1">
      <alignment vertical="center"/>
    </xf>
    <xf numFmtId="0" fontId="1" fillId="40" borderId="0" xfId="75" applyFont="1" applyFill="1">
      <alignment vertical="center"/>
    </xf>
    <xf numFmtId="183" fontId="34" fillId="40" borderId="0" xfId="75" applyNumberFormat="1" applyFont="1" applyFill="1">
      <alignment vertical="center"/>
    </xf>
    <xf numFmtId="184" fontId="34" fillId="40" borderId="0" xfId="75" applyNumberFormat="1" applyFont="1" applyFill="1">
      <alignment vertical="center"/>
    </xf>
    <xf numFmtId="0" fontId="34" fillId="0" borderId="0" xfId="75" applyFont="1" applyAlignment="1">
      <alignment horizontal="left" vertical="center"/>
    </xf>
    <xf numFmtId="0" fontId="38" fillId="0" borderId="0" xfId="75" applyFont="1" applyAlignment="1">
      <alignment horizontal="left" vertical="center"/>
    </xf>
    <xf numFmtId="0" fontId="34" fillId="40" borderId="0" xfId="75" applyFont="1" applyFill="1" applyAlignment="1">
      <alignment horizontal="center" vertical="center"/>
    </xf>
    <xf numFmtId="0" fontId="3" fillId="0" borderId="0" xfId="77" applyAlignment="1">
      <alignment horizontal="center" vertical="center"/>
    </xf>
  </cellXfs>
  <cellStyles count="80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 xr:uid="{00000000-0005-0000-0000-000019000000}"/>
    <cellStyle name="blp_title_header_row_left" xfId="51" xr:uid="{00000000-0005-0000-0000-00001A000000}"/>
    <cellStyle name="fa_column_header_bottom" xfId="30" xr:uid="{00000000-0005-0000-0000-00001E000000}"/>
    <cellStyle name="fa_column_header_bottom 2" xfId="69" xr:uid="{077F201A-0150-4142-9258-AFF01245079C}"/>
    <cellStyle name="fa_column_header_bottom_left" xfId="52" xr:uid="{00000000-0005-0000-0000-00001F000000}"/>
    <cellStyle name="fa_column_header_bottom_left 2" xfId="68" xr:uid="{FAE0D943-5E84-4EA3-8472-1E2CEFC89F9C}"/>
    <cellStyle name="fa_column_header_empty" xfId="31" xr:uid="{00000000-0005-0000-0000-000020000000}"/>
    <cellStyle name="fa_column_header_top" xfId="32" xr:uid="{00000000-0005-0000-0000-000021000000}"/>
    <cellStyle name="fa_column_header_top 2" xfId="67" xr:uid="{26A758E8-4812-4696-9421-5DC7D567D7AF}"/>
    <cellStyle name="fa_column_header_top_left" xfId="33" xr:uid="{00000000-0005-0000-0000-000022000000}"/>
    <cellStyle name="fa_column_header_top_left 2" xfId="66" xr:uid="{5D326381-F352-40FE-8A03-179CCB8BE3C2}"/>
    <cellStyle name="fa_data_bold_0_grouped" xfId="57" xr:uid="{00000000-0005-0000-0000-000023000000}"/>
    <cellStyle name="fa_data_bold_3_grouped" xfId="58" xr:uid="{00000000-0005-0000-0000-000024000000}"/>
    <cellStyle name="fa_data_current_bold_0_grouped" xfId="59" xr:uid="{00000000-0005-0000-0000-000025000000}"/>
    <cellStyle name="fa_data_current_bold_3_grouped" xfId="60" xr:uid="{00000000-0005-0000-0000-000026000000}"/>
    <cellStyle name="fa_data_current_italic_3_grouped" xfId="62" xr:uid="{00000000-0005-0000-0000-000027000000}"/>
    <cellStyle name="fa_data_current_standard_0_grouped" xfId="55" xr:uid="{00000000-0005-0000-0000-000028000000}"/>
    <cellStyle name="fa_data_current_standard_3_grouped" xfId="56" xr:uid="{00000000-0005-0000-0000-000029000000}"/>
    <cellStyle name="fa_data_italic_3_grouped" xfId="61" xr:uid="{00000000-0005-0000-0000-00002A000000}"/>
    <cellStyle name="fa_data_standard" xfId="64" xr:uid="{3AAF47CF-4483-44C5-B3A1-7C48EE64FBE6}"/>
    <cellStyle name="fa_data_standard_0_grouped" xfId="53" xr:uid="{00000000-0005-0000-0000-00002B000000}"/>
    <cellStyle name="fa_data_standard_2_grouped" xfId="65" xr:uid="{AAD767BE-9D8D-43C1-96B3-385E690F9AD3}"/>
    <cellStyle name="fa_data_standard_3_grouped" xfId="54" xr:uid="{00000000-0005-0000-0000-00002C000000}"/>
    <cellStyle name="fa_footer_italic" xfId="34" xr:uid="{00000000-0005-0000-0000-00002D000000}"/>
    <cellStyle name="fa_grey_text_italics" xfId="63" xr:uid="{7F252342-1094-42B6-80B5-1DA8D9D7C76B}"/>
    <cellStyle name="fa_row_header_bold" xfId="35" xr:uid="{00000000-0005-0000-0000-00002E000000}"/>
    <cellStyle name="fa_row_header_bold 2" xfId="71" xr:uid="{47F599F7-2163-400C-AE02-34242178DE47}"/>
    <cellStyle name="fa_row_header_italic" xfId="36" xr:uid="{00000000-0005-0000-0000-00002F000000}"/>
    <cellStyle name="fa_row_header_italic 2" xfId="70" xr:uid="{F04AAE3A-E2FC-445E-9D66-25C141DC31EE}"/>
    <cellStyle name="fa_row_header_standard" xfId="37" xr:uid="{00000000-0005-0000-0000-000030000000}"/>
    <cellStyle name="fa_row_header_standard 2" xfId="72" xr:uid="{292FA198-16E8-4B55-8C9F-06D8387BD02A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50" builtinId="11" customBuiltin="1"/>
    <cellStyle name="계산" xfId="27" builtinId="22" customBuiltin="1"/>
    <cellStyle name="나쁨" xfId="25" builtinId="27" customBuiltin="1"/>
    <cellStyle name="메모" xfId="46" builtinId="10" customBuiltin="1"/>
    <cellStyle name="백분율" xfId="74" builtinId="5"/>
    <cellStyle name="백분율 2" xfId="76" xr:uid="{E6BFDD69-9FA8-4EE3-A13A-800A3265DA8B}"/>
    <cellStyle name="백분율 3" xfId="79" xr:uid="{7C2D6E2A-A96B-41E5-8C57-969E83A86591}"/>
    <cellStyle name="보통" xfId="45" builtinId="28" customBuiltin="1"/>
    <cellStyle name="설명 텍스트" xfId="29" builtinId="53" customBuiltin="1"/>
    <cellStyle name="셀 확인" xfId="28" builtinId="23" customBuiltin="1"/>
    <cellStyle name="쉼표 [0]" xfId="73" builtinId="6"/>
    <cellStyle name="쉼표 [0] 2" xfId="78" xr:uid="{02CB9E17-9EFE-4B5F-8709-454207606A03}"/>
    <cellStyle name="연결된 셀" xfId="44" builtinId="24" customBuiltin="1"/>
    <cellStyle name="요약" xfId="49" builtinId="25" customBuiltin="1"/>
    <cellStyle name="입력" xfId="43" builtinId="20" customBuiltin="1"/>
    <cellStyle name="제목" xfId="48" builtinId="15" customBuiltin="1"/>
    <cellStyle name="제목 1" xfId="39" builtinId="16" customBuiltin="1"/>
    <cellStyle name="제목 2" xfId="40" builtinId="17" customBuiltin="1"/>
    <cellStyle name="제목 3" xfId="41" builtinId="18" customBuiltin="1"/>
    <cellStyle name="제목 4" xfId="42" builtinId="19" customBuiltin="1"/>
    <cellStyle name="좋음" xfId="38" builtinId="26" customBuiltin="1"/>
    <cellStyle name="출력" xfId="47" builtinId="21" customBuiltin="1"/>
    <cellStyle name="표준" xfId="0" builtinId="0"/>
    <cellStyle name="표준 2" xfId="75" xr:uid="{210CB35F-4B2D-4817-B66D-5F014ADC2BCE}"/>
    <cellStyle name="표준 3" xfId="77" xr:uid="{7DBFAA8F-F93F-4C17-918C-48DA0148EFD4}"/>
  </cellStyles>
  <dxfs count="0"/>
  <tableStyles count="0" defaultTableStyle="TableStyleMedium2" defaultPivotStyle="PivotStyleLight16"/>
  <colors>
    <mruColors>
      <color rgb="FFD0CECE"/>
      <color rgb="FF20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'니 목을 찰거야 목차'!$F$40:$F$43</c:f>
              <c:numCache>
                <c:formatCode>\$#,##0_);[Red]\(\$#,##0\)</c:formatCode>
                <c:ptCount val="4"/>
                <c:pt idx="0">
                  <c:v>4399</c:v>
                </c:pt>
                <c:pt idx="1">
                  <c:v>4701</c:v>
                </c:pt>
                <c:pt idx="2">
                  <c:v>3291</c:v>
                </c:pt>
                <c:pt idx="3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5-42F8-883D-C69BB4A09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'니 목을 찰거야 목차'!$J$88:$J$93</c:f>
              <c:strCache>
                <c:ptCount val="6"/>
                <c:pt idx="0">
                  <c:v>결제 서비스</c:v>
                </c:pt>
                <c:pt idx="1">
                  <c:v>데이터 처리</c:v>
                </c:pt>
                <c:pt idx="2">
                  <c:v>해외 수수료</c:v>
                </c:pt>
                <c:pt idx="3">
                  <c:v>기타</c:v>
                </c:pt>
                <c:pt idx="4">
                  <c:v>인센티브</c:v>
                </c:pt>
                <c:pt idx="5">
                  <c:v>인센 차감 전</c:v>
                </c:pt>
              </c:strCache>
            </c:strRef>
          </c:cat>
          <c:val>
            <c:numRef>
              <c:f>'니 목을 찰거야 목차'!$K$88:$K$93</c:f>
              <c:numCache>
                <c:formatCode>#,##0</c:formatCode>
                <c:ptCount val="6"/>
                <c:pt idx="0">
                  <c:v>16114</c:v>
                </c:pt>
                <c:pt idx="1">
                  <c:v>17714</c:v>
                </c:pt>
                <c:pt idx="2">
                  <c:v>12665</c:v>
                </c:pt>
                <c:pt idx="3">
                  <c:v>3197</c:v>
                </c:pt>
                <c:pt idx="4">
                  <c:v>-13764</c:v>
                </c:pt>
                <c:pt idx="5">
                  <c:v>49690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4-4808-BAFA-DAA9696C5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94111"/>
        <c:axId val="26701311"/>
      </c:barChart>
      <c:catAx>
        <c:axId val="2669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701311"/>
        <c:crosses val="autoZero"/>
        <c:auto val="1"/>
        <c:lblAlgn val="ctr"/>
        <c:lblOffset val="100"/>
        <c:noMultiLvlLbl val="0"/>
      </c:catAx>
      <c:valAx>
        <c:axId val="267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69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89648</xdr:colOff>
      <xdr:row>124</xdr:row>
      <xdr:rowOff>66136</xdr:rowOff>
    </xdr:from>
    <xdr:ext cx="6272533" cy="1538545"/>
    <xdr:pic>
      <xdr:nvPicPr>
        <xdr:cNvPr id="2" name="그림 1">
          <a:extLst>
            <a:ext uri="{FF2B5EF4-FFF2-40B4-BE49-F238E27FC236}">
              <a16:creationId xmlns:a16="http://schemas.microsoft.com/office/drawing/2014/main" id="{592396CB-9B9E-48AB-A075-BCD50ECB7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1" y="28502183"/>
          <a:ext cx="6272533" cy="1538545"/>
        </a:xfrm>
        <a:prstGeom prst="rect">
          <a:avLst/>
        </a:prstGeom>
      </xdr:spPr>
    </xdr:pic>
    <xdr:clientData/>
  </xdr:oneCellAnchor>
  <xdr:twoCellAnchor editAs="oneCell">
    <xdr:from>
      <xdr:col>13</xdr:col>
      <xdr:colOff>529019</xdr:colOff>
      <xdr:row>6</xdr:row>
      <xdr:rowOff>194504</xdr:rowOff>
    </xdr:from>
    <xdr:to>
      <xdr:col>21</xdr:col>
      <xdr:colOff>619069</xdr:colOff>
      <xdr:row>18</xdr:row>
      <xdr:rowOff>227499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07D710-4EE7-FB99-8029-956AA887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24031" y="1592998"/>
          <a:ext cx="5701956" cy="2829983"/>
        </a:xfrm>
        <a:prstGeom prst="rect">
          <a:avLst/>
        </a:prstGeom>
      </xdr:spPr>
    </xdr:pic>
    <xdr:clientData/>
  </xdr:twoCellAnchor>
  <xdr:twoCellAnchor>
    <xdr:from>
      <xdr:col>11</xdr:col>
      <xdr:colOff>528917</xdr:colOff>
      <xdr:row>38</xdr:row>
      <xdr:rowOff>210671</xdr:rowOff>
    </xdr:from>
    <xdr:to>
      <xdr:col>18</xdr:col>
      <xdr:colOff>161364</xdr:colOff>
      <xdr:row>50</xdr:row>
      <xdr:rowOff>156882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A9316D4-CE78-C6FD-6BE6-D7FA6C5D4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513521</xdr:colOff>
      <xdr:row>85</xdr:row>
      <xdr:rowOff>23191</xdr:rowOff>
    </xdr:from>
    <xdr:to>
      <xdr:col>11</xdr:col>
      <xdr:colOff>274982</xdr:colOff>
      <xdr:row>96</xdr:row>
      <xdr:rowOff>215348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0350D34-7EC3-FE99-436A-096829FB3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</xdr:colOff>
      <xdr:row>67</xdr:row>
      <xdr:rowOff>70658</xdr:rowOff>
    </xdr:from>
    <xdr:ext cx="4739270" cy="777029"/>
    <xdr:pic>
      <xdr:nvPicPr>
        <xdr:cNvPr id="2" name="그림 1">
          <a:extLst>
            <a:ext uri="{FF2B5EF4-FFF2-40B4-BE49-F238E27FC236}">
              <a16:creationId xmlns:a16="http://schemas.microsoft.com/office/drawing/2014/main" id="{825464AE-5B01-410A-B650-8D314353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980" y="3606338"/>
          <a:ext cx="4739270" cy="777029"/>
        </a:xfrm>
        <a:prstGeom prst="rect">
          <a:avLst/>
        </a:prstGeom>
      </xdr:spPr>
    </xdr:pic>
    <xdr:clientData/>
  </xdr:oneCellAnchor>
  <xdr:oneCellAnchor>
    <xdr:from>
      <xdr:col>7</xdr:col>
      <xdr:colOff>665180</xdr:colOff>
      <xdr:row>64</xdr:row>
      <xdr:rowOff>152857</xdr:rowOff>
    </xdr:from>
    <xdr:ext cx="3101734" cy="1747745"/>
    <xdr:pic>
      <xdr:nvPicPr>
        <xdr:cNvPr id="3" name="그림 2">
          <a:extLst>
            <a:ext uri="{FF2B5EF4-FFF2-40B4-BE49-F238E27FC236}">
              <a16:creationId xmlns:a16="http://schemas.microsoft.com/office/drawing/2014/main" id="{4B9A45A3-AC7C-4F43-A93F-B2C79B07C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8121" y="13644739"/>
          <a:ext cx="3101734" cy="1747745"/>
        </a:xfrm>
        <a:prstGeom prst="rect">
          <a:avLst/>
        </a:prstGeom>
      </xdr:spPr>
    </xdr:pic>
    <xdr:clientData/>
  </xdr:oneCellAnchor>
  <xdr:oneCellAnchor>
    <xdr:from>
      <xdr:col>9</xdr:col>
      <xdr:colOff>971403</xdr:colOff>
      <xdr:row>80</xdr:row>
      <xdr:rowOff>153867</xdr:rowOff>
    </xdr:from>
    <xdr:ext cx="3043127" cy="3064665"/>
    <xdr:pic>
      <xdr:nvPicPr>
        <xdr:cNvPr id="4" name="그림 3">
          <a:extLst>
            <a:ext uri="{FF2B5EF4-FFF2-40B4-BE49-F238E27FC236}">
              <a16:creationId xmlns:a16="http://schemas.microsoft.com/office/drawing/2014/main" id="{0CD5FD14-BA52-4489-B4A9-9858800D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66822" y="18015802"/>
          <a:ext cx="3043127" cy="3064665"/>
        </a:xfrm>
        <a:prstGeom prst="rect">
          <a:avLst/>
        </a:prstGeom>
      </xdr:spPr>
    </xdr:pic>
    <xdr:clientData/>
  </xdr:oneCellAnchor>
  <xdr:oneCellAnchor>
    <xdr:from>
      <xdr:col>7</xdr:col>
      <xdr:colOff>134471</xdr:colOff>
      <xdr:row>118</xdr:row>
      <xdr:rowOff>89647</xdr:rowOff>
    </xdr:from>
    <xdr:ext cx="2022396" cy="2088776"/>
    <xdr:pic>
      <xdr:nvPicPr>
        <xdr:cNvPr id="6" name="그림 5">
          <a:extLst>
            <a:ext uri="{FF2B5EF4-FFF2-40B4-BE49-F238E27FC236}">
              <a16:creationId xmlns:a16="http://schemas.microsoft.com/office/drawing/2014/main" id="{EDEF8FC3-A670-4C98-B6F4-EF9670FB1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28391" y="10917667"/>
          <a:ext cx="2022396" cy="2088776"/>
        </a:xfrm>
        <a:prstGeom prst="rect">
          <a:avLst/>
        </a:prstGeom>
      </xdr:spPr>
    </xdr:pic>
    <xdr:clientData/>
  </xdr:oneCellAnchor>
  <xdr:oneCellAnchor>
    <xdr:from>
      <xdr:col>4</xdr:col>
      <xdr:colOff>479571</xdr:colOff>
      <xdr:row>118</xdr:row>
      <xdr:rowOff>179294</xdr:rowOff>
    </xdr:from>
    <xdr:ext cx="2144476" cy="2081978"/>
    <xdr:pic>
      <xdr:nvPicPr>
        <xdr:cNvPr id="7" name="그림 6">
          <a:extLst>
            <a:ext uri="{FF2B5EF4-FFF2-40B4-BE49-F238E27FC236}">
              <a16:creationId xmlns:a16="http://schemas.microsoft.com/office/drawing/2014/main" id="{0421D747-B76D-426B-9515-38F15AF5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61811" y="11007314"/>
          <a:ext cx="2144476" cy="2081978"/>
        </a:xfrm>
        <a:prstGeom prst="rect">
          <a:avLst/>
        </a:prstGeom>
      </xdr:spPr>
    </xdr:pic>
    <xdr:clientData/>
  </xdr:oneCellAnchor>
  <xdr:oneCellAnchor>
    <xdr:from>
      <xdr:col>9</xdr:col>
      <xdr:colOff>613430</xdr:colOff>
      <xdr:row>118</xdr:row>
      <xdr:rowOff>85644</xdr:rowOff>
    </xdr:from>
    <xdr:ext cx="2312894" cy="2080422"/>
    <xdr:pic>
      <xdr:nvPicPr>
        <xdr:cNvPr id="8" name="그림 7">
          <a:extLst>
            <a:ext uri="{FF2B5EF4-FFF2-40B4-BE49-F238E27FC236}">
              <a16:creationId xmlns:a16="http://schemas.microsoft.com/office/drawing/2014/main" id="{F6B9BFB5-05A9-4B61-9ED9-871962ED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18634" y="26881411"/>
          <a:ext cx="2312894" cy="20804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BD7B-4716-46F9-ADA2-7450D3ADBBDA}">
  <dimension ref="A2:L146"/>
  <sheetViews>
    <sheetView tabSelected="1" topLeftCell="A71" zoomScale="115" zoomScaleNormal="115" workbookViewId="0">
      <selection activeCell="J77" sqref="J77:L80"/>
    </sheetView>
  </sheetViews>
  <sheetFormatPr defaultRowHeight="18" x14ac:dyDescent="0.4"/>
  <cols>
    <col min="1" max="1" width="8.796875" style="33"/>
    <col min="2" max="2" width="12" style="33" customWidth="1"/>
    <col min="3" max="3" width="14.19921875" style="33" bestFit="1" customWidth="1"/>
    <col min="4" max="9" width="8.796875" style="33"/>
    <col min="10" max="10" width="10.3984375" style="33" bestFit="1" customWidth="1"/>
    <col min="11" max="14" width="8.796875" style="33"/>
    <col min="15" max="15" width="11.8984375" style="33" customWidth="1"/>
    <col min="16" max="16384" width="8.796875" style="33"/>
  </cols>
  <sheetData>
    <row r="2" spans="2:4" s="36" customFormat="1" x14ac:dyDescent="0.4">
      <c r="B2" s="37" t="s">
        <v>1254</v>
      </c>
    </row>
    <row r="4" spans="2:4" s="36" customFormat="1" x14ac:dyDescent="0.4">
      <c r="B4" s="37" t="s">
        <v>1253</v>
      </c>
    </row>
    <row r="6" spans="2:4" s="36" customFormat="1" x14ac:dyDescent="0.4">
      <c r="B6" s="37" t="s">
        <v>1382</v>
      </c>
    </row>
    <row r="7" spans="2:4" x14ac:dyDescent="0.4">
      <c r="B7" s="42"/>
    </row>
    <row r="8" spans="2:4" x14ac:dyDescent="0.4">
      <c r="B8" s="42" t="s">
        <v>1377</v>
      </c>
    </row>
    <row r="9" spans="2:4" x14ac:dyDescent="0.4">
      <c r="C9" s="49" t="s">
        <v>1252</v>
      </c>
      <c r="D9" s="47"/>
    </row>
    <row r="10" spans="2:4" x14ac:dyDescent="0.4">
      <c r="C10" s="48" t="s">
        <v>1251</v>
      </c>
      <c r="D10" s="47"/>
    </row>
    <row r="11" spans="2:4" x14ac:dyDescent="0.4">
      <c r="C11" s="48" t="s">
        <v>1250</v>
      </c>
      <c r="D11" s="47"/>
    </row>
    <row r="12" spans="2:4" x14ac:dyDescent="0.4">
      <c r="C12" s="48" t="s">
        <v>1249</v>
      </c>
      <c r="D12" s="47"/>
    </row>
    <row r="13" spans="2:4" x14ac:dyDescent="0.4">
      <c r="C13" s="48"/>
    </row>
    <row r="14" spans="2:4" x14ac:dyDescent="0.4">
      <c r="C14" s="48" t="s">
        <v>1378</v>
      </c>
      <c r="D14" s="47"/>
    </row>
    <row r="15" spans="2:4" x14ac:dyDescent="0.4">
      <c r="B15" s="42"/>
      <c r="C15" s="48" t="s">
        <v>1248</v>
      </c>
      <c r="D15" s="47"/>
    </row>
    <row r="16" spans="2:4" x14ac:dyDescent="0.4">
      <c r="C16" s="33" t="s">
        <v>1247</v>
      </c>
    </row>
    <row r="17" spans="2:3" x14ac:dyDescent="0.4">
      <c r="B17" s="42"/>
      <c r="C17" s="33" t="s">
        <v>1246</v>
      </c>
    </row>
    <row r="18" spans="2:3" x14ac:dyDescent="0.4">
      <c r="B18" s="42"/>
    </row>
    <row r="19" spans="2:3" x14ac:dyDescent="0.4">
      <c r="B19" s="42"/>
      <c r="C19" s="33" t="s">
        <v>1245</v>
      </c>
    </row>
    <row r="20" spans="2:3" x14ac:dyDescent="0.4">
      <c r="B20" s="42"/>
      <c r="C20" s="33" t="s">
        <v>1244</v>
      </c>
    </row>
    <row r="21" spans="2:3" x14ac:dyDescent="0.4">
      <c r="B21" s="42"/>
      <c r="C21" s="33" t="s">
        <v>1379</v>
      </c>
    </row>
    <row r="22" spans="2:3" x14ac:dyDescent="0.4">
      <c r="B22" s="42"/>
    </row>
    <row r="23" spans="2:3" x14ac:dyDescent="0.4">
      <c r="B23" s="42"/>
      <c r="C23" s="33" t="s">
        <v>1351</v>
      </c>
    </row>
    <row r="24" spans="2:3" x14ac:dyDescent="0.4">
      <c r="B24" s="42"/>
      <c r="C24" s="33" t="s">
        <v>1352</v>
      </c>
    </row>
    <row r="25" spans="2:3" x14ac:dyDescent="0.4">
      <c r="B25" s="42"/>
      <c r="C25" s="33" t="s">
        <v>1353</v>
      </c>
    </row>
    <row r="26" spans="2:3" x14ac:dyDescent="0.4">
      <c r="B26" s="42"/>
      <c r="C26" s="33" t="s">
        <v>1354</v>
      </c>
    </row>
    <row r="27" spans="2:3" x14ac:dyDescent="0.4">
      <c r="B27" s="42"/>
      <c r="C27" s="33" t="s">
        <v>1362</v>
      </c>
    </row>
    <row r="28" spans="2:3" x14ac:dyDescent="0.4">
      <c r="B28" s="42"/>
      <c r="C28" s="33" t="s">
        <v>1355</v>
      </c>
    </row>
    <row r="29" spans="2:3" x14ac:dyDescent="0.4">
      <c r="B29" s="42"/>
    </row>
    <row r="30" spans="2:3" x14ac:dyDescent="0.4">
      <c r="B30" s="42"/>
      <c r="C30" s="33" t="s">
        <v>1356</v>
      </c>
    </row>
    <row r="31" spans="2:3" x14ac:dyDescent="0.4">
      <c r="B31" s="42"/>
      <c r="C31" s="33" t="s">
        <v>1357</v>
      </c>
    </row>
    <row r="32" spans="2:3" x14ac:dyDescent="0.4">
      <c r="B32" s="42"/>
      <c r="C32" s="42" t="s">
        <v>1358</v>
      </c>
    </row>
    <row r="33" spans="2:9" x14ac:dyDescent="0.4">
      <c r="B33" s="42"/>
      <c r="C33" s="33" t="s">
        <v>1359</v>
      </c>
    </row>
    <row r="34" spans="2:9" x14ac:dyDescent="0.4">
      <c r="B34" s="42"/>
      <c r="C34" s="33" t="s">
        <v>1360</v>
      </c>
    </row>
    <row r="35" spans="2:9" x14ac:dyDescent="0.4">
      <c r="B35" s="42"/>
      <c r="C35" s="33" t="s">
        <v>1361</v>
      </c>
    </row>
    <row r="37" spans="2:9" s="36" customFormat="1" x14ac:dyDescent="0.4">
      <c r="B37" s="37" t="s">
        <v>1384</v>
      </c>
    </row>
    <row r="39" spans="2:9" x14ac:dyDescent="0.4">
      <c r="B39" s="42" t="s">
        <v>1243</v>
      </c>
      <c r="F39" s="42" t="s">
        <v>1242</v>
      </c>
      <c r="I39" s="42" t="s">
        <v>1241</v>
      </c>
    </row>
    <row r="40" spans="2:9" x14ac:dyDescent="0.4">
      <c r="B40" s="104" t="s">
        <v>1237</v>
      </c>
      <c r="C40" s="104"/>
      <c r="D40" s="104"/>
      <c r="E40" s="104"/>
      <c r="F40" s="48">
        <v>4399</v>
      </c>
      <c r="G40" s="47">
        <v>0.45900000000000002</v>
      </c>
      <c r="I40" s="48">
        <v>4330</v>
      </c>
    </row>
    <row r="41" spans="2:9" x14ac:dyDescent="0.4">
      <c r="B41" s="104" t="s">
        <v>1240</v>
      </c>
      <c r="C41" s="104"/>
      <c r="D41" s="104"/>
      <c r="E41" s="104"/>
      <c r="F41" s="48">
        <v>4701</v>
      </c>
      <c r="G41" s="47">
        <v>0.49</v>
      </c>
      <c r="I41" s="48">
        <v>5153</v>
      </c>
    </row>
    <row r="42" spans="2:9" x14ac:dyDescent="0.4">
      <c r="B42" s="104" t="s">
        <v>1226</v>
      </c>
      <c r="C42" s="104"/>
      <c r="D42" s="104"/>
      <c r="E42" s="104"/>
      <c r="F42" s="48">
        <v>3291</v>
      </c>
      <c r="G42" s="47">
        <v>0.34300000000000003</v>
      </c>
      <c r="I42" s="48">
        <v>3633</v>
      </c>
    </row>
    <row r="43" spans="2:9" x14ac:dyDescent="0.4">
      <c r="B43" s="104" t="s">
        <v>1221</v>
      </c>
      <c r="C43" s="104"/>
      <c r="D43" s="104"/>
      <c r="E43" s="104"/>
      <c r="F43" s="48">
        <v>937</v>
      </c>
      <c r="G43" s="47">
        <v>9.8000000000000004E-2</v>
      </c>
      <c r="I43" s="48">
        <v>1028</v>
      </c>
    </row>
    <row r="44" spans="2:9" x14ac:dyDescent="0.4">
      <c r="B44" s="105" t="s">
        <v>1218</v>
      </c>
      <c r="C44" s="105"/>
      <c r="D44" s="105"/>
      <c r="E44" s="105"/>
      <c r="F44" s="48">
        <v>-3734</v>
      </c>
      <c r="G44" s="33" t="s">
        <v>1239</v>
      </c>
      <c r="I44" s="48">
        <v>-3972</v>
      </c>
    </row>
    <row r="45" spans="2:9" x14ac:dyDescent="0.4">
      <c r="B45" s="104" t="s">
        <v>1238</v>
      </c>
      <c r="C45" s="104"/>
      <c r="D45" s="104"/>
      <c r="E45" s="104"/>
      <c r="F45" s="48">
        <v>9594</v>
      </c>
      <c r="G45" s="47">
        <v>1</v>
      </c>
      <c r="I45" s="48">
        <v>10172</v>
      </c>
    </row>
    <row r="46" spans="2:9" x14ac:dyDescent="0.4">
      <c r="B46" s="42"/>
      <c r="C46" s="48"/>
      <c r="D46" s="47"/>
    </row>
    <row r="47" spans="2:9" x14ac:dyDescent="0.4">
      <c r="B47" s="42" t="s">
        <v>1237</v>
      </c>
    </row>
    <row r="48" spans="2:9" x14ac:dyDescent="0.4">
      <c r="B48" s="42"/>
      <c r="C48" s="33" t="s">
        <v>1236</v>
      </c>
    </row>
    <row r="49" spans="2:4" x14ac:dyDescent="0.4">
      <c r="C49" s="33" t="s">
        <v>1235</v>
      </c>
    </row>
    <row r="50" spans="2:4" x14ac:dyDescent="0.4">
      <c r="C50" s="33" t="s">
        <v>1234</v>
      </c>
    </row>
    <row r="51" spans="2:4" x14ac:dyDescent="0.4">
      <c r="C51" s="33" t="s">
        <v>1233</v>
      </c>
    </row>
    <row r="52" spans="2:4" x14ac:dyDescent="0.4">
      <c r="C52" s="40" t="s">
        <v>1232</v>
      </c>
    </row>
    <row r="53" spans="2:4" x14ac:dyDescent="0.4">
      <c r="B53" s="42" t="s">
        <v>1231</v>
      </c>
    </row>
    <row r="54" spans="2:4" x14ac:dyDescent="0.4">
      <c r="C54" s="33" t="s">
        <v>1230</v>
      </c>
    </row>
    <row r="55" spans="2:4" x14ac:dyDescent="0.4">
      <c r="C55" s="33" t="s">
        <v>1229</v>
      </c>
    </row>
    <row r="56" spans="2:4" x14ac:dyDescent="0.4">
      <c r="C56" s="33" t="s">
        <v>1228</v>
      </c>
    </row>
    <row r="57" spans="2:4" x14ac:dyDescent="0.4">
      <c r="C57" s="40" t="s">
        <v>1227</v>
      </c>
    </row>
    <row r="58" spans="2:4" x14ac:dyDescent="0.4">
      <c r="B58" s="42" t="s">
        <v>1226</v>
      </c>
    </row>
    <row r="59" spans="2:4" x14ac:dyDescent="0.4">
      <c r="C59" s="33" t="s">
        <v>1225</v>
      </c>
    </row>
    <row r="60" spans="2:4" x14ac:dyDescent="0.4">
      <c r="C60" s="33" t="s">
        <v>1224</v>
      </c>
    </row>
    <row r="61" spans="2:4" x14ac:dyDescent="0.4">
      <c r="C61" s="33" t="s">
        <v>1223</v>
      </c>
    </row>
    <row r="62" spans="2:4" x14ac:dyDescent="0.4">
      <c r="C62" s="33" t="s">
        <v>1222</v>
      </c>
    </row>
    <row r="63" spans="2:4" x14ac:dyDescent="0.4">
      <c r="B63" s="42" t="s">
        <v>1221</v>
      </c>
      <c r="D63" s="33" t="s">
        <v>1220</v>
      </c>
    </row>
    <row r="64" spans="2:4" x14ac:dyDescent="0.4">
      <c r="C64" s="33" t="s">
        <v>1219</v>
      </c>
    </row>
    <row r="65" spans="1:12" x14ac:dyDescent="0.4">
      <c r="B65" s="46" t="s">
        <v>1218</v>
      </c>
    </row>
    <row r="66" spans="1:12" x14ac:dyDescent="0.4">
      <c r="C66" s="33" t="s">
        <v>1217</v>
      </c>
    </row>
    <row r="67" spans="1:12" x14ac:dyDescent="0.4">
      <c r="C67" s="33" t="s">
        <v>1216</v>
      </c>
    </row>
    <row r="68" spans="1:12" x14ac:dyDescent="0.4">
      <c r="C68" s="33" t="s">
        <v>1215</v>
      </c>
    </row>
    <row r="69" spans="1:12" x14ac:dyDescent="0.4">
      <c r="C69" s="33" t="s">
        <v>1214</v>
      </c>
    </row>
    <row r="71" spans="1:12" x14ac:dyDescent="0.4">
      <c r="A71" s="33" t="s">
        <v>1213</v>
      </c>
      <c r="B71" s="42" t="s">
        <v>1383</v>
      </c>
    </row>
    <row r="72" spans="1:12" x14ac:dyDescent="0.4">
      <c r="B72" s="33" t="s">
        <v>1212</v>
      </c>
    </row>
    <row r="73" spans="1:12" x14ac:dyDescent="0.4">
      <c r="C73" s="33" t="s">
        <v>1211</v>
      </c>
    </row>
    <row r="74" spans="1:12" x14ac:dyDescent="0.4">
      <c r="C74" s="33" t="s">
        <v>1210</v>
      </c>
    </row>
    <row r="75" spans="1:12" x14ac:dyDescent="0.4">
      <c r="C75" s="33" t="s">
        <v>1209</v>
      </c>
    </row>
    <row r="76" spans="1:12" x14ac:dyDescent="0.4">
      <c r="B76" s="33" t="s">
        <v>1208</v>
      </c>
      <c r="J76" s="33">
        <v>2023</v>
      </c>
      <c r="K76" s="33">
        <v>2024</v>
      </c>
      <c r="L76" s="33">
        <v>2025</v>
      </c>
    </row>
    <row r="77" spans="1:12" x14ac:dyDescent="0.4">
      <c r="C77" s="33" t="s">
        <v>1207</v>
      </c>
      <c r="I77" s="33">
        <v>1</v>
      </c>
      <c r="J77" s="33">
        <v>1</v>
      </c>
      <c r="K77" s="33">
        <v>1</v>
      </c>
      <c r="L77" s="33">
        <v>1</v>
      </c>
    </row>
    <row r="78" spans="1:12" x14ac:dyDescent="0.4">
      <c r="C78" s="33" t="s">
        <v>1206</v>
      </c>
      <c r="I78" s="33">
        <v>2</v>
      </c>
    </row>
    <row r="79" spans="1:12" x14ac:dyDescent="0.4">
      <c r="C79" s="33" t="s">
        <v>1205</v>
      </c>
      <c r="I79" s="33">
        <v>3</v>
      </c>
    </row>
    <row r="80" spans="1:12" x14ac:dyDescent="0.4">
      <c r="B80" s="33" t="s">
        <v>1204</v>
      </c>
      <c r="I80" s="33">
        <v>4</v>
      </c>
    </row>
    <row r="81" spans="2:12" x14ac:dyDescent="0.4">
      <c r="C81" s="33" t="s">
        <v>1203</v>
      </c>
    </row>
    <row r="82" spans="2:12" x14ac:dyDescent="0.4">
      <c r="C82" s="33" t="s">
        <v>1202</v>
      </c>
    </row>
    <row r="83" spans="2:12" x14ac:dyDescent="0.4">
      <c r="C83" s="33" t="s">
        <v>1201</v>
      </c>
    </row>
    <row r="85" spans="2:12" s="36" customFormat="1" x14ac:dyDescent="0.4">
      <c r="B85" s="37" t="s">
        <v>1391</v>
      </c>
    </row>
    <row r="87" spans="2:12" x14ac:dyDescent="0.4">
      <c r="B87" s="42" t="s">
        <v>1381</v>
      </c>
      <c r="J87" s="33" t="s">
        <v>1200</v>
      </c>
      <c r="K87" s="45">
        <v>2024</v>
      </c>
      <c r="L87" s="33" t="s">
        <v>1199</v>
      </c>
    </row>
    <row r="88" spans="2:12" x14ac:dyDescent="0.4">
      <c r="C88" s="33" t="s">
        <v>1198</v>
      </c>
      <c r="J88" s="33" t="s">
        <v>1197</v>
      </c>
      <c r="K88" s="43">
        <v>16114</v>
      </c>
      <c r="L88" s="44">
        <f>K88/$K$93</f>
        <v>0.32429060173073054</v>
      </c>
    </row>
    <row r="89" spans="2:12" x14ac:dyDescent="0.4">
      <c r="C89" s="33" t="s">
        <v>1196</v>
      </c>
      <c r="J89" s="33" t="s">
        <v>1195</v>
      </c>
      <c r="K89" s="43">
        <v>17714</v>
      </c>
      <c r="L89" s="44">
        <f>K89/$K$93</f>
        <v>0.35649023948480579</v>
      </c>
    </row>
    <row r="90" spans="2:12" x14ac:dyDescent="0.4">
      <c r="C90" s="41" t="s">
        <v>1194</v>
      </c>
      <c r="J90" s="33" t="s">
        <v>1193</v>
      </c>
      <c r="K90" s="43">
        <v>12665</v>
      </c>
      <c r="L90" s="44">
        <f>K90/$K$93</f>
        <v>0.25488025759710203</v>
      </c>
    </row>
    <row r="91" spans="2:12" x14ac:dyDescent="0.4">
      <c r="C91" s="33" t="s">
        <v>1192</v>
      </c>
      <c r="J91" s="33" t="s">
        <v>1191</v>
      </c>
      <c r="K91" s="43">
        <v>3197</v>
      </c>
      <c r="L91" s="44">
        <f>K91/$K$93</f>
        <v>6.4338901187361644E-2</v>
      </c>
    </row>
    <row r="92" spans="2:12" x14ac:dyDescent="0.4">
      <c r="C92" s="33" t="s">
        <v>1190</v>
      </c>
      <c r="J92" s="33" t="s">
        <v>1189</v>
      </c>
      <c r="K92" s="43">
        <v>-13764</v>
      </c>
      <c r="L92" s="44"/>
    </row>
    <row r="93" spans="2:12" x14ac:dyDescent="0.4">
      <c r="C93" s="33" t="s">
        <v>1188</v>
      </c>
      <c r="J93" s="33" t="s">
        <v>1187</v>
      </c>
      <c r="K93" s="43">
        <f>SUM(K88:K91)</f>
        <v>49690</v>
      </c>
    </row>
    <row r="94" spans="2:12" x14ac:dyDescent="0.4">
      <c r="C94" s="35" t="s">
        <v>1186</v>
      </c>
      <c r="I94" s="34"/>
    </row>
    <row r="95" spans="2:12" x14ac:dyDescent="0.4">
      <c r="C95" s="41" t="s">
        <v>1185</v>
      </c>
    </row>
    <row r="96" spans="2:12" x14ac:dyDescent="0.4">
      <c r="C96" s="41" t="s">
        <v>1184</v>
      </c>
      <c r="I96" s="34"/>
    </row>
    <row r="97" spans="2:9" x14ac:dyDescent="0.4">
      <c r="C97" s="41"/>
      <c r="I97" s="34"/>
    </row>
    <row r="98" spans="2:9" x14ac:dyDescent="0.4">
      <c r="B98" s="42" t="s">
        <v>1385</v>
      </c>
      <c r="C98" s="41"/>
    </row>
    <row r="99" spans="2:9" x14ac:dyDescent="0.4">
      <c r="C99" s="41" t="s">
        <v>1183</v>
      </c>
    </row>
    <row r="100" spans="2:9" x14ac:dyDescent="0.4">
      <c r="D100" s="41" t="s">
        <v>1182</v>
      </c>
    </row>
    <row r="101" spans="2:9" x14ac:dyDescent="0.4">
      <c r="D101" s="41" t="s">
        <v>1181</v>
      </c>
    </row>
    <row r="102" spans="2:9" x14ac:dyDescent="0.4">
      <c r="D102" s="41" t="s">
        <v>1180</v>
      </c>
    </row>
    <row r="103" spans="2:9" x14ac:dyDescent="0.4">
      <c r="C103" s="40" t="s">
        <v>1179</v>
      </c>
    </row>
    <row r="104" spans="2:9" x14ac:dyDescent="0.4">
      <c r="D104" s="41" t="s">
        <v>1178</v>
      </c>
    </row>
    <row r="105" spans="2:9" x14ac:dyDescent="0.4">
      <c r="D105" s="41" t="s">
        <v>1177</v>
      </c>
    </row>
    <row r="106" spans="2:9" x14ac:dyDescent="0.4">
      <c r="D106" s="41" t="s">
        <v>1176</v>
      </c>
    </row>
    <row r="107" spans="2:9" x14ac:dyDescent="0.4">
      <c r="C107" s="40" t="s">
        <v>1373</v>
      </c>
    </row>
    <row r="108" spans="2:9" x14ac:dyDescent="0.4">
      <c r="C108" s="41" t="s">
        <v>1175</v>
      </c>
    </row>
    <row r="109" spans="2:9" x14ac:dyDescent="0.4">
      <c r="C109" s="40"/>
      <c r="D109" s="33" t="s">
        <v>1174</v>
      </c>
    </row>
    <row r="110" spans="2:9" x14ac:dyDescent="0.4">
      <c r="C110" s="40"/>
    </row>
    <row r="111" spans="2:9" s="36" customFormat="1" x14ac:dyDescent="0.4">
      <c r="B111" s="37" t="s">
        <v>1392</v>
      </c>
    </row>
    <row r="112" spans="2:9" x14ac:dyDescent="0.4">
      <c r="B112" s="42"/>
    </row>
    <row r="113" spans="2:4" x14ac:dyDescent="0.4">
      <c r="B113" s="42" t="s">
        <v>1393</v>
      </c>
      <c r="C113" s="40"/>
    </row>
    <row r="114" spans="2:4" x14ac:dyDescent="0.4">
      <c r="C114" s="41" t="s">
        <v>1173</v>
      </c>
    </row>
    <row r="115" spans="2:4" x14ac:dyDescent="0.4">
      <c r="C115" s="33" t="s">
        <v>1172</v>
      </c>
    </row>
    <row r="116" spans="2:4" x14ac:dyDescent="0.4">
      <c r="C116" s="33" t="s">
        <v>1171</v>
      </c>
    </row>
    <row r="117" spans="2:4" x14ac:dyDescent="0.4">
      <c r="D117" s="33" t="s">
        <v>1170</v>
      </c>
    </row>
    <row r="118" spans="2:4" x14ac:dyDescent="0.4">
      <c r="D118" s="33" t="s">
        <v>1169</v>
      </c>
    </row>
    <row r="119" spans="2:4" x14ac:dyDescent="0.4">
      <c r="D119" s="40" t="s">
        <v>1168</v>
      </c>
    </row>
    <row r="120" spans="2:4" x14ac:dyDescent="0.4">
      <c r="C120" s="33" t="s">
        <v>1167</v>
      </c>
    </row>
    <row r="121" spans="2:4" x14ac:dyDescent="0.4">
      <c r="C121" s="33" t="s">
        <v>1166</v>
      </c>
    </row>
    <row r="122" spans="2:4" x14ac:dyDescent="0.4">
      <c r="C122" s="33" t="s">
        <v>1165</v>
      </c>
    </row>
    <row r="124" spans="2:4" x14ac:dyDescent="0.4">
      <c r="C124" s="39" t="s">
        <v>1164</v>
      </c>
    </row>
    <row r="125" spans="2:4" x14ac:dyDescent="0.4">
      <c r="C125" s="39"/>
    </row>
    <row r="126" spans="2:4" x14ac:dyDescent="0.4">
      <c r="C126" s="39"/>
    </row>
    <row r="127" spans="2:4" x14ac:dyDescent="0.4">
      <c r="C127" s="39"/>
    </row>
    <row r="128" spans="2:4" x14ac:dyDescent="0.4">
      <c r="C128" s="39"/>
    </row>
    <row r="129" spans="2:3" x14ac:dyDescent="0.4">
      <c r="C129" s="39"/>
    </row>
    <row r="130" spans="2:3" x14ac:dyDescent="0.4">
      <c r="C130" s="38"/>
    </row>
    <row r="131" spans="2:3" x14ac:dyDescent="0.4">
      <c r="C131" s="38"/>
    </row>
    <row r="133" spans="2:3" s="36" customFormat="1" x14ac:dyDescent="0.4">
      <c r="B133" s="37" t="s">
        <v>1390</v>
      </c>
    </row>
    <row r="135" spans="2:3" x14ac:dyDescent="0.4">
      <c r="B135" s="33" t="s">
        <v>1380</v>
      </c>
    </row>
    <row r="137" spans="2:3" s="36" customFormat="1" x14ac:dyDescent="0.4">
      <c r="B137" s="37" t="s">
        <v>1163</v>
      </c>
    </row>
    <row r="138" spans="2:3" x14ac:dyDescent="0.4">
      <c r="B138" s="35"/>
    </row>
    <row r="144" spans="2:3" x14ac:dyDescent="0.4">
      <c r="C144" s="34"/>
    </row>
    <row r="145" spans="3:3" x14ac:dyDescent="0.4">
      <c r="C145" s="34"/>
    </row>
    <row r="146" spans="3:3" x14ac:dyDescent="0.4">
      <c r="C146" s="34"/>
    </row>
  </sheetData>
  <mergeCells count="6">
    <mergeCell ref="B45:E45"/>
    <mergeCell ref="B40:E40"/>
    <mergeCell ref="B41:E41"/>
    <mergeCell ref="B42:E42"/>
    <mergeCell ref="B43:E43"/>
    <mergeCell ref="B44:E44"/>
  </mergeCells>
  <phoneticPr fontId="3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234E-6973-47D5-86EA-4F8D299F7987}">
  <dimension ref="A2:S130"/>
  <sheetViews>
    <sheetView topLeftCell="I113" zoomScale="130" zoomScaleNormal="85" workbookViewId="0">
      <selection activeCell="S130" sqref="S130"/>
    </sheetView>
  </sheetViews>
  <sheetFormatPr defaultRowHeight="17.399999999999999" x14ac:dyDescent="0.4"/>
  <cols>
    <col min="1" max="3" width="8.796875" style="53"/>
    <col min="4" max="4" width="12.09765625" style="53" bestFit="1" customWidth="1"/>
    <col min="5" max="5" width="11" style="53" customWidth="1"/>
    <col min="6" max="8" width="12.09765625" style="53" bestFit="1" customWidth="1"/>
    <col min="9" max="13" width="13.796875" style="53" bestFit="1" customWidth="1"/>
    <col min="14" max="14" width="12.5" style="53" bestFit="1" customWidth="1"/>
    <col min="15" max="15" width="8.796875" style="53"/>
    <col min="16" max="16" width="15.3984375" style="53" customWidth="1"/>
    <col min="17" max="17" width="11.5" style="53" customWidth="1"/>
    <col min="18" max="18" width="15.5" style="53" customWidth="1"/>
    <col min="19" max="16384" width="8.796875" style="53"/>
  </cols>
  <sheetData>
    <row r="2" spans="1:19" ht="18" x14ac:dyDescent="0.4">
      <c r="B2" s="75" t="s">
        <v>1388</v>
      </c>
    </row>
    <row r="3" spans="1:19" s="52" customFormat="1" ht="18" x14ac:dyDescent="0.4">
      <c r="B3" s="37" t="s">
        <v>1389</v>
      </c>
      <c r="C3" s="36"/>
    </row>
    <row r="4" spans="1:19" ht="18" x14ac:dyDescent="0.4">
      <c r="B4" s="55" t="s">
        <v>1280</v>
      </c>
    </row>
    <row r="5" spans="1:19" ht="18" x14ac:dyDescent="0.4">
      <c r="B5" s="55" t="s">
        <v>1279</v>
      </c>
    </row>
    <row r="6" spans="1:19" ht="18" x14ac:dyDescent="0.4">
      <c r="B6" s="55" t="s">
        <v>1281</v>
      </c>
    </row>
    <row r="7" spans="1:19" ht="18" x14ac:dyDescent="0.4">
      <c r="A7" s="56"/>
      <c r="B7" s="55"/>
      <c r="C7" s="55"/>
      <c r="E7" s="55"/>
    </row>
    <row r="8" spans="1:19" ht="18" x14ac:dyDescent="0.4">
      <c r="A8" s="50" t="s">
        <v>1288</v>
      </c>
      <c r="B8" s="51"/>
      <c r="C8" s="50"/>
      <c r="D8" s="50">
        <v>2020</v>
      </c>
      <c r="E8" s="50">
        <v>2021</v>
      </c>
      <c r="F8" s="50">
        <v>2022</v>
      </c>
      <c r="G8" s="50">
        <v>2023</v>
      </c>
      <c r="H8" s="50">
        <v>2024</v>
      </c>
      <c r="I8" s="50">
        <v>2025</v>
      </c>
      <c r="J8" s="50">
        <v>2026</v>
      </c>
      <c r="K8" s="50">
        <v>2027</v>
      </c>
      <c r="L8" s="50">
        <v>2028</v>
      </c>
      <c r="M8" s="50">
        <v>2029</v>
      </c>
      <c r="N8" s="50">
        <v>2030</v>
      </c>
      <c r="P8" s="55" t="s">
        <v>1375</v>
      </c>
      <c r="Q8" s="55"/>
      <c r="R8" s="58"/>
      <c r="S8" s="55"/>
    </row>
    <row r="9" spans="1:19" ht="18" x14ac:dyDescent="0.4">
      <c r="B9" s="55" t="s">
        <v>1290</v>
      </c>
      <c r="C9" s="61"/>
      <c r="D9" s="57">
        <v>1799</v>
      </c>
      <c r="E9" s="57">
        <v>1929</v>
      </c>
      <c r="F9" s="57">
        <v>2045</v>
      </c>
      <c r="G9" s="57">
        <v>2042</v>
      </c>
      <c r="H9" s="57">
        <v>2023</v>
      </c>
      <c r="I9" s="103">
        <f>H9*(1+I11)</f>
        <v>2079.6440000000002</v>
      </c>
      <c r="J9" s="103">
        <f t="shared" ref="J9:N9" si="0">I9*(1+J11)</f>
        <v>2137.8740320000002</v>
      </c>
      <c r="K9" s="103">
        <f t="shared" si="0"/>
        <v>2197.7345048960001</v>
      </c>
      <c r="L9" s="103">
        <f t="shared" si="0"/>
        <v>2259.271071033088</v>
      </c>
      <c r="M9" s="103">
        <f t="shared" si="0"/>
        <v>2322.5306610220146</v>
      </c>
      <c r="N9" s="103">
        <f t="shared" si="0"/>
        <v>2387.5615195306309</v>
      </c>
      <c r="Q9" s="55"/>
      <c r="R9" s="58"/>
      <c r="S9" s="55"/>
    </row>
    <row r="10" spans="1:19" ht="18" x14ac:dyDescent="0.4">
      <c r="B10" s="55"/>
      <c r="C10" s="63" t="s">
        <v>1297</v>
      </c>
      <c r="D10" s="59"/>
      <c r="E10" s="60">
        <f>(E9-D9)/D9</f>
        <v>7.2262367982212333E-2</v>
      </c>
      <c r="F10" s="60">
        <f t="shared" ref="F10" si="1">(F9-E9)/E9</f>
        <v>6.0134784862623122E-2</v>
      </c>
      <c r="G10" s="60">
        <f t="shared" ref="G10" si="2">(G9-F9)/F9</f>
        <v>-1.4669926650366749E-3</v>
      </c>
      <c r="H10" s="60">
        <f t="shared" ref="H10" si="3">(H9-G9)/G9</f>
        <v>-9.3046033300685609E-3</v>
      </c>
      <c r="I10" s="60">
        <f t="shared" ref="I10" si="4">(I9-H9)/H9</f>
        <v>2.8000000000000115E-2</v>
      </c>
      <c r="J10" s="60">
        <f t="shared" ref="J10" si="5">(J9-I9)/I9</f>
        <v>2.7999999999999966E-2</v>
      </c>
      <c r="K10" s="60">
        <f t="shared" ref="K10" si="6">(K9-J9)/J9</f>
        <v>2.7999999999999959E-2</v>
      </c>
      <c r="L10" s="60">
        <f t="shared" ref="L10" si="7">(L9-K9)/K9</f>
        <v>2.7999999999999955E-2</v>
      </c>
      <c r="M10" s="60">
        <f t="shared" ref="M10" si="8">(M9-L9)/L9</f>
        <v>2.8000000000000046E-2</v>
      </c>
      <c r="N10" s="60">
        <f t="shared" ref="N10" si="9">(N9-M9)/M9</f>
        <v>2.7999999999999973E-2</v>
      </c>
      <c r="Q10" s="55"/>
      <c r="R10" s="58"/>
      <c r="S10" s="55"/>
    </row>
    <row r="11" spans="1:19" ht="18" x14ac:dyDescent="0.4">
      <c r="B11" s="55"/>
      <c r="C11" s="63" t="s">
        <v>1365</v>
      </c>
      <c r="D11" s="59"/>
      <c r="E11" s="60"/>
      <c r="F11" s="60"/>
      <c r="G11" s="60"/>
      <c r="H11" s="60"/>
      <c r="I11" s="99">
        <v>2.8000000000000001E-2</v>
      </c>
      <c r="J11" s="99">
        <v>2.8000000000000001E-2</v>
      </c>
      <c r="K11" s="99">
        <v>2.8000000000000001E-2</v>
      </c>
      <c r="L11" s="99">
        <v>2.8000000000000001E-2</v>
      </c>
      <c r="M11" s="99">
        <v>2.8000000000000001E-2</v>
      </c>
      <c r="N11" s="99">
        <f>M11</f>
        <v>2.8000000000000001E-2</v>
      </c>
      <c r="Q11" s="55"/>
      <c r="R11" s="58"/>
      <c r="S11" s="55"/>
    </row>
    <row r="12" spans="1:19" ht="18" x14ac:dyDescent="0.4">
      <c r="B12" s="55" t="s">
        <v>1282</v>
      </c>
      <c r="C12" s="61"/>
      <c r="D12" s="57">
        <v>259</v>
      </c>
      <c r="E12" s="57">
        <v>311</v>
      </c>
      <c r="F12" s="57">
        <v>374</v>
      </c>
      <c r="G12" s="57">
        <v>389</v>
      </c>
      <c r="H12" s="57">
        <v>409</v>
      </c>
      <c r="I12" s="102">
        <f>H12*(1+I14)</f>
        <v>421.27000000000004</v>
      </c>
      <c r="J12" s="102">
        <f t="shared" ref="J12:N12" si="10">I12*(1+J14)</f>
        <v>433.90810000000005</v>
      </c>
      <c r="K12" s="102">
        <f t="shared" si="10"/>
        <v>446.92534300000005</v>
      </c>
      <c r="L12" s="102">
        <f t="shared" si="10"/>
        <v>460.33310329000005</v>
      </c>
      <c r="M12" s="102">
        <f t="shared" si="10"/>
        <v>474.14309638870009</v>
      </c>
      <c r="N12" s="102">
        <f t="shared" si="10"/>
        <v>488.36738928036112</v>
      </c>
      <c r="Q12" s="55"/>
      <c r="R12" s="58"/>
      <c r="S12" s="55"/>
    </row>
    <row r="13" spans="1:19" ht="18" x14ac:dyDescent="0.4">
      <c r="B13" s="55"/>
      <c r="C13" s="63" t="s">
        <v>1297</v>
      </c>
      <c r="D13" s="59"/>
      <c r="E13" s="60">
        <f>(E12-D12)/D12</f>
        <v>0.20077220077220076</v>
      </c>
      <c r="F13" s="60">
        <f t="shared" ref="F13:H13" si="11">(F12-E12)/E12</f>
        <v>0.20257234726688103</v>
      </c>
      <c r="G13" s="60">
        <f t="shared" si="11"/>
        <v>4.0106951871657755E-2</v>
      </c>
      <c r="H13" s="60">
        <f t="shared" si="11"/>
        <v>5.1413881748071981E-2</v>
      </c>
      <c r="I13" s="60">
        <f t="shared" ref="I13" si="12">(I12-H12)/H12</f>
        <v>3.0000000000000096E-2</v>
      </c>
      <c r="J13" s="60">
        <f t="shared" ref="J13" si="13">(J12-I12)/I12</f>
        <v>3.0000000000000016E-2</v>
      </c>
      <c r="K13" s="60">
        <f t="shared" ref="K13" si="14">(K12-J12)/J12</f>
        <v>3.0000000000000013E-2</v>
      </c>
      <c r="L13" s="60">
        <f t="shared" ref="L13" si="15">(L12-K12)/K12</f>
        <v>2.9999999999999992E-2</v>
      </c>
      <c r="M13" s="60">
        <f t="shared" ref="M13" si="16">(M12-L12)/L12</f>
        <v>3.0000000000000068E-2</v>
      </c>
      <c r="N13" s="60">
        <f t="shared" ref="N13" si="17">(N12-M12)/M12</f>
        <v>3.0000000000000072E-2</v>
      </c>
      <c r="Q13" s="55"/>
      <c r="R13" s="58"/>
      <c r="S13" s="55"/>
    </row>
    <row r="14" spans="1:19" ht="18" x14ac:dyDescent="0.4">
      <c r="B14" s="55"/>
      <c r="C14" s="63" t="s">
        <v>1365</v>
      </c>
      <c r="D14" s="59"/>
      <c r="E14" s="60"/>
      <c r="F14" s="60"/>
      <c r="G14" s="60"/>
      <c r="H14" s="60"/>
      <c r="I14" s="88">
        <v>0.03</v>
      </c>
      <c r="J14" s="88">
        <v>0.03</v>
      </c>
      <c r="K14" s="88">
        <v>0.03</v>
      </c>
      <c r="L14" s="88">
        <v>0.03</v>
      </c>
      <c r="M14" s="88">
        <v>0.03</v>
      </c>
      <c r="N14" s="47">
        <f>M14</f>
        <v>0.03</v>
      </c>
      <c r="Q14" s="55"/>
      <c r="R14" s="58"/>
      <c r="S14" s="55"/>
    </row>
    <row r="15" spans="1:19" ht="18" x14ac:dyDescent="0.4">
      <c r="B15" s="55" t="s">
        <v>1283</v>
      </c>
      <c r="C15" s="61"/>
      <c r="D15" s="57">
        <v>523</v>
      </c>
      <c r="E15" s="57">
        <v>665</v>
      </c>
      <c r="F15" s="57">
        <v>648</v>
      </c>
      <c r="G15" s="57">
        <v>658</v>
      </c>
      <c r="H15" s="57">
        <v>757</v>
      </c>
      <c r="I15" s="103">
        <f>H15*(1+I17)</f>
        <v>846.32599999999991</v>
      </c>
      <c r="J15" s="103">
        <f t="shared" ref="J15:K15" si="18">I15*(1+J17)</f>
        <v>941.32609349999984</v>
      </c>
      <c r="K15" s="103">
        <f t="shared" si="18"/>
        <v>1041.5773224577499</v>
      </c>
      <c r="L15" s="103">
        <f>K15*(1+L17)</f>
        <v>1146.5162376953681</v>
      </c>
      <c r="M15" s="103">
        <f>L15*(1+M17)</f>
        <v>1255.4352802764281</v>
      </c>
      <c r="N15" s="103">
        <f>M15*(1+N17)</f>
        <v>1374.7016319026886</v>
      </c>
      <c r="Q15" s="55"/>
      <c r="R15" s="58"/>
      <c r="S15" s="55"/>
    </row>
    <row r="16" spans="1:19" ht="18" x14ac:dyDescent="0.4">
      <c r="B16" s="55"/>
      <c r="C16" s="63" t="s">
        <v>1297</v>
      </c>
      <c r="D16" s="59"/>
      <c r="E16" s="60">
        <f>(E15-D15)/D15</f>
        <v>0.27151051625239003</v>
      </c>
      <c r="F16" s="60">
        <f t="shared" ref="F16:H28" si="19">(F15-E15)/E15</f>
        <v>-2.5563909774436091E-2</v>
      </c>
      <c r="G16" s="60">
        <f t="shared" si="19"/>
        <v>1.5432098765432098E-2</v>
      </c>
      <c r="H16" s="60">
        <f t="shared" si="19"/>
        <v>0.15045592705167174</v>
      </c>
      <c r="I16" s="60">
        <f t="shared" ref="I16" si="20">(I15-H15)/H15</f>
        <v>0.11799999999999988</v>
      </c>
      <c r="J16" s="60">
        <f t="shared" ref="J16" si="21">(J15-I15)/I15</f>
        <v>0.11224999999999993</v>
      </c>
      <c r="K16" s="60">
        <f t="shared" ref="K16" si="22">(K15-J15)/J15</f>
        <v>0.10650000000000009</v>
      </c>
      <c r="L16" s="60">
        <f t="shared" ref="L16" si="23">(L15-K15)/K15</f>
        <v>0.10074999999999988</v>
      </c>
      <c r="M16" s="60">
        <f t="shared" ref="M16" si="24">(M15-L15)/L15</f>
        <v>9.5000000000000043E-2</v>
      </c>
      <c r="N16" s="60">
        <f t="shared" ref="N16" si="25">(N15-M15)/M15</f>
        <v>9.499999999999989E-2</v>
      </c>
      <c r="R16" s="55"/>
      <c r="S16" s="55"/>
    </row>
    <row r="17" spans="1:19" ht="18" x14ac:dyDescent="0.4">
      <c r="B17" s="55"/>
      <c r="C17" s="63" t="s">
        <v>1365</v>
      </c>
      <c r="D17" s="59"/>
      <c r="E17" s="60"/>
      <c r="F17" s="60"/>
      <c r="G17" s="60"/>
      <c r="H17" s="60"/>
      <c r="I17" s="99">
        <v>0.11799999999999999</v>
      </c>
      <c r="J17" s="99">
        <f>I17-0.575%</f>
        <v>0.11224999999999999</v>
      </c>
      <c r="K17" s="99">
        <f t="shared" ref="K17:M17" si="26">J17-0.575%</f>
        <v>0.10649999999999998</v>
      </c>
      <c r="L17" s="99">
        <f t="shared" si="26"/>
        <v>0.10074999999999998</v>
      </c>
      <c r="M17" s="99">
        <f t="shared" si="26"/>
        <v>9.4999999999999973E-2</v>
      </c>
      <c r="N17" s="99">
        <f>M17</f>
        <v>9.4999999999999973E-2</v>
      </c>
      <c r="R17" s="55"/>
      <c r="S17" s="55"/>
    </row>
    <row r="18" spans="1:19" ht="18" x14ac:dyDescent="0.4">
      <c r="B18" s="55" t="s">
        <v>1284</v>
      </c>
      <c r="C18" s="61"/>
      <c r="D18" s="57">
        <v>384</v>
      </c>
      <c r="E18" s="57">
        <v>495</v>
      </c>
      <c r="F18" s="57">
        <v>667</v>
      </c>
      <c r="G18" s="57">
        <v>803</v>
      </c>
      <c r="H18" s="57">
        <v>895</v>
      </c>
      <c r="I18" s="103">
        <f>H18*(1+I20)</f>
        <v>963.91499999999996</v>
      </c>
      <c r="J18" s="103">
        <f t="shared" ref="J18:N18" si="27">I18*(1+J20)</f>
        <v>1028.25632625</v>
      </c>
      <c r="K18" s="103">
        <f t="shared" si="27"/>
        <v>1086.352808683125</v>
      </c>
      <c r="L18" s="103">
        <f t="shared" si="27"/>
        <v>1136.5966260847197</v>
      </c>
      <c r="M18" s="103">
        <f t="shared" si="27"/>
        <v>1177.5141046237695</v>
      </c>
      <c r="N18" s="103">
        <f t="shared" si="27"/>
        <v>1219.9046123902253</v>
      </c>
      <c r="R18" s="55"/>
      <c r="S18" s="55"/>
    </row>
    <row r="19" spans="1:19" ht="18" x14ac:dyDescent="0.4">
      <c r="B19" s="55"/>
      <c r="C19" s="63" t="s">
        <v>1297</v>
      </c>
      <c r="D19" s="59"/>
      <c r="E19" s="60">
        <f>(E18-D18)/D18</f>
        <v>0.2890625</v>
      </c>
      <c r="F19" s="60">
        <f t="shared" ref="F19" si="28">(F18-E18)/E18</f>
        <v>0.34747474747474749</v>
      </c>
      <c r="G19" s="60">
        <f t="shared" ref="G19" si="29">(G18-F18)/F18</f>
        <v>0.20389805097451275</v>
      </c>
      <c r="H19" s="60">
        <f t="shared" si="19"/>
        <v>0.11457036114570361</v>
      </c>
      <c r="I19" s="60">
        <f t="shared" ref="I19" si="30">(I18-H18)/H18</f>
        <v>7.6999999999999957E-2</v>
      </c>
      <c r="J19" s="60">
        <f t="shared" ref="J19" si="31">(J18-I18)/I18</f>
        <v>6.6750000000000073E-2</v>
      </c>
      <c r="K19" s="60">
        <f t="shared" ref="K19" si="32">(K18-J18)/J18</f>
        <v>5.6499999999999946E-2</v>
      </c>
      <c r="L19" s="60">
        <f t="shared" ref="L19" si="33">(L18-K18)/K18</f>
        <v>4.6250000000000152E-2</v>
      </c>
      <c r="M19" s="60">
        <f t="shared" ref="M19" si="34">(M18-L18)/L18</f>
        <v>3.5999999999999949E-2</v>
      </c>
      <c r="N19" s="60">
        <f t="shared" ref="N19" si="35">(N18-M18)/M18</f>
        <v>3.6000000000000094E-2</v>
      </c>
      <c r="O19" s="55"/>
    </row>
    <row r="20" spans="1:19" ht="18" x14ac:dyDescent="0.4">
      <c r="B20" s="55"/>
      <c r="C20" s="63" t="s">
        <v>1365</v>
      </c>
      <c r="D20" s="59"/>
      <c r="E20" s="60"/>
      <c r="F20" s="60"/>
      <c r="G20" s="60"/>
      <c r="H20" s="60"/>
      <c r="I20" s="99">
        <v>7.6999999999999999E-2</v>
      </c>
      <c r="J20" s="99">
        <f>I20-1.025%</f>
        <v>6.6750000000000004E-2</v>
      </c>
      <c r="K20" s="99">
        <f t="shared" ref="K20:M20" si="36">J20-1.025%</f>
        <v>5.6500000000000009E-2</v>
      </c>
      <c r="L20" s="99">
        <f t="shared" si="36"/>
        <v>4.6250000000000013E-2</v>
      </c>
      <c r="M20" s="99">
        <f t="shared" si="36"/>
        <v>3.6000000000000018E-2</v>
      </c>
      <c r="N20" s="99">
        <f>M20</f>
        <v>3.6000000000000018E-2</v>
      </c>
      <c r="O20" s="55"/>
    </row>
    <row r="21" spans="1:19" ht="18" x14ac:dyDescent="0.4">
      <c r="B21" s="55" t="s">
        <v>1285</v>
      </c>
      <c r="C21" s="61"/>
      <c r="D21" s="57">
        <v>4083</v>
      </c>
      <c r="E21" s="57">
        <v>4954</v>
      </c>
      <c r="F21" s="57">
        <v>5700</v>
      </c>
      <c r="G21" s="57">
        <v>6135</v>
      </c>
      <c r="H21" s="57">
        <v>6467</v>
      </c>
      <c r="I21" s="103">
        <f>H21*(1+I23)</f>
        <v>6596.34</v>
      </c>
      <c r="J21" s="103">
        <f t="shared" ref="J21:N21" si="37">I21*(1+J23)</f>
        <v>6729.9158850000013</v>
      </c>
      <c r="K21" s="103">
        <f t="shared" si="37"/>
        <v>6867.8791606425011</v>
      </c>
      <c r="L21" s="103">
        <f t="shared" si="37"/>
        <v>7010.3876532258337</v>
      </c>
      <c r="M21" s="103">
        <f t="shared" si="37"/>
        <v>7157.6057939435759</v>
      </c>
      <c r="N21" s="103">
        <f t="shared" si="37"/>
        <v>7307.9155156163906</v>
      </c>
    </row>
    <row r="22" spans="1:19" ht="18" x14ac:dyDescent="0.4">
      <c r="B22" s="55"/>
      <c r="C22" s="63" t="s">
        <v>1297</v>
      </c>
      <c r="D22" s="59"/>
      <c r="E22" s="60">
        <f>(E21-D21)/D21</f>
        <v>0.2133235366152339</v>
      </c>
      <c r="F22" s="60">
        <f t="shared" ref="F22" si="38">(F21-E21)/E21</f>
        <v>0.15058538554703271</v>
      </c>
      <c r="G22" s="60">
        <f t="shared" ref="G22" si="39">(G21-F21)/F21</f>
        <v>7.6315789473684212E-2</v>
      </c>
      <c r="H22" s="60">
        <f t="shared" si="19"/>
        <v>5.4115729421352891E-2</v>
      </c>
      <c r="I22" s="60">
        <f t="shared" ref="I22" si="40">(I21-H21)/H21</f>
        <v>2.0000000000000021E-2</v>
      </c>
      <c r="J22" s="60">
        <f t="shared" ref="J22" si="41">(J21-I21)/I21</f>
        <v>2.0250000000000167E-2</v>
      </c>
      <c r="K22" s="60">
        <f t="shared" ref="K22" si="42">(K21-J21)/J21</f>
        <v>2.0499999999999977E-2</v>
      </c>
      <c r="L22" s="60">
        <f t="shared" ref="L22" si="43">(L21-K21)/K21</f>
        <v>2.0750000000000095E-2</v>
      </c>
      <c r="M22" s="60">
        <f t="shared" ref="M22" si="44">(M21-L21)/L21</f>
        <v>2.0999999999999963E-2</v>
      </c>
      <c r="N22" s="60">
        <f t="shared" ref="N22" si="45">(N21-M21)/M21</f>
        <v>2.0999999999999946E-2</v>
      </c>
      <c r="O22" s="55"/>
    </row>
    <row r="23" spans="1:19" ht="18" x14ac:dyDescent="0.4">
      <c r="B23" s="55"/>
      <c r="C23" s="63" t="s">
        <v>1365</v>
      </c>
      <c r="D23" s="59"/>
      <c r="E23" s="60"/>
      <c r="F23" s="60"/>
      <c r="G23" s="60"/>
      <c r="H23" s="60"/>
      <c r="I23" s="99">
        <v>0.02</v>
      </c>
      <c r="J23" s="100">
        <f>I23+0.025%</f>
        <v>2.0250000000000001E-2</v>
      </c>
      <c r="K23" s="100">
        <f t="shared" ref="K23:M23" si="46">J23+0.025%</f>
        <v>2.0500000000000001E-2</v>
      </c>
      <c r="L23" s="100">
        <f t="shared" si="46"/>
        <v>2.0750000000000001E-2</v>
      </c>
      <c r="M23" s="100">
        <f t="shared" si="46"/>
        <v>2.1000000000000001E-2</v>
      </c>
      <c r="N23" s="99">
        <f>M23</f>
        <v>2.1000000000000001E-2</v>
      </c>
      <c r="O23" s="55"/>
      <c r="P23" s="101" t="s">
        <v>1376</v>
      </c>
    </row>
    <row r="24" spans="1:19" ht="18" x14ac:dyDescent="0.4">
      <c r="B24" s="55" t="s">
        <v>1286</v>
      </c>
      <c r="C24" s="61"/>
      <c r="D24" s="57">
        <v>1748</v>
      </c>
      <c r="E24" s="57">
        <v>2054</v>
      </c>
      <c r="F24" s="57">
        <v>2172</v>
      </c>
      <c r="G24" s="57">
        <v>2331</v>
      </c>
      <c r="H24" s="57">
        <v>2638</v>
      </c>
      <c r="I24" s="103">
        <f>H24*(1+I26)</f>
        <v>2638</v>
      </c>
      <c r="J24" s="103">
        <f t="shared" ref="J24:N24" si="47">I24*(1+J26)</f>
        <v>2638</v>
      </c>
      <c r="K24" s="103">
        <f t="shared" si="47"/>
        <v>2638</v>
      </c>
      <c r="L24" s="103">
        <f t="shared" si="47"/>
        <v>2638</v>
      </c>
      <c r="M24" s="103">
        <f t="shared" si="47"/>
        <v>2638</v>
      </c>
      <c r="N24" s="103">
        <f t="shared" si="47"/>
        <v>2638</v>
      </c>
    </row>
    <row r="25" spans="1:19" ht="18" x14ac:dyDescent="0.4">
      <c r="B25" s="55"/>
      <c r="C25" s="63" t="s">
        <v>1297</v>
      </c>
      <c r="D25" s="59"/>
      <c r="E25" s="60">
        <f>(E24-D24)/D24</f>
        <v>0.17505720823798626</v>
      </c>
      <c r="F25" s="60">
        <f t="shared" ref="F25" si="48">(F24-E24)/E24</f>
        <v>5.744888023369036E-2</v>
      </c>
      <c r="G25" s="60">
        <f t="shared" ref="G25" si="49">(G24-F24)/F24</f>
        <v>7.3204419889502756E-2</v>
      </c>
      <c r="H25" s="60">
        <f t="shared" si="19"/>
        <v>0.13170313170313169</v>
      </c>
      <c r="I25" s="60">
        <f t="shared" ref="I25" si="50">(I24-H24)/H24</f>
        <v>0</v>
      </c>
      <c r="J25" s="60">
        <f t="shared" ref="J25" si="51">(J24-I24)/I24</f>
        <v>0</v>
      </c>
      <c r="K25" s="60">
        <f t="shared" ref="K25" si="52">(K24-J24)/J24</f>
        <v>0</v>
      </c>
      <c r="L25" s="60">
        <f t="shared" ref="L25" si="53">(L24-K24)/K24</f>
        <v>0</v>
      </c>
      <c r="M25" s="60">
        <f t="shared" ref="M25" si="54">(M24-L24)/L24</f>
        <v>0</v>
      </c>
      <c r="N25" s="60">
        <f t="shared" ref="N25" si="55">(N24-M24)/M24</f>
        <v>0</v>
      </c>
    </row>
    <row r="26" spans="1:19" ht="18" x14ac:dyDescent="0.4">
      <c r="B26" s="55"/>
      <c r="C26" s="63" t="s">
        <v>1365</v>
      </c>
      <c r="D26" s="59"/>
      <c r="E26" s="60"/>
      <c r="F26" s="60"/>
      <c r="G26" s="60"/>
      <c r="H26" s="60"/>
      <c r="I26" s="55"/>
    </row>
    <row r="27" spans="1:19" ht="18" x14ac:dyDescent="0.4">
      <c r="B27" s="106" t="s">
        <v>1291</v>
      </c>
      <c r="C27" s="106"/>
      <c r="D27" s="57">
        <f>SUM(D9:D24)</f>
        <v>8796</v>
      </c>
      <c r="E27" s="57">
        <f t="shared" ref="E27:H27" si="56">SUM(E9:E24)</f>
        <v>10409.04693112162</v>
      </c>
      <c r="F27" s="57">
        <f t="shared" si="56"/>
        <v>11606.735203355376</v>
      </c>
      <c r="G27" s="57">
        <f t="shared" si="56"/>
        <v>12358.334285898422</v>
      </c>
      <c r="H27" s="57">
        <f t="shared" si="56"/>
        <v>13189.361251296035</v>
      </c>
      <c r="I27" s="61" t="s">
        <v>1296</v>
      </c>
    </row>
    <row r="28" spans="1:19" ht="18" x14ac:dyDescent="0.4">
      <c r="B28" s="64"/>
      <c r="C28" s="63" t="s">
        <v>1297</v>
      </c>
      <c r="D28" s="59"/>
      <c r="E28" s="60">
        <f>(E27-D27)/D27</f>
        <v>0.18338414405657347</v>
      </c>
      <c r="F28" s="60">
        <f t="shared" ref="F28" si="57">(F27-E27)/E27</f>
        <v>0.11506224154421213</v>
      </c>
      <c r="G28" s="60">
        <f t="shared" ref="G28" si="58">(G27-F27)/F27</f>
        <v>6.4755425998326094E-2</v>
      </c>
      <c r="H28" s="60">
        <f t="shared" si="19"/>
        <v>6.7244253648799893E-2</v>
      </c>
      <c r="I28" s="61" t="s">
        <v>1295</v>
      </c>
    </row>
    <row r="29" spans="1:19" ht="18" x14ac:dyDescent="0.4">
      <c r="B29" s="55" t="s">
        <v>1292</v>
      </c>
      <c r="C29" s="61"/>
      <c r="D29" s="57">
        <v>9804</v>
      </c>
      <c r="E29" s="57">
        <v>11475</v>
      </c>
      <c r="F29" s="57">
        <v>13361</v>
      </c>
      <c r="G29" s="57">
        <v>14826</v>
      </c>
      <c r="H29" s="57">
        <v>16114</v>
      </c>
      <c r="I29" s="61" t="s">
        <v>1372</v>
      </c>
    </row>
    <row r="30" spans="1:19" ht="18" x14ac:dyDescent="0.4">
      <c r="C30" s="63" t="s">
        <v>1297</v>
      </c>
      <c r="D30" s="59"/>
      <c r="E30" s="60">
        <f>(E29-D29)/D29</f>
        <v>0.1704406364749082</v>
      </c>
      <c r="F30" s="60">
        <f t="shared" ref="F30" si="59">(F29-E29)/E29</f>
        <v>0.16435729847494554</v>
      </c>
      <c r="G30" s="60">
        <f t="shared" ref="G30" si="60">(G29-F29)/F29</f>
        <v>0.10964748147593743</v>
      </c>
      <c r="H30" s="60">
        <f t="shared" ref="H30" si="61">(H29-G29)/G29</f>
        <v>8.687440982058546E-2</v>
      </c>
    </row>
    <row r="31" spans="1:19" ht="18" x14ac:dyDescent="0.4">
      <c r="A31" s="55" t="s">
        <v>1293</v>
      </c>
      <c r="B31" s="55"/>
      <c r="C31" s="61"/>
      <c r="D31" s="81">
        <f>D29/D27/1000</f>
        <v>1.1145975443383356E-3</v>
      </c>
      <c r="E31" s="81">
        <f>E29/E27/1000</f>
        <v>1.1024064043453706E-3</v>
      </c>
      <c r="F31" s="81">
        <f>F29/F27/1000</f>
        <v>1.1511419676514621E-3</v>
      </c>
      <c r="G31" s="81">
        <f>G29/G27/1000</f>
        <v>1.1996762392903816E-3</v>
      </c>
      <c r="H31" s="81">
        <f>H29/H27/1000</f>
        <v>1.2217422582474627E-3</v>
      </c>
      <c r="I31" s="61" t="s">
        <v>1294</v>
      </c>
    </row>
    <row r="32" spans="1:19" ht="18" x14ac:dyDescent="0.4">
      <c r="C32" s="61"/>
      <c r="D32" s="57"/>
      <c r="E32" s="57"/>
      <c r="F32" s="57"/>
      <c r="G32" s="57"/>
      <c r="H32" s="57"/>
      <c r="I32" s="61"/>
    </row>
    <row r="33" spans="1:14" ht="18" x14ac:dyDescent="0.4">
      <c r="B33" s="55" t="s">
        <v>1300</v>
      </c>
      <c r="C33" s="61"/>
      <c r="D33" s="57"/>
      <c r="E33" s="57"/>
      <c r="F33" s="57"/>
      <c r="G33" s="57"/>
      <c r="H33" s="57"/>
      <c r="I33" s="61"/>
    </row>
    <row r="34" spans="1:14" ht="18" x14ac:dyDescent="0.4">
      <c r="B34" s="55" t="s">
        <v>1298</v>
      </c>
      <c r="C34" s="61"/>
      <c r="D34" s="57"/>
      <c r="E34" s="57"/>
      <c r="F34" s="57"/>
      <c r="G34" s="57"/>
      <c r="H34" s="57"/>
      <c r="I34" s="61"/>
    </row>
    <row r="35" spans="1:14" ht="18" x14ac:dyDescent="0.4">
      <c r="B35" s="55" t="s">
        <v>1374</v>
      </c>
      <c r="C35" s="61"/>
      <c r="D35" s="57"/>
      <c r="E35" s="57"/>
      <c r="F35" s="57"/>
      <c r="G35" s="57"/>
      <c r="H35" s="57"/>
      <c r="I35" s="61"/>
    </row>
    <row r="37" spans="1:14" ht="18" x14ac:dyDescent="0.4">
      <c r="A37" s="50" t="s">
        <v>1289</v>
      </c>
      <c r="B37" s="51"/>
      <c r="C37" s="50"/>
      <c r="D37" s="50">
        <v>2020</v>
      </c>
      <c r="E37" s="50">
        <v>2021</v>
      </c>
      <c r="F37" s="50">
        <v>2022</v>
      </c>
      <c r="G37" s="50">
        <v>2023</v>
      </c>
      <c r="H37" s="50">
        <v>2024</v>
      </c>
      <c r="I37" s="50">
        <v>2025</v>
      </c>
      <c r="J37" s="50">
        <v>2026</v>
      </c>
      <c r="K37" s="50">
        <v>2027</v>
      </c>
      <c r="L37" s="50">
        <v>2028</v>
      </c>
      <c r="M37" s="50">
        <v>2029</v>
      </c>
      <c r="N37" s="50">
        <v>2030</v>
      </c>
    </row>
    <row r="38" spans="1:14" ht="18" x14ac:dyDescent="0.4">
      <c r="B38" s="55" t="s">
        <v>1290</v>
      </c>
      <c r="C38" s="61"/>
      <c r="D38" s="57">
        <v>30686</v>
      </c>
      <c r="E38" s="57">
        <v>33816</v>
      </c>
      <c r="F38" s="57">
        <v>38768</v>
      </c>
      <c r="G38" s="57">
        <v>42234</v>
      </c>
      <c r="H38" s="57">
        <v>45715</v>
      </c>
      <c r="I38" s="55" t="s">
        <v>1299</v>
      </c>
    </row>
    <row r="39" spans="1:14" ht="18" x14ac:dyDescent="0.4">
      <c r="B39" s="55"/>
      <c r="C39" s="63" t="s">
        <v>1297</v>
      </c>
      <c r="D39" s="59"/>
      <c r="E39" s="60">
        <f>(E38-D38)/D38</f>
        <v>0.10200091246822655</v>
      </c>
      <c r="F39" s="60">
        <f t="shared" ref="F39" si="62">(F38-E38)/E38</f>
        <v>0.14643955524012303</v>
      </c>
      <c r="G39" s="60">
        <f t="shared" ref="G39:H39" si="63">(G38-F38)/F38</f>
        <v>8.9403631861328936E-2</v>
      </c>
      <c r="H39" s="60">
        <f t="shared" si="63"/>
        <v>8.2421745513093711E-2</v>
      </c>
      <c r="I39" s="55"/>
    </row>
    <row r="40" spans="1:14" ht="18" x14ac:dyDescent="0.4">
      <c r="B40" s="55" t="s">
        <v>1282</v>
      </c>
      <c r="C40" s="61"/>
      <c r="D40" s="65">
        <v>3895</v>
      </c>
      <c r="E40" s="65">
        <v>4408</v>
      </c>
      <c r="F40" s="65">
        <v>5213</v>
      </c>
      <c r="G40" s="65">
        <v>5793</v>
      </c>
      <c r="H40" s="65">
        <v>6336</v>
      </c>
      <c r="I40" s="55" t="s">
        <v>1299</v>
      </c>
    </row>
    <row r="41" spans="1:14" ht="18" x14ac:dyDescent="0.4">
      <c r="B41" s="55"/>
      <c r="C41" s="63" t="s">
        <v>1297</v>
      </c>
      <c r="D41" s="59"/>
      <c r="E41" s="60">
        <f>(E40-D40)/D40</f>
        <v>0.13170731707317074</v>
      </c>
      <c r="F41" s="60">
        <f t="shared" ref="F41" si="64">(F40-E40)/E40</f>
        <v>0.18262250453720508</v>
      </c>
      <c r="G41" s="60">
        <f t="shared" ref="G41:H41" si="65">(G40-F40)/F40</f>
        <v>0.11126031076155764</v>
      </c>
      <c r="H41" s="60">
        <f t="shared" si="65"/>
        <v>9.3733816675297774E-2</v>
      </c>
      <c r="I41" s="55"/>
    </row>
    <row r="42" spans="1:14" ht="17.399999999999999" customHeight="1" x14ac:dyDescent="0.4">
      <c r="B42" s="55" t="s">
        <v>1283</v>
      </c>
      <c r="C42" s="61"/>
      <c r="D42" s="57">
        <v>22625</v>
      </c>
      <c r="E42" s="57">
        <v>28720</v>
      </c>
      <c r="F42" s="57">
        <v>23012</v>
      </c>
      <c r="G42" s="57">
        <v>20214</v>
      </c>
      <c r="H42" s="57">
        <v>24231</v>
      </c>
      <c r="I42" s="55" t="s">
        <v>1301</v>
      </c>
    </row>
    <row r="43" spans="1:14" ht="17.399999999999999" customHeight="1" x14ac:dyDescent="0.4">
      <c r="B43" s="55"/>
      <c r="C43" s="63" t="s">
        <v>1297</v>
      </c>
      <c r="D43" s="59"/>
      <c r="E43" s="60">
        <f>(E42-D42)/D42</f>
        <v>0.26939226519337017</v>
      </c>
      <c r="F43" s="60">
        <f t="shared" ref="F43" si="66">(F42-E42)/E42</f>
        <v>-0.19874651810584959</v>
      </c>
      <c r="G43" s="60">
        <f t="shared" ref="G43:H43" si="67">(G42-F42)/F42</f>
        <v>-0.12158873631148966</v>
      </c>
      <c r="H43" s="60">
        <f t="shared" si="67"/>
        <v>0.19872365687147522</v>
      </c>
      <c r="I43" s="55"/>
    </row>
    <row r="44" spans="1:14" ht="18" x14ac:dyDescent="0.4">
      <c r="B44" s="55" t="s">
        <v>1284</v>
      </c>
      <c r="C44" s="61"/>
      <c r="D44" s="57">
        <v>14522</v>
      </c>
      <c r="E44" s="57">
        <v>18981</v>
      </c>
      <c r="F44" s="57">
        <v>26035</v>
      </c>
      <c r="G44" s="57">
        <v>30090</v>
      </c>
      <c r="H44" s="57">
        <v>34742</v>
      </c>
      <c r="I44" s="55" t="s">
        <v>1299</v>
      </c>
    </row>
    <row r="45" spans="1:14" ht="18" x14ac:dyDescent="0.4">
      <c r="B45" s="55"/>
      <c r="C45" s="63" t="s">
        <v>1297</v>
      </c>
      <c r="D45" s="59"/>
      <c r="E45" s="60">
        <f>(E44-D44)/D44</f>
        <v>0.30705137033466462</v>
      </c>
      <c r="F45" s="60">
        <f t="shared" ref="F45" si="68">(F44-E44)/E44</f>
        <v>0.37163479268742428</v>
      </c>
      <c r="G45" s="60">
        <f t="shared" ref="G45:H45" si="69">(G44-F44)/F44</f>
        <v>0.15575187247935471</v>
      </c>
      <c r="H45" s="60">
        <f t="shared" si="69"/>
        <v>0.15460285809238949</v>
      </c>
      <c r="I45" s="55"/>
    </row>
    <row r="46" spans="1:14" ht="18" x14ac:dyDescent="0.4">
      <c r="B46" s="55" t="s">
        <v>1285</v>
      </c>
      <c r="C46" s="61"/>
      <c r="D46" s="57">
        <v>71622</v>
      </c>
      <c r="E46" s="57">
        <v>81909</v>
      </c>
      <c r="F46" s="57">
        <v>90371</v>
      </c>
      <c r="G46" s="57">
        <v>97660</v>
      </c>
      <c r="H46" s="57">
        <v>103485</v>
      </c>
      <c r="I46" s="55" t="s">
        <v>1299</v>
      </c>
    </row>
    <row r="47" spans="1:14" ht="18" x14ac:dyDescent="0.4">
      <c r="B47" s="55"/>
      <c r="C47" s="63" t="s">
        <v>1297</v>
      </c>
      <c r="D47" s="59"/>
      <c r="E47" s="60">
        <f>(E46-D46)/D46</f>
        <v>0.14362905252576025</v>
      </c>
      <c r="F47" s="60">
        <f t="shared" ref="F47" si="70">(F46-E46)/E46</f>
        <v>0.10330977059907946</v>
      </c>
      <c r="G47" s="60">
        <f t="shared" ref="G47:H47" si="71">(G46-F46)/F46</f>
        <v>8.0656405262750225E-2</v>
      </c>
      <c r="H47" s="60">
        <f t="shared" si="71"/>
        <v>5.9645709604751178E-2</v>
      </c>
      <c r="I47" s="55"/>
    </row>
    <row r="48" spans="1:14" ht="18" x14ac:dyDescent="0.4">
      <c r="B48" s="55" t="s">
        <v>1286</v>
      </c>
      <c r="C48" s="61"/>
      <c r="D48" s="57">
        <v>42163</v>
      </c>
      <c r="E48" s="57">
        <v>47566</v>
      </c>
      <c r="F48" s="57">
        <v>57411</v>
      </c>
      <c r="G48" s="57">
        <v>63768</v>
      </c>
      <c r="H48" s="57">
        <v>71924</v>
      </c>
      <c r="I48" s="55" t="s">
        <v>1299</v>
      </c>
    </row>
    <row r="49" spans="1:14" ht="18" x14ac:dyDescent="0.4">
      <c r="B49" s="55"/>
      <c r="C49" s="63" t="s">
        <v>1297</v>
      </c>
      <c r="D49" s="59"/>
      <c r="E49" s="60">
        <f>(E48-D48)/D48</f>
        <v>0.12814553044138224</v>
      </c>
      <c r="F49" s="60">
        <f t="shared" ref="F49" si="72">(F48-E48)/E48</f>
        <v>0.20697557078585543</v>
      </c>
      <c r="G49" s="60">
        <f t="shared" ref="G49:H49" si="73">(G48-F48)/F48</f>
        <v>0.11072790928567697</v>
      </c>
      <c r="H49" s="60">
        <f t="shared" si="73"/>
        <v>0.12790114163843935</v>
      </c>
      <c r="I49" s="55"/>
    </row>
    <row r="50" spans="1:14" ht="18" x14ac:dyDescent="0.4">
      <c r="B50" s="55"/>
      <c r="C50" s="55"/>
      <c r="D50" s="57"/>
      <c r="E50" s="66"/>
      <c r="F50" s="66"/>
      <c r="G50" s="66"/>
      <c r="H50" s="66"/>
      <c r="I50" s="62"/>
    </row>
    <row r="51" spans="1:14" ht="18" x14ac:dyDescent="0.4">
      <c r="A51" s="55" t="s">
        <v>1287</v>
      </c>
      <c r="B51" s="55"/>
      <c r="C51" s="61"/>
      <c r="D51" s="55">
        <v>2020</v>
      </c>
      <c r="E51" s="55">
        <v>2021</v>
      </c>
      <c r="F51" s="55">
        <v>2022</v>
      </c>
      <c r="G51" s="55">
        <v>2023</v>
      </c>
      <c r="H51" s="55">
        <v>2024</v>
      </c>
      <c r="I51" s="55" t="s">
        <v>1306</v>
      </c>
    </row>
    <row r="52" spans="1:14" ht="18" x14ac:dyDescent="0.4">
      <c r="B52" s="55" t="s">
        <v>1290</v>
      </c>
      <c r="C52" s="61"/>
      <c r="D52" s="67">
        <f>D9*1000/D38</f>
        <v>58.626083556019033</v>
      </c>
      <c r="E52" s="67">
        <f>E9*1000/E38</f>
        <v>57.04400283889283</v>
      </c>
      <c r="F52" s="67">
        <f>F9*1000/F38</f>
        <v>52.749690466364008</v>
      </c>
      <c r="G52" s="67">
        <f>G9*1000/G38</f>
        <v>48.349670881280488</v>
      </c>
      <c r="H52" s="67">
        <f>H9*1000/H38</f>
        <v>44.252433555725695</v>
      </c>
    </row>
    <row r="53" spans="1:14" ht="18" x14ac:dyDescent="0.4">
      <c r="B53" s="55" t="s">
        <v>1282</v>
      </c>
      <c r="C53" s="61"/>
      <c r="D53" s="68">
        <f>D12*1000/D40</f>
        <v>66.495507060333765</v>
      </c>
      <c r="E53" s="68">
        <f>E12*1000/E40</f>
        <v>70.553539019963708</v>
      </c>
      <c r="F53" s="68">
        <f>F12*1000/F40</f>
        <v>71.743717629004408</v>
      </c>
      <c r="G53" s="68">
        <f>G12*1000/G40</f>
        <v>67.150008631106502</v>
      </c>
      <c r="H53" s="68">
        <f>H12*1000/H40</f>
        <v>64.551767676767682</v>
      </c>
      <c r="I53" s="62"/>
    </row>
    <row r="54" spans="1:14" ht="18" x14ac:dyDescent="0.4">
      <c r="B54" s="55" t="s">
        <v>1283</v>
      </c>
      <c r="C54" s="61"/>
      <c r="D54" s="67">
        <f>D15*1000/D42</f>
        <v>23.116022099447513</v>
      </c>
      <c r="E54" s="67">
        <f>E15*1000/E42</f>
        <v>23.154596100278553</v>
      </c>
      <c r="F54" s="67">
        <f>F15*1000/F42</f>
        <v>28.159221275856076</v>
      </c>
      <c r="G54" s="67">
        <f>G15*1000/G42</f>
        <v>32.551696843771644</v>
      </c>
      <c r="H54" s="67">
        <f>H15*1000/H42</f>
        <v>31.240972308200238</v>
      </c>
      <c r="I54" s="62"/>
    </row>
    <row r="55" spans="1:14" ht="18" x14ac:dyDescent="0.4">
      <c r="B55" s="55" t="s">
        <v>1284</v>
      </c>
      <c r="C55" s="61"/>
      <c r="D55" s="67">
        <f>D18*1000/D44</f>
        <v>26.442638754992426</v>
      </c>
      <c r="E55" s="67">
        <f>E18*1000/E44</f>
        <v>26.078710289236604</v>
      </c>
      <c r="F55" s="67">
        <f>F18*1000/F44</f>
        <v>25.619358555790281</v>
      </c>
      <c r="G55" s="67">
        <f>G18*1000/G44</f>
        <v>26.686606846128281</v>
      </c>
      <c r="H55" s="67">
        <f>H18*1000/H44</f>
        <v>25.761326348511886</v>
      </c>
      <c r="I55" s="62"/>
    </row>
    <row r="56" spans="1:14" ht="18" x14ac:dyDescent="0.4">
      <c r="B56" s="55" t="s">
        <v>1285</v>
      </c>
      <c r="C56" s="61"/>
      <c r="D56" s="67">
        <f>D21*1000/D46</f>
        <v>57.007623355952084</v>
      </c>
      <c r="E56" s="67">
        <f>E21*1000/E46</f>
        <v>60.481754141791498</v>
      </c>
      <c r="F56" s="67">
        <f>F21*1000/F46</f>
        <v>63.07333104646402</v>
      </c>
      <c r="G56" s="67">
        <f>G21*1000/G46</f>
        <v>62.819987712471843</v>
      </c>
      <c r="H56" s="67">
        <f>H21*1000/H46</f>
        <v>62.492148620573033</v>
      </c>
      <c r="I56" s="62"/>
    </row>
    <row r="57" spans="1:14" ht="18" x14ac:dyDescent="0.4">
      <c r="B57" s="55" t="s">
        <v>1286</v>
      </c>
      <c r="C57" s="61"/>
      <c r="D57" s="67">
        <f>D24*1000/D48</f>
        <v>41.45815051111164</v>
      </c>
      <c r="E57" s="67">
        <f>E24*1000/E48</f>
        <v>43.182104864819408</v>
      </c>
      <c r="F57" s="67">
        <f>F24*1000/F48</f>
        <v>37.832471129226107</v>
      </c>
      <c r="G57" s="67">
        <f>G24*1000/G48</f>
        <v>36.55438464433572</v>
      </c>
      <c r="H57" s="67">
        <f>H24*1000/H48</f>
        <v>36.677604137700904</v>
      </c>
      <c r="I57" s="62"/>
    </row>
    <row r="58" spans="1:14" ht="18" x14ac:dyDescent="0.4">
      <c r="B58" s="55"/>
      <c r="C58" s="61"/>
      <c r="E58" s="55"/>
      <c r="F58" s="55"/>
      <c r="I58" s="62"/>
    </row>
    <row r="59" spans="1:14" s="52" customFormat="1" ht="18" x14ac:dyDescent="0.4">
      <c r="B59" s="37" t="s">
        <v>1387</v>
      </c>
      <c r="C59" s="36"/>
    </row>
    <row r="60" spans="1:14" ht="18" x14ac:dyDescent="0.4">
      <c r="B60" s="54"/>
      <c r="C60" s="55"/>
    </row>
    <row r="61" spans="1:14" ht="18" x14ac:dyDescent="0.4">
      <c r="A61" s="50"/>
      <c r="B61" s="51"/>
      <c r="C61" s="50"/>
      <c r="D61" s="50">
        <v>2020</v>
      </c>
      <c r="E61" s="50">
        <v>2021</v>
      </c>
      <c r="F61" s="50">
        <v>2022</v>
      </c>
      <c r="G61" s="50">
        <v>2023</v>
      </c>
      <c r="H61" s="50">
        <v>2024</v>
      </c>
      <c r="I61" s="50">
        <v>2025</v>
      </c>
      <c r="J61" s="50">
        <v>2026</v>
      </c>
      <c r="K61" s="50">
        <v>2027</v>
      </c>
      <c r="L61" s="50">
        <v>2028</v>
      </c>
      <c r="M61" s="50">
        <v>2029</v>
      </c>
      <c r="N61" s="50">
        <v>2030</v>
      </c>
    </row>
    <row r="62" spans="1:14" s="55" customFormat="1" ht="18" x14ac:dyDescent="0.4">
      <c r="A62" s="55" t="s">
        <v>1302</v>
      </c>
      <c r="C62" s="69"/>
      <c r="D62" s="57">
        <v>140839</v>
      </c>
      <c r="E62" s="57">
        <v>164733</v>
      </c>
      <c r="F62" s="57">
        <v>192530</v>
      </c>
      <c r="G62" s="57">
        <v>212579</v>
      </c>
      <c r="H62" s="57">
        <v>233758</v>
      </c>
      <c r="I62" s="70" t="s">
        <v>1370</v>
      </c>
    </row>
    <row r="63" spans="1:14" s="55" customFormat="1" ht="18" x14ac:dyDescent="0.4">
      <c r="A63" s="55" t="s">
        <v>1303</v>
      </c>
      <c r="D63" s="57">
        <v>10975</v>
      </c>
      <c r="E63" s="71">
        <v>12792</v>
      </c>
      <c r="F63" s="71">
        <v>14438</v>
      </c>
      <c r="G63" s="71">
        <v>16007</v>
      </c>
      <c r="H63" s="71">
        <v>17714</v>
      </c>
      <c r="I63" s="61" t="s">
        <v>1305</v>
      </c>
    </row>
    <row r="64" spans="1:14" s="55" customFormat="1" ht="18" x14ac:dyDescent="0.4">
      <c r="A64" s="55" t="s">
        <v>1304</v>
      </c>
      <c r="D64" s="72">
        <f>D63/D62</f>
        <v>7.7925858604505849E-2</v>
      </c>
      <c r="E64" s="73">
        <f t="shared" ref="E64:H64" si="74">E63/E62</f>
        <v>7.7652929285571201E-2</v>
      </c>
      <c r="F64" s="73">
        <f t="shared" si="74"/>
        <v>7.4990910507453379E-2</v>
      </c>
      <c r="G64" s="73">
        <f t="shared" si="74"/>
        <v>7.5299065288669156E-2</v>
      </c>
      <c r="H64" s="73">
        <f t="shared" si="74"/>
        <v>7.5779224668246645E-2</v>
      </c>
      <c r="I64" s="61" t="s">
        <v>1314</v>
      </c>
    </row>
    <row r="65" spans="1:14" ht="18" x14ac:dyDescent="0.4">
      <c r="B65" s="54"/>
      <c r="C65" s="55"/>
    </row>
    <row r="66" spans="1:14" ht="18" x14ac:dyDescent="0.4">
      <c r="B66" s="55"/>
      <c r="C66" s="55" t="s">
        <v>1278</v>
      </c>
    </row>
    <row r="67" spans="1:14" ht="18" x14ac:dyDescent="0.4">
      <c r="B67" s="55"/>
      <c r="C67" s="55" t="s">
        <v>1277</v>
      </c>
    </row>
    <row r="68" spans="1:14" ht="18" x14ac:dyDescent="0.4">
      <c r="B68" s="55"/>
      <c r="C68" s="55"/>
    </row>
    <row r="69" spans="1:14" ht="18" x14ac:dyDescent="0.4">
      <c r="B69" s="55"/>
      <c r="C69" s="55"/>
    </row>
    <row r="70" spans="1:14" ht="18" x14ac:dyDescent="0.4">
      <c r="B70" s="55"/>
      <c r="C70" s="55"/>
    </row>
    <row r="71" spans="1:14" ht="18" x14ac:dyDescent="0.4">
      <c r="B71" s="55"/>
      <c r="C71" s="61"/>
    </row>
    <row r="72" spans="1:14" ht="18" x14ac:dyDescent="0.4">
      <c r="B72" s="55"/>
      <c r="C72" s="61"/>
    </row>
    <row r="73" spans="1:14" ht="18" x14ac:dyDescent="0.4">
      <c r="B73" s="55"/>
      <c r="C73" s="61"/>
    </row>
    <row r="74" spans="1:14" ht="18" x14ac:dyDescent="0.4">
      <c r="B74" s="55"/>
      <c r="C74" s="61"/>
    </row>
    <row r="75" spans="1:14" s="52" customFormat="1" ht="18" x14ac:dyDescent="0.4">
      <c r="B75" s="37" t="s">
        <v>1386</v>
      </c>
      <c r="C75" s="36"/>
    </row>
    <row r="76" spans="1:14" ht="18" x14ac:dyDescent="0.4">
      <c r="B76" s="54"/>
      <c r="C76" s="55"/>
    </row>
    <row r="77" spans="1:14" ht="18" x14ac:dyDescent="0.4">
      <c r="B77" s="54"/>
      <c r="C77" s="55"/>
      <c r="D77" s="50">
        <v>2020</v>
      </c>
      <c r="E77" s="50">
        <v>2021</v>
      </c>
      <c r="F77" s="50">
        <v>2022</v>
      </c>
      <c r="G77" s="50">
        <v>2023</v>
      </c>
      <c r="H77" s="50">
        <v>2024</v>
      </c>
      <c r="I77" s="50">
        <v>2025</v>
      </c>
      <c r="J77" s="50">
        <v>2026</v>
      </c>
      <c r="K77" s="50">
        <v>2027</v>
      </c>
      <c r="L77" s="50">
        <v>2028</v>
      </c>
      <c r="M77" s="50">
        <v>2029</v>
      </c>
      <c r="N77" s="50">
        <v>2030</v>
      </c>
    </row>
    <row r="78" spans="1:14" ht="18" x14ac:dyDescent="0.4">
      <c r="A78" s="55" t="s">
        <v>1073</v>
      </c>
      <c r="C78" s="55"/>
      <c r="D78" s="58">
        <v>-0.16</v>
      </c>
      <c r="E78" s="58">
        <v>0.09</v>
      </c>
      <c r="F78" s="58">
        <v>0.38</v>
      </c>
      <c r="G78" s="58">
        <v>0.2</v>
      </c>
      <c r="H78" s="58">
        <v>0.15</v>
      </c>
      <c r="I78" s="55"/>
      <c r="J78" s="55"/>
      <c r="K78" s="55"/>
      <c r="M78" s="55"/>
      <c r="N78" s="55"/>
    </row>
    <row r="79" spans="1:14" ht="18" x14ac:dyDescent="0.4">
      <c r="A79" s="55" t="s">
        <v>1072</v>
      </c>
    </row>
    <row r="80" spans="1:14" ht="18" x14ac:dyDescent="0.4">
      <c r="A80" s="55"/>
    </row>
    <row r="81" spans="2:9" ht="18" x14ac:dyDescent="0.4">
      <c r="B81" s="54"/>
      <c r="C81" s="55" t="s">
        <v>1276</v>
      </c>
      <c r="F81" s="55" t="s">
        <v>1275</v>
      </c>
    </row>
    <row r="82" spans="2:9" ht="18" x14ac:dyDescent="0.4">
      <c r="B82" s="55"/>
      <c r="C82" s="55" t="s">
        <v>1274</v>
      </c>
      <c r="E82" s="55" t="s">
        <v>1273</v>
      </c>
      <c r="F82" s="74">
        <v>1.0999999999999999E-2</v>
      </c>
    </row>
    <row r="83" spans="2:9" ht="18" x14ac:dyDescent="0.4">
      <c r="B83" s="55"/>
      <c r="C83" s="55" t="s">
        <v>1272</v>
      </c>
      <c r="E83" s="55" t="s">
        <v>1271</v>
      </c>
      <c r="F83" s="74">
        <v>1.8499999999999999E-2</v>
      </c>
    </row>
    <row r="84" spans="2:9" ht="18" x14ac:dyDescent="0.4">
      <c r="B84" s="55"/>
      <c r="C84" s="55" t="s">
        <v>1270</v>
      </c>
      <c r="E84" s="55" t="s">
        <v>1269</v>
      </c>
      <c r="F84" s="74">
        <v>0.02</v>
      </c>
      <c r="I84" s="87" t="s">
        <v>1363</v>
      </c>
    </row>
    <row r="85" spans="2:9" ht="18" x14ac:dyDescent="0.4">
      <c r="B85" s="55"/>
      <c r="C85" s="55" t="s">
        <v>1268</v>
      </c>
      <c r="E85" s="55" t="s">
        <v>1267</v>
      </c>
      <c r="F85" s="74">
        <v>0.02</v>
      </c>
      <c r="I85" s="87" t="s">
        <v>1364</v>
      </c>
    </row>
    <row r="86" spans="2:9" ht="18" x14ac:dyDescent="0.4">
      <c r="B86" s="55"/>
      <c r="C86" s="55"/>
      <c r="E86" s="55"/>
      <c r="F86" s="74"/>
    </row>
    <row r="87" spans="2:9" ht="18" x14ac:dyDescent="0.4">
      <c r="B87" s="61" t="s">
        <v>1366</v>
      </c>
      <c r="C87" s="55"/>
      <c r="E87" s="55"/>
      <c r="F87" s="74"/>
    </row>
    <row r="88" spans="2:9" ht="18" x14ac:dyDescent="0.4">
      <c r="B88" s="61" t="s">
        <v>1367</v>
      </c>
      <c r="C88" s="55"/>
      <c r="E88" s="55"/>
      <c r="F88" s="74"/>
    </row>
    <row r="89" spans="2:9" ht="18" x14ac:dyDescent="0.4">
      <c r="B89" s="61" t="s">
        <v>1368</v>
      </c>
      <c r="C89" s="55"/>
      <c r="E89" s="55"/>
      <c r="F89" s="74"/>
    </row>
    <row r="90" spans="2:9" ht="18" x14ac:dyDescent="0.4">
      <c r="B90" s="61" t="s">
        <v>1369</v>
      </c>
      <c r="C90" s="55"/>
      <c r="E90" s="55"/>
      <c r="F90" s="74"/>
    </row>
    <row r="91" spans="2:9" ht="18" x14ac:dyDescent="0.4">
      <c r="B91" s="55"/>
      <c r="C91" s="55"/>
      <c r="E91" s="55"/>
      <c r="F91" s="74"/>
    </row>
    <row r="92" spans="2:9" ht="18" x14ac:dyDescent="0.4">
      <c r="B92" s="55"/>
      <c r="C92" s="55"/>
      <c r="E92" s="55"/>
      <c r="F92" s="74"/>
    </row>
    <row r="93" spans="2:9" ht="18" x14ac:dyDescent="0.4">
      <c r="B93" s="55"/>
      <c r="C93" s="55"/>
      <c r="E93" s="55"/>
      <c r="F93" s="74"/>
    </row>
    <row r="94" spans="2:9" ht="18" x14ac:dyDescent="0.4">
      <c r="B94" s="55"/>
      <c r="C94" s="55"/>
      <c r="E94" s="55"/>
      <c r="F94" s="74"/>
    </row>
    <row r="96" spans="2:9" ht="18" x14ac:dyDescent="0.4">
      <c r="B96" s="54"/>
    </row>
    <row r="97" spans="1:14" ht="18" x14ac:dyDescent="0.4">
      <c r="B97" s="54"/>
    </row>
    <row r="98" spans="1:14" ht="18" x14ac:dyDescent="0.4">
      <c r="B98" s="54"/>
    </row>
    <row r="99" spans="1:14" s="52" customFormat="1" ht="18" x14ac:dyDescent="0.4">
      <c r="B99" s="37" t="s">
        <v>1221</v>
      </c>
    </row>
    <row r="100" spans="1:14" ht="18" x14ac:dyDescent="0.4">
      <c r="B100" s="55"/>
      <c r="C100" s="55" t="s">
        <v>1219</v>
      </c>
    </row>
    <row r="101" spans="1:14" s="52" customFormat="1" ht="18" x14ac:dyDescent="0.4">
      <c r="B101" s="77" t="s">
        <v>1371</v>
      </c>
      <c r="C101" s="36"/>
    </row>
    <row r="102" spans="1:14" ht="18" x14ac:dyDescent="0.4">
      <c r="B102" s="75"/>
      <c r="C102" s="55"/>
    </row>
    <row r="103" spans="1:14" ht="18" x14ac:dyDescent="0.4">
      <c r="A103" s="50"/>
      <c r="B103" s="51"/>
      <c r="C103" s="50"/>
      <c r="D103" s="50">
        <v>2020</v>
      </c>
      <c r="E103" s="50">
        <v>2021</v>
      </c>
      <c r="F103" s="50">
        <v>2022</v>
      </c>
      <c r="G103" s="50">
        <v>2023</v>
      </c>
      <c r="H103" s="50">
        <v>2024</v>
      </c>
      <c r="I103" s="50">
        <v>2025</v>
      </c>
      <c r="J103" s="50">
        <v>2026</v>
      </c>
      <c r="K103" s="50">
        <v>2027</v>
      </c>
      <c r="L103" s="50">
        <v>2028</v>
      </c>
      <c r="M103" s="50">
        <v>2029</v>
      </c>
      <c r="N103" s="50">
        <v>2030</v>
      </c>
    </row>
    <row r="104" spans="1:14" ht="18" x14ac:dyDescent="0.4">
      <c r="A104" s="55" t="s">
        <v>1307</v>
      </c>
      <c r="B104" s="55"/>
      <c r="C104" s="69"/>
      <c r="D104" s="57">
        <v>-6664</v>
      </c>
      <c r="E104" s="57">
        <v>-8367</v>
      </c>
      <c r="F104" s="57">
        <v>-10295</v>
      </c>
      <c r="G104" s="57">
        <v>-12297</v>
      </c>
      <c r="H104" s="57">
        <v>-13764</v>
      </c>
      <c r="I104" s="70"/>
      <c r="J104" s="55"/>
      <c r="K104" s="55"/>
      <c r="L104" s="55"/>
      <c r="M104" s="55"/>
      <c r="N104" s="55"/>
    </row>
    <row r="105" spans="1:14" ht="18" x14ac:dyDescent="0.4">
      <c r="A105" s="55"/>
      <c r="B105" s="55"/>
      <c r="C105" s="63" t="s">
        <v>1297</v>
      </c>
      <c r="D105" s="59"/>
      <c r="E105" s="60">
        <f>(E104-D104)/D104</f>
        <v>0.25555222088835533</v>
      </c>
      <c r="F105" s="60">
        <f t="shared" ref="F105" si="75">(F104-E104)/E104</f>
        <v>0.23042906657105294</v>
      </c>
      <c r="G105" s="60">
        <f t="shared" ref="G105" si="76">(G104-F104)/F104</f>
        <v>0.19446333171442448</v>
      </c>
      <c r="H105" s="60">
        <f t="shared" ref="H105" si="77">(H104-G104)/G104</f>
        <v>0.11929738960722128</v>
      </c>
      <c r="I105" s="70"/>
      <c r="J105" s="55"/>
      <c r="K105" s="55"/>
      <c r="L105" s="55"/>
      <c r="M105" s="55"/>
      <c r="N105" s="55"/>
    </row>
    <row r="106" spans="1:14" ht="18" x14ac:dyDescent="0.4">
      <c r="A106" s="55" t="s">
        <v>1308</v>
      </c>
      <c r="B106" s="55"/>
      <c r="C106" s="55"/>
      <c r="D106" s="66">
        <v>0.23374254647492107</v>
      </c>
      <c r="E106" s="78">
        <v>0.25766814486326683</v>
      </c>
      <c r="F106" s="78">
        <v>0.25994192652442871</v>
      </c>
      <c r="G106" s="78">
        <v>0.27357063403781978</v>
      </c>
      <c r="H106" s="78">
        <v>0.2769973837794325</v>
      </c>
      <c r="I106" s="78">
        <v>0.2769973837794325</v>
      </c>
      <c r="J106" s="78">
        <v>0.2769973837794325</v>
      </c>
      <c r="K106" s="78">
        <v>0.2769973837794325</v>
      </c>
      <c r="L106" s="78">
        <v>0.2769973837794325</v>
      </c>
      <c r="M106" s="78">
        <v>0.2769973837794325</v>
      </c>
      <c r="N106" s="78">
        <v>0.2769973837794325</v>
      </c>
    </row>
    <row r="107" spans="1:14" ht="18" x14ac:dyDescent="0.4">
      <c r="A107" s="55"/>
      <c r="B107" s="55"/>
      <c r="C107" s="55"/>
      <c r="D107" s="72"/>
      <c r="E107" s="73"/>
      <c r="F107" s="73"/>
      <c r="G107" s="73" t="s">
        <v>1309</v>
      </c>
      <c r="H107" s="79">
        <f>AVERAGE(D106:H106)</f>
        <v>0.26038412713597375</v>
      </c>
      <c r="I107" s="61"/>
      <c r="J107" s="55"/>
      <c r="K107" s="55"/>
      <c r="L107" s="55"/>
      <c r="M107" s="55"/>
      <c r="N107" s="55"/>
    </row>
    <row r="108" spans="1:14" ht="18" x14ac:dyDescent="0.4">
      <c r="B108" s="75"/>
      <c r="C108" s="55"/>
      <c r="G108" s="73" t="s">
        <v>1310</v>
      </c>
      <c r="H108" s="79">
        <f>GEOMEAN(D106:H106)</f>
        <v>0.25992257202407898</v>
      </c>
    </row>
    <row r="109" spans="1:14" ht="18" x14ac:dyDescent="0.4">
      <c r="B109" s="75"/>
      <c r="C109" s="55"/>
      <c r="G109" s="73" t="s">
        <v>1311</v>
      </c>
      <c r="H109" s="79">
        <f>POWER(H106/D106,1/4)-1</f>
        <v>4.3360699502693834E-2</v>
      </c>
    </row>
    <row r="110" spans="1:14" ht="18" x14ac:dyDescent="0.4">
      <c r="B110" s="75"/>
      <c r="C110" s="55"/>
      <c r="G110" s="73" t="s">
        <v>1312</v>
      </c>
      <c r="H110" s="79">
        <f>POWER(H104/D104,1/4)-1</f>
        <v>0.19881569156428913</v>
      </c>
      <c r="I110" s="80"/>
    </row>
    <row r="111" spans="1:14" ht="18" x14ac:dyDescent="0.4">
      <c r="B111" s="75"/>
      <c r="C111" s="55"/>
      <c r="H111" s="80"/>
      <c r="I111" s="80"/>
    </row>
    <row r="112" spans="1:14" ht="18" x14ac:dyDescent="0.4">
      <c r="B112" s="55"/>
      <c r="C112" s="55" t="s">
        <v>1266</v>
      </c>
    </row>
    <row r="113" spans="2:4" ht="18" x14ac:dyDescent="0.4">
      <c r="B113" s="55"/>
      <c r="C113" s="55" t="s">
        <v>1265</v>
      </c>
    </row>
    <row r="114" spans="2:4" ht="18" x14ac:dyDescent="0.4">
      <c r="B114" s="55"/>
      <c r="C114" s="55" t="s">
        <v>1264</v>
      </c>
    </row>
    <row r="115" spans="2:4" ht="18" x14ac:dyDescent="0.4">
      <c r="B115" s="55"/>
      <c r="C115" s="55" t="s">
        <v>1263</v>
      </c>
    </row>
    <row r="116" spans="2:4" ht="18" x14ac:dyDescent="0.4">
      <c r="C116" s="55" t="s">
        <v>1313</v>
      </c>
    </row>
    <row r="117" spans="2:4" ht="18" x14ac:dyDescent="0.4">
      <c r="B117" s="55" t="s">
        <v>1262</v>
      </c>
      <c r="C117" s="56"/>
    </row>
    <row r="118" spans="2:4" ht="18" x14ac:dyDescent="0.4">
      <c r="B118" s="55" t="s">
        <v>1261</v>
      </c>
    </row>
    <row r="120" spans="2:4" ht="18" x14ac:dyDescent="0.4">
      <c r="B120" s="54" t="s">
        <v>1260</v>
      </c>
      <c r="D120" s="55" t="s">
        <v>1259</v>
      </c>
    </row>
    <row r="121" spans="2:4" ht="18" x14ac:dyDescent="0.4">
      <c r="B121" s="55"/>
      <c r="C121" s="55" t="s">
        <v>1258</v>
      </c>
      <c r="D121" s="76">
        <v>0.21</v>
      </c>
    </row>
    <row r="122" spans="2:4" ht="18" x14ac:dyDescent="0.4">
      <c r="C122" s="55" t="s">
        <v>1257</v>
      </c>
      <c r="D122" s="76">
        <v>0.2</v>
      </c>
    </row>
    <row r="123" spans="2:4" ht="18" x14ac:dyDescent="0.4">
      <c r="C123" s="55" t="s">
        <v>1256</v>
      </c>
      <c r="D123" s="76">
        <v>0.21</v>
      </c>
    </row>
    <row r="130" spans="3:3" ht="18" x14ac:dyDescent="0.4">
      <c r="C130" s="55" t="s">
        <v>1255</v>
      </c>
    </row>
  </sheetData>
  <mergeCells count="1">
    <mergeCell ref="B27:C27"/>
  </mergeCells>
  <phoneticPr fontId="3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B1D9-E666-4FD3-91E5-800DF55A6560}">
  <dimension ref="B2:AB84"/>
  <sheetViews>
    <sheetView topLeftCell="A8" zoomScale="85" zoomScaleNormal="85" workbookViewId="0">
      <selection activeCell="E78" sqref="E78"/>
    </sheetView>
  </sheetViews>
  <sheetFormatPr defaultRowHeight="17.399999999999999" x14ac:dyDescent="0.4"/>
  <cols>
    <col min="1" max="4" width="8.796875" style="82"/>
    <col min="5" max="5" width="10.296875" style="82" bestFit="1" customWidth="1"/>
    <col min="6" max="16384" width="8.796875" style="82"/>
  </cols>
  <sheetData>
    <row r="2" spans="2:10" x14ac:dyDescent="0.4">
      <c r="E2" s="82">
        <v>2020</v>
      </c>
      <c r="F2" s="82">
        <v>2021</v>
      </c>
      <c r="G2" s="82">
        <v>2022</v>
      </c>
      <c r="H2" s="82">
        <v>2023</v>
      </c>
      <c r="I2" s="82">
        <v>2024</v>
      </c>
      <c r="J2" s="82">
        <v>2025</v>
      </c>
    </row>
    <row r="3" spans="2:10" x14ac:dyDescent="0.4">
      <c r="B3" s="82" t="s">
        <v>1325</v>
      </c>
      <c r="E3" s="82">
        <f>SUM(E4:E5)</f>
        <v>11347</v>
      </c>
      <c r="F3" s="82">
        <f>SUM(F4:F5)</f>
        <v>12995</v>
      </c>
      <c r="G3" s="82">
        <f>SUM(G4:G5)</f>
        <v>14098</v>
      </c>
      <c r="H3" s="82">
        <f>SUM(H4:H5)</f>
        <v>14835</v>
      </c>
      <c r="I3" s="82">
        <f>SUM(I4:I5)</f>
        <v>15682</v>
      </c>
    </row>
    <row r="4" spans="2:10" x14ac:dyDescent="0.4">
      <c r="B4" s="83" t="s">
        <v>1343</v>
      </c>
      <c r="E4" s="82">
        <f>E74</f>
        <v>8796</v>
      </c>
      <c r="F4" s="82">
        <f>J74</f>
        <v>10408</v>
      </c>
      <c r="G4" s="82">
        <f>O74</f>
        <v>11606</v>
      </c>
      <c r="H4" s="82">
        <f>T74</f>
        <v>12358</v>
      </c>
      <c r="I4" s="82">
        <f>Y74</f>
        <v>13189</v>
      </c>
    </row>
    <row r="5" spans="2:10" x14ac:dyDescent="0.4">
      <c r="B5" s="83" t="s">
        <v>1347</v>
      </c>
      <c r="E5" s="82">
        <f>G74</f>
        <v>2551</v>
      </c>
      <c r="F5" s="82">
        <f>L74</f>
        <v>2587</v>
      </c>
      <c r="G5" s="82">
        <f>Q74</f>
        <v>2492</v>
      </c>
      <c r="H5" s="82">
        <f>V74</f>
        <v>2477</v>
      </c>
      <c r="I5" s="82">
        <f>AA74</f>
        <v>2493</v>
      </c>
    </row>
    <row r="6" spans="2:10" x14ac:dyDescent="0.4">
      <c r="B6" s="84" t="s">
        <v>1350</v>
      </c>
      <c r="E6" s="82">
        <f>SUM(E7:E8)</f>
        <v>4677</v>
      </c>
      <c r="F6" s="82">
        <f>SUM(F7:F8)</f>
        <v>5187</v>
      </c>
      <c r="G6" s="82">
        <f>SUM(G7:G8)</f>
        <v>6029</v>
      </c>
      <c r="H6" s="82">
        <f>SUM(H7:H8)</f>
        <v>6400</v>
      </c>
      <c r="I6" s="82">
        <f>SUM(I7:I8)</f>
        <v>6768</v>
      </c>
    </row>
    <row r="7" spans="2:10" x14ac:dyDescent="0.4">
      <c r="B7" s="83" t="s">
        <v>1329</v>
      </c>
      <c r="E7" s="82">
        <f>E79</f>
        <v>4470</v>
      </c>
      <c r="F7" s="82">
        <f>J79</f>
        <v>4990</v>
      </c>
      <c r="G7" s="82">
        <f>O79</f>
        <v>5817</v>
      </c>
      <c r="H7" s="82">
        <f>T79</f>
        <v>6209</v>
      </c>
      <c r="I7" s="82">
        <f>Y79</f>
        <v>6541</v>
      </c>
    </row>
    <row r="8" spans="2:10" x14ac:dyDescent="0.4">
      <c r="B8" s="83" t="s">
        <v>1347</v>
      </c>
      <c r="E8" s="82">
        <f>G79</f>
        <v>207</v>
      </c>
      <c r="F8" s="82">
        <f>L79</f>
        <v>197</v>
      </c>
      <c r="G8" s="82">
        <f>Q79</f>
        <v>212</v>
      </c>
      <c r="H8" s="82">
        <f>V79</f>
        <v>191</v>
      </c>
      <c r="I8" s="82">
        <f>AA79</f>
        <v>227</v>
      </c>
    </row>
    <row r="9" spans="2:10" x14ac:dyDescent="0.4">
      <c r="B9" s="84" t="s">
        <v>1349</v>
      </c>
      <c r="E9" s="82">
        <f>SUM(E10:E11)</f>
        <v>6669</v>
      </c>
      <c r="F9" s="82">
        <f>SUM(F10:F11)</f>
        <v>7808</v>
      </c>
      <c r="G9" s="82">
        <f>SUM(G10:G11)</f>
        <v>8071</v>
      </c>
      <c r="H9" s="82">
        <f>SUM(H10:H11)</f>
        <v>8402</v>
      </c>
      <c r="I9" s="82">
        <f>SUM(I10:I11)</f>
        <v>8916</v>
      </c>
    </row>
    <row r="10" spans="2:10" x14ac:dyDescent="0.4">
      <c r="B10" s="83" t="s">
        <v>1348</v>
      </c>
      <c r="E10" s="82">
        <f>E84</f>
        <v>4325</v>
      </c>
      <c r="F10" s="82">
        <f>J84</f>
        <v>5417</v>
      </c>
      <c r="G10" s="82">
        <f>O84</f>
        <v>5790</v>
      </c>
      <c r="H10" s="82">
        <f>T84</f>
        <v>6149</v>
      </c>
      <c r="I10" s="82">
        <f>Y84</f>
        <v>6650</v>
      </c>
    </row>
    <row r="11" spans="2:10" x14ac:dyDescent="0.4">
      <c r="B11" s="83" t="s">
        <v>1347</v>
      </c>
      <c r="E11" s="82">
        <f>G84</f>
        <v>2344</v>
      </c>
      <c r="F11" s="82">
        <f>L84</f>
        <v>2391</v>
      </c>
      <c r="G11" s="82">
        <f>Q84</f>
        <v>2281</v>
      </c>
      <c r="H11" s="82">
        <f>V84</f>
        <v>2253</v>
      </c>
      <c r="I11" s="82">
        <f>AA84</f>
        <v>2266</v>
      </c>
    </row>
    <row r="12" spans="2:10" x14ac:dyDescent="0.4">
      <c r="B12" s="83"/>
    </row>
    <row r="13" spans="2:10" x14ac:dyDescent="0.4">
      <c r="B13" s="83" t="s">
        <v>1346</v>
      </c>
      <c r="E13" s="82">
        <v>2020</v>
      </c>
      <c r="F13" s="82">
        <v>2021</v>
      </c>
      <c r="G13" s="82">
        <v>2022</v>
      </c>
      <c r="H13" s="82">
        <v>2023</v>
      </c>
      <c r="I13" s="82">
        <v>2024</v>
      </c>
    </row>
    <row r="14" spans="2:10" x14ac:dyDescent="0.4">
      <c r="B14" s="82" t="s">
        <v>1344</v>
      </c>
      <c r="E14" s="85">
        <f>E23</f>
        <v>2196</v>
      </c>
      <c r="F14" s="85">
        <f>F23</f>
        <v>2289</v>
      </c>
      <c r="G14" s="85">
        <f>G23</f>
        <v>2385</v>
      </c>
      <c r="H14" s="85">
        <f>H23</f>
        <v>2363</v>
      </c>
      <c r="I14" s="85">
        <f>I23</f>
        <v>2334</v>
      </c>
    </row>
    <row r="15" spans="2:10" x14ac:dyDescent="0.4">
      <c r="B15" s="82" t="s">
        <v>1323</v>
      </c>
      <c r="E15" s="85">
        <f>E30</f>
        <v>283</v>
      </c>
      <c r="F15" s="85">
        <f>F30</f>
        <v>337</v>
      </c>
      <c r="G15" s="85">
        <f>G30</f>
        <v>400</v>
      </c>
      <c r="H15" s="85">
        <f>H30</f>
        <v>415</v>
      </c>
      <c r="I15" s="85">
        <f>I30</f>
        <v>438</v>
      </c>
    </row>
    <row r="16" spans="2:10" x14ac:dyDescent="0.4">
      <c r="B16" s="82" t="s">
        <v>1322</v>
      </c>
      <c r="E16" s="85">
        <f>E37</f>
        <v>1152</v>
      </c>
      <c r="F16" s="85">
        <f>F37</f>
        <v>1300</v>
      </c>
      <c r="G16" s="85">
        <f>G37</f>
        <v>1201</v>
      </c>
      <c r="H16" s="85">
        <f>H37</f>
        <v>1139</v>
      </c>
      <c r="I16" s="85">
        <f>I37</f>
        <v>1242</v>
      </c>
    </row>
    <row r="17" spans="2:11" x14ac:dyDescent="0.4">
      <c r="B17" s="82" t="s">
        <v>1321</v>
      </c>
      <c r="E17" s="85">
        <f>E44</f>
        <v>836</v>
      </c>
      <c r="F17" s="85">
        <f>F44</f>
        <v>968</v>
      </c>
      <c r="G17" s="85">
        <f>G44</f>
        <v>1176</v>
      </c>
      <c r="H17" s="85">
        <f>H44</f>
        <v>1344</v>
      </c>
      <c r="I17" s="85">
        <f>I44</f>
        <v>1443</v>
      </c>
    </row>
    <row r="18" spans="2:11" x14ac:dyDescent="0.4">
      <c r="B18" s="82" t="s">
        <v>1317</v>
      </c>
      <c r="E18" s="85">
        <f>E51</f>
        <v>4674</v>
      </c>
      <c r="F18" s="85">
        <f>F51</f>
        <v>5602</v>
      </c>
      <c r="G18" s="85">
        <f>G51</f>
        <v>6307</v>
      </c>
      <c r="H18" s="85">
        <f>H51</f>
        <v>6744</v>
      </c>
      <c r="I18" s="85">
        <f>I51</f>
        <v>7067</v>
      </c>
    </row>
    <row r="19" spans="2:11" x14ac:dyDescent="0.4">
      <c r="B19" s="82" t="s">
        <v>1337</v>
      </c>
      <c r="E19" s="85">
        <f>E58</f>
        <v>2205</v>
      </c>
      <c r="F19" s="85">
        <f>F58</f>
        <v>2500</v>
      </c>
      <c r="G19" s="85">
        <f>G58</f>
        <v>2630</v>
      </c>
      <c r="H19" s="85">
        <f>H58</f>
        <v>2830</v>
      </c>
      <c r="I19" s="85">
        <f>I58</f>
        <v>3159</v>
      </c>
    </row>
    <row r="20" spans="2:11" x14ac:dyDescent="0.4">
      <c r="E20" s="86"/>
      <c r="F20" s="86"/>
      <c r="G20" s="86"/>
      <c r="H20" s="86"/>
      <c r="I20" s="86"/>
    </row>
    <row r="21" spans="2:11" x14ac:dyDescent="0.4">
      <c r="D21" s="82" t="s">
        <v>1345</v>
      </c>
      <c r="E21" s="85">
        <f>E24/E25*1000</f>
        <v>58.626083556019033</v>
      </c>
      <c r="F21" s="85">
        <f>F24/F25*1000</f>
        <v>57.044002838892837</v>
      </c>
      <c r="G21" s="85">
        <f>G24/G25*1000</f>
        <v>52.749690466364015</v>
      </c>
      <c r="H21" s="85">
        <f>H24/H25*1000</f>
        <v>48.349670881280481</v>
      </c>
      <c r="I21" s="85">
        <f>I24/I25*1000</f>
        <v>44.252433555725688</v>
      </c>
    </row>
    <row r="22" spans="2:11" x14ac:dyDescent="0.4">
      <c r="B22" s="82" t="s">
        <v>1344</v>
      </c>
      <c r="E22" s="82">
        <v>2020</v>
      </c>
      <c r="F22" s="82">
        <v>2021</v>
      </c>
      <c r="G22" s="82">
        <v>2022</v>
      </c>
      <c r="H22" s="82">
        <v>2023</v>
      </c>
      <c r="I22" s="82">
        <v>2024</v>
      </c>
      <c r="J22" s="82">
        <v>2025</v>
      </c>
    </row>
    <row r="23" spans="2:11" x14ac:dyDescent="0.4">
      <c r="B23" s="84" t="s">
        <v>1336</v>
      </c>
      <c r="E23" s="82">
        <v>2196</v>
      </c>
      <c r="F23" s="82">
        <v>2289</v>
      </c>
      <c r="G23" s="82">
        <v>2385</v>
      </c>
      <c r="H23" s="82">
        <v>2363</v>
      </c>
      <c r="I23" s="82">
        <v>2334</v>
      </c>
    </row>
    <row r="24" spans="2:11" x14ac:dyDescent="0.4">
      <c r="B24" s="83" t="s">
        <v>1343</v>
      </c>
      <c r="E24" s="82">
        <v>1799</v>
      </c>
      <c r="F24" s="82">
        <v>1929</v>
      </c>
      <c r="G24" s="82">
        <v>2045</v>
      </c>
      <c r="H24" s="82">
        <v>2042</v>
      </c>
      <c r="I24" s="82">
        <v>2023</v>
      </c>
      <c r="K24" s="82" t="s">
        <v>1340</v>
      </c>
    </row>
    <row r="25" spans="2:11" x14ac:dyDescent="0.4">
      <c r="B25" s="83" t="s">
        <v>1342</v>
      </c>
      <c r="E25" s="82">
        <v>30686</v>
      </c>
      <c r="F25" s="82">
        <v>33816</v>
      </c>
      <c r="G25" s="82">
        <v>38768</v>
      </c>
      <c r="H25" s="82">
        <v>42234</v>
      </c>
      <c r="I25" s="82">
        <v>45715</v>
      </c>
    </row>
    <row r="26" spans="2:11" x14ac:dyDescent="0.4">
      <c r="B26" s="83" t="s">
        <v>1332</v>
      </c>
      <c r="E26" s="82">
        <v>398</v>
      </c>
      <c r="F26" s="82">
        <v>360</v>
      </c>
      <c r="G26" s="82">
        <v>340</v>
      </c>
      <c r="H26" s="82">
        <v>321</v>
      </c>
      <c r="I26" s="82">
        <v>311</v>
      </c>
    </row>
    <row r="27" spans="2:11" x14ac:dyDescent="0.4">
      <c r="B27" s="83" t="s">
        <v>1331</v>
      </c>
      <c r="E27" s="82">
        <v>3574</v>
      </c>
      <c r="F27" s="82">
        <v>3119</v>
      </c>
      <c r="G27" s="82">
        <v>3116</v>
      </c>
      <c r="H27" s="82">
        <v>3178</v>
      </c>
      <c r="I27" s="82">
        <v>3042</v>
      </c>
    </row>
    <row r="28" spans="2:11" x14ac:dyDescent="0.4">
      <c r="E28" s="85">
        <f>E31/E32*1000</f>
        <v>66.495507060333765</v>
      </c>
      <c r="F28" s="85">
        <f>F31/F32*1000</f>
        <v>70.553539019963694</v>
      </c>
      <c r="G28" s="85">
        <f>G31/G32*1000</f>
        <v>71.743717629004422</v>
      </c>
      <c r="H28" s="85">
        <f>H31/H32*1000</f>
        <v>67.150008631106516</v>
      </c>
      <c r="I28" s="85">
        <f>I31/I32*1000</f>
        <v>64.551767676767682</v>
      </c>
    </row>
    <row r="29" spans="2:11" x14ac:dyDescent="0.4">
      <c r="B29" s="82" t="s">
        <v>1323</v>
      </c>
      <c r="E29" s="82">
        <v>2020</v>
      </c>
      <c r="F29" s="82">
        <v>2021</v>
      </c>
      <c r="G29" s="82">
        <v>2022</v>
      </c>
      <c r="H29" s="82">
        <v>2023</v>
      </c>
      <c r="I29" s="82">
        <v>2024</v>
      </c>
      <c r="J29" s="82">
        <v>2025</v>
      </c>
    </row>
    <row r="30" spans="2:11" x14ac:dyDescent="0.4">
      <c r="B30" s="84" t="s">
        <v>1336</v>
      </c>
      <c r="E30" s="82">
        <v>283</v>
      </c>
      <c r="F30" s="82">
        <v>337</v>
      </c>
      <c r="G30" s="82">
        <v>400</v>
      </c>
      <c r="H30" s="82">
        <v>415</v>
      </c>
      <c r="I30" s="82">
        <v>438</v>
      </c>
    </row>
    <row r="31" spans="2:11" x14ac:dyDescent="0.4">
      <c r="B31" s="83" t="s">
        <v>1335</v>
      </c>
      <c r="E31" s="82">
        <v>259</v>
      </c>
      <c r="F31" s="82">
        <v>311</v>
      </c>
      <c r="G31" s="82">
        <v>374</v>
      </c>
      <c r="H31" s="82">
        <v>389</v>
      </c>
      <c r="I31" s="82">
        <v>409</v>
      </c>
      <c r="K31" s="82" t="s">
        <v>1341</v>
      </c>
    </row>
    <row r="32" spans="2:11" x14ac:dyDescent="0.4">
      <c r="B32" s="83" t="s">
        <v>1333</v>
      </c>
      <c r="E32" s="82">
        <v>3895</v>
      </c>
      <c r="F32" s="82">
        <v>4408</v>
      </c>
      <c r="G32" s="82">
        <v>5213</v>
      </c>
      <c r="H32" s="82">
        <v>5793</v>
      </c>
      <c r="I32" s="82">
        <v>6336</v>
      </c>
    </row>
    <row r="33" spans="2:11" x14ac:dyDescent="0.4">
      <c r="B33" s="83" t="s">
        <v>1332</v>
      </c>
      <c r="E33" s="82">
        <v>24</v>
      </c>
      <c r="F33" s="82">
        <v>26</v>
      </c>
      <c r="G33" s="82">
        <v>26</v>
      </c>
      <c r="H33" s="82">
        <v>26</v>
      </c>
      <c r="I33" s="82">
        <v>28</v>
      </c>
    </row>
    <row r="34" spans="2:11" x14ac:dyDescent="0.4">
      <c r="B34" s="83" t="s">
        <v>1331</v>
      </c>
      <c r="E34" s="82">
        <v>37</v>
      </c>
      <c r="F34" s="82">
        <v>34</v>
      </c>
      <c r="G34" s="82">
        <v>41</v>
      </c>
      <c r="H34" s="82">
        <v>44</v>
      </c>
      <c r="I34" s="82">
        <v>47</v>
      </c>
    </row>
    <row r="35" spans="2:11" x14ac:dyDescent="0.4">
      <c r="E35" s="85">
        <f>E38/E39*1000</f>
        <v>23.116022099447513</v>
      </c>
      <c r="F35" s="85">
        <f>F38/F39*1000</f>
        <v>23.154596100278553</v>
      </c>
      <c r="G35" s="85">
        <f>G38/G39*1000</f>
        <v>28.159221275856076</v>
      </c>
      <c r="H35" s="85">
        <f>H38/H39*1000</f>
        <v>32.551696843771644</v>
      </c>
      <c r="I35" s="85">
        <f>I38/I39*1000</f>
        <v>31.240972308200238</v>
      </c>
    </row>
    <row r="36" spans="2:11" x14ac:dyDescent="0.4">
      <c r="B36" s="82" t="s">
        <v>1322</v>
      </c>
      <c r="E36" s="82">
        <v>2020</v>
      </c>
      <c r="F36" s="82">
        <v>2021</v>
      </c>
      <c r="G36" s="82">
        <v>2022</v>
      </c>
      <c r="H36" s="82">
        <v>2023</v>
      </c>
      <c r="I36" s="82">
        <v>2024</v>
      </c>
      <c r="J36" s="82">
        <v>2025</v>
      </c>
    </row>
    <row r="37" spans="2:11" x14ac:dyDescent="0.4">
      <c r="B37" s="84" t="s">
        <v>1336</v>
      </c>
      <c r="E37" s="82">
        <v>1152</v>
      </c>
      <c r="F37" s="82">
        <v>1300</v>
      </c>
      <c r="G37" s="82">
        <v>1201</v>
      </c>
      <c r="H37" s="82">
        <v>1139</v>
      </c>
      <c r="I37" s="82">
        <v>1242</v>
      </c>
    </row>
    <row r="38" spans="2:11" x14ac:dyDescent="0.4">
      <c r="B38" s="83" t="s">
        <v>1335</v>
      </c>
      <c r="E38" s="82">
        <v>523</v>
      </c>
      <c r="F38" s="82">
        <v>665</v>
      </c>
      <c r="G38" s="82">
        <v>648</v>
      </c>
      <c r="H38" s="82">
        <v>658</v>
      </c>
      <c r="I38" s="82">
        <v>757</v>
      </c>
      <c r="K38" s="82" t="s">
        <v>1340</v>
      </c>
    </row>
    <row r="39" spans="2:11" x14ac:dyDescent="0.4">
      <c r="B39" s="83" t="s">
        <v>1333</v>
      </c>
      <c r="E39" s="82">
        <v>22625</v>
      </c>
      <c r="F39" s="82">
        <v>28720</v>
      </c>
      <c r="G39" s="82">
        <v>23012</v>
      </c>
      <c r="H39" s="82">
        <v>20214</v>
      </c>
      <c r="I39" s="82">
        <v>24231</v>
      </c>
    </row>
    <row r="40" spans="2:11" x14ac:dyDescent="0.4">
      <c r="B40" s="83" t="s">
        <v>1332</v>
      </c>
      <c r="E40" s="82">
        <v>629</v>
      </c>
      <c r="F40" s="82">
        <v>635</v>
      </c>
      <c r="G40" s="82">
        <v>553</v>
      </c>
      <c r="H40" s="82">
        <v>481</v>
      </c>
      <c r="I40" s="82">
        <v>485</v>
      </c>
    </row>
    <row r="41" spans="2:11" x14ac:dyDescent="0.4">
      <c r="B41" s="83" t="s">
        <v>1331</v>
      </c>
      <c r="E41" s="82">
        <v>4450</v>
      </c>
      <c r="F41" s="82">
        <v>4273</v>
      </c>
      <c r="G41" s="82">
        <v>3771</v>
      </c>
      <c r="H41" s="82">
        <v>3427</v>
      </c>
      <c r="I41" s="82">
        <v>3386</v>
      </c>
    </row>
    <row r="42" spans="2:11" x14ac:dyDescent="0.4">
      <c r="E42" s="85">
        <f>E45/E46*1000</f>
        <v>26.442638754992423</v>
      </c>
      <c r="F42" s="85">
        <f>F45/F46*1000</f>
        <v>26.078710289236604</v>
      </c>
      <c r="G42" s="85">
        <f>G45/G46*1000</f>
        <v>25.619358555790285</v>
      </c>
      <c r="H42" s="85">
        <f>H45/H46*1000</f>
        <v>26.686606846128281</v>
      </c>
      <c r="I42" s="85">
        <f>I45/I46*1000</f>
        <v>25.761326348511886</v>
      </c>
    </row>
    <row r="43" spans="2:11" x14ac:dyDescent="0.4">
      <c r="B43" s="82" t="s">
        <v>1321</v>
      </c>
      <c r="E43" s="82">
        <v>2020</v>
      </c>
      <c r="F43" s="82">
        <v>2021</v>
      </c>
      <c r="G43" s="82">
        <v>2022</v>
      </c>
      <c r="H43" s="82">
        <v>2023</v>
      </c>
      <c r="I43" s="82">
        <v>2024</v>
      </c>
      <c r="J43" s="82">
        <v>2025</v>
      </c>
    </row>
    <row r="44" spans="2:11" x14ac:dyDescent="0.4">
      <c r="B44" s="84" t="s">
        <v>1336</v>
      </c>
      <c r="E44" s="82">
        <v>836</v>
      </c>
      <c r="F44" s="82">
        <v>968</v>
      </c>
      <c r="G44" s="82">
        <v>1176</v>
      </c>
      <c r="H44" s="82">
        <v>1344</v>
      </c>
      <c r="I44" s="82">
        <v>1443</v>
      </c>
    </row>
    <row r="45" spans="2:11" x14ac:dyDescent="0.4">
      <c r="B45" s="83" t="s">
        <v>1335</v>
      </c>
      <c r="E45" s="82">
        <v>384</v>
      </c>
      <c r="F45" s="82">
        <v>495</v>
      </c>
      <c r="G45" s="82">
        <v>667</v>
      </c>
      <c r="H45" s="82">
        <v>803</v>
      </c>
      <c r="I45" s="82">
        <v>895</v>
      </c>
      <c r="K45" s="82" t="s">
        <v>1339</v>
      </c>
    </row>
    <row r="46" spans="2:11" x14ac:dyDescent="0.4">
      <c r="B46" s="83" t="s">
        <v>1333</v>
      </c>
      <c r="E46" s="82">
        <v>14522</v>
      </c>
      <c r="F46" s="82">
        <v>18981</v>
      </c>
      <c r="G46" s="82">
        <v>26035</v>
      </c>
      <c r="H46" s="82">
        <v>30090</v>
      </c>
      <c r="I46" s="82">
        <v>34742</v>
      </c>
    </row>
    <row r="47" spans="2:11" x14ac:dyDescent="0.4">
      <c r="B47" s="83" t="s">
        <v>1332</v>
      </c>
      <c r="E47" s="82">
        <v>452</v>
      </c>
      <c r="F47" s="82">
        <v>473</v>
      </c>
      <c r="G47" s="82">
        <v>509</v>
      </c>
      <c r="H47" s="82">
        <v>541</v>
      </c>
      <c r="I47" s="82">
        <v>548</v>
      </c>
    </row>
    <row r="48" spans="2:11" x14ac:dyDescent="0.4">
      <c r="B48" s="83" t="s">
        <v>1331</v>
      </c>
      <c r="E48" s="82">
        <v>4160</v>
      </c>
      <c r="F48" s="82">
        <v>4225</v>
      </c>
      <c r="G48" s="82">
        <v>4416</v>
      </c>
      <c r="H48" s="82">
        <v>4548</v>
      </c>
      <c r="I48" s="82">
        <v>4750</v>
      </c>
    </row>
    <row r="49" spans="2:11" x14ac:dyDescent="0.4">
      <c r="E49" s="85">
        <f>E52/E53*1000</f>
        <v>57.007623355952077</v>
      </c>
      <c r="F49" s="85">
        <f>F52/F53*1000</f>
        <v>60.481754141791498</v>
      </c>
      <c r="G49" s="85">
        <f>G52/G53*1000</f>
        <v>63.073331046464027</v>
      </c>
      <c r="H49" s="85">
        <f>H52/H53*1000</f>
        <v>62.819987712471843</v>
      </c>
      <c r="I49" s="85">
        <f>I52/I53*1000</f>
        <v>62.492148620573026</v>
      </c>
    </row>
    <row r="50" spans="2:11" x14ac:dyDescent="0.4">
      <c r="B50" s="82" t="s">
        <v>1317</v>
      </c>
      <c r="E50" s="82">
        <v>2020</v>
      </c>
      <c r="F50" s="82">
        <v>2021</v>
      </c>
      <c r="G50" s="82">
        <v>2022</v>
      </c>
      <c r="H50" s="82">
        <v>2023</v>
      </c>
      <c r="I50" s="82">
        <v>2024</v>
      </c>
      <c r="J50" s="82">
        <v>2025</v>
      </c>
    </row>
    <row r="51" spans="2:11" x14ac:dyDescent="0.4">
      <c r="B51" s="84" t="s">
        <v>1336</v>
      </c>
      <c r="E51" s="82">
        <v>4674</v>
      </c>
      <c r="F51" s="82">
        <v>5602</v>
      </c>
      <c r="G51" s="82">
        <v>6307</v>
      </c>
      <c r="H51" s="82">
        <v>6744</v>
      </c>
      <c r="I51" s="82">
        <v>7067</v>
      </c>
    </row>
    <row r="52" spans="2:11" x14ac:dyDescent="0.4">
      <c r="B52" s="83" t="s">
        <v>1335</v>
      </c>
      <c r="E52" s="82">
        <v>4083</v>
      </c>
      <c r="F52" s="82">
        <v>4954</v>
      </c>
      <c r="G52" s="82">
        <v>5700</v>
      </c>
      <c r="H52" s="82">
        <v>6135</v>
      </c>
      <c r="I52" s="82">
        <v>6467</v>
      </c>
      <c r="K52" s="82" t="s">
        <v>1338</v>
      </c>
    </row>
    <row r="53" spans="2:11" x14ac:dyDescent="0.4">
      <c r="B53" s="83" t="s">
        <v>1333</v>
      </c>
      <c r="E53" s="82">
        <v>71622</v>
      </c>
      <c r="F53" s="82">
        <v>81909</v>
      </c>
      <c r="G53" s="82">
        <v>90371</v>
      </c>
      <c r="H53" s="82">
        <v>97660</v>
      </c>
      <c r="I53" s="82">
        <v>103485</v>
      </c>
    </row>
    <row r="54" spans="2:11" x14ac:dyDescent="0.4">
      <c r="B54" s="83" t="s">
        <v>1332</v>
      </c>
      <c r="E54" s="82">
        <v>591</v>
      </c>
      <c r="F54" s="82">
        <v>648</v>
      </c>
      <c r="G54" s="82">
        <v>607</v>
      </c>
      <c r="H54" s="82">
        <v>609</v>
      </c>
      <c r="I54" s="82">
        <v>600</v>
      </c>
    </row>
    <row r="55" spans="2:11" x14ac:dyDescent="0.4">
      <c r="B55" s="83" t="s">
        <v>1331</v>
      </c>
      <c r="E55" s="82">
        <v>3294</v>
      </c>
      <c r="F55" s="82">
        <v>3316</v>
      </c>
      <c r="G55" s="82">
        <v>3214</v>
      </c>
      <c r="H55" s="82">
        <v>3139</v>
      </c>
      <c r="I55" s="82">
        <v>3011</v>
      </c>
    </row>
    <row r="56" spans="2:11" x14ac:dyDescent="0.4">
      <c r="E56" s="85">
        <f>E59/E60*1000</f>
        <v>41.45815051111164</v>
      </c>
      <c r="F56" s="85">
        <f>F59/F60*1000</f>
        <v>43.182104864819408</v>
      </c>
      <c r="G56" s="85">
        <f>G59/G60*1000</f>
        <v>37.832471129226107</v>
      </c>
      <c r="H56" s="85">
        <f>H59/H60*1000</f>
        <v>36.55438464433572</v>
      </c>
      <c r="I56" s="85">
        <f>I59/I60*1000</f>
        <v>36.677604137700911</v>
      </c>
    </row>
    <row r="57" spans="2:11" x14ac:dyDescent="0.4">
      <c r="B57" s="82" t="s">
        <v>1337</v>
      </c>
      <c r="E57" s="82">
        <v>2020</v>
      </c>
      <c r="F57" s="82">
        <v>2021</v>
      </c>
      <c r="G57" s="82">
        <v>2022</v>
      </c>
      <c r="H57" s="82">
        <v>2023</v>
      </c>
      <c r="I57" s="82">
        <v>2024</v>
      </c>
      <c r="J57" s="82">
        <v>2025</v>
      </c>
    </row>
    <row r="58" spans="2:11" x14ac:dyDescent="0.4">
      <c r="B58" s="84" t="s">
        <v>1336</v>
      </c>
      <c r="E58" s="82">
        <v>2205</v>
      </c>
      <c r="F58" s="82">
        <v>2500</v>
      </c>
      <c r="G58" s="82">
        <v>2630</v>
      </c>
      <c r="H58" s="82">
        <v>2830</v>
      </c>
      <c r="I58" s="82">
        <v>3159</v>
      </c>
    </row>
    <row r="59" spans="2:11" x14ac:dyDescent="0.4">
      <c r="B59" s="83" t="s">
        <v>1335</v>
      </c>
      <c r="E59" s="82">
        <v>1748</v>
      </c>
      <c r="F59" s="82">
        <v>2054</v>
      </c>
      <c r="G59" s="82">
        <v>2172</v>
      </c>
      <c r="H59" s="82">
        <v>2331</v>
      </c>
      <c r="I59" s="82">
        <v>2638</v>
      </c>
      <c r="K59" s="82" t="s">
        <v>1334</v>
      </c>
    </row>
    <row r="60" spans="2:11" x14ac:dyDescent="0.4">
      <c r="B60" s="83" t="s">
        <v>1333</v>
      </c>
      <c r="E60" s="82">
        <v>42163</v>
      </c>
      <c r="F60" s="82">
        <v>47566</v>
      </c>
      <c r="G60" s="82">
        <v>57411</v>
      </c>
      <c r="H60" s="82">
        <v>63768</v>
      </c>
      <c r="I60" s="82">
        <v>71924</v>
      </c>
    </row>
    <row r="61" spans="2:11" x14ac:dyDescent="0.4">
      <c r="B61" s="83" t="s">
        <v>1332</v>
      </c>
      <c r="E61" s="82">
        <v>457</v>
      </c>
      <c r="F61" s="82">
        <v>445</v>
      </c>
      <c r="G61" s="82">
        <v>457</v>
      </c>
      <c r="H61" s="82">
        <v>499</v>
      </c>
      <c r="I61" s="82">
        <v>521</v>
      </c>
    </row>
    <row r="62" spans="2:11" x14ac:dyDescent="0.4">
      <c r="B62" s="83" t="s">
        <v>1331</v>
      </c>
      <c r="E62" s="82">
        <v>3069</v>
      </c>
      <c r="F62" s="82">
        <v>2540</v>
      </c>
      <c r="G62" s="82">
        <v>2820</v>
      </c>
      <c r="H62" s="82">
        <v>2916</v>
      </c>
      <c r="I62" s="82">
        <v>2822</v>
      </c>
    </row>
    <row r="65" spans="2:28" x14ac:dyDescent="0.4">
      <c r="D65" s="107">
        <v>2020</v>
      </c>
      <c r="E65" s="107"/>
      <c r="F65" s="107"/>
      <c r="G65" s="107"/>
      <c r="H65" s="107"/>
      <c r="I65" s="107">
        <v>2021</v>
      </c>
      <c r="J65" s="107"/>
      <c r="K65" s="107"/>
      <c r="L65" s="107"/>
      <c r="M65" s="107"/>
      <c r="N65" s="107">
        <v>2022</v>
      </c>
      <c r="O65" s="107"/>
      <c r="P65" s="107"/>
      <c r="Q65" s="107"/>
      <c r="R65" s="107"/>
      <c r="S65" s="107">
        <v>2023</v>
      </c>
      <c r="T65" s="107"/>
      <c r="U65" s="107"/>
      <c r="V65" s="107"/>
      <c r="W65" s="107"/>
      <c r="X65" s="107">
        <v>2024</v>
      </c>
      <c r="Y65" s="107"/>
      <c r="Z65" s="107"/>
      <c r="AA65" s="107"/>
      <c r="AB65" s="107"/>
    </row>
    <row r="66" spans="2:28" x14ac:dyDescent="0.4">
      <c r="D66" s="82" t="s">
        <v>1330</v>
      </c>
      <c r="E66" s="82" t="s">
        <v>1329</v>
      </c>
      <c r="F66" s="82" t="s">
        <v>1328</v>
      </c>
      <c r="G66" s="82" t="s">
        <v>1327</v>
      </c>
      <c r="H66" s="82" t="s">
        <v>1326</v>
      </c>
      <c r="I66" s="82" t="s">
        <v>1330</v>
      </c>
      <c r="J66" s="82" t="s">
        <v>1329</v>
      </c>
      <c r="K66" s="82" t="s">
        <v>1328</v>
      </c>
      <c r="L66" s="82" t="s">
        <v>1327</v>
      </c>
      <c r="M66" s="82" t="s">
        <v>1326</v>
      </c>
      <c r="N66" s="82" t="s">
        <v>1330</v>
      </c>
      <c r="O66" s="82" t="s">
        <v>1329</v>
      </c>
      <c r="P66" s="82" t="s">
        <v>1328</v>
      </c>
      <c r="Q66" s="82" t="s">
        <v>1327</v>
      </c>
      <c r="R66" s="82" t="s">
        <v>1326</v>
      </c>
      <c r="S66" s="82" t="s">
        <v>1330</v>
      </c>
      <c r="T66" s="82" t="s">
        <v>1329</v>
      </c>
      <c r="U66" s="82" t="s">
        <v>1328</v>
      </c>
      <c r="V66" s="82" t="s">
        <v>1327</v>
      </c>
      <c r="W66" s="82" t="s">
        <v>1326</v>
      </c>
      <c r="X66" s="82" t="s">
        <v>1330</v>
      </c>
      <c r="Y66" s="82" t="s">
        <v>1329</v>
      </c>
      <c r="Z66" s="82" t="s">
        <v>1328</v>
      </c>
      <c r="AA66" s="82" t="s">
        <v>1327</v>
      </c>
      <c r="AB66" s="82" t="s">
        <v>1326</v>
      </c>
    </row>
    <row r="67" spans="2:28" x14ac:dyDescent="0.4">
      <c r="B67" s="82" t="s">
        <v>1325</v>
      </c>
    </row>
    <row r="68" spans="2:28" x14ac:dyDescent="0.4">
      <c r="B68" s="82" t="s">
        <v>1324</v>
      </c>
      <c r="D68" s="82">
        <v>2196</v>
      </c>
      <c r="E68" s="82">
        <v>1799</v>
      </c>
      <c r="F68" s="82">
        <v>30686</v>
      </c>
      <c r="G68" s="82">
        <v>398</v>
      </c>
      <c r="H68" s="82">
        <v>3574</v>
      </c>
      <c r="I68" s="82">
        <v>2289</v>
      </c>
      <c r="J68" s="82">
        <v>1929</v>
      </c>
      <c r="K68" s="82">
        <v>33816</v>
      </c>
      <c r="L68" s="82">
        <v>360</v>
      </c>
      <c r="M68" s="82">
        <v>3119</v>
      </c>
      <c r="N68" s="82">
        <v>2385</v>
      </c>
      <c r="O68" s="82">
        <v>2045</v>
      </c>
      <c r="P68" s="82">
        <v>38768</v>
      </c>
      <c r="Q68" s="82">
        <v>340</v>
      </c>
      <c r="R68" s="82">
        <v>3116</v>
      </c>
      <c r="S68" s="82">
        <v>2363</v>
      </c>
      <c r="T68" s="82">
        <v>2042</v>
      </c>
      <c r="U68" s="82">
        <v>42234</v>
      </c>
      <c r="V68" s="82">
        <v>321</v>
      </c>
      <c r="W68" s="82">
        <v>3178</v>
      </c>
      <c r="X68" s="82">
        <v>2334</v>
      </c>
      <c r="Y68" s="82">
        <v>2023</v>
      </c>
      <c r="Z68" s="82">
        <v>45715</v>
      </c>
      <c r="AA68" s="82">
        <v>311</v>
      </c>
      <c r="AB68" s="82">
        <v>3042</v>
      </c>
    </row>
    <row r="69" spans="2:28" x14ac:dyDescent="0.4">
      <c r="B69" s="82" t="s">
        <v>1323</v>
      </c>
      <c r="D69" s="82">
        <v>283</v>
      </c>
      <c r="E69" s="82">
        <v>259</v>
      </c>
      <c r="F69" s="82">
        <v>3895</v>
      </c>
      <c r="G69" s="82">
        <v>24</v>
      </c>
      <c r="H69" s="82">
        <v>37</v>
      </c>
      <c r="I69" s="82">
        <v>337</v>
      </c>
      <c r="J69" s="82">
        <v>311</v>
      </c>
      <c r="K69" s="82">
        <v>4408</v>
      </c>
      <c r="L69" s="82">
        <v>26</v>
      </c>
      <c r="M69" s="82">
        <v>34</v>
      </c>
      <c r="N69" s="82">
        <v>400</v>
      </c>
      <c r="O69" s="82">
        <v>374</v>
      </c>
      <c r="P69" s="82">
        <v>5213</v>
      </c>
      <c r="Q69" s="82">
        <v>26</v>
      </c>
      <c r="R69" s="82">
        <v>41</v>
      </c>
      <c r="S69" s="82">
        <v>415</v>
      </c>
      <c r="T69" s="82">
        <v>389</v>
      </c>
      <c r="U69" s="82">
        <v>5793</v>
      </c>
      <c r="V69" s="82">
        <v>26</v>
      </c>
      <c r="W69" s="82">
        <v>44</v>
      </c>
      <c r="X69" s="82">
        <v>438</v>
      </c>
      <c r="Y69" s="82">
        <v>409</v>
      </c>
      <c r="Z69" s="82">
        <v>6336</v>
      </c>
      <c r="AA69" s="82">
        <v>28</v>
      </c>
      <c r="AB69" s="82">
        <v>47</v>
      </c>
    </row>
    <row r="70" spans="2:28" x14ac:dyDescent="0.4">
      <c r="B70" s="82" t="s">
        <v>1322</v>
      </c>
      <c r="D70" s="82">
        <v>1152</v>
      </c>
      <c r="E70" s="82">
        <v>523</v>
      </c>
      <c r="F70" s="82">
        <v>22625</v>
      </c>
      <c r="G70" s="82">
        <v>629</v>
      </c>
      <c r="H70" s="82">
        <v>4450</v>
      </c>
      <c r="I70" s="82">
        <v>1300</v>
      </c>
      <c r="J70" s="82">
        <v>665</v>
      </c>
      <c r="K70" s="82">
        <v>28720</v>
      </c>
      <c r="L70" s="82">
        <v>635</v>
      </c>
      <c r="M70" s="82">
        <v>4273</v>
      </c>
      <c r="N70" s="82">
        <v>1201</v>
      </c>
      <c r="O70" s="82">
        <v>648</v>
      </c>
      <c r="P70" s="82">
        <v>23012</v>
      </c>
      <c r="Q70" s="82">
        <v>553</v>
      </c>
      <c r="R70" s="82">
        <v>3771</v>
      </c>
      <c r="S70" s="82">
        <v>1139</v>
      </c>
      <c r="T70" s="82">
        <v>658</v>
      </c>
      <c r="U70" s="82">
        <v>20214</v>
      </c>
      <c r="V70" s="82">
        <v>481</v>
      </c>
      <c r="W70" s="82">
        <v>3427</v>
      </c>
      <c r="X70" s="82">
        <v>1242</v>
      </c>
      <c r="Y70" s="82">
        <v>757</v>
      </c>
      <c r="Z70" s="82">
        <v>24231</v>
      </c>
      <c r="AA70" s="82">
        <v>485</v>
      </c>
      <c r="AB70" s="82">
        <v>3386</v>
      </c>
    </row>
    <row r="71" spans="2:28" x14ac:dyDescent="0.4">
      <c r="B71" s="82" t="s">
        <v>1321</v>
      </c>
      <c r="D71" s="82">
        <v>836</v>
      </c>
      <c r="E71" s="82">
        <v>384</v>
      </c>
      <c r="F71" s="82">
        <v>14522</v>
      </c>
      <c r="G71" s="82">
        <v>452</v>
      </c>
      <c r="H71" s="82">
        <v>4160</v>
      </c>
      <c r="I71" s="82">
        <v>968</v>
      </c>
      <c r="J71" s="82">
        <v>495</v>
      </c>
      <c r="K71" s="82">
        <v>18981</v>
      </c>
      <c r="L71" s="82">
        <v>473</v>
      </c>
      <c r="M71" s="82">
        <v>4225</v>
      </c>
      <c r="N71" s="82">
        <v>1176</v>
      </c>
      <c r="O71" s="82">
        <v>667</v>
      </c>
      <c r="P71" s="82">
        <v>26035</v>
      </c>
      <c r="Q71" s="82">
        <v>509</v>
      </c>
      <c r="R71" s="82">
        <v>4416</v>
      </c>
      <c r="S71" s="82">
        <v>1344</v>
      </c>
      <c r="T71" s="82">
        <v>803</v>
      </c>
      <c r="U71" s="82">
        <v>30090</v>
      </c>
      <c r="V71" s="82">
        <v>541</v>
      </c>
      <c r="W71" s="82">
        <v>4548</v>
      </c>
      <c r="X71" s="82">
        <v>1443</v>
      </c>
      <c r="Y71" s="82">
        <v>895</v>
      </c>
      <c r="Z71" s="82">
        <v>34742</v>
      </c>
      <c r="AA71" s="82">
        <v>548</v>
      </c>
      <c r="AB71" s="82">
        <v>4750</v>
      </c>
    </row>
    <row r="72" spans="2:28" x14ac:dyDescent="0.4">
      <c r="B72" s="82" t="s">
        <v>1317</v>
      </c>
      <c r="D72" s="82">
        <v>4674</v>
      </c>
      <c r="E72" s="82">
        <v>4083</v>
      </c>
      <c r="F72" s="82">
        <v>71622</v>
      </c>
      <c r="G72" s="82">
        <v>591</v>
      </c>
      <c r="H72" s="82">
        <v>3294</v>
      </c>
      <c r="I72" s="82">
        <v>5602</v>
      </c>
      <c r="J72" s="82">
        <v>4954</v>
      </c>
      <c r="K72" s="82">
        <v>81909</v>
      </c>
      <c r="L72" s="82">
        <v>648</v>
      </c>
      <c r="M72" s="82">
        <v>3316</v>
      </c>
      <c r="N72" s="82">
        <v>6307</v>
      </c>
      <c r="O72" s="82">
        <v>5700</v>
      </c>
      <c r="P72" s="82">
        <v>90371</v>
      </c>
      <c r="Q72" s="82">
        <v>607</v>
      </c>
      <c r="R72" s="82">
        <v>3214</v>
      </c>
      <c r="S72" s="82">
        <v>6744</v>
      </c>
      <c r="T72" s="82">
        <v>6135</v>
      </c>
      <c r="U72" s="82">
        <v>97660</v>
      </c>
      <c r="V72" s="82">
        <v>609</v>
      </c>
      <c r="W72" s="82">
        <v>3139</v>
      </c>
      <c r="X72" s="82">
        <v>7067</v>
      </c>
      <c r="Y72" s="82">
        <v>6467</v>
      </c>
      <c r="Z72" s="82">
        <v>103485</v>
      </c>
      <c r="AA72" s="82">
        <v>600</v>
      </c>
      <c r="AB72" s="82">
        <v>3011</v>
      </c>
    </row>
    <row r="73" spans="2:28" x14ac:dyDescent="0.4">
      <c r="B73" s="82" t="s">
        <v>1320</v>
      </c>
      <c r="D73" s="82">
        <v>2205</v>
      </c>
      <c r="E73" s="82">
        <v>1748</v>
      </c>
      <c r="F73" s="82">
        <v>42163</v>
      </c>
      <c r="G73" s="82">
        <v>457</v>
      </c>
      <c r="H73" s="82">
        <v>3069</v>
      </c>
      <c r="I73" s="82">
        <v>2500</v>
      </c>
      <c r="J73" s="82">
        <v>2054</v>
      </c>
      <c r="K73" s="82">
        <v>47566</v>
      </c>
      <c r="L73" s="82">
        <v>445</v>
      </c>
      <c r="M73" s="82">
        <v>2540</v>
      </c>
      <c r="N73" s="82">
        <v>2630</v>
      </c>
      <c r="O73" s="82">
        <v>2172</v>
      </c>
      <c r="P73" s="82">
        <v>57411</v>
      </c>
      <c r="Q73" s="82">
        <v>457</v>
      </c>
      <c r="R73" s="82">
        <v>2820</v>
      </c>
      <c r="S73" s="82">
        <v>2830</v>
      </c>
      <c r="T73" s="82">
        <v>2331</v>
      </c>
      <c r="U73" s="82">
        <v>63768</v>
      </c>
      <c r="V73" s="82">
        <v>499</v>
      </c>
      <c r="W73" s="82">
        <v>2916</v>
      </c>
      <c r="X73" s="82">
        <v>3159</v>
      </c>
      <c r="Y73" s="82">
        <v>2638</v>
      </c>
      <c r="Z73" s="82">
        <v>71924</v>
      </c>
      <c r="AA73" s="82">
        <v>521</v>
      </c>
      <c r="AB73" s="82">
        <v>2822</v>
      </c>
    </row>
    <row r="74" spans="2:28" x14ac:dyDescent="0.4">
      <c r="B74" s="82" t="s">
        <v>1315</v>
      </c>
      <c r="D74" s="82">
        <f t="shared" ref="D74:AB74" si="0">SUM(D68:D73)</f>
        <v>11346</v>
      </c>
      <c r="E74" s="82">
        <f t="shared" si="0"/>
        <v>8796</v>
      </c>
      <c r="F74" s="82">
        <f t="shared" si="0"/>
        <v>185513</v>
      </c>
      <c r="G74" s="82">
        <f t="shared" si="0"/>
        <v>2551</v>
      </c>
      <c r="H74" s="82">
        <f t="shared" si="0"/>
        <v>18584</v>
      </c>
      <c r="I74" s="82">
        <f t="shared" si="0"/>
        <v>12996</v>
      </c>
      <c r="J74" s="82">
        <f t="shared" si="0"/>
        <v>10408</v>
      </c>
      <c r="K74" s="82">
        <f t="shared" si="0"/>
        <v>215400</v>
      </c>
      <c r="L74" s="82">
        <f t="shared" si="0"/>
        <v>2587</v>
      </c>
      <c r="M74" s="82">
        <f t="shared" si="0"/>
        <v>17507</v>
      </c>
      <c r="N74" s="82">
        <f t="shared" si="0"/>
        <v>14099</v>
      </c>
      <c r="O74" s="82">
        <f t="shared" si="0"/>
        <v>11606</v>
      </c>
      <c r="P74" s="82">
        <f t="shared" si="0"/>
        <v>240810</v>
      </c>
      <c r="Q74" s="82">
        <f t="shared" si="0"/>
        <v>2492</v>
      </c>
      <c r="R74" s="82">
        <f t="shared" si="0"/>
        <v>17378</v>
      </c>
      <c r="S74" s="82">
        <f t="shared" si="0"/>
        <v>14835</v>
      </c>
      <c r="T74" s="82">
        <f t="shared" si="0"/>
        <v>12358</v>
      </c>
      <c r="U74" s="82">
        <f t="shared" si="0"/>
        <v>259759</v>
      </c>
      <c r="V74" s="82">
        <f t="shared" si="0"/>
        <v>2477</v>
      </c>
      <c r="W74" s="82">
        <f t="shared" si="0"/>
        <v>17252</v>
      </c>
      <c r="X74" s="82">
        <f t="shared" si="0"/>
        <v>15683</v>
      </c>
      <c r="Y74" s="82">
        <f t="shared" si="0"/>
        <v>13189</v>
      </c>
      <c r="Z74" s="82">
        <f t="shared" si="0"/>
        <v>286433</v>
      </c>
      <c r="AA74" s="82">
        <f t="shared" si="0"/>
        <v>2493</v>
      </c>
      <c r="AB74" s="82">
        <f t="shared" si="0"/>
        <v>17058</v>
      </c>
    </row>
    <row r="76" spans="2:28" x14ac:dyDescent="0.4">
      <c r="B76" s="82" t="s">
        <v>1319</v>
      </c>
    </row>
    <row r="77" spans="2:28" x14ac:dyDescent="0.4">
      <c r="B77" s="82" t="s">
        <v>1317</v>
      </c>
      <c r="D77" s="82">
        <v>2000</v>
      </c>
      <c r="E77" s="82">
        <v>1957</v>
      </c>
      <c r="F77" s="82">
        <v>23466</v>
      </c>
      <c r="G77" s="82">
        <v>43</v>
      </c>
      <c r="H77" s="82">
        <v>47</v>
      </c>
      <c r="I77" s="82">
        <v>2293</v>
      </c>
      <c r="J77" s="82">
        <v>2259</v>
      </c>
      <c r="K77" s="82">
        <v>26043</v>
      </c>
      <c r="L77" s="82">
        <v>34</v>
      </c>
      <c r="M77" s="82">
        <v>44</v>
      </c>
      <c r="N77" s="82">
        <v>2815</v>
      </c>
      <c r="O77" s="82">
        <v>2772</v>
      </c>
      <c r="P77" s="82">
        <v>30628</v>
      </c>
      <c r="Q77" s="82">
        <v>44</v>
      </c>
      <c r="R77" s="82">
        <v>61</v>
      </c>
      <c r="S77" s="82">
        <v>3031</v>
      </c>
      <c r="T77" s="82">
        <v>2984</v>
      </c>
      <c r="U77" s="82">
        <v>33027</v>
      </c>
      <c r="V77" s="82">
        <v>47</v>
      </c>
      <c r="W77" s="82">
        <v>63</v>
      </c>
      <c r="X77" s="82">
        <v>3201</v>
      </c>
      <c r="Y77" s="82">
        <v>3152</v>
      </c>
      <c r="Z77" s="82">
        <v>35236</v>
      </c>
      <c r="AA77" s="82">
        <v>49</v>
      </c>
      <c r="AB77" s="82">
        <v>63</v>
      </c>
    </row>
    <row r="78" spans="2:28" x14ac:dyDescent="0.4">
      <c r="B78" s="82" t="s">
        <v>1316</v>
      </c>
      <c r="D78" s="82">
        <v>2677</v>
      </c>
      <c r="E78" s="82">
        <v>2513</v>
      </c>
      <c r="F78" s="82">
        <v>42479</v>
      </c>
      <c r="G78" s="82">
        <v>164</v>
      </c>
      <c r="H78" s="82">
        <v>684</v>
      </c>
      <c r="I78" s="82">
        <v>2893</v>
      </c>
      <c r="J78" s="82">
        <v>2731</v>
      </c>
      <c r="K78" s="82">
        <v>47424</v>
      </c>
      <c r="L78" s="82">
        <v>163</v>
      </c>
      <c r="M78" s="82">
        <v>642</v>
      </c>
      <c r="N78" s="82">
        <v>3213</v>
      </c>
      <c r="O78" s="82">
        <v>3045</v>
      </c>
      <c r="P78" s="82">
        <v>55161</v>
      </c>
      <c r="Q78" s="82">
        <v>168</v>
      </c>
      <c r="R78" s="82">
        <v>698</v>
      </c>
      <c r="S78" s="82">
        <v>3401</v>
      </c>
      <c r="T78" s="82">
        <v>3225</v>
      </c>
      <c r="U78" s="82">
        <v>60965</v>
      </c>
      <c r="V78" s="82">
        <v>144</v>
      </c>
      <c r="W78" s="82">
        <v>736</v>
      </c>
      <c r="X78" s="82">
        <v>3567</v>
      </c>
      <c r="Y78" s="82">
        <v>3389</v>
      </c>
      <c r="Z78" s="82">
        <v>68456</v>
      </c>
      <c r="AA78" s="82">
        <v>178</v>
      </c>
      <c r="AB78" s="82">
        <v>721</v>
      </c>
    </row>
    <row r="79" spans="2:28" x14ac:dyDescent="0.4">
      <c r="B79" s="82" t="s">
        <v>1315</v>
      </c>
      <c r="D79" s="82">
        <f t="shared" ref="D79:AB79" si="1">SUM(D77:D78)</f>
        <v>4677</v>
      </c>
      <c r="E79" s="82">
        <f t="shared" si="1"/>
        <v>4470</v>
      </c>
      <c r="F79" s="82">
        <f t="shared" si="1"/>
        <v>65945</v>
      </c>
      <c r="G79" s="82">
        <f t="shared" si="1"/>
        <v>207</v>
      </c>
      <c r="H79" s="82">
        <f t="shared" si="1"/>
        <v>731</v>
      </c>
      <c r="I79" s="82">
        <f t="shared" si="1"/>
        <v>5186</v>
      </c>
      <c r="J79" s="82">
        <f t="shared" si="1"/>
        <v>4990</v>
      </c>
      <c r="K79" s="82">
        <f t="shared" si="1"/>
        <v>73467</v>
      </c>
      <c r="L79" s="82">
        <f t="shared" si="1"/>
        <v>197</v>
      </c>
      <c r="M79" s="82">
        <f t="shared" si="1"/>
        <v>686</v>
      </c>
      <c r="N79" s="82">
        <f t="shared" si="1"/>
        <v>6028</v>
      </c>
      <c r="O79" s="82">
        <f t="shared" si="1"/>
        <v>5817</v>
      </c>
      <c r="P79" s="82">
        <f t="shared" si="1"/>
        <v>85789</v>
      </c>
      <c r="Q79" s="82">
        <f t="shared" si="1"/>
        <v>212</v>
      </c>
      <c r="R79" s="82">
        <f t="shared" si="1"/>
        <v>759</v>
      </c>
      <c r="S79" s="82">
        <f t="shared" si="1"/>
        <v>6432</v>
      </c>
      <c r="T79" s="82">
        <f t="shared" si="1"/>
        <v>6209</v>
      </c>
      <c r="U79" s="82">
        <f t="shared" si="1"/>
        <v>93992</v>
      </c>
      <c r="V79" s="82">
        <f t="shared" si="1"/>
        <v>191</v>
      </c>
      <c r="W79" s="82">
        <f t="shared" si="1"/>
        <v>799</v>
      </c>
      <c r="X79" s="82">
        <f t="shared" si="1"/>
        <v>6768</v>
      </c>
      <c r="Y79" s="82">
        <f t="shared" si="1"/>
        <v>6541</v>
      </c>
      <c r="Z79" s="82">
        <f t="shared" si="1"/>
        <v>103692</v>
      </c>
      <c r="AA79" s="82">
        <f t="shared" si="1"/>
        <v>227</v>
      </c>
      <c r="AB79" s="82">
        <f t="shared" si="1"/>
        <v>784</v>
      </c>
    </row>
    <row r="81" spans="2:28" x14ac:dyDescent="0.4">
      <c r="B81" s="82" t="s">
        <v>1318</v>
      </c>
    </row>
    <row r="82" spans="2:28" x14ac:dyDescent="0.4">
      <c r="B82" s="82" t="s">
        <v>1317</v>
      </c>
      <c r="D82" s="82">
        <v>2674</v>
      </c>
      <c r="E82" s="82">
        <v>2126</v>
      </c>
      <c r="F82" s="82">
        <v>48156</v>
      </c>
      <c r="G82" s="82">
        <v>548</v>
      </c>
      <c r="H82" s="82">
        <v>3247</v>
      </c>
      <c r="I82" s="82">
        <v>3309</v>
      </c>
      <c r="J82" s="82">
        <v>2694</v>
      </c>
      <c r="K82" s="82">
        <v>55866</v>
      </c>
      <c r="L82" s="82">
        <v>614</v>
      </c>
      <c r="M82" s="82">
        <v>3272</v>
      </c>
      <c r="N82" s="82">
        <v>3492</v>
      </c>
      <c r="O82" s="82">
        <v>2928</v>
      </c>
      <c r="P82" s="82">
        <v>59743</v>
      </c>
      <c r="Q82" s="82">
        <v>563</v>
      </c>
      <c r="R82" s="82">
        <v>3153</v>
      </c>
      <c r="S82" s="82">
        <v>3713</v>
      </c>
      <c r="T82" s="82">
        <v>3151</v>
      </c>
      <c r="U82" s="82">
        <v>64633</v>
      </c>
      <c r="V82" s="82">
        <v>562</v>
      </c>
      <c r="W82" s="82">
        <v>3076</v>
      </c>
      <c r="X82" s="82">
        <v>3866</v>
      </c>
      <c r="Y82" s="82">
        <v>3316</v>
      </c>
      <c r="Z82" s="82">
        <v>68159</v>
      </c>
      <c r="AA82" s="82">
        <v>551</v>
      </c>
      <c r="AB82" s="82">
        <v>2948</v>
      </c>
    </row>
    <row r="83" spans="2:28" x14ac:dyDescent="0.4">
      <c r="B83" s="82" t="s">
        <v>1316</v>
      </c>
      <c r="D83" s="82">
        <v>3996</v>
      </c>
      <c r="E83" s="82">
        <v>2199</v>
      </c>
      <c r="F83" s="82">
        <v>71412</v>
      </c>
      <c r="G83" s="82">
        <v>1796</v>
      </c>
      <c r="H83" s="82">
        <v>14608</v>
      </c>
      <c r="I83" s="82">
        <v>4499</v>
      </c>
      <c r="J83" s="82">
        <v>2723</v>
      </c>
      <c r="K83" s="82">
        <v>86068</v>
      </c>
      <c r="L83" s="82">
        <v>1777</v>
      </c>
      <c r="M83" s="82">
        <v>13548</v>
      </c>
      <c r="N83" s="82">
        <v>4580</v>
      </c>
      <c r="O83" s="82">
        <v>2862</v>
      </c>
      <c r="P83" s="82">
        <v>95277</v>
      </c>
      <c r="Q83" s="82">
        <v>1718</v>
      </c>
      <c r="R83" s="82">
        <v>13466</v>
      </c>
      <c r="S83" s="82">
        <v>4690</v>
      </c>
      <c r="T83" s="82">
        <v>2998</v>
      </c>
      <c r="U83" s="82">
        <v>101133</v>
      </c>
      <c r="V83" s="82">
        <v>1691</v>
      </c>
      <c r="W83" s="82">
        <v>13377</v>
      </c>
      <c r="X83" s="82">
        <v>5049</v>
      </c>
      <c r="Y83" s="82">
        <v>3334</v>
      </c>
      <c r="Z83" s="82">
        <v>114493</v>
      </c>
      <c r="AA83" s="82">
        <v>1715</v>
      </c>
      <c r="AB83" s="82">
        <v>13325</v>
      </c>
    </row>
    <row r="84" spans="2:28" x14ac:dyDescent="0.4">
      <c r="B84" s="82" t="s">
        <v>1315</v>
      </c>
      <c r="D84" s="82">
        <f t="shared" ref="D84:AB84" si="2">SUM(D82:D83)</f>
        <v>6670</v>
      </c>
      <c r="E84" s="82">
        <f t="shared" si="2"/>
        <v>4325</v>
      </c>
      <c r="F84" s="82">
        <f t="shared" si="2"/>
        <v>119568</v>
      </c>
      <c r="G84" s="82">
        <f t="shared" si="2"/>
        <v>2344</v>
      </c>
      <c r="H84" s="82">
        <f t="shared" si="2"/>
        <v>17855</v>
      </c>
      <c r="I84" s="82">
        <f t="shared" si="2"/>
        <v>7808</v>
      </c>
      <c r="J84" s="82">
        <f t="shared" si="2"/>
        <v>5417</v>
      </c>
      <c r="K84" s="82">
        <f t="shared" si="2"/>
        <v>141934</v>
      </c>
      <c r="L84" s="82">
        <f t="shared" si="2"/>
        <v>2391</v>
      </c>
      <c r="M84" s="82">
        <f t="shared" si="2"/>
        <v>16820</v>
      </c>
      <c r="N84" s="82">
        <f t="shared" si="2"/>
        <v>8072</v>
      </c>
      <c r="O84" s="82">
        <f t="shared" si="2"/>
        <v>5790</v>
      </c>
      <c r="P84" s="82">
        <f t="shared" si="2"/>
        <v>155020</v>
      </c>
      <c r="Q84" s="82">
        <f t="shared" si="2"/>
        <v>2281</v>
      </c>
      <c r="R84" s="82">
        <f t="shared" si="2"/>
        <v>16619</v>
      </c>
      <c r="S84" s="82">
        <f t="shared" si="2"/>
        <v>8403</v>
      </c>
      <c r="T84" s="82">
        <f t="shared" si="2"/>
        <v>6149</v>
      </c>
      <c r="U84" s="82">
        <f t="shared" si="2"/>
        <v>165766</v>
      </c>
      <c r="V84" s="82">
        <f t="shared" si="2"/>
        <v>2253</v>
      </c>
      <c r="W84" s="82">
        <f t="shared" si="2"/>
        <v>16453</v>
      </c>
      <c r="X84" s="82">
        <f t="shared" si="2"/>
        <v>8915</v>
      </c>
      <c r="Y84" s="82">
        <f t="shared" si="2"/>
        <v>6650</v>
      </c>
      <c r="Z84" s="82">
        <f t="shared" si="2"/>
        <v>182652</v>
      </c>
      <c r="AA84" s="82">
        <f t="shared" si="2"/>
        <v>2266</v>
      </c>
      <c r="AB84" s="82">
        <f t="shared" si="2"/>
        <v>16273</v>
      </c>
    </row>
  </sheetData>
  <mergeCells count="5">
    <mergeCell ref="D65:H65"/>
    <mergeCell ref="I65:M65"/>
    <mergeCell ref="N65:R65"/>
    <mergeCell ref="S65:W65"/>
    <mergeCell ref="X65:AB65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opLeftCell="A51" workbookViewId="0">
      <selection activeCell="A60" sqref="A60:XFD60"/>
    </sheetView>
  </sheetViews>
  <sheetFormatPr defaultRowHeight="17.399999999999999" x14ac:dyDescent="0.4"/>
  <cols>
    <col min="1" max="1" width="35.19921875" customWidth="1"/>
    <col min="2" max="2" width="0" hidden="1" customWidth="1"/>
    <col min="3" max="10" width="14.09765625" customWidth="1"/>
  </cols>
  <sheetData>
    <row r="1" spans="1:10" x14ac:dyDescent="0.4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4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4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4">
      <c r="A4" s="26" t="s">
        <v>1</v>
      </c>
      <c r="B4" s="26"/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</row>
    <row r="5" spans="1:10" x14ac:dyDescent="0.4">
      <c r="A5" s="30" t="s">
        <v>10</v>
      </c>
      <c r="B5" s="30"/>
      <c r="C5" s="28" t="s">
        <v>11</v>
      </c>
      <c r="D5" s="28" t="s">
        <v>12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</row>
    <row r="6" spans="1:10" x14ac:dyDescent="0.4">
      <c r="A6" s="29" t="s">
        <v>19</v>
      </c>
      <c r="B6" s="29" t="s">
        <v>20</v>
      </c>
      <c r="C6" s="16">
        <v>21846</v>
      </c>
      <c r="D6" s="16">
        <v>24105</v>
      </c>
      <c r="E6" s="16">
        <v>29310</v>
      </c>
      <c r="F6" s="16">
        <v>32653</v>
      </c>
      <c r="G6" s="16">
        <v>35926</v>
      </c>
      <c r="H6" s="15">
        <v>37621</v>
      </c>
      <c r="I6" s="16">
        <v>39588.0952380952</v>
      </c>
      <c r="J6" s="16">
        <v>43840.951219512201</v>
      </c>
    </row>
    <row r="7" spans="1:10" x14ac:dyDescent="0.4">
      <c r="A7" s="31" t="s">
        <v>21</v>
      </c>
      <c r="B7" s="31" t="s">
        <v>22</v>
      </c>
      <c r="C7" s="24">
        <v>21846</v>
      </c>
      <c r="D7" s="24">
        <v>24105</v>
      </c>
      <c r="E7" s="24">
        <v>29310</v>
      </c>
      <c r="F7" s="24">
        <v>14826</v>
      </c>
      <c r="G7" s="24">
        <v>16114</v>
      </c>
      <c r="H7" s="23">
        <v>16773</v>
      </c>
      <c r="I7" s="24"/>
      <c r="J7" s="24"/>
    </row>
    <row r="8" spans="1:10" x14ac:dyDescent="0.4">
      <c r="A8" s="31" t="s">
        <v>23</v>
      </c>
      <c r="B8" s="31" t="s">
        <v>24</v>
      </c>
      <c r="C8" s="24" t="s">
        <v>155</v>
      </c>
      <c r="D8" s="24" t="s">
        <v>155</v>
      </c>
      <c r="E8" s="24" t="s">
        <v>155</v>
      </c>
      <c r="F8" s="24">
        <v>17827</v>
      </c>
      <c r="G8" s="24">
        <v>19812</v>
      </c>
      <c r="H8" s="23">
        <v>20848</v>
      </c>
      <c r="I8" s="24"/>
      <c r="J8" s="24"/>
    </row>
    <row r="9" spans="1:10" x14ac:dyDescent="0.4">
      <c r="A9" s="29" t="s">
        <v>25</v>
      </c>
      <c r="B9" s="29" t="s">
        <v>26</v>
      </c>
      <c r="C9" s="16" t="s">
        <v>155</v>
      </c>
      <c r="D9" s="16" t="s">
        <v>155</v>
      </c>
      <c r="E9" s="16" t="s">
        <v>155</v>
      </c>
      <c r="F9" s="16" t="s">
        <v>155</v>
      </c>
      <c r="G9" s="16" t="s">
        <v>155</v>
      </c>
      <c r="H9" s="15"/>
      <c r="I9" s="16">
        <v>28680.387357142899</v>
      </c>
      <c r="J9" s="16">
        <v>32153.830443414601</v>
      </c>
    </row>
    <row r="10" spans="1:10" x14ac:dyDescent="0.4">
      <c r="A10" s="31" t="s">
        <v>27</v>
      </c>
      <c r="B10" s="31" t="s">
        <v>28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3">
        <v>0</v>
      </c>
      <c r="I10" s="24"/>
      <c r="J10" s="24"/>
    </row>
    <row r="11" spans="1:10" x14ac:dyDescent="0.4">
      <c r="A11" s="31" t="s">
        <v>29</v>
      </c>
      <c r="B11" s="31" t="s">
        <v>30</v>
      </c>
      <c r="C11" s="24">
        <v>7701.5569999999998</v>
      </c>
      <c r="D11" s="24">
        <v>8125</v>
      </c>
      <c r="E11" s="24">
        <v>9507</v>
      </c>
      <c r="F11" s="24">
        <v>10657</v>
      </c>
      <c r="G11" s="24">
        <v>11736</v>
      </c>
      <c r="H11" s="23">
        <v>12269</v>
      </c>
      <c r="I11" s="24"/>
      <c r="J11" s="24"/>
    </row>
    <row r="12" spans="1:10" x14ac:dyDescent="0.4">
      <c r="A12" s="31" t="s">
        <v>31</v>
      </c>
      <c r="B12" s="31" t="s">
        <v>32</v>
      </c>
      <c r="C12" s="24">
        <v>2067</v>
      </c>
      <c r="D12" s="24">
        <v>2121</v>
      </c>
      <c r="E12" s="24">
        <v>2495</v>
      </c>
      <c r="F12" s="24">
        <v>2671</v>
      </c>
      <c r="G12" s="24">
        <v>3158</v>
      </c>
      <c r="H12" s="23">
        <v>3322</v>
      </c>
      <c r="I12" s="24"/>
      <c r="J12" s="24"/>
    </row>
    <row r="13" spans="1:10" x14ac:dyDescent="0.4">
      <c r="A13" s="32" t="s">
        <v>33</v>
      </c>
      <c r="B13" s="32" t="s">
        <v>34</v>
      </c>
      <c r="C13" s="14">
        <v>971</v>
      </c>
      <c r="D13" s="14">
        <v>1136</v>
      </c>
      <c r="E13" s="14">
        <v>1336</v>
      </c>
      <c r="F13" s="14">
        <v>1341</v>
      </c>
      <c r="G13" s="14">
        <v>1560</v>
      </c>
      <c r="H13" s="13">
        <v>1616</v>
      </c>
      <c r="I13" s="14"/>
      <c r="J13" s="14"/>
    </row>
    <row r="14" spans="1:10" x14ac:dyDescent="0.4">
      <c r="A14" s="32" t="s">
        <v>35</v>
      </c>
      <c r="B14" s="32" t="s">
        <v>36</v>
      </c>
      <c r="C14" s="14">
        <v>1096</v>
      </c>
      <c r="D14" s="14">
        <v>985</v>
      </c>
      <c r="E14" s="14">
        <v>1159</v>
      </c>
      <c r="F14" s="14">
        <v>1330</v>
      </c>
      <c r="G14" s="14">
        <v>1598</v>
      </c>
      <c r="H14" s="13">
        <v>1706</v>
      </c>
      <c r="I14" s="14"/>
      <c r="J14" s="14"/>
    </row>
    <row r="15" spans="1:10" x14ac:dyDescent="0.4">
      <c r="A15" s="31" t="s">
        <v>37</v>
      </c>
      <c r="B15" s="31" t="s">
        <v>38</v>
      </c>
      <c r="C15" s="24" t="s">
        <v>155</v>
      </c>
      <c r="D15" s="24" t="s">
        <v>155</v>
      </c>
      <c r="E15" s="24" t="s">
        <v>155</v>
      </c>
      <c r="F15" s="24" t="s">
        <v>155</v>
      </c>
      <c r="G15" s="24" t="s">
        <v>155</v>
      </c>
      <c r="H15" s="23"/>
      <c r="I15" s="24"/>
      <c r="J15" s="24"/>
    </row>
    <row r="16" spans="1:10" x14ac:dyDescent="0.4">
      <c r="A16" s="31" t="s">
        <v>39</v>
      </c>
      <c r="B16" s="31" t="s">
        <v>40</v>
      </c>
      <c r="C16" s="24">
        <v>767</v>
      </c>
      <c r="D16" s="24">
        <v>804</v>
      </c>
      <c r="E16" s="24">
        <v>861</v>
      </c>
      <c r="F16" s="24">
        <v>943</v>
      </c>
      <c r="G16" s="24">
        <v>1034</v>
      </c>
      <c r="H16" s="23">
        <v>1125</v>
      </c>
      <c r="I16" s="24"/>
      <c r="J16" s="24"/>
    </row>
    <row r="17" spans="1:10" x14ac:dyDescent="0.4">
      <c r="A17" s="31" t="s">
        <v>41</v>
      </c>
      <c r="B17" s="31" t="s">
        <v>42</v>
      </c>
      <c r="C17" s="24">
        <v>4867.5569999999998</v>
      </c>
      <c r="D17" s="24">
        <v>5200</v>
      </c>
      <c r="E17" s="24">
        <v>6151</v>
      </c>
      <c r="F17" s="24">
        <v>7043</v>
      </c>
      <c r="G17" s="24">
        <v>7544</v>
      </c>
      <c r="H17" s="23">
        <v>7822</v>
      </c>
      <c r="I17" s="24"/>
      <c r="J17" s="24"/>
    </row>
    <row r="18" spans="1:10" x14ac:dyDescent="0.4">
      <c r="A18" s="29" t="s">
        <v>43</v>
      </c>
      <c r="B18" s="29" t="s">
        <v>44</v>
      </c>
      <c r="C18" s="16">
        <v>14144.442999999999</v>
      </c>
      <c r="D18" s="16">
        <v>15980</v>
      </c>
      <c r="E18" s="16">
        <v>19803</v>
      </c>
      <c r="F18" s="16">
        <v>21996</v>
      </c>
      <c r="G18" s="16">
        <v>24190</v>
      </c>
      <c r="H18" s="15">
        <v>25352</v>
      </c>
      <c r="I18" s="16">
        <v>26619.649000000001</v>
      </c>
      <c r="J18" s="16">
        <v>29903.359</v>
      </c>
    </row>
    <row r="19" spans="1:10" x14ac:dyDescent="0.4">
      <c r="A19" s="31" t="s">
        <v>45</v>
      </c>
      <c r="B19" s="31" t="s">
        <v>46</v>
      </c>
      <c r="C19" s="24">
        <v>392</v>
      </c>
      <c r="D19" s="24">
        <v>453</v>
      </c>
      <c r="E19" s="24">
        <v>413</v>
      </c>
      <c r="F19" s="24">
        <v>-141</v>
      </c>
      <c r="G19" s="24">
        <v>-415</v>
      </c>
      <c r="H19" s="23">
        <v>-209</v>
      </c>
      <c r="I19" s="24"/>
      <c r="J19" s="24"/>
    </row>
    <row r="20" spans="1:10" x14ac:dyDescent="0.4">
      <c r="A20" s="31" t="s">
        <v>47</v>
      </c>
      <c r="B20" s="31" t="s">
        <v>48</v>
      </c>
      <c r="C20" s="24">
        <v>516</v>
      </c>
      <c r="D20" s="24">
        <v>513</v>
      </c>
      <c r="E20" s="24">
        <v>538</v>
      </c>
      <c r="F20" s="24">
        <v>644</v>
      </c>
      <c r="G20" s="24">
        <v>641</v>
      </c>
      <c r="H20" s="23">
        <v>712</v>
      </c>
      <c r="I20" s="24"/>
      <c r="J20" s="24"/>
    </row>
    <row r="21" spans="1:10" x14ac:dyDescent="0.4">
      <c r="A21" s="32" t="s">
        <v>49</v>
      </c>
      <c r="B21" s="32" t="s">
        <v>50</v>
      </c>
      <c r="C21" s="14">
        <v>516</v>
      </c>
      <c r="D21" s="14">
        <v>513</v>
      </c>
      <c r="E21" s="14">
        <v>538</v>
      </c>
      <c r="F21" s="14">
        <v>644</v>
      </c>
      <c r="G21" s="14">
        <v>641</v>
      </c>
      <c r="H21" s="13">
        <v>712</v>
      </c>
      <c r="I21" s="14"/>
      <c r="J21" s="14"/>
    </row>
    <row r="22" spans="1:10" x14ac:dyDescent="0.4">
      <c r="A22" s="32" t="s">
        <v>51</v>
      </c>
      <c r="B22" s="32" t="s">
        <v>52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3">
        <v>0</v>
      </c>
      <c r="I22" s="14"/>
      <c r="J22" s="14"/>
    </row>
    <row r="23" spans="1:10" x14ac:dyDescent="0.4">
      <c r="A23" s="31" t="s">
        <v>53</v>
      </c>
      <c r="B23" s="31" t="s">
        <v>54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3"/>
      <c r="I23" s="24"/>
      <c r="J23" s="24"/>
    </row>
    <row r="24" spans="1:10" x14ac:dyDescent="0.4">
      <c r="A24" s="31" t="s">
        <v>55</v>
      </c>
      <c r="B24" s="31" t="s">
        <v>56</v>
      </c>
      <c r="C24" s="24" t="s">
        <v>155</v>
      </c>
      <c r="D24" s="24" t="s">
        <v>155</v>
      </c>
      <c r="E24" s="24" t="s">
        <v>155</v>
      </c>
      <c r="F24" s="24" t="s">
        <v>155</v>
      </c>
      <c r="G24" s="24" t="s">
        <v>155</v>
      </c>
      <c r="H24" s="23"/>
      <c r="I24" s="24"/>
      <c r="J24" s="24"/>
    </row>
    <row r="25" spans="1:10" x14ac:dyDescent="0.4">
      <c r="A25" s="31" t="s">
        <v>57</v>
      </c>
      <c r="B25" s="31" t="s">
        <v>58</v>
      </c>
      <c r="C25" s="24">
        <v>-124</v>
      </c>
      <c r="D25" s="24">
        <v>-60</v>
      </c>
      <c r="E25" s="24">
        <v>-125</v>
      </c>
      <c r="F25" s="24">
        <v>-785</v>
      </c>
      <c r="G25" s="24">
        <v>-1056</v>
      </c>
      <c r="H25" s="23">
        <v>-674</v>
      </c>
      <c r="I25" s="24"/>
      <c r="J25" s="24"/>
    </row>
    <row r="26" spans="1:10" x14ac:dyDescent="0.4">
      <c r="A26" s="29" t="s">
        <v>59</v>
      </c>
      <c r="B26" s="29" t="s">
        <v>60</v>
      </c>
      <c r="C26" s="16">
        <v>13752.442999999999</v>
      </c>
      <c r="D26" s="16">
        <v>15527</v>
      </c>
      <c r="E26" s="16">
        <v>19390</v>
      </c>
      <c r="F26" s="16">
        <v>22137</v>
      </c>
      <c r="G26" s="16">
        <v>24605</v>
      </c>
      <c r="H26" s="15">
        <v>25561</v>
      </c>
      <c r="I26" s="16">
        <v>26716.486000000001</v>
      </c>
      <c r="J26" s="16">
        <v>29833.286</v>
      </c>
    </row>
    <row r="27" spans="1:10" x14ac:dyDescent="0.4">
      <c r="A27" s="31" t="s">
        <v>61</v>
      </c>
      <c r="B27" s="31" t="s">
        <v>62</v>
      </c>
      <c r="C27" s="24">
        <v>-37.557000000000002</v>
      </c>
      <c r="D27" s="24">
        <v>-536</v>
      </c>
      <c r="E27" s="24">
        <v>1254</v>
      </c>
      <c r="F27" s="24">
        <v>1100</v>
      </c>
      <c r="G27" s="24">
        <v>689</v>
      </c>
      <c r="H27" s="23">
        <v>1562</v>
      </c>
      <c r="I27" s="24"/>
      <c r="J27" s="24"/>
    </row>
    <row r="28" spans="1:10" x14ac:dyDescent="0.4">
      <c r="A28" s="31" t="s">
        <v>63</v>
      </c>
      <c r="B28" s="31" t="s">
        <v>64</v>
      </c>
      <c r="C28" s="24">
        <v>17</v>
      </c>
      <c r="D28" s="24">
        <v>21</v>
      </c>
      <c r="E28" s="24">
        <v>69</v>
      </c>
      <c r="F28" s="24">
        <v>90</v>
      </c>
      <c r="G28" s="24">
        <v>104</v>
      </c>
      <c r="H28" s="23">
        <v>141</v>
      </c>
      <c r="I28" s="24"/>
      <c r="J28" s="24"/>
    </row>
    <row r="29" spans="1:10" x14ac:dyDescent="0.4">
      <c r="A29" s="31" t="s">
        <v>65</v>
      </c>
      <c r="B29" s="31" t="s">
        <v>66</v>
      </c>
      <c r="C29" s="24" t="s">
        <v>155</v>
      </c>
      <c r="D29" s="24" t="s">
        <v>155</v>
      </c>
      <c r="E29" s="24" t="s">
        <v>155</v>
      </c>
      <c r="F29" s="24" t="s">
        <v>155</v>
      </c>
      <c r="G29" s="24" t="s">
        <v>155</v>
      </c>
      <c r="H29" s="23"/>
      <c r="I29" s="24"/>
      <c r="J29" s="24"/>
    </row>
    <row r="30" spans="1:10" x14ac:dyDescent="0.4">
      <c r="A30" s="31" t="s">
        <v>67</v>
      </c>
      <c r="B30" s="31" t="s">
        <v>68</v>
      </c>
      <c r="C30" s="24" t="s">
        <v>155</v>
      </c>
      <c r="D30" s="24" t="s">
        <v>155</v>
      </c>
      <c r="E30" s="24" t="s">
        <v>155</v>
      </c>
      <c r="F30" s="24" t="s">
        <v>155</v>
      </c>
      <c r="G30" s="24" t="s">
        <v>155</v>
      </c>
      <c r="H30" s="23"/>
      <c r="I30" s="24"/>
      <c r="J30" s="24"/>
    </row>
    <row r="31" spans="1:10" x14ac:dyDescent="0.4">
      <c r="A31" s="31" t="s">
        <v>69</v>
      </c>
      <c r="B31" s="31" t="s">
        <v>70</v>
      </c>
      <c r="C31" s="24">
        <v>11</v>
      </c>
      <c r="D31" s="24">
        <v>3</v>
      </c>
      <c r="E31" s="24">
        <v>861</v>
      </c>
      <c r="F31" s="24">
        <v>906</v>
      </c>
      <c r="G31" s="24">
        <v>434</v>
      </c>
      <c r="H31" s="23">
        <v>1042</v>
      </c>
      <c r="I31" s="24"/>
      <c r="J31" s="24"/>
    </row>
    <row r="32" spans="1:10" x14ac:dyDescent="0.4">
      <c r="A32" s="31" t="s">
        <v>71</v>
      </c>
      <c r="B32" s="31" t="s">
        <v>72</v>
      </c>
      <c r="C32" s="24" t="s">
        <v>155</v>
      </c>
      <c r="D32" s="24" t="s">
        <v>155</v>
      </c>
      <c r="E32" s="24" t="s">
        <v>155</v>
      </c>
      <c r="F32" s="24" t="s">
        <v>155</v>
      </c>
      <c r="G32" s="24" t="s">
        <v>155</v>
      </c>
      <c r="H32" s="23"/>
      <c r="I32" s="24"/>
      <c r="J32" s="24"/>
    </row>
    <row r="33" spans="1:10" x14ac:dyDescent="0.4">
      <c r="A33" s="31" t="s">
        <v>73</v>
      </c>
      <c r="B33" s="31" t="s">
        <v>74</v>
      </c>
      <c r="C33" s="24">
        <v>-101</v>
      </c>
      <c r="D33" s="24">
        <v>-712</v>
      </c>
      <c r="E33" s="24">
        <v>264</v>
      </c>
      <c r="F33" s="24">
        <v>104</v>
      </c>
      <c r="G33" s="24">
        <v>94</v>
      </c>
      <c r="H33" s="23">
        <v>166</v>
      </c>
      <c r="I33" s="24"/>
      <c r="J33" s="24"/>
    </row>
    <row r="34" spans="1:10" x14ac:dyDescent="0.4">
      <c r="A34" s="31" t="s">
        <v>75</v>
      </c>
      <c r="B34" s="31" t="s">
        <v>76</v>
      </c>
      <c r="C34" s="24">
        <v>35.442999999999998</v>
      </c>
      <c r="D34" s="24">
        <v>152</v>
      </c>
      <c r="E34" s="24">
        <v>60</v>
      </c>
      <c r="F34" s="24" t="s">
        <v>155</v>
      </c>
      <c r="G34" s="24">
        <v>57</v>
      </c>
      <c r="H34" s="23"/>
      <c r="I34" s="24"/>
      <c r="J34" s="24"/>
    </row>
    <row r="35" spans="1:10" x14ac:dyDescent="0.4">
      <c r="A35" s="29" t="s">
        <v>77</v>
      </c>
      <c r="B35" s="29" t="s">
        <v>60</v>
      </c>
      <c r="C35" s="16">
        <v>13790</v>
      </c>
      <c r="D35" s="16">
        <v>16063</v>
      </c>
      <c r="E35" s="16">
        <v>18136</v>
      </c>
      <c r="F35" s="16">
        <v>21037</v>
      </c>
      <c r="G35" s="16">
        <v>23916</v>
      </c>
      <c r="H35" s="15">
        <v>23999</v>
      </c>
      <c r="I35" s="16">
        <v>26716.486000000001</v>
      </c>
      <c r="J35" s="16">
        <v>29833.286</v>
      </c>
    </row>
    <row r="36" spans="1:10" x14ac:dyDescent="0.4">
      <c r="A36" s="31" t="s">
        <v>78</v>
      </c>
      <c r="B36" s="31" t="s">
        <v>79</v>
      </c>
      <c r="C36" s="24">
        <v>2924</v>
      </c>
      <c r="D36" s="24">
        <v>3752</v>
      </c>
      <c r="E36" s="24">
        <v>3179</v>
      </c>
      <c r="F36" s="24">
        <v>3764</v>
      </c>
      <c r="G36" s="24">
        <v>4173</v>
      </c>
      <c r="H36" s="23">
        <v>4113</v>
      </c>
      <c r="I36" s="24"/>
      <c r="J36" s="24"/>
    </row>
    <row r="37" spans="1:10" x14ac:dyDescent="0.4">
      <c r="A37" s="31" t="s">
        <v>80</v>
      </c>
      <c r="B37" s="31" t="s">
        <v>81</v>
      </c>
      <c r="C37" s="24">
        <v>2617</v>
      </c>
      <c r="D37" s="24">
        <v>2881</v>
      </c>
      <c r="E37" s="24">
        <v>3515</v>
      </c>
      <c r="F37" s="24">
        <v>4247</v>
      </c>
      <c r="G37" s="24">
        <v>4273</v>
      </c>
      <c r="H37" s="23"/>
      <c r="I37" s="24"/>
      <c r="J37" s="24"/>
    </row>
    <row r="38" spans="1:10" x14ac:dyDescent="0.4">
      <c r="A38" s="31" t="s">
        <v>82</v>
      </c>
      <c r="B38" s="31" t="s">
        <v>83</v>
      </c>
      <c r="C38" s="24">
        <v>307</v>
      </c>
      <c r="D38" s="24">
        <v>871</v>
      </c>
      <c r="E38" s="24">
        <v>-336</v>
      </c>
      <c r="F38" s="24">
        <v>-483</v>
      </c>
      <c r="G38" s="24">
        <v>-100</v>
      </c>
      <c r="H38" s="23"/>
      <c r="I38" s="24"/>
      <c r="J38" s="24"/>
    </row>
    <row r="39" spans="1:10" x14ac:dyDescent="0.4">
      <c r="A39" s="29" t="s">
        <v>84</v>
      </c>
      <c r="B39" s="29" t="s">
        <v>85</v>
      </c>
      <c r="C39" s="16">
        <v>10866</v>
      </c>
      <c r="D39" s="16">
        <v>12311</v>
      </c>
      <c r="E39" s="16">
        <v>14957</v>
      </c>
      <c r="F39" s="16">
        <v>17273</v>
      </c>
      <c r="G39" s="16">
        <v>19743</v>
      </c>
      <c r="H39" s="15">
        <v>19886</v>
      </c>
      <c r="I39" s="16">
        <v>21144.2</v>
      </c>
      <c r="J39" s="16">
        <v>24351.933000000001</v>
      </c>
    </row>
    <row r="40" spans="1:10" x14ac:dyDescent="0.4">
      <c r="A40" s="31" t="s">
        <v>86</v>
      </c>
      <c r="B40" s="31" t="s">
        <v>87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3">
        <v>0</v>
      </c>
      <c r="I40" s="24"/>
      <c r="J40" s="24"/>
    </row>
    <row r="41" spans="1:10" x14ac:dyDescent="0.4">
      <c r="A41" s="31" t="s">
        <v>88</v>
      </c>
      <c r="B41" s="31" t="s">
        <v>89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3">
        <v>0</v>
      </c>
      <c r="I41" s="24"/>
      <c r="J41" s="24"/>
    </row>
    <row r="42" spans="1:10" x14ac:dyDescent="0.4">
      <c r="A42" s="31" t="s">
        <v>90</v>
      </c>
      <c r="B42" s="31" t="s">
        <v>91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3">
        <v>0</v>
      </c>
      <c r="I42" s="24"/>
      <c r="J42" s="24"/>
    </row>
    <row r="43" spans="1:10" x14ac:dyDescent="0.4">
      <c r="A43" s="29" t="s">
        <v>92</v>
      </c>
      <c r="B43" s="29" t="s">
        <v>93</v>
      </c>
      <c r="C43" s="16">
        <v>10866</v>
      </c>
      <c r="D43" s="16">
        <v>12311</v>
      </c>
      <c r="E43" s="16">
        <v>14957</v>
      </c>
      <c r="F43" s="16">
        <v>17273</v>
      </c>
      <c r="G43" s="16">
        <v>19743</v>
      </c>
      <c r="H43" s="15">
        <v>19886</v>
      </c>
      <c r="I43" s="16"/>
      <c r="J43" s="16"/>
    </row>
    <row r="44" spans="1:10" x14ac:dyDescent="0.4">
      <c r="A44" s="31" t="s">
        <v>94</v>
      </c>
      <c r="B44" s="31" t="s">
        <v>95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3">
        <v>0</v>
      </c>
      <c r="I44" s="24"/>
      <c r="J44" s="24"/>
    </row>
    <row r="45" spans="1:10" x14ac:dyDescent="0.4">
      <c r="A45" s="29" t="s">
        <v>96</v>
      </c>
      <c r="B45" s="29" t="s">
        <v>97</v>
      </c>
      <c r="C45" s="16">
        <v>10866</v>
      </c>
      <c r="D45" s="16">
        <v>12311</v>
      </c>
      <c r="E45" s="16">
        <v>14957</v>
      </c>
      <c r="F45" s="16">
        <v>17273</v>
      </c>
      <c r="G45" s="16">
        <v>19743</v>
      </c>
      <c r="H45" s="15">
        <v>19886</v>
      </c>
      <c r="I45" s="16">
        <v>21144.2</v>
      </c>
      <c r="J45" s="16">
        <v>24351.933000000001</v>
      </c>
    </row>
    <row r="46" spans="1:10" x14ac:dyDescent="0.4">
      <c r="A46" s="31" t="s">
        <v>98</v>
      </c>
      <c r="B46" s="31" t="s">
        <v>99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3">
        <v>0</v>
      </c>
      <c r="I46" s="24"/>
      <c r="J46" s="24"/>
    </row>
    <row r="47" spans="1:10" x14ac:dyDescent="0.4">
      <c r="A47" s="31" t="s">
        <v>100</v>
      </c>
      <c r="B47" s="31" t="s">
        <v>101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3">
        <v>0</v>
      </c>
      <c r="I47" s="24"/>
      <c r="J47" s="24"/>
    </row>
    <row r="48" spans="1:10" x14ac:dyDescent="0.4">
      <c r="A48" s="29" t="s">
        <v>102</v>
      </c>
      <c r="B48" s="29" t="s">
        <v>103</v>
      </c>
      <c r="C48" s="16">
        <v>10866</v>
      </c>
      <c r="D48" s="16">
        <v>12311</v>
      </c>
      <c r="E48" s="16">
        <v>14957</v>
      </c>
      <c r="F48" s="16">
        <v>17273</v>
      </c>
      <c r="G48" s="16">
        <v>19743</v>
      </c>
      <c r="H48" s="15">
        <v>19886</v>
      </c>
      <c r="I48" s="16">
        <v>21144.2</v>
      </c>
      <c r="J48" s="16">
        <v>24351.933000000001</v>
      </c>
    </row>
    <row r="49" spans="1:10" x14ac:dyDescent="0.4">
      <c r="A49" s="29"/>
      <c r="B49" s="19"/>
      <c r="C49" s="19"/>
      <c r="D49" s="19"/>
      <c r="E49" s="19"/>
      <c r="F49" s="19"/>
      <c r="G49" s="19"/>
      <c r="H49" s="18"/>
      <c r="I49" s="19"/>
      <c r="J49" s="19"/>
    </row>
    <row r="50" spans="1:10" x14ac:dyDescent="0.4">
      <c r="A50" s="29" t="s">
        <v>104</v>
      </c>
      <c r="B50" s="29" t="s">
        <v>103</v>
      </c>
      <c r="C50" s="16">
        <v>11166.69</v>
      </c>
      <c r="D50" s="16">
        <v>12896.37</v>
      </c>
      <c r="E50" s="16">
        <v>15940</v>
      </c>
      <c r="F50" s="16">
        <v>18142</v>
      </c>
      <c r="G50" s="16">
        <v>20302</v>
      </c>
      <c r="H50" s="15">
        <v>21139</v>
      </c>
      <c r="I50" s="16">
        <v>22209.056</v>
      </c>
      <c r="J50" s="16">
        <v>24467.694</v>
      </c>
    </row>
    <row r="51" spans="1:10" x14ac:dyDescent="0.4">
      <c r="A51" s="31" t="s">
        <v>105</v>
      </c>
      <c r="B51" s="31" t="s">
        <v>106</v>
      </c>
      <c r="C51" s="24">
        <v>300.69</v>
      </c>
      <c r="D51" s="24">
        <v>585.37</v>
      </c>
      <c r="E51" s="24">
        <v>983</v>
      </c>
      <c r="F51" s="24">
        <v>869</v>
      </c>
      <c r="G51" s="24">
        <v>559</v>
      </c>
      <c r="H51" s="23">
        <v>1253</v>
      </c>
      <c r="I51" s="24"/>
      <c r="J51" s="24"/>
    </row>
    <row r="52" spans="1:10" x14ac:dyDescent="0.4">
      <c r="A52" s="31" t="s">
        <v>107</v>
      </c>
      <c r="B52" s="31" t="s">
        <v>87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3">
        <v>0</v>
      </c>
      <c r="I52" s="24"/>
      <c r="J52" s="24"/>
    </row>
    <row r="53" spans="1:10" x14ac:dyDescent="0.4">
      <c r="A53" s="29"/>
      <c r="B53" s="19"/>
      <c r="C53" s="19"/>
      <c r="D53" s="19"/>
      <c r="E53" s="19"/>
      <c r="F53" s="19"/>
      <c r="G53" s="19"/>
      <c r="H53" s="18"/>
      <c r="I53" s="19"/>
      <c r="J53" s="19"/>
    </row>
    <row r="54" spans="1:10" x14ac:dyDescent="0.4">
      <c r="A54" s="31" t="s">
        <v>108</v>
      </c>
      <c r="B54" s="31" t="s">
        <v>109</v>
      </c>
      <c r="C54" s="24">
        <v>1953</v>
      </c>
      <c r="D54" s="24">
        <v>1946</v>
      </c>
      <c r="E54" s="24">
        <v>1651</v>
      </c>
      <c r="F54" s="24">
        <v>1618</v>
      </c>
      <c r="G54" s="24">
        <v>1621</v>
      </c>
      <c r="H54" s="23">
        <v>1855</v>
      </c>
      <c r="I54" s="24"/>
      <c r="J54" s="24"/>
    </row>
    <row r="55" spans="1:10" x14ac:dyDescent="0.4">
      <c r="A55" s="29" t="s">
        <v>110</v>
      </c>
      <c r="B55" s="29" t="s">
        <v>111</v>
      </c>
      <c r="C55" s="16">
        <v>5.5636999999999999</v>
      </c>
      <c r="D55" s="16">
        <v>6.3262999999999998</v>
      </c>
      <c r="E55" s="16">
        <v>9.0594000000000001</v>
      </c>
      <c r="F55" s="16">
        <v>10.6755</v>
      </c>
      <c r="G55" s="16">
        <v>12.179500000000001</v>
      </c>
      <c r="H55" s="15">
        <v>11.015285</v>
      </c>
      <c r="I55" s="16">
        <v>10.826000000000001</v>
      </c>
      <c r="J55" s="16">
        <v>12.698</v>
      </c>
    </row>
    <row r="56" spans="1:10" x14ac:dyDescent="0.4">
      <c r="A56" s="29" t="s">
        <v>112</v>
      </c>
      <c r="B56" s="29" t="s">
        <v>113</v>
      </c>
      <c r="C56" s="16">
        <v>5.5636999999999999</v>
      </c>
      <c r="D56" s="16">
        <v>6.3262999999999998</v>
      </c>
      <c r="E56" s="16">
        <v>9.0594000000000001</v>
      </c>
      <c r="F56" s="16">
        <v>10.6755</v>
      </c>
      <c r="G56" s="16">
        <v>12.179500000000001</v>
      </c>
      <c r="H56" s="15">
        <v>11.015285</v>
      </c>
      <c r="I56" s="16">
        <v>10.826000000000001</v>
      </c>
      <c r="J56" s="16">
        <v>12.698</v>
      </c>
    </row>
    <row r="57" spans="1:10" x14ac:dyDescent="0.4">
      <c r="A57" s="29" t="s">
        <v>114</v>
      </c>
      <c r="B57" s="29" t="s">
        <v>115</v>
      </c>
      <c r="C57" s="16">
        <v>5.7176999999999998</v>
      </c>
      <c r="D57" s="16">
        <v>6.6271000000000004</v>
      </c>
      <c r="E57" s="16">
        <v>9.6547999999999998</v>
      </c>
      <c r="F57" s="16">
        <v>11.2126</v>
      </c>
      <c r="G57" s="16">
        <v>12.5244</v>
      </c>
      <c r="H57" s="15">
        <v>11.695592</v>
      </c>
      <c r="I57" s="16">
        <v>11.334</v>
      </c>
      <c r="J57" s="16">
        <v>12.813000000000001</v>
      </c>
    </row>
    <row r="58" spans="1:10" x14ac:dyDescent="0.4">
      <c r="A58" s="29"/>
      <c r="B58" s="19"/>
      <c r="C58" s="19"/>
      <c r="D58" s="19"/>
      <c r="E58" s="19"/>
      <c r="F58" s="19"/>
      <c r="G58" s="19"/>
      <c r="H58" s="18"/>
      <c r="I58" s="19"/>
      <c r="J58" s="19"/>
    </row>
    <row r="59" spans="1:10" x14ac:dyDescent="0.4">
      <c r="A59" s="31" t="s">
        <v>116</v>
      </c>
      <c r="B59" s="31" t="s">
        <v>117</v>
      </c>
      <c r="C59" s="24">
        <v>2479</v>
      </c>
      <c r="D59" s="24">
        <v>2443</v>
      </c>
      <c r="E59" s="24">
        <v>2136</v>
      </c>
      <c r="F59" s="24">
        <v>2085</v>
      </c>
      <c r="G59" s="24">
        <v>2029</v>
      </c>
      <c r="H59" s="23">
        <v>2108</v>
      </c>
      <c r="I59" s="24"/>
      <c r="J59" s="24"/>
    </row>
    <row r="60" spans="1:10" x14ac:dyDescent="0.4">
      <c r="A60" s="29" t="s">
        <v>118</v>
      </c>
      <c r="B60" s="29" t="s">
        <v>119</v>
      </c>
      <c r="C60" s="16">
        <v>4.3832000000000004</v>
      </c>
      <c r="D60" s="16">
        <v>5.0392999999999999</v>
      </c>
      <c r="E60" s="16">
        <v>7.0023</v>
      </c>
      <c r="F60" s="16">
        <v>8.2843999999999998</v>
      </c>
      <c r="G60" s="16">
        <v>9.7303999999999995</v>
      </c>
      <c r="H60" s="15">
        <v>9.4266260000000006</v>
      </c>
      <c r="I60" s="16">
        <v>10.826000000000001</v>
      </c>
      <c r="J60" s="16">
        <v>12.698</v>
      </c>
    </row>
    <row r="61" spans="1:10" x14ac:dyDescent="0.4">
      <c r="A61" s="29" t="s">
        <v>120</v>
      </c>
      <c r="B61" s="29" t="s">
        <v>121</v>
      </c>
      <c r="C61" s="16">
        <v>4.3832000000000004</v>
      </c>
      <c r="D61" s="16">
        <v>5.0392999999999999</v>
      </c>
      <c r="E61" s="16">
        <v>7.0023</v>
      </c>
      <c r="F61" s="16">
        <v>8.2843999999999998</v>
      </c>
      <c r="G61" s="16">
        <v>9.7303999999999995</v>
      </c>
      <c r="H61" s="15">
        <v>9.4266260000000006</v>
      </c>
      <c r="I61" s="16">
        <v>10.826000000000001</v>
      </c>
      <c r="J61" s="16">
        <v>12.698</v>
      </c>
    </row>
    <row r="62" spans="1:10" x14ac:dyDescent="0.4">
      <c r="A62" s="29" t="s">
        <v>122</v>
      </c>
      <c r="B62" s="29" t="s">
        <v>123</v>
      </c>
      <c r="C62" s="16">
        <v>4.5045000000000002</v>
      </c>
      <c r="D62" s="16">
        <v>5.2789000000000001</v>
      </c>
      <c r="E62" s="16">
        <v>7.4625000000000004</v>
      </c>
      <c r="F62" s="16">
        <v>8.7012</v>
      </c>
      <c r="G62" s="16">
        <v>10.0059</v>
      </c>
      <c r="H62" s="15">
        <v>10.021652</v>
      </c>
      <c r="I62" s="16">
        <v>11.334</v>
      </c>
      <c r="J62" s="16">
        <v>12.813000000000001</v>
      </c>
    </row>
    <row r="63" spans="1:10" x14ac:dyDescent="0.4">
      <c r="A63" s="29"/>
      <c r="B63" s="19"/>
      <c r="C63" s="19"/>
      <c r="D63" s="19"/>
      <c r="E63" s="19"/>
      <c r="F63" s="19"/>
      <c r="G63" s="19"/>
      <c r="H63" s="18"/>
      <c r="I63" s="19"/>
      <c r="J63" s="19"/>
    </row>
    <row r="64" spans="1:10" x14ac:dyDescent="0.4">
      <c r="A64" s="29" t="s">
        <v>124</v>
      </c>
      <c r="B64" s="19"/>
      <c r="C64" s="19"/>
      <c r="D64" s="19"/>
      <c r="E64" s="19"/>
      <c r="F64" s="19"/>
      <c r="G64" s="19"/>
      <c r="H64" s="18"/>
      <c r="I64" s="19"/>
      <c r="J64" s="19"/>
    </row>
    <row r="65" spans="1:10" x14ac:dyDescent="0.4">
      <c r="A65" s="31" t="s">
        <v>125</v>
      </c>
      <c r="B65" s="31" t="s">
        <v>126</v>
      </c>
      <c r="C65" s="21" t="s">
        <v>127</v>
      </c>
      <c r="D65" s="21" t="s">
        <v>127</v>
      </c>
      <c r="E65" s="21" t="s">
        <v>127</v>
      </c>
      <c r="F65" s="21" t="s">
        <v>127</v>
      </c>
      <c r="G65" s="21" t="s">
        <v>127</v>
      </c>
      <c r="H65" s="20"/>
      <c r="I65" s="21"/>
      <c r="J65" s="21"/>
    </row>
    <row r="66" spans="1:10" x14ac:dyDescent="0.4">
      <c r="A66" s="31" t="s">
        <v>128</v>
      </c>
      <c r="B66" s="31" t="s">
        <v>128</v>
      </c>
      <c r="C66" s="24">
        <v>15025.442999999999</v>
      </c>
      <c r="D66" s="24">
        <v>16895</v>
      </c>
      <c r="E66" s="24">
        <v>20781</v>
      </c>
      <c r="F66" s="24">
        <v>23068</v>
      </c>
      <c r="G66" s="24">
        <v>25403</v>
      </c>
      <c r="H66" s="23">
        <v>26477</v>
      </c>
      <c r="I66" s="24">
        <v>27639.345000000001</v>
      </c>
      <c r="J66" s="24">
        <v>31046.31</v>
      </c>
    </row>
    <row r="67" spans="1:10" x14ac:dyDescent="0.4">
      <c r="A67" s="31" t="s">
        <v>129</v>
      </c>
      <c r="B67" s="31" t="s">
        <v>130</v>
      </c>
      <c r="C67" s="24">
        <v>68.778899999999993</v>
      </c>
      <c r="D67" s="24">
        <v>70.089200000000005</v>
      </c>
      <c r="E67" s="24">
        <v>70.900700000000001</v>
      </c>
      <c r="F67" s="24">
        <v>70.645899999999997</v>
      </c>
      <c r="G67" s="24">
        <v>70.709199999999996</v>
      </c>
      <c r="H67" s="23">
        <v>70.378246192286198</v>
      </c>
      <c r="I67" s="24">
        <v>69.817315028672098</v>
      </c>
      <c r="J67" s="24">
        <v>70.815776783674195</v>
      </c>
    </row>
    <row r="68" spans="1:10" x14ac:dyDescent="0.4">
      <c r="A68" s="31" t="s">
        <v>131</v>
      </c>
      <c r="B68" s="31" t="s">
        <v>131</v>
      </c>
      <c r="C68" s="24">
        <v>14338.442999999999</v>
      </c>
      <c r="D68" s="24">
        <v>16174</v>
      </c>
      <c r="E68" s="24">
        <v>20010</v>
      </c>
      <c r="F68" s="24">
        <v>22201</v>
      </c>
      <c r="G68" s="24">
        <v>24448</v>
      </c>
      <c r="H68" s="23">
        <v>19003</v>
      </c>
      <c r="I68" s="24"/>
      <c r="J68" s="24"/>
    </row>
    <row r="69" spans="1:10" x14ac:dyDescent="0.4">
      <c r="A69" s="31" t="s">
        <v>132</v>
      </c>
      <c r="B69" s="31" t="s">
        <v>132</v>
      </c>
      <c r="C69" s="24">
        <v>14144.442999999999</v>
      </c>
      <c r="D69" s="24">
        <v>15980</v>
      </c>
      <c r="E69" s="24">
        <v>19803</v>
      </c>
      <c r="F69" s="24">
        <v>21996</v>
      </c>
      <c r="G69" s="24">
        <v>24190</v>
      </c>
      <c r="H69" s="23">
        <v>25352</v>
      </c>
      <c r="I69" s="24">
        <v>26619.649000000001</v>
      </c>
      <c r="J69" s="24">
        <v>29903.359</v>
      </c>
    </row>
    <row r="70" spans="1:10" x14ac:dyDescent="0.4">
      <c r="A70" s="31" t="s">
        <v>133</v>
      </c>
      <c r="B70" s="31" t="s">
        <v>134</v>
      </c>
      <c r="C70" s="24" t="s">
        <v>155</v>
      </c>
      <c r="D70" s="24" t="s">
        <v>155</v>
      </c>
      <c r="E70" s="24" t="s">
        <v>155</v>
      </c>
      <c r="F70" s="24" t="s">
        <v>155</v>
      </c>
      <c r="G70" s="24" t="s">
        <v>155</v>
      </c>
      <c r="H70" s="23"/>
      <c r="I70" s="24">
        <v>72.447000000000003</v>
      </c>
      <c r="J70" s="24">
        <v>73.341999999999999</v>
      </c>
    </row>
    <row r="71" spans="1:10" x14ac:dyDescent="0.4">
      <c r="A71" s="31" t="s">
        <v>135</v>
      </c>
      <c r="B71" s="31" t="s">
        <v>136</v>
      </c>
      <c r="C71" s="24">
        <v>64.746099999999998</v>
      </c>
      <c r="D71" s="24">
        <v>66.293300000000002</v>
      </c>
      <c r="E71" s="24">
        <v>67.563999999999993</v>
      </c>
      <c r="F71" s="24">
        <v>67.362899999999996</v>
      </c>
      <c r="G71" s="24">
        <v>67.332899999999995</v>
      </c>
      <c r="H71" s="23">
        <v>67.387895058610894</v>
      </c>
      <c r="I71" s="24">
        <v>67.241550774292094</v>
      </c>
      <c r="J71" s="24">
        <v>68.208737077806504</v>
      </c>
    </row>
    <row r="72" spans="1:10" x14ac:dyDescent="0.4">
      <c r="A72" s="31" t="s">
        <v>137</v>
      </c>
      <c r="B72" s="31" t="s">
        <v>138</v>
      </c>
      <c r="C72" s="24">
        <v>51.115499999999997</v>
      </c>
      <c r="D72" s="24">
        <v>53.500799999999998</v>
      </c>
      <c r="E72" s="24">
        <v>54.3842</v>
      </c>
      <c r="F72" s="24">
        <v>55.56</v>
      </c>
      <c r="G72" s="24">
        <v>56.510599999999997</v>
      </c>
      <c r="H72" s="23">
        <v>56.189362324233798</v>
      </c>
      <c r="I72" s="24">
        <v>56.100340266436199</v>
      </c>
      <c r="J72" s="24">
        <v>55.810135140544702</v>
      </c>
    </row>
    <row r="73" spans="1:10" x14ac:dyDescent="0.4">
      <c r="A73" s="31" t="s">
        <v>139</v>
      </c>
      <c r="B73" s="31" t="s">
        <v>140</v>
      </c>
      <c r="C73" s="24" t="s">
        <v>155</v>
      </c>
      <c r="D73" s="24" t="s">
        <v>155</v>
      </c>
      <c r="E73" s="24" t="s">
        <v>155</v>
      </c>
      <c r="F73" s="24" t="s">
        <v>155</v>
      </c>
      <c r="G73" s="24" t="s">
        <v>155</v>
      </c>
      <c r="H73" s="23"/>
      <c r="I73" s="24">
        <v>26884.244999999999</v>
      </c>
      <c r="J73" s="24">
        <v>29630.634999999998</v>
      </c>
    </row>
    <row r="74" spans="1:10" x14ac:dyDescent="0.4">
      <c r="A74" s="31" t="s">
        <v>141</v>
      </c>
      <c r="B74" s="31" t="s">
        <v>142</v>
      </c>
      <c r="C74" s="24">
        <v>1065658.5366</v>
      </c>
      <c r="D74" s="24">
        <v>1121162.7907</v>
      </c>
      <c r="E74" s="24">
        <v>1106037.7357999999</v>
      </c>
      <c r="F74" s="24">
        <v>1133784.7222</v>
      </c>
      <c r="G74" s="24">
        <v>1136898.7342000001</v>
      </c>
      <c r="H74" s="23"/>
      <c r="I74" s="24"/>
      <c r="J74" s="24"/>
    </row>
    <row r="75" spans="1:10" x14ac:dyDescent="0.4">
      <c r="A75" s="31" t="s">
        <v>143</v>
      </c>
      <c r="B75" s="31" t="s">
        <v>144</v>
      </c>
      <c r="C75" s="24">
        <v>1.22</v>
      </c>
      <c r="D75" s="24">
        <v>1.335</v>
      </c>
      <c r="E75" s="24">
        <v>1.575</v>
      </c>
      <c r="F75" s="24">
        <v>1.87</v>
      </c>
      <c r="G75" s="24">
        <v>2.08</v>
      </c>
      <c r="H75" s="23">
        <v>2.2200000000000002</v>
      </c>
      <c r="I75" s="24">
        <v>2.3730000000000002</v>
      </c>
      <c r="J75" s="24">
        <v>2.63</v>
      </c>
    </row>
    <row r="76" spans="1:10" x14ac:dyDescent="0.4">
      <c r="A76" s="31" t="s">
        <v>145</v>
      </c>
      <c r="B76" s="31" t="s">
        <v>146</v>
      </c>
      <c r="C76" s="24">
        <v>2382.66</v>
      </c>
      <c r="D76" s="24">
        <v>2597.91</v>
      </c>
      <c r="E76" s="24">
        <v>2600.3249999999998</v>
      </c>
      <c r="F76" s="24">
        <v>3025.66</v>
      </c>
      <c r="G76" s="24">
        <v>3371.68</v>
      </c>
      <c r="H76" s="23">
        <v>4024.61</v>
      </c>
      <c r="I76" s="24"/>
      <c r="J76" s="24"/>
    </row>
    <row r="77" spans="1:10" x14ac:dyDescent="0.4">
      <c r="A77" s="31" t="s">
        <v>147</v>
      </c>
      <c r="B77" s="31" t="s">
        <v>148</v>
      </c>
      <c r="C77" s="24">
        <v>3785</v>
      </c>
      <c r="D77" s="24">
        <v>4240</v>
      </c>
      <c r="E77" s="24">
        <v>4990</v>
      </c>
      <c r="F77" s="24">
        <v>5831</v>
      </c>
      <c r="G77" s="24">
        <v>6264</v>
      </c>
      <c r="H77" s="23">
        <v>6652</v>
      </c>
      <c r="I77" s="24"/>
      <c r="J77" s="24"/>
    </row>
    <row r="78" spans="1:10" x14ac:dyDescent="0.4">
      <c r="A78" s="31" t="s">
        <v>149</v>
      </c>
      <c r="B78" s="31" t="s">
        <v>150</v>
      </c>
      <c r="C78" s="24">
        <v>687</v>
      </c>
      <c r="D78" s="24">
        <v>721</v>
      </c>
      <c r="E78" s="24">
        <v>771</v>
      </c>
      <c r="F78" s="24">
        <v>867</v>
      </c>
      <c r="G78" s="24">
        <v>955</v>
      </c>
      <c r="H78" s="23">
        <v>684</v>
      </c>
      <c r="I78" s="24"/>
      <c r="J78" s="24"/>
    </row>
    <row r="79" spans="1:10" x14ac:dyDescent="0.4">
      <c r="A79" s="31" t="s">
        <v>151</v>
      </c>
      <c r="B79" s="31" t="s">
        <v>152</v>
      </c>
      <c r="C79" s="24">
        <v>114</v>
      </c>
      <c r="D79" s="24">
        <v>111</v>
      </c>
      <c r="E79" s="24">
        <v>117</v>
      </c>
      <c r="F79" s="24">
        <v>129</v>
      </c>
      <c r="G79" s="24">
        <v>179</v>
      </c>
      <c r="H79" s="23"/>
      <c r="I79" s="24"/>
      <c r="J79" s="24"/>
    </row>
    <row r="80" spans="1:10" x14ac:dyDescent="0.4">
      <c r="A80" s="25" t="s">
        <v>153</v>
      </c>
      <c r="B80" s="25"/>
      <c r="C80" s="25" t="s">
        <v>154</v>
      </c>
      <c r="D80" s="25"/>
      <c r="E80" s="25"/>
      <c r="F80" s="25"/>
      <c r="G80" s="25"/>
      <c r="H80" s="25"/>
      <c r="I80" s="25"/>
      <c r="J80" s="25"/>
    </row>
  </sheetData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1162-646A-464E-A6F4-95EB2834CD9C}">
  <dimension ref="A1:J70"/>
  <sheetViews>
    <sheetView workbookViewId="0">
      <selection sqref="A1:XFD1048576"/>
    </sheetView>
  </sheetViews>
  <sheetFormatPr defaultRowHeight="17.399999999999999" x14ac:dyDescent="0.4"/>
  <cols>
    <col min="1" max="1" width="35.19921875" customWidth="1"/>
    <col min="2" max="2" width="0" hidden="1" customWidth="1"/>
    <col min="3" max="10" width="14.09765625" customWidth="1"/>
  </cols>
  <sheetData>
    <row r="1" spans="1:10" x14ac:dyDescent="0.4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4">
      <c r="A2" s="6" t="s">
        <v>161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4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</row>
    <row r="5" spans="1:10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  <c r="I5" s="11" t="s">
        <v>17</v>
      </c>
      <c r="J5" s="11" t="s">
        <v>18</v>
      </c>
    </row>
    <row r="6" spans="1:10" x14ac:dyDescent="0.4">
      <c r="A6" s="17" t="s">
        <v>19</v>
      </c>
      <c r="B6" s="17" t="s">
        <v>20</v>
      </c>
      <c r="C6" s="16">
        <v>21846</v>
      </c>
      <c r="D6" s="16">
        <v>24105</v>
      </c>
      <c r="E6" s="16">
        <v>29310</v>
      </c>
      <c r="F6" s="16">
        <v>32653</v>
      </c>
      <c r="G6" s="16">
        <v>35926</v>
      </c>
      <c r="H6" s="15">
        <v>37621</v>
      </c>
      <c r="I6" s="16">
        <v>39588.0952380952</v>
      </c>
      <c r="J6" s="16">
        <v>43840.951219512201</v>
      </c>
    </row>
    <row r="7" spans="1:10" x14ac:dyDescent="0.4">
      <c r="A7" s="22" t="s">
        <v>21</v>
      </c>
      <c r="B7" s="22" t="s">
        <v>22</v>
      </c>
      <c r="C7" s="24">
        <v>21846</v>
      </c>
      <c r="D7" s="24">
        <v>24105</v>
      </c>
      <c r="E7" s="24">
        <v>29310</v>
      </c>
      <c r="F7" s="24">
        <v>14826</v>
      </c>
      <c r="G7" s="24">
        <v>16114</v>
      </c>
      <c r="H7" s="23">
        <v>16773</v>
      </c>
      <c r="I7" s="24"/>
      <c r="J7" s="24"/>
    </row>
    <row r="8" spans="1:10" x14ac:dyDescent="0.4">
      <c r="A8" s="22" t="s">
        <v>23</v>
      </c>
      <c r="B8" s="22" t="s">
        <v>24</v>
      </c>
      <c r="C8" s="24" t="s">
        <v>155</v>
      </c>
      <c r="D8" s="24" t="s">
        <v>155</v>
      </c>
      <c r="E8" s="24" t="s">
        <v>155</v>
      </c>
      <c r="F8" s="24">
        <v>17827</v>
      </c>
      <c r="G8" s="24">
        <v>19812</v>
      </c>
      <c r="H8" s="23">
        <v>20848</v>
      </c>
      <c r="I8" s="24"/>
      <c r="J8" s="24"/>
    </row>
    <row r="9" spans="1:10" x14ac:dyDescent="0.4">
      <c r="A9" s="17" t="s">
        <v>25</v>
      </c>
      <c r="B9" s="17" t="s">
        <v>26</v>
      </c>
      <c r="C9" s="16" t="s">
        <v>155</v>
      </c>
      <c r="D9" s="16" t="s">
        <v>155</v>
      </c>
      <c r="E9" s="16" t="s">
        <v>155</v>
      </c>
      <c r="F9" s="16" t="s">
        <v>155</v>
      </c>
      <c r="G9" s="16" t="s">
        <v>155</v>
      </c>
      <c r="H9" s="15"/>
      <c r="I9" s="16">
        <v>28680.387357142899</v>
      </c>
      <c r="J9" s="16">
        <v>32153.830443414601</v>
      </c>
    </row>
    <row r="10" spans="1:10" x14ac:dyDescent="0.4">
      <c r="A10" s="22" t="s">
        <v>27</v>
      </c>
      <c r="B10" s="22" t="s">
        <v>28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3">
        <v>0</v>
      </c>
      <c r="I10" s="24"/>
      <c r="J10" s="24"/>
    </row>
    <row r="11" spans="1:10" x14ac:dyDescent="0.4">
      <c r="A11" s="22" t="s">
        <v>29</v>
      </c>
      <c r="B11" s="22" t="s">
        <v>30</v>
      </c>
      <c r="C11" s="24">
        <v>7765</v>
      </c>
      <c r="D11" s="24">
        <v>8301</v>
      </c>
      <c r="E11" s="24">
        <v>10497</v>
      </c>
      <c r="F11" s="24">
        <v>11653</v>
      </c>
      <c r="G11" s="24">
        <v>12331</v>
      </c>
      <c r="H11" s="23">
        <v>13665</v>
      </c>
      <c r="I11" s="24"/>
      <c r="J11" s="24"/>
    </row>
    <row r="12" spans="1:10" x14ac:dyDescent="0.4">
      <c r="A12" s="22" t="s">
        <v>31</v>
      </c>
      <c r="B12" s="22" t="s">
        <v>32</v>
      </c>
      <c r="C12" s="24">
        <v>2067</v>
      </c>
      <c r="D12" s="24">
        <v>2121</v>
      </c>
      <c r="E12" s="24">
        <v>2530</v>
      </c>
      <c r="F12" s="24">
        <v>2671</v>
      </c>
      <c r="G12" s="24">
        <v>3158</v>
      </c>
      <c r="H12" s="23">
        <v>3322</v>
      </c>
      <c r="I12" s="24"/>
      <c r="J12" s="24"/>
    </row>
    <row r="13" spans="1:10" x14ac:dyDescent="0.4">
      <c r="A13" s="12" t="s">
        <v>33</v>
      </c>
      <c r="B13" s="12" t="s">
        <v>34</v>
      </c>
      <c r="C13" s="14">
        <v>971</v>
      </c>
      <c r="D13" s="14">
        <v>1136</v>
      </c>
      <c r="E13" s="14">
        <v>1336</v>
      </c>
      <c r="F13" s="14">
        <v>1341</v>
      </c>
      <c r="G13" s="14">
        <v>1560</v>
      </c>
      <c r="H13" s="13">
        <v>1616</v>
      </c>
      <c r="I13" s="14"/>
      <c r="J13" s="14"/>
    </row>
    <row r="14" spans="1:10" x14ac:dyDescent="0.4">
      <c r="A14" s="12" t="s">
        <v>35</v>
      </c>
      <c r="B14" s="12" t="s">
        <v>36</v>
      </c>
      <c r="C14" s="14">
        <v>1096</v>
      </c>
      <c r="D14" s="14">
        <v>985</v>
      </c>
      <c r="E14" s="14">
        <v>1194</v>
      </c>
      <c r="F14" s="14">
        <v>1330</v>
      </c>
      <c r="G14" s="14">
        <v>1598</v>
      </c>
      <c r="H14" s="13">
        <v>1706</v>
      </c>
      <c r="I14" s="14"/>
      <c r="J14" s="14"/>
    </row>
    <row r="15" spans="1:10" x14ac:dyDescent="0.4">
      <c r="A15" s="22" t="s">
        <v>37</v>
      </c>
      <c r="B15" s="22" t="s">
        <v>160</v>
      </c>
      <c r="C15" s="24" t="s">
        <v>155</v>
      </c>
      <c r="D15" s="24" t="s">
        <v>155</v>
      </c>
      <c r="E15" s="24" t="s">
        <v>155</v>
      </c>
      <c r="F15" s="24" t="s">
        <v>155</v>
      </c>
      <c r="G15" s="24" t="s">
        <v>155</v>
      </c>
      <c r="H15" s="23"/>
      <c r="I15" s="24"/>
      <c r="J15" s="24"/>
    </row>
    <row r="16" spans="1:10" x14ac:dyDescent="0.4">
      <c r="A16" s="22" t="s">
        <v>39</v>
      </c>
      <c r="B16" s="22" t="s">
        <v>40</v>
      </c>
      <c r="C16" s="24">
        <v>767</v>
      </c>
      <c r="D16" s="24">
        <v>804</v>
      </c>
      <c r="E16" s="24">
        <v>861</v>
      </c>
      <c r="F16" s="24">
        <v>943</v>
      </c>
      <c r="G16" s="24">
        <v>1034</v>
      </c>
      <c r="H16" s="23">
        <v>1125</v>
      </c>
      <c r="I16" s="24"/>
      <c r="J16" s="24"/>
    </row>
    <row r="17" spans="1:10" x14ac:dyDescent="0.4">
      <c r="A17" s="22" t="s">
        <v>41</v>
      </c>
      <c r="B17" s="22" t="s">
        <v>159</v>
      </c>
      <c r="C17" s="24">
        <v>4931</v>
      </c>
      <c r="D17" s="24">
        <v>5376</v>
      </c>
      <c r="E17" s="24">
        <v>7106</v>
      </c>
      <c r="F17" s="24">
        <v>8039</v>
      </c>
      <c r="G17" s="24">
        <v>8139</v>
      </c>
      <c r="H17" s="23">
        <v>9218</v>
      </c>
      <c r="I17" s="24"/>
      <c r="J17" s="24"/>
    </row>
    <row r="18" spans="1:10" x14ac:dyDescent="0.4">
      <c r="A18" s="17" t="s">
        <v>43</v>
      </c>
      <c r="B18" s="17" t="s">
        <v>44</v>
      </c>
      <c r="C18" s="16">
        <v>14081</v>
      </c>
      <c r="D18" s="16">
        <v>15804</v>
      </c>
      <c r="E18" s="16">
        <v>18813</v>
      </c>
      <c r="F18" s="16">
        <v>21000</v>
      </c>
      <c r="G18" s="16">
        <v>23595</v>
      </c>
      <c r="H18" s="15">
        <v>23956</v>
      </c>
      <c r="I18" s="16">
        <v>26619.649000000001</v>
      </c>
      <c r="J18" s="16">
        <v>29903.359</v>
      </c>
    </row>
    <row r="19" spans="1:10" x14ac:dyDescent="0.4">
      <c r="A19" s="22" t="s">
        <v>45</v>
      </c>
      <c r="B19" s="22" t="s">
        <v>158</v>
      </c>
      <c r="C19" s="24">
        <v>291</v>
      </c>
      <c r="D19" s="24">
        <v>-259</v>
      </c>
      <c r="E19" s="24">
        <v>677</v>
      </c>
      <c r="F19" s="24">
        <v>-37</v>
      </c>
      <c r="G19" s="24">
        <v>-321</v>
      </c>
      <c r="H19" s="23">
        <v>-43</v>
      </c>
      <c r="I19" s="24"/>
      <c r="J19" s="24"/>
    </row>
    <row r="20" spans="1:10" x14ac:dyDescent="0.4">
      <c r="A20" s="22" t="s">
        <v>47</v>
      </c>
      <c r="B20" s="22" t="s">
        <v>48</v>
      </c>
      <c r="C20" s="24">
        <v>516</v>
      </c>
      <c r="D20" s="24">
        <v>513</v>
      </c>
      <c r="E20" s="24">
        <v>538</v>
      </c>
      <c r="F20" s="24">
        <v>644</v>
      </c>
      <c r="G20" s="24">
        <v>641</v>
      </c>
      <c r="H20" s="23">
        <v>712</v>
      </c>
      <c r="I20" s="24"/>
      <c r="J20" s="24"/>
    </row>
    <row r="21" spans="1:10" x14ac:dyDescent="0.4">
      <c r="A21" s="12" t="s">
        <v>49</v>
      </c>
      <c r="B21" s="12" t="s">
        <v>50</v>
      </c>
      <c r="C21" s="14">
        <v>516</v>
      </c>
      <c r="D21" s="14">
        <v>513</v>
      </c>
      <c r="E21" s="14">
        <v>538</v>
      </c>
      <c r="F21" s="14">
        <v>644</v>
      </c>
      <c r="G21" s="14">
        <v>641</v>
      </c>
      <c r="H21" s="13">
        <v>712</v>
      </c>
      <c r="I21" s="14"/>
      <c r="J21" s="14"/>
    </row>
    <row r="22" spans="1:10" x14ac:dyDescent="0.4">
      <c r="A22" s="12" t="s">
        <v>51</v>
      </c>
      <c r="B22" s="12" t="s">
        <v>52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3">
        <v>0</v>
      </c>
      <c r="I22" s="14"/>
      <c r="J22" s="14"/>
    </row>
    <row r="23" spans="1:10" x14ac:dyDescent="0.4">
      <c r="A23" s="22" t="s">
        <v>53</v>
      </c>
      <c r="B23" s="22" t="s">
        <v>54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3"/>
      <c r="I23" s="24"/>
      <c r="J23" s="24"/>
    </row>
    <row r="24" spans="1:10" x14ac:dyDescent="0.4">
      <c r="A24" s="22" t="s">
        <v>55</v>
      </c>
      <c r="B24" s="22" t="s">
        <v>56</v>
      </c>
      <c r="C24" s="24" t="s">
        <v>155</v>
      </c>
      <c r="D24" s="24" t="s">
        <v>155</v>
      </c>
      <c r="E24" s="24" t="s">
        <v>155</v>
      </c>
      <c r="F24" s="24" t="s">
        <v>155</v>
      </c>
      <c r="G24" s="24" t="s">
        <v>155</v>
      </c>
      <c r="H24" s="23"/>
      <c r="I24" s="24"/>
      <c r="J24" s="24"/>
    </row>
    <row r="25" spans="1:10" x14ac:dyDescent="0.4">
      <c r="A25" s="22" t="s">
        <v>57</v>
      </c>
      <c r="B25" s="22" t="s">
        <v>157</v>
      </c>
      <c r="C25" s="24">
        <v>-225</v>
      </c>
      <c r="D25" s="24">
        <v>-772</v>
      </c>
      <c r="E25" s="24">
        <v>139</v>
      </c>
      <c r="F25" s="24">
        <v>-681</v>
      </c>
      <c r="G25" s="24">
        <v>-962</v>
      </c>
      <c r="H25" s="23">
        <v>-508</v>
      </c>
      <c r="I25" s="24"/>
      <c r="J25" s="24"/>
    </row>
    <row r="26" spans="1:10" x14ac:dyDescent="0.4">
      <c r="A26" s="17" t="s">
        <v>156</v>
      </c>
      <c r="B26" s="17" t="s">
        <v>60</v>
      </c>
      <c r="C26" s="16">
        <v>13790</v>
      </c>
      <c r="D26" s="16">
        <v>16063</v>
      </c>
      <c r="E26" s="16">
        <v>18136</v>
      </c>
      <c r="F26" s="16">
        <v>21037</v>
      </c>
      <c r="G26" s="16">
        <v>23916</v>
      </c>
      <c r="H26" s="15">
        <v>23999</v>
      </c>
      <c r="I26" s="16">
        <v>26716.486000000001</v>
      </c>
      <c r="J26" s="16">
        <v>29833.286</v>
      </c>
    </row>
    <row r="27" spans="1:10" x14ac:dyDescent="0.4">
      <c r="A27" s="22" t="s">
        <v>78</v>
      </c>
      <c r="B27" s="22" t="s">
        <v>79</v>
      </c>
      <c r="C27" s="24">
        <v>2924</v>
      </c>
      <c r="D27" s="24">
        <v>3752</v>
      </c>
      <c r="E27" s="24">
        <v>3179</v>
      </c>
      <c r="F27" s="24">
        <v>3764</v>
      </c>
      <c r="G27" s="24">
        <v>4173</v>
      </c>
      <c r="H27" s="23">
        <v>4113</v>
      </c>
      <c r="I27" s="24"/>
      <c r="J27" s="24"/>
    </row>
    <row r="28" spans="1:10" x14ac:dyDescent="0.4">
      <c r="A28" s="22" t="s">
        <v>80</v>
      </c>
      <c r="B28" s="22" t="s">
        <v>81</v>
      </c>
      <c r="C28" s="24">
        <v>2617</v>
      </c>
      <c r="D28" s="24">
        <v>2881</v>
      </c>
      <c r="E28" s="24">
        <v>3515</v>
      </c>
      <c r="F28" s="24">
        <v>4247</v>
      </c>
      <c r="G28" s="24">
        <v>4273</v>
      </c>
      <c r="H28" s="23"/>
      <c r="I28" s="24"/>
      <c r="J28" s="24"/>
    </row>
    <row r="29" spans="1:10" x14ac:dyDescent="0.4">
      <c r="A29" s="22" t="s">
        <v>82</v>
      </c>
      <c r="B29" s="22" t="s">
        <v>83</v>
      </c>
      <c r="C29" s="24">
        <v>307</v>
      </c>
      <c r="D29" s="24">
        <v>871</v>
      </c>
      <c r="E29" s="24">
        <v>-336</v>
      </c>
      <c r="F29" s="24">
        <v>-483</v>
      </c>
      <c r="G29" s="24">
        <v>-100</v>
      </c>
      <c r="H29" s="23"/>
      <c r="I29" s="24"/>
      <c r="J29" s="24"/>
    </row>
    <row r="30" spans="1:10" x14ac:dyDescent="0.4">
      <c r="A30" s="17" t="s">
        <v>84</v>
      </c>
      <c r="B30" s="17" t="s">
        <v>85</v>
      </c>
      <c r="C30" s="16">
        <v>10866</v>
      </c>
      <c r="D30" s="16">
        <v>12311</v>
      </c>
      <c r="E30" s="16">
        <v>14957</v>
      </c>
      <c r="F30" s="16">
        <v>17273</v>
      </c>
      <c r="G30" s="16">
        <v>19743</v>
      </c>
      <c r="H30" s="15">
        <v>19886</v>
      </c>
      <c r="I30" s="16">
        <v>21144.2</v>
      </c>
      <c r="J30" s="16">
        <v>24351.933000000001</v>
      </c>
    </row>
    <row r="31" spans="1:10" x14ac:dyDescent="0.4">
      <c r="A31" s="22" t="s">
        <v>86</v>
      </c>
      <c r="B31" s="22" t="s">
        <v>87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3">
        <v>0</v>
      </c>
      <c r="I31" s="24"/>
      <c r="J31" s="24"/>
    </row>
    <row r="32" spans="1:10" x14ac:dyDescent="0.4">
      <c r="A32" s="22" t="s">
        <v>88</v>
      </c>
      <c r="B32" s="22" t="s">
        <v>89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3">
        <v>0</v>
      </c>
      <c r="I32" s="24"/>
      <c r="J32" s="24"/>
    </row>
    <row r="33" spans="1:10" x14ac:dyDescent="0.4">
      <c r="A33" s="22" t="s">
        <v>90</v>
      </c>
      <c r="B33" s="22" t="s">
        <v>91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3">
        <v>0</v>
      </c>
      <c r="I33" s="24"/>
      <c r="J33" s="24"/>
    </row>
    <row r="34" spans="1:10" x14ac:dyDescent="0.4">
      <c r="A34" s="17" t="s">
        <v>92</v>
      </c>
      <c r="B34" s="17" t="s">
        <v>93</v>
      </c>
      <c r="C34" s="16">
        <v>10866</v>
      </c>
      <c r="D34" s="16">
        <v>12311</v>
      </c>
      <c r="E34" s="16">
        <v>14957</v>
      </c>
      <c r="F34" s="16">
        <v>17273</v>
      </c>
      <c r="G34" s="16">
        <v>19743</v>
      </c>
      <c r="H34" s="15">
        <v>19886</v>
      </c>
      <c r="I34" s="16"/>
      <c r="J34" s="16"/>
    </row>
    <row r="35" spans="1:10" x14ac:dyDescent="0.4">
      <c r="A35" s="22" t="s">
        <v>94</v>
      </c>
      <c r="B35" s="22" t="s">
        <v>95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3">
        <v>0</v>
      </c>
      <c r="I35" s="24"/>
      <c r="J35" s="24"/>
    </row>
    <row r="36" spans="1:10" x14ac:dyDescent="0.4">
      <c r="A36" s="17" t="s">
        <v>96</v>
      </c>
      <c r="B36" s="17" t="s">
        <v>97</v>
      </c>
      <c r="C36" s="16">
        <v>10866</v>
      </c>
      <c r="D36" s="16">
        <v>12311</v>
      </c>
      <c r="E36" s="16">
        <v>14957</v>
      </c>
      <c r="F36" s="16">
        <v>17273</v>
      </c>
      <c r="G36" s="16">
        <v>19743</v>
      </c>
      <c r="H36" s="15">
        <v>19886</v>
      </c>
      <c r="I36" s="16">
        <v>21144.2</v>
      </c>
      <c r="J36" s="16">
        <v>24351.933000000001</v>
      </c>
    </row>
    <row r="37" spans="1:10" x14ac:dyDescent="0.4">
      <c r="A37" s="22" t="s">
        <v>98</v>
      </c>
      <c r="B37" s="22" t="s">
        <v>99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3">
        <v>0</v>
      </c>
      <c r="I37" s="24"/>
      <c r="J37" s="24"/>
    </row>
    <row r="38" spans="1:10" x14ac:dyDescent="0.4">
      <c r="A38" s="22" t="s">
        <v>100</v>
      </c>
      <c r="B38" s="22" t="s">
        <v>101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3">
        <v>0</v>
      </c>
      <c r="I38" s="24"/>
      <c r="J38" s="24"/>
    </row>
    <row r="39" spans="1:10" x14ac:dyDescent="0.4">
      <c r="A39" s="17" t="s">
        <v>102</v>
      </c>
      <c r="B39" s="17" t="s">
        <v>103</v>
      </c>
      <c r="C39" s="16">
        <v>10866</v>
      </c>
      <c r="D39" s="16">
        <v>12311</v>
      </c>
      <c r="E39" s="16">
        <v>14957</v>
      </c>
      <c r="F39" s="16">
        <v>17273</v>
      </c>
      <c r="G39" s="16">
        <v>19743</v>
      </c>
      <c r="H39" s="15">
        <v>19886</v>
      </c>
      <c r="I39" s="16">
        <v>21144.2</v>
      </c>
      <c r="J39" s="16">
        <v>24351.933000000001</v>
      </c>
    </row>
    <row r="40" spans="1:10" x14ac:dyDescent="0.4">
      <c r="A40" s="17"/>
      <c r="B40" s="19"/>
      <c r="C40" s="19"/>
      <c r="D40" s="19"/>
      <c r="E40" s="19"/>
      <c r="F40" s="19"/>
      <c r="G40" s="19"/>
      <c r="H40" s="18"/>
      <c r="I40" s="19"/>
      <c r="J40" s="19"/>
    </row>
    <row r="41" spans="1:10" x14ac:dyDescent="0.4">
      <c r="A41" s="17" t="s">
        <v>104</v>
      </c>
      <c r="B41" s="17" t="s">
        <v>103</v>
      </c>
      <c r="C41" s="16">
        <v>11166.69</v>
      </c>
      <c r="D41" s="16">
        <v>12896.37</v>
      </c>
      <c r="E41" s="16">
        <v>15940</v>
      </c>
      <c r="F41" s="16">
        <v>18142</v>
      </c>
      <c r="G41" s="16">
        <v>20302</v>
      </c>
      <c r="H41" s="15">
        <v>21139</v>
      </c>
      <c r="I41" s="16">
        <v>22209.056</v>
      </c>
      <c r="J41" s="16">
        <v>24467.694</v>
      </c>
    </row>
    <row r="42" spans="1:10" x14ac:dyDescent="0.4">
      <c r="A42" s="22" t="s">
        <v>105</v>
      </c>
      <c r="B42" s="22" t="s">
        <v>106</v>
      </c>
      <c r="C42" s="24">
        <v>300.69</v>
      </c>
      <c r="D42" s="24">
        <v>585.37</v>
      </c>
      <c r="E42" s="24">
        <v>983</v>
      </c>
      <c r="F42" s="24">
        <v>869</v>
      </c>
      <c r="G42" s="24">
        <v>559</v>
      </c>
      <c r="H42" s="23">
        <v>1253</v>
      </c>
      <c r="I42" s="24"/>
      <c r="J42" s="24"/>
    </row>
    <row r="43" spans="1:10" x14ac:dyDescent="0.4">
      <c r="A43" s="22" t="s">
        <v>107</v>
      </c>
      <c r="B43" s="22" t="s">
        <v>87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3">
        <v>0</v>
      </c>
      <c r="I43" s="24"/>
      <c r="J43" s="24"/>
    </row>
    <row r="44" spans="1:10" x14ac:dyDescent="0.4">
      <c r="A44" s="17"/>
      <c r="B44" s="19"/>
      <c r="C44" s="19"/>
      <c r="D44" s="19"/>
      <c r="E44" s="19"/>
      <c r="F44" s="19"/>
      <c r="G44" s="19"/>
      <c r="H44" s="18"/>
      <c r="I44" s="19"/>
      <c r="J44" s="19"/>
    </row>
    <row r="45" spans="1:10" x14ac:dyDescent="0.4">
      <c r="A45" s="22" t="s">
        <v>108</v>
      </c>
      <c r="B45" s="22" t="s">
        <v>109</v>
      </c>
      <c r="C45" s="24">
        <v>1953</v>
      </c>
      <c r="D45" s="24">
        <v>1946</v>
      </c>
      <c r="E45" s="24">
        <v>1651</v>
      </c>
      <c r="F45" s="24">
        <v>1618</v>
      </c>
      <c r="G45" s="24">
        <v>1621</v>
      </c>
      <c r="H45" s="23">
        <v>1855</v>
      </c>
      <c r="I45" s="24"/>
      <c r="J45" s="24"/>
    </row>
    <row r="46" spans="1:10" x14ac:dyDescent="0.4">
      <c r="A46" s="17" t="s">
        <v>110</v>
      </c>
      <c r="B46" s="17" t="s">
        <v>111</v>
      </c>
      <c r="C46" s="16">
        <v>5.5636999999999999</v>
      </c>
      <c r="D46" s="16">
        <v>6.3262999999999998</v>
      </c>
      <c r="E46" s="16">
        <v>9.0594000000000001</v>
      </c>
      <c r="F46" s="16">
        <v>10.6755</v>
      </c>
      <c r="G46" s="16">
        <v>12.179500000000001</v>
      </c>
      <c r="H46" s="15">
        <v>11.015285</v>
      </c>
      <c r="I46" s="16">
        <v>10.826000000000001</v>
      </c>
      <c r="J46" s="16">
        <v>12.698</v>
      </c>
    </row>
    <row r="47" spans="1:10" x14ac:dyDescent="0.4">
      <c r="A47" s="17" t="s">
        <v>112</v>
      </c>
      <c r="B47" s="17" t="s">
        <v>113</v>
      </c>
      <c r="C47" s="16">
        <v>5.5636999999999999</v>
      </c>
      <c r="D47" s="16">
        <v>6.3262999999999998</v>
      </c>
      <c r="E47" s="16">
        <v>9.0594000000000001</v>
      </c>
      <c r="F47" s="16">
        <v>10.6755</v>
      </c>
      <c r="G47" s="16">
        <v>12.179500000000001</v>
      </c>
      <c r="H47" s="15">
        <v>11.015285</v>
      </c>
      <c r="I47" s="16">
        <v>10.826000000000001</v>
      </c>
      <c r="J47" s="16">
        <v>12.698</v>
      </c>
    </row>
    <row r="48" spans="1:10" x14ac:dyDescent="0.4">
      <c r="A48" s="17" t="s">
        <v>114</v>
      </c>
      <c r="B48" s="17" t="s">
        <v>115</v>
      </c>
      <c r="C48" s="16">
        <v>5.7176999999999998</v>
      </c>
      <c r="D48" s="16">
        <v>6.6271000000000004</v>
      </c>
      <c r="E48" s="16">
        <v>9.6547999999999998</v>
      </c>
      <c r="F48" s="16">
        <v>11.2126</v>
      </c>
      <c r="G48" s="16">
        <v>12.5244</v>
      </c>
      <c r="H48" s="15">
        <v>11.695592</v>
      </c>
      <c r="I48" s="16">
        <v>11.334</v>
      </c>
      <c r="J48" s="16">
        <v>12.813000000000001</v>
      </c>
    </row>
    <row r="49" spans="1:10" x14ac:dyDescent="0.4">
      <c r="A49" s="17"/>
      <c r="B49" s="19"/>
      <c r="C49" s="19"/>
      <c r="D49" s="19"/>
      <c r="E49" s="19"/>
      <c r="F49" s="19"/>
      <c r="G49" s="19"/>
      <c r="H49" s="18"/>
      <c r="I49" s="19"/>
      <c r="J49" s="19"/>
    </row>
    <row r="50" spans="1:10" x14ac:dyDescent="0.4">
      <c r="A50" s="22" t="s">
        <v>116</v>
      </c>
      <c r="B50" s="22" t="s">
        <v>117</v>
      </c>
      <c r="C50" s="24">
        <v>2479</v>
      </c>
      <c r="D50" s="24">
        <v>2443</v>
      </c>
      <c r="E50" s="24">
        <v>2136</v>
      </c>
      <c r="F50" s="24">
        <v>2085</v>
      </c>
      <c r="G50" s="24">
        <v>2029</v>
      </c>
      <c r="H50" s="23">
        <v>2108</v>
      </c>
      <c r="I50" s="24"/>
      <c r="J50" s="24"/>
    </row>
    <row r="51" spans="1:10" x14ac:dyDescent="0.4">
      <c r="A51" s="17" t="s">
        <v>118</v>
      </c>
      <c r="B51" s="17" t="s">
        <v>119</v>
      </c>
      <c r="C51" s="16">
        <v>4.3832000000000004</v>
      </c>
      <c r="D51" s="16">
        <v>5.0392999999999999</v>
      </c>
      <c r="E51" s="16">
        <v>7.0023</v>
      </c>
      <c r="F51" s="16">
        <v>8.2843999999999998</v>
      </c>
      <c r="G51" s="16">
        <v>9.7303999999999995</v>
      </c>
      <c r="H51" s="15">
        <v>9.4266260000000006</v>
      </c>
      <c r="I51" s="16">
        <v>10.826000000000001</v>
      </c>
      <c r="J51" s="16">
        <v>12.698</v>
      </c>
    </row>
    <row r="52" spans="1:10" x14ac:dyDescent="0.4">
      <c r="A52" s="17" t="s">
        <v>120</v>
      </c>
      <c r="B52" s="17" t="s">
        <v>121</v>
      </c>
      <c r="C52" s="16">
        <v>4.3832000000000004</v>
      </c>
      <c r="D52" s="16">
        <v>5.0392999999999999</v>
      </c>
      <c r="E52" s="16">
        <v>7.0023</v>
      </c>
      <c r="F52" s="16">
        <v>8.2843999999999998</v>
      </c>
      <c r="G52" s="16">
        <v>9.7303999999999995</v>
      </c>
      <c r="H52" s="15">
        <v>9.4266260000000006</v>
      </c>
      <c r="I52" s="16">
        <v>10.826000000000001</v>
      </c>
      <c r="J52" s="16">
        <v>12.698</v>
      </c>
    </row>
    <row r="53" spans="1:10" x14ac:dyDescent="0.4">
      <c r="A53" s="17" t="s">
        <v>122</v>
      </c>
      <c r="B53" s="17" t="s">
        <v>123</v>
      </c>
      <c r="C53" s="16">
        <v>4.5045000000000002</v>
      </c>
      <c r="D53" s="16">
        <v>5.2789000000000001</v>
      </c>
      <c r="E53" s="16">
        <v>7.4625000000000004</v>
      </c>
      <c r="F53" s="16">
        <v>8.7012</v>
      </c>
      <c r="G53" s="16">
        <v>10.0059</v>
      </c>
      <c r="H53" s="15">
        <v>10.021652</v>
      </c>
      <c r="I53" s="16">
        <v>11.334</v>
      </c>
      <c r="J53" s="16">
        <v>12.813000000000001</v>
      </c>
    </row>
    <row r="54" spans="1:10" x14ac:dyDescent="0.4">
      <c r="A54" s="17"/>
      <c r="B54" s="19"/>
      <c r="C54" s="19"/>
      <c r="D54" s="19"/>
      <c r="E54" s="19"/>
      <c r="F54" s="19"/>
      <c r="G54" s="19"/>
      <c r="H54" s="18"/>
      <c r="I54" s="19"/>
      <c r="J54" s="19"/>
    </row>
    <row r="55" spans="1:10" x14ac:dyDescent="0.4">
      <c r="A55" s="17" t="s">
        <v>124</v>
      </c>
      <c r="B55" s="19"/>
      <c r="C55" s="19"/>
      <c r="D55" s="19"/>
      <c r="E55" s="19"/>
      <c r="F55" s="19"/>
      <c r="G55" s="19"/>
      <c r="H55" s="18"/>
      <c r="I55" s="19"/>
      <c r="J55" s="19"/>
    </row>
    <row r="56" spans="1:10" x14ac:dyDescent="0.4">
      <c r="A56" s="22" t="s">
        <v>125</v>
      </c>
      <c r="B56" s="22" t="s">
        <v>126</v>
      </c>
      <c r="C56" s="21" t="s">
        <v>127</v>
      </c>
      <c r="D56" s="21" t="s">
        <v>127</v>
      </c>
      <c r="E56" s="21" t="s">
        <v>127</v>
      </c>
      <c r="F56" s="21" t="s">
        <v>127</v>
      </c>
      <c r="G56" s="21" t="s">
        <v>127</v>
      </c>
      <c r="H56" s="20"/>
      <c r="I56" s="21"/>
      <c r="J56" s="21"/>
    </row>
    <row r="57" spans="1:10" x14ac:dyDescent="0.4">
      <c r="A57" s="22" t="s">
        <v>128</v>
      </c>
      <c r="B57" s="22" t="s">
        <v>128</v>
      </c>
      <c r="C57" s="24">
        <v>14962</v>
      </c>
      <c r="D57" s="24">
        <v>16719</v>
      </c>
      <c r="E57" s="24">
        <v>19791</v>
      </c>
      <c r="F57" s="24">
        <v>22072</v>
      </c>
      <c r="G57" s="24">
        <v>24808</v>
      </c>
      <c r="H57" s="23">
        <v>25081</v>
      </c>
      <c r="I57" s="24">
        <v>27639.345000000001</v>
      </c>
      <c r="J57" s="24">
        <v>31046.31</v>
      </c>
    </row>
    <row r="58" spans="1:10" x14ac:dyDescent="0.4">
      <c r="A58" s="22" t="s">
        <v>129</v>
      </c>
      <c r="B58" s="22" t="s">
        <v>130</v>
      </c>
      <c r="C58" s="24">
        <v>68.488500000000002</v>
      </c>
      <c r="D58" s="24">
        <v>69.359099999999998</v>
      </c>
      <c r="E58" s="24">
        <v>67.522999999999996</v>
      </c>
      <c r="F58" s="24">
        <v>67.595600000000005</v>
      </c>
      <c r="G58" s="24">
        <v>69.053100000000001</v>
      </c>
      <c r="H58" s="23">
        <v>66.6675526966322</v>
      </c>
      <c r="I58" s="24">
        <v>69.817315028672098</v>
      </c>
      <c r="J58" s="24">
        <v>70.815776783674195</v>
      </c>
    </row>
    <row r="59" spans="1:10" x14ac:dyDescent="0.4">
      <c r="A59" s="22" t="s">
        <v>131</v>
      </c>
      <c r="B59" s="22" t="s">
        <v>131</v>
      </c>
      <c r="C59" s="24">
        <v>14275</v>
      </c>
      <c r="D59" s="24">
        <v>15998</v>
      </c>
      <c r="E59" s="24">
        <v>19020</v>
      </c>
      <c r="F59" s="24">
        <v>21205</v>
      </c>
      <c r="G59" s="24">
        <v>23853</v>
      </c>
      <c r="H59" s="23">
        <v>17881</v>
      </c>
      <c r="I59" s="24"/>
      <c r="J59" s="24"/>
    </row>
    <row r="60" spans="1:10" x14ac:dyDescent="0.4">
      <c r="A60" s="22" t="s">
        <v>132</v>
      </c>
      <c r="B60" s="22" t="s">
        <v>132</v>
      </c>
      <c r="C60" s="24">
        <v>14081</v>
      </c>
      <c r="D60" s="24">
        <v>15804</v>
      </c>
      <c r="E60" s="24">
        <v>18813</v>
      </c>
      <c r="F60" s="24">
        <v>21000</v>
      </c>
      <c r="G60" s="24">
        <v>23595</v>
      </c>
      <c r="H60" s="23">
        <v>23956</v>
      </c>
      <c r="I60" s="24">
        <v>26619.649000000001</v>
      </c>
      <c r="J60" s="24">
        <v>29903.359</v>
      </c>
    </row>
    <row r="61" spans="1:10" x14ac:dyDescent="0.4">
      <c r="A61" s="22" t="s">
        <v>135</v>
      </c>
      <c r="B61" s="22" t="s">
        <v>136</v>
      </c>
      <c r="C61" s="24">
        <v>64.455699999999993</v>
      </c>
      <c r="D61" s="24">
        <v>65.563199999999995</v>
      </c>
      <c r="E61" s="24">
        <v>64.186300000000003</v>
      </c>
      <c r="F61" s="24">
        <v>64.312600000000003</v>
      </c>
      <c r="G61" s="24">
        <v>65.676699999999997</v>
      </c>
      <c r="H61" s="23">
        <v>63.677201562956903</v>
      </c>
      <c r="I61" s="24">
        <v>67.241550774292094</v>
      </c>
      <c r="J61" s="24">
        <v>68.208737077806504</v>
      </c>
    </row>
    <row r="62" spans="1:10" x14ac:dyDescent="0.4">
      <c r="A62" s="22" t="s">
        <v>137</v>
      </c>
      <c r="B62" s="22" t="s">
        <v>138</v>
      </c>
      <c r="C62" s="24">
        <v>49.739100000000001</v>
      </c>
      <c r="D62" s="24">
        <v>51.072400000000002</v>
      </c>
      <c r="E62" s="24">
        <v>51.0304</v>
      </c>
      <c r="F62" s="24">
        <v>52.898699999999998</v>
      </c>
      <c r="G62" s="24">
        <v>54.954599999999999</v>
      </c>
      <c r="H62" s="23">
        <v>52.858775683793603</v>
      </c>
      <c r="I62" s="24">
        <v>56.100340266436199</v>
      </c>
      <c r="J62" s="24">
        <v>55.810135140544702</v>
      </c>
    </row>
    <row r="63" spans="1:10" x14ac:dyDescent="0.4">
      <c r="A63" s="22" t="s">
        <v>139</v>
      </c>
      <c r="B63" s="22" t="s">
        <v>140</v>
      </c>
      <c r="C63" s="24" t="s">
        <v>155</v>
      </c>
      <c r="D63" s="24" t="s">
        <v>155</v>
      </c>
      <c r="E63" s="24" t="s">
        <v>155</v>
      </c>
      <c r="F63" s="24" t="s">
        <v>155</v>
      </c>
      <c r="G63" s="24" t="s">
        <v>155</v>
      </c>
      <c r="H63" s="23"/>
      <c r="I63" s="24">
        <v>26884.244999999999</v>
      </c>
      <c r="J63" s="24">
        <v>29630.634999999998</v>
      </c>
    </row>
    <row r="64" spans="1:10" x14ac:dyDescent="0.4">
      <c r="A64" s="22" t="s">
        <v>141</v>
      </c>
      <c r="B64" s="22" t="s">
        <v>142</v>
      </c>
      <c r="C64" s="24">
        <v>1065658.5366</v>
      </c>
      <c r="D64" s="24">
        <v>1121162.7907</v>
      </c>
      <c r="E64" s="24">
        <v>1106037.7357999999</v>
      </c>
      <c r="F64" s="24">
        <v>1133784.7222</v>
      </c>
      <c r="G64" s="24">
        <v>1136898.7342000001</v>
      </c>
      <c r="H64" s="23"/>
      <c r="I64" s="24"/>
      <c r="J64" s="24"/>
    </row>
    <row r="65" spans="1:10" x14ac:dyDescent="0.4">
      <c r="A65" s="22" t="s">
        <v>143</v>
      </c>
      <c r="B65" s="22" t="s">
        <v>144</v>
      </c>
      <c r="C65" s="24">
        <v>1.22</v>
      </c>
      <c r="D65" s="24">
        <v>1.335</v>
      </c>
      <c r="E65" s="24">
        <v>1.575</v>
      </c>
      <c r="F65" s="24">
        <v>1.87</v>
      </c>
      <c r="G65" s="24">
        <v>2.08</v>
      </c>
      <c r="H65" s="23">
        <v>2.2200000000000002</v>
      </c>
      <c r="I65" s="24">
        <v>2.3730000000000002</v>
      </c>
      <c r="J65" s="24">
        <v>2.63</v>
      </c>
    </row>
    <row r="66" spans="1:10" x14ac:dyDescent="0.4">
      <c r="A66" s="22" t="s">
        <v>145</v>
      </c>
      <c r="B66" s="22" t="s">
        <v>146</v>
      </c>
      <c r="C66" s="24">
        <v>2382.66</v>
      </c>
      <c r="D66" s="24">
        <v>2597.91</v>
      </c>
      <c r="E66" s="24">
        <v>2600.3249999999998</v>
      </c>
      <c r="F66" s="24">
        <v>3025.66</v>
      </c>
      <c r="G66" s="24">
        <v>3371.68</v>
      </c>
      <c r="H66" s="23">
        <v>4024.61</v>
      </c>
      <c r="I66" s="24"/>
      <c r="J66" s="24"/>
    </row>
    <row r="67" spans="1:10" x14ac:dyDescent="0.4">
      <c r="A67" s="22" t="s">
        <v>147</v>
      </c>
      <c r="B67" s="22" t="s">
        <v>148</v>
      </c>
      <c r="C67" s="24">
        <v>3785</v>
      </c>
      <c r="D67" s="24">
        <v>4240</v>
      </c>
      <c r="E67" s="24">
        <v>4990</v>
      </c>
      <c r="F67" s="24">
        <v>5831</v>
      </c>
      <c r="G67" s="24">
        <v>6264</v>
      </c>
      <c r="H67" s="23">
        <v>6652</v>
      </c>
      <c r="I67" s="24"/>
      <c r="J67" s="24"/>
    </row>
    <row r="68" spans="1:10" x14ac:dyDescent="0.4">
      <c r="A68" s="22" t="s">
        <v>149</v>
      </c>
      <c r="B68" s="22" t="s">
        <v>150</v>
      </c>
      <c r="C68" s="24">
        <v>687</v>
      </c>
      <c r="D68" s="24">
        <v>721</v>
      </c>
      <c r="E68" s="24">
        <v>771</v>
      </c>
      <c r="F68" s="24">
        <v>867</v>
      </c>
      <c r="G68" s="24">
        <v>955</v>
      </c>
      <c r="H68" s="23">
        <v>684</v>
      </c>
      <c r="I68" s="24"/>
      <c r="J68" s="24"/>
    </row>
    <row r="69" spans="1:10" x14ac:dyDescent="0.4">
      <c r="A69" s="22" t="s">
        <v>151</v>
      </c>
      <c r="B69" s="22" t="s">
        <v>152</v>
      </c>
      <c r="C69" s="24">
        <v>114</v>
      </c>
      <c r="D69" s="24">
        <v>111</v>
      </c>
      <c r="E69" s="24">
        <v>117</v>
      </c>
      <c r="F69" s="24">
        <v>129</v>
      </c>
      <c r="G69" s="24">
        <v>179</v>
      </c>
      <c r="H69" s="23"/>
      <c r="I69" s="24"/>
      <c r="J69" s="24"/>
    </row>
    <row r="70" spans="1:10" x14ac:dyDescent="0.4">
      <c r="A70" s="25" t="s">
        <v>153</v>
      </c>
      <c r="B70" s="25"/>
      <c r="C70" s="25" t="s">
        <v>154</v>
      </c>
      <c r="D70" s="25"/>
      <c r="E70" s="25"/>
      <c r="F70" s="25"/>
      <c r="G70" s="25"/>
      <c r="H70" s="25"/>
      <c r="I70" s="25"/>
      <c r="J70" s="25"/>
    </row>
  </sheetData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8123-D2FC-49E5-9D66-BFE6F570CA61}">
  <dimension ref="A1:G95"/>
  <sheetViews>
    <sheetView workbookViewId="0">
      <selection activeCell="C8" sqref="C8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327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17" t="s">
        <v>326</v>
      </c>
      <c r="B6" s="19"/>
      <c r="C6" s="19"/>
      <c r="D6" s="19"/>
      <c r="E6" s="19"/>
      <c r="F6" s="19"/>
      <c r="G6" s="19"/>
    </row>
    <row r="7" spans="1:7" x14ac:dyDescent="0.4">
      <c r="A7" s="22" t="s">
        <v>325</v>
      </c>
      <c r="B7" s="22" t="s">
        <v>324</v>
      </c>
      <c r="C7" s="24">
        <v>20041</v>
      </c>
      <c r="D7" s="24">
        <v>18512</v>
      </c>
      <c r="E7" s="24">
        <v>18522</v>
      </c>
      <c r="F7" s="24">
        <v>20128</v>
      </c>
      <c r="G7" s="24">
        <v>15175</v>
      </c>
    </row>
    <row r="8" spans="1:7" x14ac:dyDescent="0.4">
      <c r="A8" s="22" t="s">
        <v>323</v>
      </c>
      <c r="B8" s="22" t="s">
        <v>322</v>
      </c>
      <c r="C8" s="24">
        <v>16289</v>
      </c>
      <c r="D8" s="24">
        <v>16487</v>
      </c>
      <c r="E8" s="24">
        <v>15689</v>
      </c>
      <c r="F8" s="24">
        <v>16286</v>
      </c>
      <c r="G8" s="24">
        <v>11975</v>
      </c>
    </row>
    <row r="9" spans="1:7" x14ac:dyDescent="0.4">
      <c r="A9" s="22" t="s">
        <v>321</v>
      </c>
      <c r="B9" s="22" t="s">
        <v>320</v>
      </c>
      <c r="C9" s="24">
        <v>3752</v>
      </c>
      <c r="D9" s="24">
        <v>2025</v>
      </c>
      <c r="E9" s="24">
        <v>2833</v>
      </c>
      <c r="F9" s="24">
        <v>3842</v>
      </c>
      <c r="G9" s="24">
        <v>3200</v>
      </c>
    </row>
    <row r="10" spans="1:7" x14ac:dyDescent="0.4">
      <c r="A10" s="22" t="s">
        <v>319</v>
      </c>
      <c r="B10" s="22" t="s">
        <v>318</v>
      </c>
      <c r="C10" s="24">
        <v>1618</v>
      </c>
      <c r="D10" s="24">
        <v>1968</v>
      </c>
      <c r="E10" s="24">
        <v>2020</v>
      </c>
      <c r="F10" s="24">
        <v>2291</v>
      </c>
      <c r="G10" s="24">
        <v>2561</v>
      </c>
    </row>
    <row r="11" spans="1:7" x14ac:dyDescent="0.4">
      <c r="A11" s="22" t="s">
        <v>317</v>
      </c>
      <c r="B11" s="22" t="s">
        <v>316</v>
      </c>
      <c r="C11" s="24">
        <v>1618</v>
      </c>
      <c r="D11" s="24">
        <v>1968</v>
      </c>
      <c r="E11" s="24">
        <v>2020</v>
      </c>
      <c r="F11" s="24">
        <v>2291</v>
      </c>
      <c r="G11" s="24">
        <v>2561</v>
      </c>
    </row>
    <row r="12" spans="1:7" x14ac:dyDescent="0.4">
      <c r="A12" s="22" t="s">
        <v>315</v>
      </c>
      <c r="B12" s="22" t="s">
        <v>314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</row>
    <row r="13" spans="1:7" x14ac:dyDescent="0.4">
      <c r="A13" s="22" t="s">
        <v>313</v>
      </c>
      <c r="B13" s="22" t="s">
        <v>312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</row>
    <row r="14" spans="1:7" x14ac:dyDescent="0.4">
      <c r="A14" s="22" t="s">
        <v>311</v>
      </c>
      <c r="B14" s="22" t="s">
        <v>310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</row>
    <row r="15" spans="1:7" x14ac:dyDescent="0.4">
      <c r="A15" s="22" t="s">
        <v>309</v>
      </c>
      <c r="B15" s="22" t="s">
        <v>308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</row>
    <row r="16" spans="1:7" x14ac:dyDescent="0.4">
      <c r="A16" s="22" t="s">
        <v>307</v>
      </c>
      <c r="B16" s="22" t="s">
        <v>306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</row>
    <row r="17" spans="1:7" x14ac:dyDescent="0.4">
      <c r="A17" s="22" t="s">
        <v>305</v>
      </c>
      <c r="B17" s="22" t="s">
        <v>304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</row>
    <row r="18" spans="1:7" x14ac:dyDescent="0.4">
      <c r="A18" s="22" t="s">
        <v>303</v>
      </c>
      <c r="B18" s="22" t="s">
        <v>302</v>
      </c>
      <c r="C18" s="24">
        <v>5986</v>
      </c>
      <c r="D18" s="24">
        <v>7127</v>
      </c>
      <c r="E18" s="24">
        <v>9663</v>
      </c>
      <c r="F18" s="24">
        <v>11113</v>
      </c>
      <c r="G18" s="24">
        <v>16297</v>
      </c>
    </row>
    <row r="19" spans="1:7" x14ac:dyDescent="0.4">
      <c r="A19" s="22" t="s">
        <v>274</v>
      </c>
      <c r="B19" s="22" t="s">
        <v>301</v>
      </c>
      <c r="C19" s="24">
        <v>512</v>
      </c>
      <c r="D19" s="24">
        <v>410</v>
      </c>
      <c r="E19" s="24">
        <v>1131</v>
      </c>
      <c r="F19" s="24">
        <v>293</v>
      </c>
      <c r="G19" s="24">
        <v>103</v>
      </c>
    </row>
    <row r="20" spans="1:7" x14ac:dyDescent="0.4">
      <c r="A20" s="22" t="s">
        <v>300</v>
      </c>
      <c r="B20" s="22" t="s">
        <v>299</v>
      </c>
      <c r="C20" s="24">
        <v>93</v>
      </c>
      <c r="D20" s="24">
        <v>83</v>
      </c>
      <c r="E20" s="24">
        <v>190</v>
      </c>
      <c r="F20" s="24">
        <v>206</v>
      </c>
      <c r="G20" s="24">
        <v>832</v>
      </c>
    </row>
    <row r="21" spans="1:7" x14ac:dyDescent="0.4">
      <c r="A21" s="22" t="s">
        <v>298</v>
      </c>
      <c r="B21" s="22" t="s">
        <v>297</v>
      </c>
      <c r="C21" s="24">
        <v>5381</v>
      </c>
      <c r="D21" s="24">
        <v>6634</v>
      </c>
      <c r="E21" s="24">
        <v>8342</v>
      </c>
      <c r="F21" s="24">
        <v>10614</v>
      </c>
      <c r="G21" s="24">
        <v>15362</v>
      </c>
    </row>
    <row r="22" spans="1:7" x14ac:dyDescent="0.4">
      <c r="A22" s="17" t="s">
        <v>296</v>
      </c>
      <c r="B22" s="17" t="s">
        <v>295</v>
      </c>
      <c r="C22" s="16">
        <v>27645</v>
      </c>
      <c r="D22" s="16">
        <v>27607</v>
      </c>
      <c r="E22" s="16">
        <v>30205</v>
      </c>
      <c r="F22" s="16">
        <v>33532</v>
      </c>
      <c r="G22" s="16">
        <v>34033</v>
      </c>
    </row>
    <row r="23" spans="1:7" x14ac:dyDescent="0.4">
      <c r="A23" s="22" t="s">
        <v>294</v>
      </c>
      <c r="B23" s="22" t="s">
        <v>293</v>
      </c>
      <c r="C23" s="24">
        <v>2737</v>
      </c>
      <c r="D23" s="24">
        <v>3230</v>
      </c>
      <c r="E23" s="24">
        <v>3703</v>
      </c>
      <c r="F23" s="24">
        <v>3913</v>
      </c>
      <c r="G23" s="24">
        <v>4697</v>
      </c>
    </row>
    <row r="24" spans="1:7" x14ac:dyDescent="0.4">
      <c r="A24" s="22" t="s">
        <v>292</v>
      </c>
      <c r="B24" s="22" t="s">
        <v>291</v>
      </c>
      <c r="C24" s="24">
        <v>7161</v>
      </c>
      <c r="D24" s="24">
        <v>8189</v>
      </c>
      <c r="E24" s="24">
        <v>9361</v>
      </c>
      <c r="F24" s="24">
        <v>9268</v>
      </c>
      <c r="G24" s="24">
        <v>10170</v>
      </c>
    </row>
    <row r="25" spans="1:7" x14ac:dyDescent="0.4">
      <c r="A25" s="22" t="s">
        <v>290</v>
      </c>
      <c r="B25" s="22" t="s">
        <v>289</v>
      </c>
      <c r="C25" s="24">
        <v>4424</v>
      </c>
      <c r="D25" s="24">
        <v>4959</v>
      </c>
      <c r="E25" s="24">
        <v>5658</v>
      </c>
      <c r="F25" s="24">
        <v>5355</v>
      </c>
      <c r="G25" s="24">
        <v>5473</v>
      </c>
    </row>
    <row r="26" spans="1:7" x14ac:dyDescent="0.4">
      <c r="A26" s="22" t="s">
        <v>288</v>
      </c>
      <c r="B26" s="22" t="s">
        <v>287</v>
      </c>
      <c r="C26" s="24">
        <v>231</v>
      </c>
      <c r="D26" s="24">
        <v>1705</v>
      </c>
      <c r="E26" s="24">
        <v>2136</v>
      </c>
      <c r="F26" s="24">
        <v>1921</v>
      </c>
      <c r="G26" s="24">
        <v>2545</v>
      </c>
    </row>
    <row r="27" spans="1:7" x14ac:dyDescent="0.4">
      <c r="A27" s="22" t="s">
        <v>286</v>
      </c>
      <c r="B27" s="22" t="s">
        <v>285</v>
      </c>
      <c r="C27" s="24">
        <v>231</v>
      </c>
      <c r="D27" s="24">
        <v>1705</v>
      </c>
      <c r="E27" s="24">
        <v>2136</v>
      </c>
      <c r="F27" s="24">
        <v>1921</v>
      </c>
      <c r="G27" s="24">
        <v>2545</v>
      </c>
    </row>
    <row r="28" spans="1:7" x14ac:dyDescent="0.4">
      <c r="A28" s="22" t="s">
        <v>284</v>
      </c>
      <c r="B28" s="22" t="s">
        <v>283</v>
      </c>
      <c r="C28" s="24">
        <v>50306</v>
      </c>
      <c r="D28" s="24">
        <v>50354</v>
      </c>
      <c r="E28" s="24">
        <v>49457</v>
      </c>
      <c r="F28" s="24">
        <v>51133</v>
      </c>
      <c r="G28" s="24">
        <v>53236</v>
      </c>
    </row>
    <row r="29" spans="1:7" x14ac:dyDescent="0.4">
      <c r="A29" s="22" t="s">
        <v>282</v>
      </c>
      <c r="B29" s="22" t="s">
        <v>281</v>
      </c>
      <c r="C29" s="24">
        <v>43718</v>
      </c>
      <c r="D29" s="24">
        <v>43622</v>
      </c>
      <c r="E29" s="24">
        <v>42852</v>
      </c>
      <c r="F29" s="24">
        <v>44101</v>
      </c>
      <c r="G29" s="24">
        <v>45830</v>
      </c>
    </row>
    <row r="30" spans="1:7" x14ac:dyDescent="0.4">
      <c r="A30" s="12" t="s">
        <v>280</v>
      </c>
      <c r="B30" s="12" t="s">
        <v>279</v>
      </c>
      <c r="C30" s="14">
        <v>15910</v>
      </c>
      <c r="D30" s="14">
        <v>15958</v>
      </c>
      <c r="E30" s="14">
        <v>17787</v>
      </c>
      <c r="F30" s="14">
        <v>17997</v>
      </c>
      <c r="G30" s="14">
        <v>18941</v>
      </c>
    </row>
    <row r="31" spans="1:7" x14ac:dyDescent="0.4">
      <c r="A31" s="12" t="s">
        <v>278</v>
      </c>
      <c r="B31" s="12" t="s">
        <v>277</v>
      </c>
      <c r="C31" s="14">
        <v>27808</v>
      </c>
      <c r="D31" s="14">
        <v>27664</v>
      </c>
      <c r="E31" s="14">
        <v>25065</v>
      </c>
      <c r="F31" s="14">
        <v>26104</v>
      </c>
      <c r="G31" s="14">
        <v>26889</v>
      </c>
    </row>
    <row r="32" spans="1:7" x14ac:dyDescent="0.4">
      <c r="A32" s="22" t="s">
        <v>276</v>
      </c>
      <c r="B32" s="22" t="s">
        <v>275</v>
      </c>
      <c r="C32" s="24">
        <v>798</v>
      </c>
      <c r="D32" s="24">
        <v>1046</v>
      </c>
      <c r="E32" s="24">
        <v>1167</v>
      </c>
      <c r="F32" s="24">
        <v>1553</v>
      </c>
      <c r="G32" s="24">
        <v>1641</v>
      </c>
    </row>
    <row r="33" spans="1:7" x14ac:dyDescent="0.4">
      <c r="A33" s="22" t="s">
        <v>274</v>
      </c>
      <c r="B33" s="22" t="s">
        <v>273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</row>
    <row r="34" spans="1:7" x14ac:dyDescent="0.4">
      <c r="A34" s="22" t="s">
        <v>272</v>
      </c>
      <c r="B34" s="22" t="s">
        <v>271</v>
      </c>
      <c r="C34" s="24">
        <v>5790</v>
      </c>
      <c r="D34" s="24">
        <v>5686</v>
      </c>
      <c r="E34" s="24">
        <v>5438</v>
      </c>
      <c r="F34" s="24">
        <v>5479</v>
      </c>
      <c r="G34" s="24">
        <v>5765</v>
      </c>
    </row>
    <row r="35" spans="1:7" x14ac:dyDescent="0.4">
      <c r="A35" s="17" t="s">
        <v>270</v>
      </c>
      <c r="B35" s="17" t="s">
        <v>269</v>
      </c>
      <c r="C35" s="16">
        <v>53274</v>
      </c>
      <c r="D35" s="16">
        <v>55289</v>
      </c>
      <c r="E35" s="16">
        <v>55296</v>
      </c>
      <c r="F35" s="16">
        <v>56967</v>
      </c>
      <c r="G35" s="16">
        <v>60478</v>
      </c>
    </row>
    <row r="36" spans="1:7" x14ac:dyDescent="0.4">
      <c r="A36" s="17" t="s">
        <v>268</v>
      </c>
      <c r="B36" s="17" t="s">
        <v>267</v>
      </c>
      <c r="C36" s="16">
        <v>80919</v>
      </c>
      <c r="D36" s="16">
        <v>82896</v>
      </c>
      <c r="E36" s="16">
        <v>85501</v>
      </c>
      <c r="F36" s="16">
        <v>90499</v>
      </c>
      <c r="G36" s="16">
        <v>94511</v>
      </c>
    </row>
    <row r="37" spans="1:7" x14ac:dyDescent="0.4">
      <c r="A37" s="17"/>
      <c r="B37" s="19"/>
      <c r="C37" s="19"/>
      <c r="D37" s="19"/>
      <c r="E37" s="19"/>
      <c r="F37" s="19"/>
      <c r="G37" s="19"/>
    </row>
    <row r="38" spans="1:7" x14ac:dyDescent="0.4">
      <c r="A38" s="17" t="s">
        <v>266</v>
      </c>
      <c r="B38" s="19"/>
      <c r="C38" s="19"/>
      <c r="D38" s="19"/>
      <c r="E38" s="19"/>
      <c r="F38" s="19"/>
      <c r="G38" s="19"/>
    </row>
    <row r="39" spans="1:7" x14ac:dyDescent="0.4">
      <c r="A39" s="22" t="s">
        <v>265</v>
      </c>
      <c r="B39" s="22" t="s">
        <v>264</v>
      </c>
      <c r="C39" s="24">
        <v>5304</v>
      </c>
      <c r="D39" s="24">
        <v>4691</v>
      </c>
      <c r="E39" s="24">
        <v>5920</v>
      </c>
      <c r="F39" s="24">
        <v>6399</v>
      </c>
      <c r="G39" s="24">
        <v>13542</v>
      </c>
    </row>
    <row r="40" spans="1:7" x14ac:dyDescent="0.4">
      <c r="A40" s="22" t="s">
        <v>263</v>
      </c>
      <c r="B40" s="22" t="s">
        <v>262</v>
      </c>
      <c r="C40" s="24">
        <v>174</v>
      </c>
      <c r="D40" s="24">
        <v>266</v>
      </c>
      <c r="E40" s="24">
        <v>340</v>
      </c>
      <c r="F40" s="24">
        <v>375</v>
      </c>
      <c r="G40" s="24">
        <v>479</v>
      </c>
    </row>
    <row r="41" spans="1:7" x14ac:dyDescent="0.4">
      <c r="A41" s="22" t="s">
        <v>261</v>
      </c>
      <c r="B41" s="22" t="s">
        <v>260</v>
      </c>
      <c r="C41" s="24" t="s">
        <v>155</v>
      </c>
      <c r="D41" s="24">
        <v>148</v>
      </c>
      <c r="E41" s="24" t="s">
        <v>155</v>
      </c>
      <c r="F41" s="24" t="s">
        <v>155</v>
      </c>
      <c r="G41" s="24" t="s">
        <v>155</v>
      </c>
    </row>
    <row r="42" spans="1:7" x14ac:dyDescent="0.4">
      <c r="A42" s="22" t="s">
        <v>259</v>
      </c>
      <c r="B42" s="22" t="s">
        <v>258</v>
      </c>
      <c r="C42" s="24">
        <v>5130</v>
      </c>
      <c r="D42" s="24">
        <v>4277</v>
      </c>
      <c r="E42" s="24">
        <v>5580</v>
      </c>
      <c r="F42" s="24">
        <v>6024</v>
      </c>
      <c r="G42" s="24">
        <v>13063</v>
      </c>
    </row>
    <row r="43" spans="1:7" x14ac:dyDescent="0.4">
      <c r="A43" s="22" t="s">
        <v>257</v>
      </c>
      <c r="B43" s="22" t="s">
        <v>256</v>
      </c>
      <c r="C43" s="24">
        <v>3107</v>
      </c>
      <c r="D43" s="24">
        <v>1102</v>
      </c>
      <c r="E43" s="24">
        <v>2348</v>
      </c>
      <c r="F43" s="24">
        <v>106</v>
      </c>
      <c r="G43" s="24">
        <v>150</v>
      </c>
    </row>
    <row r="44" spans="1:7" x14ac:dyDescent="0.4">
      <c r="A44" s="22" t="s">
        <v>255</v>
      </c>
      <c r="B44" s="22" t="s">
        <v>254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</row>
    <row r="45" spans="1:7" x14ac:dyDescent="0.4">
      <c r="A45" s="22" t="s">
        <v>253</v>
      </c>
      <c r="B45" s="22" t="s">
        <v>252</v>
      </c>
      <c r="C45" s="24">
        <v>108</v>
      </c>
      <c r="D45" s="24">
        <v>103</v>
      </c>
      <c r="E45" s="24">
        <v>98</v>
      </c>
      <c r="F45" s="24">
        <v>106</v>
      </c>
      <c r="G45" s="24">
        <v>150</v>
      </c>
    </row>
    <row r="46" spans="1:7" x14ac:dyDescent="0.4">
      <c r="A46" s="12" t="s">
        <v>251</v>
      </c>
      <c r="B46" s="12" t="s">
        <v>250</v>
      </c>
      <c r="C46" s="14">
        <v>0</v>
      </c>
      <c r="D46" s="14" t="s">
        <v>155</v>
      </c>
      <c r="E46" s="14" t="s">
        <v>155</v>
      </c>
      <c r="F46" s="14" t="s">
        <v>155</v>
      </c>
      <c r="G46" s="14" t="s">
        <v>155</v>
      </c>
    </row>
    <row r="47" spans="1:7" x14ac:dyDescent="0.4">
      <c r="A47" s="12" t="s">
        <v>249</v>
      </c>
      <c r="B47" s="12" t="s">
        <v>248</v>
      </c>
      <c r="C47" s="14">
        <v>108</v>
      </c>
      <c r="D47" s="14">
        <v>103</v>
      </c>
      <c r="E47" s="14">
        <v>98</v>
      </c>
      <c r="F47" s="14">
        <v>106</v>
      </c>
      <c r="G47" s="14">
        <v>150</v>
      </c>
    </row>
    <row r="48" spans="1:7" x14ac:dyDescent="0.4">
      <c r="A48" s="22" t="s">
        <v>247</v>
      </c>
      <c r="B48" s="22" t="s">
        <v>246</v>
      </c>
      <c r="C48" s="24">
        <v>2999</v>
      </c>
      <c r="D48" s="24">
        <v>999</v>
      </c>
      <c r="E48" s="24">
        <v>2250</v>
      </c>
      <c r="F48" s="24">
        <v>0</v>
      </c>
      <c r="G48" s="24">
        <v>0</v>
      </c>
    </row>
    <row r="49" spans="1:7" x14ac:dyDescent="0.4">
      <c r="A49" s="22" t="s">
        <v>245</v>
      </c>
      <c r="B49" s="22" t="s">
        <v>244</v>
      </c>
      <c r="C49" s="24">
        <v>6099</v>
      </c>
      <c r="D49" s="24">
        <v>7612</v>
      </c>
      <c r="E49" s="24">
        <v>8859</v>
      </c>
      <c r="F49" s="24">
        <v>11578</v>
      </c>
      <c r="G49" s="24">
        <v>12825</v>
      </c>
    </row>
    <row r="50" spans="1:7" x14ac:dyDescent="0.4">
      <c r="A50" s="22" t="s">
        <v>221</v>
      </c>
      <c r="B50" s="22" t="s">
        <v>243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</row>
    <row r="51" spans="1:7" x14ac:dyDescent="0.4">
      <c r="A51" s="22" t="s">
        <v>217</v>
      </c>
      <c r="B51" s="22" t="s">
        <v>242</v>
      </c>
      <c r="C51" s="24">
        <v>181</v>
      </c>
      <c r="D51" s="24">
        <v>109</v>
      </c>
      <c r="E51" s="24">
        <v>418</v>
      </c>
      <c r="F51" s="24">
        <v>396</v>
      </c>
      <c r="G51" s="24">
        <v>226</v>
      </c>
    </row>
    <row r="52" spans="1:7" x14ac:dyDescent="0.4">
      <c r="A52" s="22" t="s">
        <v>241</v>
      </c>
      <c r="B52" s="22" t="s">
        <v>240</v>
      </c>
      <c r="C52" s="24">
        <v>5918</v>
      </c>
      <c r="D52" s="24">
        <v>7503</v>
      </c>
      <c r="E52" s="24">
        <v>8441</v>
      </c>
      <c r="F52" s="24">
        <v>11182</v>
      </c>
      <c r="G52" s="24">
        <v>12599</v>
      </c>
    </row>
    <row r="53" spans="1:7" x14ac:dyDescent="0.4">
      <c r="A53" s="17" t="s">
        <v>239</v>
      </c>
      <c r="B53" s="17" t="s">
        <v>238</v>
      </c>
      <c r="C53" s="16">
        <v>14510</v>
      </c>
      <c r="D53" s="16">
        <v>13405</v>
      </c>
      <c r="E53" s="16">
        <v>17127</v>
      </c>
      <c r="F53" s="16">
        <v>18083</v>
      </c>
      <c r="G53" s="16">
        <v>26517</v>
      </c>
    </row>
    <row r="54" spans="1:7" x14ac:dyDescent="0.4">
      <c r="A54" s="22" t="s">
        <v>237</v>
      </c>
      <c r="B54" s="22" t="s">
        <v>236</v>
      </c>
      <c r="C54" s="24">
        <v>21590</v>
      </c>
      <c r="D54" s="24">
        <v>20449</v>
      </c>
      <c r="E54" s="24">
        <v>20622</v>
      </c>
      <c r="F54" s="24">
        <v>20875</v>
      </c>
      <c r="G54" s="24">
        <v>21521</v>
      </c>
    </row>
    <row r="55" spans="1:7" x14ac:dyDescent="0.4">
      <c r="A55" s="22" t="s">
        <v>235</v>
      </c>
      <c r="B55" s="22" t="s">
        <v>234</v>
      </c>
      <c r="C55" s="24">
        <v>21071</v>
      </c>
      <c r="D55" s="24">
        <v>19978</v>
      </c>
      <c r="E55" s="24">
        <v>20200</v>
      </c>
      <c r="F55" s="24">
        <v>20463</v>
      </c>
      <c r="G55" s="24">
        <v>20836</v>
      </c>
    </row>
    <row r="56" spans="1:7" x14ac:dyDescent="0.4">
      <c r="A56" s="22" t="s">
        <v>233</v>
      </c>
      <c r="B56" s="22" t="s">
        <v>232</v>
      </c>
      <c r="C56" s="24">
        <v>519</v>
      </c>
      <c r="D56" s="24">
        <v>471</v>
      </c>
      <c r="E56" s="24">
        <v>422</v>
      </c>
      <c r="F56" s="24">
        <v>412</v>
      </c>
      <c r="G56" s="24">
        <v>685</v>
      </c>
    </row>
    <row r="57" spans="1:7" x14ac:dyDescent="0.4">
      <c r="A57" s="12" t="s">
        <v>231</v>
      </c>
      <c r="B57" s="12" t="s">
        <v>230</v>
      </c>
      <c r="C57" s="14">
        <v>0</v>
      </c>
      <c r="D57" s="14" t="s">
        <v>155</v>
      </c>
      <c r="E57" s="14" t="s">
        <v>155</v>
      </c>
      <c r="F57" s="14" t="s">
        <v>155</v>
      </c>
      <c r="G57" s="14" t="s">
        <v>155</v>
      </c>
    </row>
    <row r="58" spans="1:7" x14ac:dyDescent="0.4">
      <c r="A58" s="12" t="s">
        <v>229</v>
      </c>
      <c r="B58" s="12" t="s">
        <v>228</v>
      </c>
      <c r="C58" s="14">
        <v>519</v>
      </c>
      <c r="D58" s="14">
        <v>471</v>
      </c>
      <c r="E58" s="14">
        <v>422</v>
      </c>
      <c r="F58" s="14">
        <v>412</v>
      </c>
      <c r="G58" s="14">
        <v>685</v>
      </c>
    </row>
    <row r="59" spans="1:7" x14ac:dyDescent="0.4">
      <c r="A59" s="22" t="s">
        <v>227</v>
      </c>
      <c r="B59" s="22" t="s">
        <v>226</v>
      </c>
      <c r="C59" s="24">
        <v>8609</v>
      </c>
      <c r="D59" s="24">
        <v>11453</v>
      </c>
      <c r="E59" s="24">
        <v>12171</v>
      </c>
      <c r="F59" s="24">
        <v>12808</v>
      </c>
      <c r="G59" s="24">
        <v>7336</v>
      </c>
    </row>
    <row r="60" spans="1:7" x14ac:dyDescent="0.4">
      <c r="A60" s="22" t="s">
        <v>225</v>
      </c>
      <c r="B60" s="22" t="s">
        <v>224</v>
      </c>
      <c r="C60" s="24" t="s">
        <v>155</v>
      </c>
      <c r="D60" s="24">
        <v>2334</v>
      </c>
      <c r="E60" s="24">
        <v>3726</v>
      </c>
      <c r="F60" s="24">
        <v>5015</v>
      </c>
      <c r="G60" s="24">
        <v>0</v>
      </c>
    </row>
    <row r="61" spans="1:7" x14ac:dyDescent="0.4">
      <c r="A61" s="22" t="s">
        <v>223</v>
      </c>
      <c r="B61" s="22" t="s">
        <v>222</v>
      </c>
      <c r="C61" s="24">
        <v>6</v>
      </c>
      <c r="D61" s="24">
        <v>5</v>
      </c>
      <c r="E61" s="24">
        <v>4</v>
      </c>
      <c r="F61" s="24" t="s">
        <v>155</v>
      </c>
      <c r="G61" s="24" t="s">
        <v>155</v>
      </c>
    </row>
    <row r="62" spans="1:7" x14ac:dyDescent="0.4">
      <c r="A62" s="22" t="s">
        <v>221</v>
      </c>
      <c r="B62" s="22" t="s">
        <v>220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</row>
    <row r="63" spans="1:7" x14ac:dyDescent="0.4">
      <c r="A63" s="22" t="s">
        <v>219</v>
      </c>
      <c r="B63" s="22" t="s">
        <v>218</v>
      </c>
      <c r="C63" s="24">
        <v>5237</v>
      </c>
      <c r="D63" s="24">
        <v>6128</v>
      </c>
      <c r="E63" s="24">
        <v>5332</v>
      </c>
      <c r="F63" s="24">
        <v>5114</v>
      </c>
      <c r="G63" s="24">
        <v>5301</v>
      </c>
    </row>
    <row r="64" spans="1:7" x14ac:dyDescent="0.4">
      <c r="A64" s="22" t="s">
        <v>217</v>
      </c>
      <c r="B64" s="22" t="s">
        <v>216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</row>
    <row r="65" spans="1:7" x14ac:dyDescent="0.4">
      <c r="A65" s="22" t="s">
        <v>215</v>
      </c>
      <c r="B65" s="22" t="s">
        <v>214</v>
      </c>
      <c r="C65" s="24">
        <v>3366</v>
      </c>
      <c r="D65" s="24">
        <v>2986</v>
      </c>
      <c r="E65" s="24">
        <v>3109</v>
      </c>
      <c r="F65" s="24">
        <v>2679</v>
      </c>
      <c r="G65" s="24">
        <v>2035</v>
      </c>
    </row>
    <row r="66" spans="1:7" x14ac:dyDescent="0.4">
      <c r="A66" s="17" t="s">
        <v>213</v>
      </c>
      <c r="B66" s="17" t="s">
        <v>212</v>
      </c>
      <c r="C66" s="16">
        <v>30199</v>
      </c>
      <c r="D66" s="16">
        <v>31902</v>
      </c>
      <c r="E66" s="16">
        <v>32793</v>
      </c>
      <c r="F66" s="16">
        <v>33683</v>
      </c>
      <c r="G66" s="16">
        <v>28857</v>
      </c>
    </row>
    <row r="67" spans="1:7" x14ac:dyDescent="0.4">
      <c r="A67" s="17" t="s">
        <v>211</v>
      </c>
      <c r="B67" s="17" t="s">
        <v>210</v>
      </c>
      <c r="C67" s="16">
        <v>44709</v>
      </c>
      <c r="D67" s="16">
        <v>45307</v>
      </c>
      <c r="E67" s="16">
        <v>49920</v>
      </c>
      <c r="F67" s="16">
        <v>51766</v>
      </c>
      <c r="G67" s="16">
        <v>55374</v>
      </c>
    </row>
    <row r="68" spans="1:7" x14ac:dyDescent="0.4">
      <c r="A68" s="22" t="s">
        <v>209</v>
      </c>
      <c r="B68" s="22" t="s">
        <v>208</v>
      </c>
      <c r="C68" s="24">
        <v>5086</v>
      </c>
      <c r="D68" s="24">
        <v>3080</v>
      </c>
      <c r="E68" s="24">
        <v>2324</v>
      </c>
      <c r="F68" s="24">
        <v>1698</v>
      </c>
      <c r="G68" s="24">
        <v>1031</v>
      </c>
    </row>
    <row r="69" spans="1:7" x14ac:dyDescent="0.4">
      <c r="A69" s="22" t="s">
        <v>207</v>
      </c>
      <c r="B69" s="22" t="s">
        <v>206</v>
      </c>
      <c r="C69" s="24">
        <v>16721</v>
      </c>
      <c r="D69" s="24">
        <v>18855</v>
      </c>
      <c r="E69" s="24">
        <v>19545</v>
      </c>
      <c r="F69" s="24">
        <v>20452</v>
      </c>
      <c r="G69" s="24">
        <v>21229</v>
      </c>
    </row>
    <row r="70" spans="1:7" x14ac:dyDescent="0.4">
      <c r="A70" s="22" t="s">
        <v>205</v>
      </c>
      <c r="B70" s="22" t="s">
        <v>204</v>
      </c>
      <c r="C70" s="24">
        <v>0.19389999999999999</v>
      </c>
      <c r="D70" s="24">
        <v>0.19320000000000001</v>
      </c>
      <c r="E70" s="24">
        <v>0.189</v>
      </c>
      <c r="F70" s="24">
        <v>0.18490000000000001</v>
      </c>
      <c r="G70" s="24">
        <v>0.1804</v>
      </c>
    </row>
    <row r="71" spans="1:7" x14ac:dyDescent="0.4">
      <c r="A71" s="22" t="s">
        <v>203</v>
      </c>
      <c r="B71" s="22" t="s">
        <v>202</v>
      </c>
      <c r="C71" s="24">
        <v>16720.806100000002</v>
      </c>
      <c r="D71" s="24">
        <v>18854.806799999998</v>
      </c>
      <c r="E71" s="24">
        <v>19544.811000000002</v>
      </c>
      <c r="F71" s="24">
        <v>20451.8151</v>
      </c>
      <c r="G71" s="24">
        <v>21228.819599999999</v>
      </c>
    </row>
    <row r="72" spans="1:7" x14ac:dyDescent="0.4">
      <c r="A72" s="22" t="s">
        <v>201</v>
      </c>
      <c r="B72" s="22" t="s">
        <v>200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</row>
    <row r="73" spans="1:7" x14ac:dyDescent="0.4">
      <c r="A73" s="22" t="s">
        <v>199</v>
      </c>
      <c r="B73" s="22" t="s">
        <v>198</v>
      </c>
      <c r="C73" s="24">
        <v>14088</v>
      </c>
      <c r="D73" s="24">
        <v>15351</v>
      </c>
      <c r="E73" s="24">
        <v>16116</v>
      </c>
      <c r="F73" s="24">
        <v>18040</v>
      </c>
      <c r="G73" s="24">
        <v>17289</v>
      </c>
    </row>
    <row r="74" spans="1:7" x14ac:dyDescent="0.4">
      <c r="A74" s="22" t="s">
        <v>197</v>
      </c>
      <c r="B74" s="22" t="s">
        <v>196</v>
      </c>
      <c r="C74" s="24">
        <v>315</v>
      </c>
      <c r="D74" s="24">
        <v>303</v>
      </c>
      <c r="E74" s="24">
        <v>-2404</v>
      </c>
      <c r="F74" s="24">
        <v>-1457</v>
      </c>
      <c r="G74" s="24">
        <v>-412</v>
      </c>
    </row>
    <row r="75" spans="1:7" x14ac:dyDescent="0.4">
      <c r="A75" s="17" t="s">
        <v>195</v>
      </c>
      <c r="B75" s="17" t="s">
        <v>194</v>
      </c>
      <c r="C75" s="16">
        <v>36210</v>
      </c>
      <c r="D75" s="16">
        <v>37589</v>
      </c>
      <c r="E75" s="16">
        <v>35581</v>
      </c>
      <c r="F75" s="16">
        <v>38733</v>
      </c>
      <c r="G75" s="16">
        <v>39137</v>
      </c>
    </row>
    <row r="76" spans="1:7" x14ac:dyDescent="0.4">
      <c r="A76" s="22" t="s">
        <v>193</v>
      </c>
      <c r="B76" s="22" t="s">
        <v>192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</row>
    <row r="77" spans="1:7" x14ac:dyDescent="0.4">
      <c r="A77" s="17" t="s">
        <v>191</v>
      </c>
      <c r="B77" s="17" t="s">
        <v>190</v>
      </c>
      <c r="C77" s="16">
        <v>36210</v>
      </c>
      <c r="D77" s="16">
        <v>37589</v>
      </c>
      <c r="E77" s="16">
        <v>35581</v>
      </c>
      <c r="F77" s="16">
        <v>38733</v>
      </c>
      <c r="G77" s="16">
        <v>39137</v>
      </c>
    </row>
    <row r="78" spans="1:7" x14ac:dyDescent="0.4">
      <c r="A78" s="17" t="s">
        <v>189</v>
      </c>
      <c r="B78" s="17" t="s">
        <v>188</v>
      </c>
      <c r="C78" s="16">
        <v>80919</v>
      </c>
      <c r="D78" s="16">
        <v>82896</v>
      </c>
      <c r="E78" s="16">
        <v>85501</v>
      </c>
      <c r="F78" s="16">
        <v>90499</v>
      </c>
      <c r="G78" s="16">
        <v>94511</v>
      </c>
    </row>
    <row r="79" spans="1:7" x14ac:dyDescent="0.4">
      <c r="A79" s="17"/>
      <c r="B79" s="19"/>
      <c r="C79" s="19"/>
      <c r="D79" s="19"/>
      <c r="E79" s="19"/>
      <c r="F79" s="19"/>
      <c r="G79" s="19"/>
    </row>
    <row r="80" spans="1:7" x14ac:dyDescent="0.4">
      <c r="A80" s="17" t="s">
        <v>124</v>
      </c>
      <c r="B80" s="19"/>
      <c r="C80" s="19"/>
      <c r="D80" s="19"/>
      <c r="E80" s="19"/>
      <c r="F80" s="19"/>
      <c r="G80" s="19"/>
    </row>
    <row r="81" spans="1:7" x14ac:dyDescent="0.4">
      <c r="A81" s="22" t="s">
        <v>125</v>
      </c>
      <c r="B81" s="22" t="s">
        <v>126</v>
      </c>
      <c r="C81" s="21" t="s">
        <v>127</v>
      </c>
      <c r="D81" s="21" t="s">
        <v>127</v>
      </c>
      <c r="E81" s="21" t="s">
        <v>127</v>
      </c>
      <c r="F81" s="21" t="s">
        <v>127</v>
      </c>
      <c r="G81" s="21" t="s">
        <v>127</v>
      </c>
    </row>
    <row r="82" spans="1:7" x14ac:dyDescent="0.4">
      <c r="A82" s="22" t="s">
        <v>187</v>
      </c>
      <c r="B82" s="22" t="s">
        <v>186</v>
      </c>
      <c r="C82" s="24">
        <v>1939</v>
      </c>
      <c r="D82" s="24">
        <v>1932</v>
      </c>
      <c r="E82" s="24">
        <v>1890</v>
      </c>
      <c r="F82" s="24">
        <v>1849</v>
      </c>
      <c r="G82" s="24">
        <v>1804</v>
      </c>
    </row>
    <row r="83" spans="1:7" x14ac:dyDescent="0.4">
      <c r="A83" s="22" t="s">
        <v>185</v>
      </c>
      <c r="B83" s="22" t="s">
        <v>184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24" t="s">
        <v>155</v>
      </c>
    </row>
    <row r="84" spans="1:7" x14ac:dyDescent="0.4">
      <c r="A84" s="22" t="s">
        <v>183</v>
      </c>
      <c r="B84" s="22" t="s">
        <v>182</v>
      </c>
      <c r="C84" s="24">
        <v>6</v>
      </c>
      <c r="D84" s="24">
        <v>5</v>
      </c>
      <c r="E84" s="24">
        <v>4</v>
      </c>
      <c r="F84" s="24">
        <v>0</v>
      </c>
      <c r="G84" s="24">
        <v>0</v>
      </c>
    </row>
    <row r="85" spans="1:7" x14ac:dyDescent="0.4">
      <c r="A85" s="22" t="s">
        <v>181</v>
      </c>
      <c r="B85" s="22" t="s">
        <v>180</v>
      </c>
      <c r="C85" s="24">
        <v>621</v>
      </c>
      <c r="D85" s="24">
        <v>620</v>
      </c>
      <c r="E85" s="24">
        <v>557</v>
      </c>
      <c r="F85" s="24">
        <v>568</v>
      </c>
      <c r="G85" s="24">
        <v>996</v>
      </c>
    </row>
    <row r="86" spans="1:7" x14ac:dyDescent="0.4">
      <c r="A86" s="22" t="s">
        <v>179</v>
      </c>
      <c r="B86" s="22" t="s">
        <v>178</v>
      </c>
      <c r="C86" s="24">
        <v>0</v>
      </c>
      <c r="D86" s="24" t="s">
        <v>155</v>
      </c>
      <c r="E86" s="24" t="s">
        <v>155</v>
      </c>
      <c r="F86" s="24" t="s">
        <v>155</v>
      </c>
      <c r="G86" s="24" t="s">
        <v>155</v>
      </c>
    </row>
    <row r="87" spans="1:7" x14ac:dyDescent="0.4">
      <c r="A87" s="22" t="s">
        <v>177</v>
      </c>
      <c r="B87" s="22" t="s">
        <v>176</v>
      </c>
      <c r="C87" s="24">
        <v>1.248</v>
      </c>
      <c r="D87" s="24">
        <v>1.0224</v>
      </c>
      <c r="E87" s="24">
        <v>0.96160000000000001</v>
      </c>
      <c r="F87" s="24">
        <v>0.79800000000000004</v>
      </c>
      <c r="G87" s="24">
        <v>0.72270000000000001</v>
      </c>
    </row>
    <row r="88" spans="1:7" x14ac:dyDescent="0.4">
      <c r="A88" s="22" t="s">
        <v>175</v>
      </c>
      <c r="B88" s="22" t="s">
        <v>174</v>
      </c>
      <c r="C88" s="24">
        <v>5.7865000000000002</v>
      </c>
      <c r="D88" s="24">
        <v>5.8398000000000003</v>
      </c>
      <c r="E88" s="24">
        <v>6.1685999999999996</v>
      </c>
      <c r="F88" s="24">
        <v>5.9253999999999998</v>
      </c>
      <c r="G88" s="24">
        <v>5.3647</v>
      </c>
    </row>
    <row r="89" spans="1:7" x14ac:dyDescent="0.4">
      <c r="A89" s="22" t="s">
        <v>173</v>
      </c>
      <c r="B89" s="22" t="s">
        <v>172</v>
      </c>
      <c r="C89" s="24">
        <v>2575</v>
      </c>
      <c r="D89" s="24">
        <v>-926</v>
      </c>
      <c r="E89" s="24">
        <v>-30</v>
      </c>
      <c r="F89" s="24">
        <v>-4073</v>
      </c>
      <c r="G89" s="24">
        <v>427</v>
      </c>
    </row>
    <row r="90" spans="1:7" x14ac:dyDescent="0.4">
      <c r="A90" s="22" t="s">
        <v>171</v>
      </c>
      <c r="B90" s="22" t="s">
        <v>170</v>
      </c>
      <c r="C90" s="24">
        <v>7.1113</v>
      </c>
      <c r="D90" s="24">
        <v>-2.4634999999999998</v>
      </c>
      <c r="E90" s="24">
        <v>-8.43E-2</v>
      </c>
      <c r="F90" s="24">
        <v>-10.515599999999999</v>
      </c>
      <c r="G90" s="24">
        <v>1.091</v>
      </c>
    </row>
    <row r="91" spans="1:7" x14ac:dyDescent="0.4">
      <c r="A91" s="22" t="s">
        <v>169</v>
      </c>
      <c r="B91" s="22" t="s">
        <v>168</v>
      </c>
      <c r="C91" s="24">
        <v>-33.853900000000003</v>
      </c>
      <c r="D91" s="24">
        <v>-23.203600000000002</v>
      </c>
      <c r="E91" s="24">
        <v>-22.497599999999998</v>
      </c>
      <c r="F91" s="24">
        <v>-15.229100000000001</v>
      </c>
      <c r="G91" s="24">
        <v>-15.8666</v>
      </c>
    </row>
    <row r="92" spans="1:7" x14ac:dyDescent="0.4">
      <c r="A92" s="22" t="s">
        <v>167</v>
      </c>
      <c r="B92" s="22" t="s">
        <v>166</v>
      </c>
      <c r="C92" s="24">
        <v>1.9052</v>
      </c>
      <c r="D92" s="24">
        <v>2.0594999999999999</v>
      </c>
      <c r="E92" s="24">
        <v>1.7636000000000001</v>
      </c>
      <c r="F92" s="24">
        <v>1.8543000000000001</v>
      </c>
      <c r="G92" s="24">
        <v>1.2834000000000001</v>
      </c>
    </row>
    <row r="93" spans="1:7" x14ac:dyDescent="0.4">
      <c r="A93" s="22" t="s">
        <v>165</v>
      </c>
      <c r="B93" s="22" t="s">
        <v>164</v>
      </c>
      <c r="C93" s="24">
        <v>5500</v>
      </c>
      <c r="D93" s="24">
        <v>4800</v>
      </c>
      <c r="E93" s="24">
        <v>5200</v>
      </c>
      <c r="F93" s="24">
        <v>4700</v>
      </c>
      <c r="G93" s="24" t="s">
        <v>155</v>
      </c>
    </row>
    <row r="94" spans="1:7" x14ac:dyDescent="0.4">
      <c r="A94" s="22" t="s">
        <v>163</v>
      </c>
      <c r="B94" s="22" t="s">
        <v>162</v>
      </c>
      <c r="C94" s="24">
        <v>20500</v>
      </c>
      <c r="D94" s="24">
        <v>21500</v>
      </c>
      <c r="E94" s="24">
        <v>26500</v>
      </c>
      <c r="F94" s="24">
        <v>28800</v>
      </c>
      <c r="G94" s="24">
        <v>31600</v>
      </c>
    </row>
    <row r="95" spans="1:7" x14ac:dyDescent="0.4">
      <c r="A95" s="25" t="s">
        <v>153</v>
      </c>
      <c r="B95" s="25"/>
      <c r="C95" s="25" t="s">
        <v>154</v>
      </c>
      <c r="D95" s="25"/>
      <c r="E95" s="25"/>
      <c r="F95" s="25"/>
      <c r="G95" s="25"/>
    </row>
  </sheetData>
  <phoneticPr fontId="3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CA81-A528-43A4-9684-6F64096033C0}">
  <dimension ref="A1:G420"/>
  <sheetViews>
    <sheetView topLeftCell="A138" workbookViewId="0">
      <selection activeCell="A118" sqref="A118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679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17" t="s">
        <v>678</v>
      </c>
      <c r="B6" s="19"/>
      <c r="C6" s="19"/>
      <c r="D6" s="19"/>
      <c r="E6" s="19"/>
      <c r="F6" s="19"/>
      <c r="G6" s="19"/>
    </row>
    <row r="7" spans="1:7" x14ac:dyDescent="0.4">
      <c r="A7" s="22" t="s">
        <v>677</v>
      </c>
      <c r="B7" s="21"/>
      <c r="C7" s="21"/>
      <c r="D7" s="21"/>
      <c r="E7" s="21"/>
      <c r="F7" s="21"/>
      <c r="G7" s="21"/>
    </row>
    <row r="8" spans="1:7" x14ac:dyDescent="0.4">
      <c r="A8" s="22" t="s">
        <v>676</v>
      </c>
      <c r="B8" s="22"/>
      <c r="C8" s="24">
        <v>16289</v>
      </c>
      <c r="D8" s="24">
        <v>16487</v>
      </c>
      <c r="E8" s="24">
        <v>15689</v>
      </c>
      <c r="F8" s="24">
        <v>16286</v>
      </c>
      <c r="G8" s="24" t="s">
        <v>155</v>
      </c>
    </row>
    <row r="9" spans="1:7" x14ac:dyDescent="0.4">
      <c r="A9" s="22" t="s">
        <v>676</v>
      </c>
      <c r="B9" s="22"/>
      <c r="C9" s="24" t="s">
        <v>155</v>
      </c>
      <c r="D9" s="24" t="s">
        <v>155</v>
      </c>
      <c r="E9" s="24" t="s">
        <v>155</v>
      </c>
      <c r="F9" s="24" t="s">
        <v>155</v>
      </c>
      <c r="G9" s="24">
        <v>11975</v>
      </c>
    </row>
    <row r="10" spans="1:7" x14ac:dyDescent="0.4">
      <c r="A10" s="22" t="s">
        <v>674</v>
      </c>
      <c r="B10" s="22"/>
      <c r="C10" s="24" t="s">
        <v>155</v>
      </c>
      <c r="D10" s="24" t="s">
        <v>155</v>
      </c>
      <c r="E10" s="24" t="s">
        <v>155</v>
      </c>
      <c r="F10" s="24" t="s">
        <v>155</v>
      </c>
      <c r="G10" s="24" t="s">
        <v>155</v>
      </c>
    </row>
    <row r="11" spans="1:7" x14ac:dyDescent="0.4">
      <c r="A11" s="22" t="s">
        <v>675</v>
      </c>
      <c r="B11" s="22"/>
      <c r="C11" s="24">
        <v>3752</v>
      </c>
      <c r="D11" s="24">
        <v>2025</v>
      </c>
      <c r="E11" s="24">
        <v>2833</v>
      </c>
      <c r="F11" s="24">
        <v>3842</v>
      </c>
      <c r="G11" s="24" t="s">
        <v>155</v>
      </c>
    </row>
    <row r="12" spans="1:7" x14ac:dyDescent="0.4">
      <c r="A12" s="22" t="s">
        <v>674</v>
      </c>
      <c r="B12" s="22"/>
      <c r="C12" s="24" t="s">
        <v>155</v>
      </c>
      <c r="D12" s="24" t="s">
        <v>155</v>
      </c>
      <c r="E12" s="24" t="s">
        <v>155</v>
      </c>
      <c r="F12" s="24" t="s">
        <v>155</v>
      </c>
      <c r="G12" s="24">
        <v>3200</v>
      </c>
    </row>
    <row r="13" spans="1:7" x14ac:dyDescent="0.4">
      <c r="A13" s="22" t="s">
        <v>673</v>
      </c>
      <c r="B13" s="22"/>
      <c r="C13" s="24">
        <v>1618</v>
      </c>
      <c r="D13" s="24">
        <v>1968</v>
      </c>
      <c r="E13" s="24">
        <v>2020</v>
      </c>
      <c r="F13" s="24">
        <v>2291</v>
      </c>
      <c r="G13" s="24" t="s">
        <v>155</v>
      </c>
    </row>
    <row r="14" spans="1:7" x14ac:dyDescent="0.4">
      <c r="A14" s="22" t="s">
        <v>673</v>
      </c>
      <c r="B14" s="22"/>
      <c r="C14" s="24" t="s">
        <v>155</v>
      </c>
      <c r="D14" s="24" t="s">
        <v>155</v>
      </c>
      <c r="E14" s="24" t="s">
        <v>155</v>
      </c>
      <c r="F14" s="24" t="s">
        <v>155</v>
      </c>
      <c r="G14" s="24">
        <v>2561</v>
      </c>
    </row>
    <row r="15" spans="1:7" x14ac:dyDescent="0.4">
      <c r="A15" s="22" t="s">
        <v>672</v>
      </c>
      <c r="B15" s="22"/>
      <c r="C15" s="24">
        <v>757</v>
      </c>
      <c r="D15" s="24">
        <v>856</v>
      </c>
      <c r="E15" s="24">
        <v>2668</v>
      </c>
      <c r="F15" s="24">
        <v>2584</v>
      </c>
      <c r="G15" s="24" t="s">
        <v>155</v>
      </c>
    </row>
    <row r="16" spans="1:7" x14ac:dyDescent="0.4">
      <c r="A16" s="22" t="s">
        <v>672</v>
      </c>
      <c r="B16" s="22"/>
      <c r="C16" s="24" t="s">
        <v>155</v>
      </c>
      <c r="D16" s="24" t="s">
        <v>155</v>
      </c>
      <c r="E16" s="24" t="s">
        <v>155</v>
      </c>
      <c r="F16" s="24" t="s">
        <v>155</v>
      </c>
      <c r="G16" s="24">
        <v>3312</v>
      </c>
    </row>
    <row r="17" spans="1:7" x14ac:dyDescent="0.4">
      <c r="A17" s="22" t="s">
        <v>671</v>
      </c>
      <c r="B17" s="22"/>
      <c r="C17" s="24">
        <v>901</v>
      </c>
      <c r="D17" s="24">
        <v>894</v>
      </c>
      <c r="E17" s="24">
        <v>1449</v>
      </c>
      <c r="F17" s="24">
        <v>1764</v>
      </c>
      <c r="G17" s="24" t="s">
        <v>155</v>
      </c>
    </row>
    <row r="18" spans="1:7" x14ac:dyDescent="0.4">
      <c r="A18" s="22" t="s">
        <v>671</v>
      </c>
      <c r="B18" s="22"/>
      <c r="C18" s="24" t="s">
        <v>155</v>
      </c>
      <c r="D18" s="24" t="s">
        <v>155</v>
      </c>
      <c r="E18" s="24" t="s">
        <v>155</v>
      </c>
      <c r="F18" s="24" t="s">
        <v>155</v>
      </c>
      <c r="G18" s="24">
        <v>3089</v>
      </c>
    </row>
    <row r="19" spans="1:7" x14ac:dyDescent="0.4">
      <c r="A19" s="22" t="s">
        <v>669</v>
      </c>
      <c r="B19" s="22"/>
      <c r="C19" s="24">
        <v>1850</v>
      </c>
      <c r="D19" s="24">
        <v>2260</v>
      </c>
      <c r="E19" s="24">
        <v>2342</v>
      </c>
      <c r="F19" s="24">
        <v>3005</v>
      </c>
      <c r="G19" s="24" t="s">
        <v>155</v>
      </c>
    </row>
    <row r="20" spans="1:7" x14ac:dyDescent="0.4">
      <c r="A20" s="22" t="s">
        <v>670</v>
      </c>
      <c r="B20" s="22"/>
      <c r="C20" s="24" t="s">
        <v>155</v>
      </c>
      <c r="D20" s="24" t="s">
        <v>155</v>
      </c>
      <c r="E20" s="24" t="s">
        <v>155</v>
      </c>
      <c r="F20" s="24" t="s">
        <v>155</v>
      </c>
      <c r="G20" s="24" t="s">
        <v>155</v>
      </c>
    </row>
    <row r="21" spans="1:7" x14ac:dyDescent="0.4">
      <c r="A21" s="22" t="s">
        <v>669</v>
      </c>
      <c r="B21" s="22"/>
      <c r="C21" s="24" t="s">
        <v>155</v>
      </c>
      <c r="D21" s="24" t="s">
        <v>155</v>
      </c>
      <c r="E21" s="24" t="s">
        <v>155</v>
      </c>
      <c r="F21" s="24" t="s">
        <v>155</v>
      </c>
      <c r="G21" s="24">
        <v>3524</v>
      </c>
    </row>
    <row r="22" spans="1:7" x14ac:dyDescent="0.4">
      <c r="A22" s="22" t="s">
        <v>668</v>
      </c>
      <c r="B22" s="22"/>
      <c r="C22" s="24">
        <v>1264</v>
      </c>
      <c r="D22" s="24">
        <v>1758</v>
      </c>
      <c r="E22" s="24">
        <v>1932</v>
      </c>
      <c r="F22" s="24">
        <v>2183</v>
      </c>
      <c r="G22" s="24" t="s">
        <v>155</v>
      </c>
    </row>
    <row r="23" spans="1:7" x14ac:dyDescent="0.4">
      <c r="A23" s="22" t="s">
        <v>668</v>
      </c>
      <c r="B23" s="22"/>
      <c r="C23" s="24" t="s">
        <v>155</v>
      </c>
      <c r="D23" s="24" t="s">
        <v>155</v>
      </c>
      <c r="E23" s="24" t="s">
        <v>155</v>
      </c>
      <c r="F23" s="24" t="s">
        <v>155</v>
      </c>
      <c r="G23" s="24">
        <v>4454</v>
      </c>
    </row>
    <row r="24" spans="1:7" x14ac:dyDescent="0.4">
      <c r="A24" s="22" t="s">
        <v>540</v>
      </c>
      <c r="B24" s="22"/>
      <c r="C24" s="24">
        <v>16289</v>
      </c>
      <c r="D24" s="24">
        <v>16487</v>
      </c>
      <c r="E24" s="24">
        <v>1449</v>
      </c>
      <c r="F24" s="24">
        <v>3842</v>
      </c>
      <c r="G24" s="24">
        <v>3089</v>
      </c>
    </row>
    <row r="25" spans="1:7" x14ac:dyDescent="0.4">
      <c r="A25" s="22" t="s">
        <v>613</v>
      </c>
      <c r="B25" s="22"/>
      <c r="C25" s="24">
        <v>3752</v>
      </c>
      <c r="D25" s="24">
        <v>2025</v>
      </c>
      <c r="E25" s="24">
        <v>2833</v>
      </c>
      <c r="F25" s="24">
        <v>1764</v>
      </c>
      <c r="G25" s="24">
        <v>11975</v>
      </c>
    </row>
    <row r="26" spans="1:7" x14ac:dyDescent="0.4">
      <c r="A26" s="22" t="s">
        <v>667</v>
      </c>
      <c r="B26" s="22"/>
      <c r="C26" s="24">
        <v>901</v>
      </c>
      <c r="D26" s="24">
        <v>894</v>
      </c>
      <c r="E26" s="24">
        <v>15689</v>
      </c>
      <c r="F26" s="24">
        <v>16286</v>
      </c>
      <c r="G26" s="24">
        <v>3200</v>
      </c>
    </row>
    <row r="27" spans="1:7" x14ac:dyDescent="0.4">
      <c r="A27" s="22" t="s">
        <v>666</v>
      </c>
      <c r="B27" s="22"/>
      <c r="C27" s="24">
        <v>1214</v>
      </c>
      <c r="D27" s="24">
        <v>1359</v>
      </c>
      <c r="E27" s="24">
        <v>1272</v>
      </c>
      <c r="F27" s="24">
        <v>1577</v>
      </c>
      <c r="G27" s="24">
        <v>1918</v>
      </c>
    </row>
    <row r="28" spans="1:7" x14ac:dyDescent="0.4">
      <c r="A28" s="17" t="s">
        <v>665</v>
      </c>
      <c r="B28" s="17"/>
      <c r="C28" s="16">
        <v>27645</v>
      </c>
      <c r="D28" s="16">
        <v>27607</v>
      </c>
      <c r="E28" s="16">
        <v>30205</v>
      </c>
      <c r="F28" s="16">
        <v>33532</v>
      </c>
      <c r="G28" s="16" t="s">
        <v>155</v>
      </c>
    </row>
    <row r="29" spans="1:7" x14ac:dyDescent="0.4">
      <c r="A29" s="17" t="s">
        <v>665</v>
      </c>
      <c r="B29" s="17"/>
      <c r="C29" s="16" t="s">
        <v>155</v>
      </c>
      <c r="D29" s="16" t="s">
        <v>155</v>
      </c>
      <c r="E29" s="16" t="s">
        <v>155</v>
      </c>
      <c r="F29" s="16" t="s">
        <v>155</v>
      </c>
      <c r="G29" s="16">
        <v>34033</v>
      </c>
    </row>
    <row r="30" spans="1:7" x14ac:dyDescent="0.4">
      <c r="A30" s="22" t="s">
        <v>664</v>
      </c>
      <c r="B30" s="21"/>
      <c r="C30" s="21"/>
      <c r="D30" s="21"/>
      <c r="E30" s="21"/>
      <c r="F30" s="21"/>
      <c r="G30" s="21"/>
    </row>
    <row r="31" spans="1:7" x14ac:dyDescent="0.4">
      <c r="A31" s="22" t="s">
        <v>663</v>
      </c>
      <c r="B31" s="22"/>
      <c r="C31" s="24">
        <v>231</v>
      </c>
      <c r="D31" s="24">
        <v>1705</v>
      </c>
      <c r="E31" s="24">
        <v>2136</v>
      </c>
      <c r="F31" s="24">
        <v>1921</v>
      </c>
      <c r="G31" s="24" t="s">
        <v>155</v>
      </c>
    </row>
    <row r="32" spans="1:7" x14ac:dyDescent="0.4">
      <c r="A32" s="22" t="s">
        <v>663</v>
      </c>
      <c r="B32" s="22"/>
      <c r="C32" s="24" t="s">
        <v>155</v>
      </c>
      <c r="D32" s="24" t="s">
        <v>155</v>
      </c>
      <c r="E32" s="24" t="s">
        <v>155</v>
      </c>
      <c r="F32" s="24" t="s">
        <v>155</v>
      </c>
      <c r="G32" s="24">
        <v>2545</v>
      </c>
    </row>
    <row r="33" spans="1:7" x14ac:dyDescent="0.4">
      <c r="A33" s="22" t="s">
        <v>599</v>
      </c>
      <c r="B33" s="22"/>
      <c r="C33" s="24">
        <v>2737</v>
      </c>
      <c r="D33" s="24">
        <v>2715</v>
      </c>
      <c r="E33" s="24">
        <v>3223</v>
      </c>
      <c r="F33" s="24">
        <v>3425</v>
      </c>
      <c r="G33" s="24" t="s">
        <v>155</v>
      </c>
    </row>
    <row r="34" spans="1:7" x14ac:dyDescent="0.4">
      <c r="A34" s="22" t="s">
        <v>599</v>
      </c>
      <c r="B34" s="22"/>
      <c r="C34" s="24" t="s">
        <v>155</v>
      </c>
      <c r="D34" s="24" t="s">
        <v>155</v>
      </c>
      <c r="E34" s="24" t="s">
        <v>155</v>
      </c>
      <c r="F34" s="24" t="s">
        <v>155</v>
      </c>
      <c r="G34" s="24">
        <v>3824</v>
      </c>
    </row>
    <row r="35" spans="1:7" x14ac:dyDescent="0.4">
      <c r="A35" s="22" t="s">
        <v>656</v>
      </c>
      <c r="B35" s="22"/>
      <c r="C35" s="24">
        <v>27808</v>
      </c>
      <c r="D35" s="24">
        <v>27664</v>
      </c>
      <c r="E35" s="24">
        <v>17787</v>
      </c>
      <c r="F35" s="24">
        <v>17997</v>
      </c>
      <c r="G35" s="24">
        <v>18941</v>
      </c>
    </row>
    <row r="36" spans="1:7" x14ac:dyDescent="0.4">
      <c r="A36" s="22" t="s">
        <v>592</v>
      </c>
      <c r="B36" s="22"/>
      <c r="C36" s="24">
        <v>15910</v>
      </c>
      <c r="D36" s="24">
        <v>15958</v>
      </c>
      <c r="E36" s="24">
        <v>25065</v>
      </c>
      <c r="F36" s="24">
        <v>26104</v>
      </c>
      <c r="G36" s="24">
        <v>26889</v>
      </c>
    </row>
    <row r="37" spans="1:7" x14ac:dyDescent="0.4">
      <c r="A37" s="22" t="s">
        <v>594</v>
      </c>
      <c r="B37" s="22"/>
      <c r="C37" s="24">
        <v>27808</v>
      </c>
      <c r="D37" s="24">
        <v>27664</v>
      </c>
      <c r="E37" s="24">
        <v>25065</v>
      </c>
      <c r="F37" s="24">
        <v>26104</v>
      </c>
      <c r="G37" s="24" t="s">
        <v>155</v>
      </c>
    </row>
    <row r="38" spans="1:7" x14ac:dyDescent="0.4">
      <c r="A38" s="22" t="s">
        <v>594</v>
      </c>
      <c r="B38" s="22"/>
      <c r="C38" s="24" t="s">
        <v>155</v>
      </c>
      <c r="D38" s="24" t="s">
        <v>155</v>
      </c>
      <c r="E38" s="24" t="s">
        <v>155</v>
      </c>
      <c r="F38" s="24" t="s">
        <v>155</v>
      </c>
      <c r="G38" s="24">
        <v>26889</v>
      </c>
    </row>
    <row r="39" spans="1:7" x14ac:dyDescent="0.4">
      <c r="A39" s="22" t="s">
        <v>592</v>
      </c>
      <c r="B39" s="22"/>
      <c r="C39" s="24">
        <v>15910</v>
      </c>
      <c r="D39" s="24">
        <v>15958</v>
      </c>
      <c r="E39" s="24">
        <v>17787</v>
      </c>
      <c r="F39" s="24">
        <v>17997</v>
      </c>
      <c r="G39" s="24" t="s">
        <v>155</v>
      </c>
    </row>
    <row r="40" spans="1:7" x14ac:dyDescent="0.4">
      <c r="A40" s="22" t="s">
        <v>592</v>
      </c>
      <c r="B40" s="22"/>
      <c r="C40" s="24" t="s">
        <v>155</v>
      </c>
      <c r="D40" s="24" t="s">
        <v>155</v>
      </c>
      <c r="E40" s="24" t="s">
        <v>155</v>
      </c>
      <c r="F40" s="24" t="s">
        <v>155</v>
      </c>
      <c r="G40" s="24">
        <v>18941</v>
      </c>
    </row>
    <row r="41" spans="1:7" x14ac:dyDescent="0.4">
      <c r="A41" s="22" t="s">
        <v>662</v>
      </c>
      <c r="B41" s="22"/>
      <c r="C41" s="24" t="s">
        <v>155</v>
      </c>
      <c r="D41" s="24">
        <v>4002</v>
      </c>
      <c r="E41" s="24">
        <v>3737</v>
      </c>
      <c r="F41" s="24">
        <v>3731</v>
      </c>
      <c r="G41" s="24">
        <v>4628</v>
      </c>
    </row>
    <row r="42" spans="1:7" x14ac:dyDescent="0.4">
      <c r="A42" s="22" t="s">
        <v>661</v>
      </c>
      <c r="B42" s="22"/>
      <c r="C42" s="24">
        <v>3413</v>
      </c>
      <c r="D42" s="24" t="s">
        <v>155</v>
      </c>
      <c r="E42" s="24" t="s">
        <v>155</v>
      </c>
      <c r="F42" s="24" t="s">
        <v>155</v>
      </c>
      <c r="G42" s="24" t="s">
        <v>155</v>
      </c>
    </row>
    <row r="43" spans="1:7" x14ac:dyDescent="0.4">
      <c r="A43" s="22" t="s">
        <v>660</v>
      </c>
      <c r="B43" s="22"/>
      <c r="C43" s="24">
        <v>27645</v>
      </c>
      <c r="D43" s="24">
        <v>27607</v>
      </c>
      <c r="E43" s="24">
        <v>30205</v>
      </c>
      <c r="F43" s="24">
        <v>17997</v>
      </c>
      <c r="G43" s="24" t="s">
        <v>155</v>
      </c>
    </row>
    <row r="44" spans="1:7" x14ac:dyDescent="0.4">
      <c r="A44" s="22" t="s">
        <v>659</v>
      </c>
      <c r="B44" s="22"/>
      <c r="C44" s="24">
        <v>80919</v>
      </c>
      <c r="D44" s="24">
        <v>82896</v>
      </c>
      <c r="E44" s="24">
        <v>85501</v>
      </c>
      <c r="F44" s="24">
        <v>3789</v>
      </c>
      <c r="G44" s="24" t="s">
        <v>155</v>
      </c>
    </row>
    <row r="45" spans="1:7" x14ac:dyDescent="0.4">
      <c r="A45" s="22" t="s">
        <v>658</v>
      </c>
      <c r="B45" s="22"/>
      <c r="C45" s="24" t="s">
        <v>155</v>
      </c>
      <c r="D45" s="24" t="s">
        <v>155</v>
      </c>
      <c r="E45" s="24" t="s">
        <v>155</v>
      </c>
      <c r="F45" s="24">
        <v>3731</v>
      </c>
      <c r="G45" s="24" t="s">
        <v>155</v>
      </c>
    </row>
    <row r="46" spans="1:7" x14ac:dyDescent="0.4">
      <c r="A46" s="22" t="s">
        <v>657</v>
      </c>
      <c r="B46" s="22"/>
      <c r="C46" s="24" t="s">
        <v>155</v>
      </c>
      <c r="D46" s="24" t="s">
        <v>155</v>
      </c>
      <c r="E46" s="24" t="s">
        <v>155</v>
      </c>
      <c r="F46" s="24">
        <v>3425</v>
      </c>
      <c r="G46" s="24" t="s">
        <v>155</v>
      </c>
    </row>
    <row r="47" spans="1:7" x14ac:dyDescent="0.4">
      <c r="A47" s="22" t="s">
        <v>613</v>
      </c>
      <c r="B47" s="22"/>
      <c r="C47" s="24" t="s">
        <v>155</v>
      </c>
      <c r="D47" s="24" t="s">
        <v>155</v>
      </c>
      <c r="E47" s="24" t="s">
        <v>155</v>
      </c>
      <c r="F47" s="24">
        <v>1921</v>
      </c>
      <c r="G47" s="24" t="s">
        <v>155</v>
      </c>
    </row>
    <row r="48" spans="1:7" x14ac:dyDescent="0.4">
      <c r="A48" s="22" t="s">
        <v>656</v>
      </c>
      <c r="B48" s="22"/>
      <c r="C48" s="24" t="s">
        <v>155</v>
      </c>
      <c r="D48" s="24" t="s">
        <v>155</v>
      </c>
      <c r="E48" s="24" t="s">
        <v>155</v>
      </c>
      <c r="F48" s="24">
        <v>26104</v>
      </c>
      <c r="G48" s="24" t="s">
        <v>155</v>
      </c>
    </row>
    <row r="49" spans="1:7" x14ac:dyDescent="0.4">
      <c r="A49" s="22" t="s">
        <v>655</v>
      </c>
      <c r="B49" s="22"/>
      <c r="C49" s="24">
        <v>3175</v>
      </c>
      <c r="D49" s="24">
        <v>3245</v>
      </c>
      <c r="E49" s="24">
        <v>3348</v>
      </c>
      <c r="F49" s="24">
        <v>3789</v>
      </c>
      <c r="G49" s="24">
        <v>3651</v>
      </c>
    </row>
    <row r="50" spans="1:7" x14ac:dyDescent="0.4">
      <c r="A50" s="17" t="s">
        <v>654</v>
      </c>
      <c r="B50" s="17"/>
      <c r="C50" s="16">
        <v>80919</v>
      </c>
      <c r="D50" s="16">
        <v>82896</v>
      </c>
      <c r="E50" s="16">
        <v>85501</v>
      </c>
      <c r="F50" s="16">
        <v>90499</v>
      </c>
      <c r="G50" s="16" t="s">
        <v>155</v>
      </c>
    </row>
    <row r="51" spans="1:7" x14ac:dyDescent="0.4">
      <c r="A51" s="17" t="s">
        <v>654</v>
      </c>
      <c r="B51" s="17"/>
      <c r="C51" s="16" t="s">
        <v>155</v>
      </c>
      <c r="D51" s="16" t="s">
        <v>155</v>
      </c>
      <c r="E51" s="16" t="s">
        <v>155</v>
      </c>
      <c r="F51" s="16" t="s">
        <v>155</v>
      </c>
      <c r="G51" s="16">
        <v>94511</v>
      </c>
    </row>
    <row r="52" spans="1:7" x14ac:dyDescent="0.4">
      <c r="A52" s="22" t="s">
        <v>653</v>
      </c>
      <c r="B52" s="21"/>
      <c r="C52" s="21"/>
      <c r="D52" s="21"/>
      <c r="E52" s="21"/>
      <c r="F52" s="21"/>
      <c r="G52" s="21"/>
    </row>
    <row r="53" spans="1:7" x14ac:dyDescent="0.4">
      <c r="A53" s="22" t="s">
        <v>652</v>
      </c>
      <c r="B53" s="22"/>
      <c r="C53" s="24">
        <v>174</v>
      </c>
      <c r="D53" s="24">
        <v>266</v>
      </c>
      <c r="E53" s="24">
        <v>340</v>
      </c>
      <c r="F53" s="24">
        <v>375</v>
      </c>
      <c r="G53" s="24" t="s">
        <v>155</v>
      </c>
    </row>
    <row r="54" spans="1:7" x14ac:dyDescent="0.4">
      <c r="A54" s="22" t="s">
        <v>652</v>
      </c>
      <c r="B54" s="22"/>
      <c r="C54" s="24" t="s">
        <v>155</v>
      </c>
      <c r="D54" s="24" t="s">
        <v>155</v>
      </c>
      <c r="E54" s="24" t="s">
        <v>155</v>
      </c>
      <c r="F54" s="24" t="s">
        <v>155</v>
      </c>
      <c r="G54" s="24">
        <v>479</v>
      </c>
    </row>
    <row r="55" spans="1:7" x14ac:dyDescent="0.4">
      <c r="A55" s="22" t="s">
        <v>589</v>
      </c>
      <c r="B55" s="22"/>
      <c r="C55" s="24">
        <v>2999</v>
      </c>
      <c r="D55" s="24">
        <v>999</v>
      </c>
      <c r="E55" s="24">
        <v>2250</v>
      </c>
      <c r="F55" s="24">
        <v>0</v>
      </c>
      <c r="G55" s="24" t="s">
        <v>155</v>
      </c>
    </row>
    <row r="56" spans="1:7" x14ac:dyDescent="0.4">
      <c r="A56" s="22" t="s">
        <v>651</v>
      </c>
      <c r="B56" s="22"/>
      <c r="C56" s="24">
        <v>821</v>
      </c>
      <c r="D56" s="24">
        <v>1211</v>
      </c>
      <c r="E56" s="24">
        <v>1359</v>
      </c>
      <c r="F56" s="24">
        <v>1506</v>
      </c>
      <c r="G56" s="24" t="s">
        <v>155</v>
      </c>
    </row>
    <row r="57" spans="1:7" x14ac:dyDescent="0.4">
      <c r="A57" s="22" t="s">
        <v>651</v>
      </c>
      <c r="B57" s="22"/>
      <c r="C57" s="24" t="s">
        <v>155</v>
      </c>
      <c r="D57" s="24" t="s">
        <v>155</v>
      </c>
      <c r="E57" s="24" t="s">
        <v>155</v>
      </c>
      <c r="F57" s="24" t="s">
        <v>155</v>
      </c>
      <c r="G57" s="24">
        <v>1538</v>
      </c>
    </row>
    <row r="58" spans="1:7" x14ac:dyDescent="0.4">
      <c r="A58" s="22" t="s">
        <v>649</v>
      </c>
      <c r="B58" s="22"/>
      <c r="C58" s="24">
        <v>914</v>
      </c>
      <c r="D58" s="24">
        <v>983</v>
      </c>
      <c r="E58" s="24">
        <v>1456</v>
      </c>
      <c r="F58" s="24">
        <v>1751</v>
      </c>
      <c r="G58" s="24">
        <v>4909</v>
      </c>
    </row>
    <row r="59" spans="1:7" x14ac:dyDescent="0.4">
      <c r="A59" s="22" t="s">
        <v>650</v>
      </c>
      <c r="B59" s="22"/>
      <c r="C59" s="24">
        <v>1840</v>
      </c>
      <c r="D59" s="24" t="s">
        <v>155</v>
      </c>
      <c r="E59" s="24" t="s">
        <v>155</v>
      </c>
      <c r="F59" s="24" t="s">
        <v>155</v>
      </c>
      <c r="G59" s="24" t="s">
        <v>155</v>
      </c>
    </row>
    <row r="60" spans="1:7" x14ac:dyDescent="0.4">
      <c r="A60" s="22" t="s">
        <v>649</v>
      </c>
      <c r="B60" s="22"/>
      <c r="C60" s="24" t="s">
        <v>155</v>
      </c>
      <c r="D60" s="24" t="s">
        <v>155</v>
      </c>
      <c r="E60" s="24" t="s">
        <v>155</v>
      </c>
      <c r="F60" s="24" t="s">
        <v>155</v>
      </c>
      <c r="G60" s="24">
        <v>1727</v>
      </c>
    </row>
    <row r="61" spans="1:7" x14ac:dyDescent="0.4">
      <c r="A61" s="22" t="s">
        <v>648</v>
      </c>
      <c r="B61" s="22"/>
      <c r="C61" s="24" t="s">
        <v>155</v>
      </c>
      <c r="D61" s="24" t="s">
        <v>155</v>
      </c>
      <c r="E61" s="24" t="s">
        <v>155</v>
      </c>
      <c r="F61" s="24" t="s">
        <v>155</v>
      </c>
      <c r="G61" s="24" t="s">
        <v>155</v>
      </c>
    </row>
    <row r="62" spans="1:7" x14ac:dyDescent="0.4">
      <c r="A62" s="22" t="s">
        <v>647</v>
      </c>
      <c r="B62" s="22"/>
      <c r="C62" s="24" t="s">
        <v>155</v>
      </c>
      <c r="D62" s="24" t="s">
        <v>155</v>
      </c>
      <c r="E62" s="24" t="s">
        <v>155</v>
      </c>
      <c r="F62" s="24" t="s">
        <v>155</v>
      </c>
      <c r="G62" s="24" t="s">
        <v>155</v>
      </c>
    </row>
    <row r="63" spans="1:7" x14ac:dyDescent="0.4">
      <c r="A63" s="22" t="s">
        <v>646</v>
      </c>
      <c r="B63" s="22"/>
      <c r="C63" s="24" t="s">
        <v>155</v>
      </c>
      <c r="D63" s="24" t="s">
        <v>155</v>
      </c>
      <c r="E63" s="24" t="s">
        <v>155</v>
      </c>
      <c r="F63" s="24" t="s">
        <v>155</v>
      </c>
      <c r="G63" s="24" t="s">
        <v>155</v>
      </c>
    </row>
    <row r="64" spans="1:7" x14ac:dyDescent="0.4">
      <c r="A64" s="22" t="s">
        <v>645</v>
      </c>
      <c r="B64" s="22"/>
      <c r="C64" s="24">
        <v>4176</v>
      </c>
      <c r="D64" s="24">
        <v>5243</v>
      </c>
      <c r="E64" s="24">
        <v>6099</v>
      </c>
      <c r="F64" s="24">
        <v>8177</v>
      </c>
      <c r="G64" s="24" t="s">
        <v>155</v>
      </c>
    </row>
    <row r="65" spans="1:7" x14ac:dyDescent="0.4">
      <c r="A65" s="22" t="s">
        <v>644</v>
      </c>
      <c r="B65" s="22"/>
      <c r="C65" s="24" t="s">
        <v>155</v>
      </c>
      <c r="D65" s="24" t="s">
        <v>155</v>
      </c>
      <c r="E65" s="24" t="s">
        <v>155</v>
      </c>
      <c r="F65" s="24" t="s">
        <v>155</v>
      </c>
      <c r="G65" s="24" t="s">
        <v>155</v>
      </c>
    </row>
    <row r="66" spans="1:7" x14ac:dyDescent="0.4">
      <c r="A66" s="22" t="s">
        <v>643</v>
      </c>
      <c r="B66" s="22"/>
      <c r="C66" s="24" t="s">
        <v>155</v>
      </c>
      <c r="D66" s="24" t="s">
        <v>155</v>
      </c>
      <c r="E66" s="24" t="s">
        <v>155</v>
      </c>
      <c r="F66" s="24" t="s">
        <v>155</v>
      </c>
      <c r="G66" s="24">
        <v>9075</v>
      </c>
    </row>
    <row r="67" spans="1:7" x14ac:dyDescent="0.4">
      <c r="A67" s="22" t="s">
        <v>642</v>
      </c>
      <c r="B67" s="22"/>
      <c r="C67" s="24">
        <v>1850</v>
      </c>
      <c r="D67" s="24">
        <v>2260</v>
      </c>
      <c r="E67" s="24">
        <v>2342</v>
      </c>
      <c r="F67" s="24">
        <v>3005</v>
      </c>
      <c r="G67" s="24" t="s">
        <v>155</v>
      </c>
    </row>
    <row r="68" spans="1:7" x14ac:dyDescent="0.4">
      <c r="A68" s="22" t="s">
        <v>642</v>
      </c>
      <c r="B68" s="22"/>
      <c r="C68" s="24" t="s">
        <v>155</v>
      </c>
      <c r="D68" s="24" t="s">
        <v>155</v>
      </c>
      <c r="E68" s="24" t="s">
        <v>155</v>
      </c>
      <c r="F68" s="24" t="s">
        <v>155</v>
      </c>
      <c r="G68" s="24">
        <v>3524</v>
      </c>
    </row>
    <row r="69" spans="1:7" x14ac:dyDescent="0.4">
      <c r="A69" s="22" t="s">
        <v>641</v>
      </c>
      <c r="B69" s="22"/>
      <c r="C69" s="24">
        <v>1736</v>
      </c>
      <c r="D69" s="24">
        <v>2443</v>
      </c>
      <c r="E69" s="24">
        <v>3281</v>
      </c>
      <c r="F69" s="24">
        <v>3269</v>
      </c>
      <c r="G69" s="24">
        <v>5265</v>
      </c>
    </row>
    <row r="70" spans="1:7" x14ac:dyDescent="0.4">
      <c r="A70" s="17" t="s">
        <v>640</v>
      </c>
      <c r="B70" s="17"/>
      <c r="C70" s="16">
        <v>14510</v>
      </c>
      <c r="D70" s="16">
        <v>15739</v>
      </c>
      <c r="E70" s="16">
        <v>20853</v>
      </c>
      <c r="F70" s="16">
        <v>23098</v>
      </c>
      <c r="G70" s="16" t="s">
        <v>155</v>
      </c>
    </row>
    <row r="71" spans="1:7" x14ac:dyDescent="0.4">
      <c r="A71" s="17" t="s">
        <v>640</v>
      </c>
      <c r="B71" s="17"/>
      <c r="C71" s="16" t="s">
        <v>155</v>
      </c>
      <c r="D71" s="16" t="s">
        <v>155</v>
      </c>
      <c r="E71" s="16" t="s">
        <v>155</v>
      </c>
      <c r="F71" s="16">
        <v>-5015</v>
      </c>
      <c r="G71" s="16">
        <v>26517</v>
      </c>
    </row>
    <row r="72" spans="1:7" x14ac:dyDescent="0.4">
      <c r="A72" s="22" t="s">
        <v>639</v>
      </c>
      <c r="B72" s="21"/>
      <c r="C72" s="21"/>
      <c r="D72" s="21"/>
      <c r="E72" s="21"/>
      <c r="F72" s="21"/>
      <c r="G72" s="21"/>
    </row>
    <row r="73" spans="1:7" x14ac:dyDescent="0.4">
      <c r="A73" s="22" t="s">
        <v>638</v>
      </c>
      <c r="B73" s="22"/>
      <c r="C73" s="24">
        <v>14510</v>
      </c>
      <c r="D73" s="24">
        <v>45307</v>
      </c>
      <c r="E73" s="24">
        <v>49920</v>
      </c>
      <c r="F73" s="24">
        <v>5015</v>
      </c>
      <c r="G73" s="24" t="s">
        <v>155</v>
      </c>
    </row>
    <row r="74" spans="1:7" x14ac:dyDescent="0.4">
      <c r="A74" s="22" t="s">
        <v>637</v>
      </c>
      <c r="B74" s="22"/>
      <c r="C74" s="24">
        <v>44709</v>
      </c>
      <c r="D74" s="24">
        <v>15739</v>
      </c>
      <c r="E74" s="24">
        <v>20853</v>
      </c>
      <c r="F74" s="24">
        <v>5114</v>
      </c>
      <c r="G74" s="24" t="s">
        <v>155</v>
      </c>
    </row>
    <row r="75" spans="1:7" x14ac:dyDescent="0.4">
      <c r="A75" s="22" t="s">
        <v>636</v>
      </c>
      <c r="B75" s="22"/>
      <c r="C75" s="24" t="s">
        <v>155</v>
      </c>
      <c r="D75" s="24" t="s">
        <v>155</v>
      </c>
      <c r="E75" s="24" t="s">
        <v>155</v>
      </c>
      <c r="F75" s="24">
        <v>20463</v>
      </c>
      <c r="G75" s="24" t="s">
        <v>155</v>
      </c>
    </row>
    <row r="76" spans="1:7" x14ac:dyDescent="0.4">
      <c r="A76" s="22" t="s">
        <v>635</v>
      </c>
      <c r="B76" s="22"/>
      <c r="C76" s="24" t="s">
        <v>155</v>
      </c>
      <c r="D76" s="24" t="s">
        <v>155</v>
      </c>
      <c r="E76" s="24" t="s">
        <v>155</v>
      </c>
      <c r="F76" s="24">
        <v>3091</v>
      </c>
      <c r="G76" s="24" t="s">
        <v>155</v>
      </c>
    </row>
    <row r="77" spans="1:7" x14ac:dyDescent="0.4">
      <c r="A77" s="22" t="s">
        <v>634</v>
      </c>
      <c r="B77" s="22"/>
      <c r="C77" s="24">
        <v>21071</v>
      </c>
      <c r="D77" s="24">
        <v>19978</v>
      </c>
      <c r="E77" s="24">
        <v>20200</v>
      </c>
      <c r="F77" s="24">
        <v>20463</v>
      </c>
      <c r="G77" s="24" t="s">
        <v>155</v>
      </c>
    </row>
    <row r="78" spans="1:7" x14ac:dyDescent="0.4">
      <c r="A78" s="22" t="s">
        <v>634</v>
      </c>
      <c r="B78" s="22"/>
      <c r="C78" s="24" t="s">
        <v>155</v>
      </c>
      <c r="D78" s="24" t="s">
        <v>155</v>
      </c>
      <c r="E78" s="24" t="s">
        <v>155</v>
      </c>
      <c r="F78" s="24" t="s">
        <v>155</v>
      </c>
      <c r="G78" s="24">
        <v>20836</v>
      </c>
    </row>
    <row r="79" spans="1:7" x14ac:dyDescent="0.4">
      <c r="A79" s="22" t="s">
        <v>588</v>
      </c>
      <c r="B79" s="22"/>
      <c r="C79" s="24">
        <v>5237</v>
      </c>
      <c r="D79" s="24">
        <v>6128</v>
      </c>
      <c r="E79" s="24">
        <v>5332</v>
      </c>
      <c r="F79" s="24">
        <v>5114</v>
      </c>
      <c r="G79" s="24" t="s">
        <v>155</v>
      </c>
    </row>
    <row r="80" spans="1:7" x14ac:dyDescent="0.4">
      <c r="A80" s="22" t="s">
        <v>588</v>
      </c>
      <c r="B80" s="22"/>
      <c r="C80" s="24" t="s">
        <v>155</v>
      </c>
      <c r="D80" s="24" t="s">
        <v>155</v>
      </c>
      <c r="E80" s="24" t="s">
        <v>155</v>
      </c>
      <c r="F80" s="24" t="s">
        <v>155</v>
      </c>
      <c r="G80" s="24">
        <v>5301</v>
      </c>
    </row>
    <row r="81" spans="1:7" x14ac:dyDescent="0.4">
      <c r="A81" s="22" t="s">
        <v>633</v>
      </c>
      <c r="B81" s="22"/>
      <c r="C81" s="24">
        <v>3891</v>
      </c>
      <c r="D81" s="24">
        <v>3462</v>
      </c>
      <c r="E81" s="24">
        <v>3535</v>
      </c>
      <c r="F81" s="24">
        <v>3091</v>
      </c>
      <c r="G81" s="24">
        <v>2720</v>
      </c>
    </row>
    <row r="82" spans="1:7" x14ac:dyDescent="0.4">
      <c r="A82" s="22" t="s">
        <v>633</v>
      </c>
      <c r="B82" s="22"/>
      <c r="C82" s="24" t="s">
        <v>155</v>
      </c>
      <c r="D82" s="24" t="s">
        <v>155</v>
      </c>
      <c r="E82" s="24" t="s">
        <v>155</v>
      </c>
      <c r="F82" s="24" t="s">
        <v>155</v>
      </c>
      <c r="G82" s="24" t="s">
        <v>155</v>
      </c>
    </row>
    <row r="83" spans="1:7" x14ac:dyDescent="0.4">
      <c r="A83" s="22" t="s">
        <v>632</v>
      </c>
      <c r="B83" s="22"/>
      <c r="C83" s="24" t="s">
        <v>155</v>
      </c>
      <c r="D83" s="24">
        <v>2334</v>
      </c>
      <c r="E83" s="24">
        <v>3726</v>
      </c>
      <c r="F83" s="24">
        <v>5015</v>
      </c>
      <c r="G83" s="24" t="s">
        <v>155</v>
      </c>
    </row>
    <row r="84" spans="1:7" x14ac:dyDescent="0.4">
      <c r="A84" s="17" t="s">
        <v>631</v>
      </c>
      <c r="B84" s="17"/>
      <c r="C84" s="16">
        <v>44709</v>
      </c>
      <c r="D84" s="16">
        <v>45307</v>
      </c>
      <c r="E84" s="16">
        <v>49920</v>
      </c>
      <c r="F84" s="16">
        <v>51766</v>
      </c>
      <c r="G84" s="16" t="s">
        <v>155</v>
      </c>
    </row>
    <row r="85" spans="1:7" x14ac:dyDescent="0.4">
      <c r="A85" s="17" t="s">
        <v>631</v>
      </c>
      <c r="B85" s="17"/>
      <c r="C85" s="16" t="s">
        <v>155</v>
      </c>
      <c r="D85" s="16" t="s">
        <v>155</v>
      </c>
      <c r="E85" s="16" t="s">
        <v>155</v>
      </c>
      <c r="F85" s="16" t="s">
        <v>155</v>
      </c>
      <c r="G85" s="16">
        <v>55374</v>
      </c>
    </row>
    <row r="86" spans="1:7" x14ac:dyDescent="0.4">
      <c r="A86" s="22" t="s">
        <v>630</v>
      </c>
      <c r="B86" s="21"/>
      <c r="C86" s="21"/>
      <c r="D86" s="21"/>
      <c r="E86" s="21"/>
      <c r="F86" s="21"/>
      <c r="G86" s="21"/>
    </row>
    <row r="87" spans="1:7" x14ac:dyDescent="0.4">
      <c r="A87" s="22" t="s">
        <v>619</v>
      </c>
      <c r="B87" s="22"/>
      <c r="C87" s="24">
        <v>1106</v>
      </c>
      <c r="D87" s="24">
        <v>1071</v>
      </c>
      <c r="E87" s="24">
        <v>2324</v>
      </c>
      <c r="F87" s="24">
        <v>1698</v>
      </c>
      <c r="G87" s="24">
        <v>1031</v>
      </c>
    </row>
    <row r="88" spans="1:7" x14ac:dyDescent="0.4">
      <c r="A88" s="22" t="s">
        <v>629</v>
      </c>
      <c r="B88" s="22"/>
      <c r="C88" s="24">
        <v>1543</v>
      </c>
      <c r="D88" s="24">
        <v>486</v>
      </c>
      <c r="E88" s="24" t="s">
        <v>155</v>
      </c>
      <c r="F88" s="24" t="s">
        <v>155</v>
      </c>
      <c r="G88" s="24" t="s">
        <v>155</v>
      </c>
    </row>
    <row r="89" spans="1:7" x14ac:dyDescent="0.4">
      <c r="A89" s="22" t="s">
        <v>628</v>
      </c>
      <c r="B89" s="22"/>
      <c r="C89" s="24">
        <v>2437</v>
      </c>
      <c r="D89" s="24">
        <v>1523</v>
      </c>
      <c r="E89" s="24" t="s">
        <v>155</v>
      </c>
      <c r="F89" s="24" t="s">
        <v>155</v>
      </c>
      <c r="G89" s="24" t="s">
        <v>155</v>
      </c>
    </row>
    <row r="90" spans="1:7" x14ac:dyDescent="0.4">
      <c r="A90" s="22" t="s">
        <v>585</v>
      </c>
      <c r="B90" s="22"/>
      <c r="C90" s="24" t="s">
        <v>155</v>
      </c>
      <c r="D90" s="24" t="s">
        <v>155</v>
      </c>
      <c r="E90" s="24" t="s">
        <v>155</v>
      </c>
      <c r="F90" s="24" t="s">
        <v>155</v>
      </c>
      <c r="G90" s="24" t="s">
        <v>155</v>
      </c>
    </row>
    <row r="91" spans="1:7" x14ac:dyDescent="0.4">
      <c r="A91" s="22" t="s">
        <v>584</v>
      </c>
      <c r="B91" s="22"/>
      <c r="C91" s="24">
        <v>354</v>
      </c>
      <c r="D91" s="24">
        <v>436</v>
      </c>
      <c r="E91" s="24">
        <v>2369</v>
      </c>
      <c r="F91" s="24">
        <v>-1317</v>
      </c>
      <c r="G91" s="24" t="s">
        <v>155</v>
      </c>
    </row>
    <row r="92" spans="1:7" x14ac:dyDescent="0.4">
      <c r="A92" s="22" t="s">
        <v>584</v>
      </c>
      <c r="B92" s="22"/>
      <c r="C92" s="24" t="s">
        <v>155</v>
      </c>
      <c r="D92" s="24" t="s">
        <v>155</v>
      </c>
      <c r="E92" s="24" t="s">
        <v>155</v>
      </c>
      <c r="F92" s="24" t="s">
        <v>155</v>
      </c>
      <c r="G92" s="24">
        <v>-308</v>
      </c>
    </row>
    <row r="93" spans="1:7" x14ac:dyDescent="0.4">
      <c r="A93" s="22" t="s">
        <v>583</v>
      </c>
      <c r="B93" s="22"/>
      <c r="C93" s="24">
        <v>14088</v>
      </c>
      <c r="D93" s="24">
        <v>15351</v>
      </c>
      <c r="E93" s="24">
        <v>16116</v>
      </c>
      <c r="F93" s="24">
        <v>18040</v>
      </c>
      <c r="G93" s="24" t="s">
        <v>155</v>
      </c>
    </row>
    <row r="94" spans="1:7" x14ac:dyDescent="0.4">
      <c r="A94" s="22" t="s">
        <v>583</v>
      </c>
      <c r="B94" s="22"/>
      <c r="C94" s="24" t="s">
        <v>155</v>
      </c>
      <c r="D94" s="24" t="s">
        <v>155</v>
      </c>
      <c r="E94" s="24" t="s">
        <v>155</v>
      </c>
      <c r="F94" s="24" t="s">
        <v>155</v>
      </c>
      <c r="G94" s="24">
        <v>17289</v>
      </c>
    </row>
    <row r="95" spans="1:7" x14ac:dyDescent="0.4">
      <c r="A95" s="22" t="s">
        <v>582</v>
      </c>
      <c r="B95" s="22"/>
      <c r="C95" s="24">
        <v>39</v>
      </c>
      <c r="D95" s="24">
        <v>-133</v>
      </c>
      <c r="E95" s="24">
        <v>35</v>
      </c>
      <c r="F95" s="24">
        <v>-140</v>
      </c>
      <c r="G95" s="24" t="s">
        <v>155</v>
      </c>
    </row>
    <row r="96" spans="1:7" x14ac:dyDescent="0.4">
      <c r="A96" s="22" t="s">
        <v>582</v>
      </c>
      <c r="B96" s="22"/>
      <c r="C96" s="24" t="s">
        <v>155</v>
      </c>
      <c r="D96" s="24" t="s">
        <v>155</v>
      </c>
      <c r="E96" s="24" t="s">
        <v>155</v>
      </c>
      <c r="F96" s="24" t="s">
        <v>155</v>
      </c>
      <c r="G96" s="24">
        <v>-104</v>
      </c>
    </row>
    <row r="97" spans="1:7" x14ac:dyDescent="0.4">
      <c r="A97" s="22" t="s">
        <v>581</v>
      </c>
      <c r="B97" s="22"/>
      <c r="C97" s="24" t="s">
        <v>155</v>
      </c>
      <c r="D97" s="24" t="s">
        <v>155</v>
      </c>
      <c r="E97" s="24" t="s">
        <v>155</v>
      </c>
      <c r="F97" s="24" t="s">
        <v>155</v>
      </c>
      <c r="G97" s="24">
        <v>10</v>
      </c>
    </row>
    <row r="98" spans="1:7" x14ac:dyDescent="0.4">
      <c r="A98" s="22" t="s">
        <v>580</v>
      </c>
      <c r="B98" s="22"/>
      <c r="C98" s="24" t="s">
        <v>155</v>
      </c>
      <c r="D98" s="24" t="s">
        <v>155</v>
      </c>
      <c r="E98" s="24" t="s">
        <v>155</v>
      </c>
      <c r="F98" s="24" t="s">
        <v>155</v>
      </c>
      <c r="G98" s="24" t="s">
        <v>155</v>
      </c>
    </row>
    <row r="99" spans="1:7" x14ac:dyDescent="0.4">
      <c r="A99" s="22" t="s">
        <v>627</v>
      </c>
      <c r="B99" s="22"/>
      <c r="C99" s="24">
        <v>245</v>
      </c>
      <c r="D99" s="24" t="s">
        <v>155</v>
      </c>
      <c r="E99" s="24" t="s">
        <v>155</v>
      </c>
      <c r="F99" s="24">
        <v>1849</v>
      </c>
      <c r="G99" s="24" t="s">
        <v>155</v>
      </c>
    </row>
    <row r="100" spans="1:7" x14ac:dyDescent="0.4">
      <c r="A100" s="22" t="s">
        <v>578</v>
      </c>
      <c r="B100" s="22"/>
      <c r="C100" s="24" t="s">
        <v>155</v>
      </c>
      <c r="D100" s="24" t="s">
        <v>155</v>
      </c>
      <c r="E100" s="24">
        <v>1890</v>
      </c>
      <c r="F100" s="24" t="s">
        <v>155</v>
      </c>
      <c r="G100" s="24" t="s">
        <v>155</v>
      </c>
    </row>
    <row r="101" spans="1:7" x14ac:dyDescent="0.4">
      <c r="A101" s="22" t="s">
        <v>626</v>
      </c>
      <c r="B101" s="22"/>
      <c r="C101" s="24">
        <v>11</v>
      </c>
      <c r="D101" s="24">
        <v>10</v>
      </c>
      <c r="E101" s="24" t="s">
        <v>155</v>
      </c>
      <c r="F101" s="24" t="s">
        <v>155</v>
      </c>
      <c r="G101" s="24" t="s">
        <v>155</v>
      </c>
    </row>
    <row r="102" spans="1:7" x14ac:dyDescent="0.4">
      <c r="A102" s="22" t="s">
        <v>625</v>
      </c>
      <c r="B102" s="22"/>
      <c r="C102" s="24">
        <v>245</v>
      </c>
      <c r="D102" s="24">
        <v>245</v>
      </c>
      <c r="E102" s="24" t="s">
        <v>155</v>
      </c>
      <c r="F102" s="24" t="s">
        <v>155</v>
      </c>
      <c r="G102" s="24" t="s">
        <v>155</v>
      </c>
    </row>
    <row r="103" spans="1:7" x14ac:dyDescent="0.4">
      <c r="A103" s="22" t="s">
        <v>624</v>
      </c>
      <c r="B103" s="22"/>
      <c r="C103" s="24">
        <v>1683</v>
      </c>
      <c r="D103" s="24">
        <v>1677</v>
      </c>
      <c r="E103" s="24" t="s">
        <v>155</v>
      </c>
      <c r="F103" s="24" t="s">
        <v>155</v>
      </c>
      <c r="G103" s="24" t="s">
        <v>155</v>
      </c>
    </row>
    <row r="104" spans="1:7" x14ac:dyDescent="0.4">
      <c r="A104" s="22" t="s">
        <v>578</v>
      </c>
      <c r="B104" s="22"/>
      <c r="C104" s="24" t="s">
        <v>155</v>
      </c>
      <c r="D104" s="24" t="s">
        <v>155</v>
      </c>
      <c r="E104" s="24" t="s">
        <v>155</v>
      </c>
      <c r="F104" s="24" t="s">
        <v>155</v>
      </c>
      <c r="G104" s="24">
        <v>1733</v>
      </c>
    </row>
    <row r="105" spans="1:7" x14ac:dyDescent="0.4">
      <c r="A105" s="22" t="s">
        <v>578</v>
      </c>
      <c r="B105" s="22"/>
      <c r="C105" s="24" t="s">
        <v>155</v>
      </c>
      <c r="D105" s="24" t="s">
        <v>155</v>
      </c>
      <c r="E105" s="24" t="s">
        <v>155</v>
      </c>
      <c r="F105" s="24" t="s">
        <v>155</v>
      </c>
      <c r="G105" s="24">
        <v>125</v>
      </c>
    </row>
    <row r="106" spans="1:7" x14ac:dyDescent="0.4">
      <c r="A106" s="22" t="s">
        <v>577</v>
      </c>
      <c r="B106" s="22"/>
      <c r="C106" s="24">
        <v>1E-4</v>
      </c>
      <c r="D106" s="24">
        <v>1E-4</v>
      </c>
      <c r="E106" s="24">
        <v>1E-4</v>
      </c>
      <c r="F106" s="24">
        <v>1E-4</v>
      </c>
      <c r="G106" s="24">
        <v>1E-4</v>
      </c>
    </row>
    <row r="107" spans="1:7" x14ac:dyDescent="0.4">
      <c r="A107" s="22" t="s">
        <v>623</v>
      </c>
      <c r="B107" s="22"/>
      <c r="C107" s="24">
        <v>16721</v>
      </c>
      <c r="D107" s="24">
        <v>18855</v>
      </c>
      <c r="E107" s="24">
        <v>19545</v>
      </c>
      <c r="F107" s="24">
        <v>20452</v>
      </c>
      <c r="G107" s="24">
        <v>21229</v>
      </c>
    </row>
    <row r="108" spans="1:7" x14ac:dyDescent="0.4">
      <c r="A108" s="22" t="s">
        <v>622</v>
      </c>
      <c r="B108" s="22"/>
      <c r="C108" s="24">
        <v>1683</v>
      </c>
      <c r="D108" s="24">
        <v>245</v>
      </c>
      <c r="E108" s="24">
        <v>1890</v>
      </c>
      <c r="F108" s="24">
        <v>1849</v>
      </c>
      <c r="G108" s="24">
        <v>125</v>
      </c>
    </row>
    <row r="109" spans="1:7" x14ac:dyDescent="0.4">
      <c r="A109" s="22" t="s">
        <v>622</v>
      </c>
      <c r="B109" s="22"/>
      <c r="C109" s="24">
        <v>245</v>
      </c>
      <c r="D109" s="24">
        <v>10</v>
      </c>
      <c r="E109" s="24" t="s">
        <v>155</v>
      </c>
      <c r="F109" s="24" t="s">
        <v>155</v>
      </c>
      <c r="G109" s="24">
        <v>1733</v>
      </c>
    </row>
    <row r="110" spans="1:7" x14ac:dyDescent="0.4">
      <c r="A110" s="22" t="s">
        <v>622</v>
      </c>
      <c r="B110" s="22"/>
      <c r="C110" s="24">
        <v>11</v>
      </c>
      <c r="D110" s="24">
        <v>1677</v>
      </c>
      <c r="E110" s="24" t="s">
        <v>155</v>
      </c>
      <c r="F110" s="24" t="s">
        <v>155</v>
      </c>
      <c r="G110" s="24">
        <v>10</v>
      </c>
    </row>
    <row r="111" spans="1:7" x14ac:dyDescent="0.4">
      <c r="A111" s="22" t="s">
        <v>564</v>
      </c>
      <c r="B111" s="22"/>
      <c r="C111" s="24">
        <v>36210</v>
      </c>
      <c r="D111" s="24">
        <v>37589</v>
      </c>
      <c r="E111" s="24">
        <v>35581</v>
      </c>
      <c r="F111" s="24">
        <v>38733</v>
      </c>
      <c r="G111" s="24" t="s">
        <v>155</v>
      </c>
    </row>
    <row r="112" spans="1:7" x14ac:dyDescent="0.4">
      <c r="A112" s="22" t="s">
        <v>564</v>
      </c>
      <c r="B112" s="22"/>
      <c r="C112" s="24" t="s">
        <v>155</v>
      </c>
      <c r="D112" s="24" t="s">
        <v>155</v>
      </c>
      <c r="E112" s="24" t="s">
        <v>155</v>
      </c>
      <c r="F112" s="24" t="s">
        <v>155</v>
      </c>
      <c r="G112" s="24">
        <v>39137</v>
      </c>
    </row>
    <row r="113" spans="1:7" x14ac:dyDescent="0.4">
      <c r="A113" s="22" t="s">
        <v>621</v>
      </c>
      <c r="B113" s="22"/>
      <c r="C113" s="24">
        <v>2437</v>
      </c>
      <c r="D113" s="24">
        <v>486</v>
      </c>
      <c r="E113" s="24">
        <v>2324</v>
      </c>
      <c r="F113" s="24">
        <v>1698</v>
      </c>
      <c r="G113" s="24">
        <v>1031</v>
      </c>
    </row>
    <row r="114" spans="1:7" x14ac:dyDescent="0.4">
      <c r="A114" s="22" t="s">
        <v>620</v>
      </c>
      <c r="B114" s="22"/>
      <c r="C114" s="24">
        <v>1106</v>
      </c>
      <c r="D114" s="24">
        <v>1071</v>
      </c>
      <c r="E114" s="24" t="s">
        <v>155</v>
      </c>
      <c r="F114" s="24" t="s">
        <v>155</v>
      </c>
      <c r="G114" s="24" t="s">
        <v>155</v>
      </c>
    </row>
    <row r="115" spans="1:7" x14ac:dyDescent="0.4">
      <c r="A115" s="22" t="s">
        <v>619</v>
      </c>
      <c r="B115" s="22"/>
      <c r="C115" s="24">
        <v>1543</v>
      </c>
      <c r="D115" s="24">
        <v>1523</v>
      </c>
      <c r="E115" s="24" t="s">
        <v>155</v>
      </c>
      <c r="F115" s="24" t="s">
        <v>155</v>
      </c>
      <c r="G115" s="24" t="s">
        <v>155</v>
      </c>
    </row>
    <row r="116" spans="1:7" x14ac:dyDescent="0.4">
      <c r="A116" s="22" t="s">
        <v>618</v>
      </c>
      <c r="B116" s="22"/>
      <c r="C116" s="24">
        <v>2001622</v>
      </c>
      <c r="D116" s="24">
        <v>2001622</v>
      </c>
      <c r="E116" s="24">
        <v>2001622</v>
      </c>
      <c r="F116" s="24">
        <v>2001622</v>
      </c>
      <c r="G116" s="24" t="s">
        <v>155</v>
      </c>
    </row>
    <row r="117" spans="1:7" x14ac:dyDescent="0.4">
      <c r="A117" s="22" t="s">
        <v>617</v>
      </c>
      <c r="B117" s="22"/>
      <c r="C117" s="24">
        <v>622</v>
      </c>
      <c r="D117" s="24">
        <v>622</v>
      </c>
      <c r="E117" s="24" t="s">
        <v>155</v>
      </c>
      <c r="F117" s="24" t="s">
        <v>155</v>
      </c>
      <c r="G117" s="24" t="s">
        <v>155</v>
      </c>
    </row>
    <row r="118" spans="1:7" x14ac:dyDescent="0.4">
      <c r="A118" s="22" t="s">
        <v>616</v>
      </c>
      <c r="B118" s="22"/>
      <c r="C118" s="24">
        <v>1097</v>
      </c>
      <c r="D118" s="24">
        <v>1097</v>
      </c>
      <c r="E118" s="24" t="s">
        <v>155</v>
      </c>
      <c r="F118" s="24" t="s">
        <v>155</v>
      </c>
      <c r="G118" s="24" t="s">
        <v>155</v>
      </c>
    </row>
    <row r="119" spans="1:7" x14ac:dyDescent="0.4">
      <c r="A119" s="22" t="s">
        <v>615</v>
      </c>
      <c r="B119" s="22"/>
      <c r="C119" s="24">
        <v>25</v>
      </c>
      <c r="D119" s="24">
        <v>25</v>
      </c>
      <c r="E119" s="24" t="s">
        <v>155</v>
      </c>
      <c r="F119" s="24" t="s">
        <v>155</v>
      </c>
      <c r="G119" s="24" t="s">
        <v>155</v>
      </c>
    </row>
    <row r="120" spans="1:7" x14ac:dyDescent="0.4">
      <c r="A120" s="22" t="s">
        <v>614</v>
      </c>
      <c r="B120" s="22"/>
      <c r="C120" s="24">
        <v>3</v>
      </c>
      <c r="D120" s="24">
        <v>3</v>
      </c>
      <c r="E120" s="24">
        <v>5</v>
      </c>
      <c r="F120" s="24">
        <v>5</v>
      </c>
      <c r="G120" s="24">
        <v>5.0000000000000004E-6</v>
      </c>
    </row>
    <row r="121" spans="1:7" x14ac:dyDescent="0.4">
      <c r="A121" s="22" t="s">
        <v>614</v>
      </c>
      <c r="B121" s="22"/>
      <c r="C121" s="24">
        <v>2</v>
      </c>
      <c r="D121" s="24">
        <v>0</v>
      </c>
      <c r="E121" s="24" t="s">
        <v>155</v>
      </c>
      <c r="F121" s="24" t="s">
        <v>155</v>
      </c>
      <c r="G121" s="24" t="s">
        <v>155</v>
      </c>
    </row>
    <row r="122" spans="1:7" x14ac:dyDescent="0.4">
      <c r="A122" s="22" t="s">
        <v>613</v>
      </c>
      <c r="B122" s="22"/>
      <c r="C122" s="24">
        <v>0</v>
      </c>
      <c r="D122" s="24">
        <v>2</v>
      </c>
      <c r="E122" s="24" t="s">
        <v>155</v>
      </c>
      <c r="F122" s="24" t="s">
        <v>155</v>
      </c>
      <c r="G122" s="24" t="s">
        <v>155</v>
      </c>
    </row>
    <row r="123" spans="1:7" x14ac:dyDescent="0.4">
      <c r="A123" s="22" t="s">
        <v>612</v>
      </c>
      <c r="B123" s="22"/>
      <c r="C123" s="24">
        <v>36210</v>
      </c>
      <c r="D123" s="24">
        <v>37589</v>
      </c>
      <c r="E123" s="24">
        <v>35581</v>
      </c>
      <c r="F123" s="24">
        <v>38733</v>
      </c>
      <c r="G123" s="24" t="s">
        <v>155</v>
      </c>
    </row>
    <row r="124" spans="1:7" x14ac:dyDescent="0.4">
      <c r="A124" s="22" t="s">
        <v>612</v>
      </c>
      <c r="B124" s="22"/>
      <c r="C124" s="24" t="s">
        <v>155</v>
      </c>
      <c r="D124" s="24" t="s">
        <v>155</v>
      </c>
      <c r="E124" s="24" t="s">
        <v>155</v>
      </c>
      <c r="F124" s="24" t="s">
        <v>155</v>
      </c>
      <c r="G124" s="24">
        <v>39137</v>
      </c>
    </row>
    <row r="125" spans="1:7" x14ac:dyDescent="0.4">
      <c r="A125" s="17" t="s">
        <v>611</v>
      </c>
      <c r="B125" s="17"/>
      <c r="C125" s="16">
        <v>80919</v>
      </c>
      <c r="D125" s="16">
        <v>82896</v>
      </c>
      <c r="E125" s="16">
        <v>85501</v>
      </c>
      <c r="F125" s="16">
        <v>90499</v>
      </c>
      <c r="G125" s="16" t="s">
        <v>155</v>
      </c>
    </row>
    <row r="126" spans="1:7" x14ac:dyDescent="0.4">
      <c r="A126" s="17" t="s">
        <v>611</v>
      </c>
      <c r="B126" s="17"/>
      <c r="C126" s="16" t="s">
        <v>155</v>
      </c>
      <c r="D126" s="16" t="s">
        <v>155</v>
      </c>
      <c r="E126" s="16" t="s">
        <v>155</v>
      </c>
      <c r="F126" s="16" t="s">
        <v>155</v>
      </c>
      <c r="G126" s="16">
        <v>94511</v>
      </c>
    </row>
    <row r="127" spans="1:7" x14ac:dyDescent="0.4">
      <c r="A127" s="22" t="s">
        <v>610</v>
      </c>
      <c r="B127" s="21"/>
      <c r="C127" s="21"/>
      <c r="D127" s="21"/>
      <c r="E127" s="21"/>
      <c r="F127" s="21"/>
      <c r="G127" s="21"/>
    </row>
    <row r="128" spans="1:7" x14ac:dyDescent="0.4">
      <c r="A128" s="22" t="s">
        <v>609</v>
      </c>
      <c r="B128" s="22"/>
      <c r="C128" s="24" t="s">
        <v>155</v>
      </c>
      <c r="D128" s="24">
        <v>4.6905000000000001</v>
      </c>
      <c r="E128" s="24">
        <v>4.5264480000000002</v>
      </c>
      <c r="F128" s="24">
        <v>5.7943199999999999</v>
      </c>
      <c r="G128" s="24">
        <v>6.4173970000000002</v>
      </c>
    </row>
    <row r="129" spans="1:7" x14ac:dyDescent="0.4">
      <c r="A129" s="22" t="s">
        <v>608</v>
      </c>
      <c r="B129" s="22"/>
      <c r="C129" s="24" t="s">
        <v>155</v>
      </c>
      <c r="D129" s="24">
        <v>2.4862190000000002</v>
      </c>
      <c r="E129" s="24">
        <v>3.9673129999999999</v>
      </c>
      <c r="F129" s="24">
        <v>3.3731369999999998</v>
      </c>
      <c r="G129" s="24">
        <v>3.2218420000000001</v>
      </c>
    </row>
    <row r="130" spans="1:7" x14ac:dyDescent="0.4">
      <c r="A130" s="22" t="s">
        <v>607</v>
      </c>
      <c r="B130" s="22"/>
      <c r="C130" s="24" t="s">
        <v>155</v>
      </c>
      <c r="D130" s="24">
        <v>2.327105</v>
      </c>
      <c r="E130" s="24">
        <v>2.1666620000000001</v>
      </c>
      <c r="F130" s="24">
        <v>2.428334</v>
      </c>
      <c r="G130" s="24">
        <v>-2.9538600000000002</v>
      </c>
    </row>
    <row r="131" spans="1:7" x14ac:dyDescent="0.4">
      <c r="A131" s="22" t="s">
        <v>448</v>
      </c>
      <c r="B131" s="22"/>
      <c r="C131" s="24" t="s">
        <v>155</v>
      </c>
      <c r="D131" s="24">
        <v>0.32316600000000001</v>
      </c>
      <c r="E131" s="24">
        <v>0.532779</v>
      </c>
      <c r="F131" s="24">
        <v>0.32172600000000001</v>
      </c>
      <c r="G131" s="24">
        <v>-0.32571800000000001</v>
      </c>
    </row>
    <row r="132" spans="1:7" x14ac:dyDescent="0.4">
      <c r="A132" s="22" t="s">
        <v>606</v>
      </c>
      <c r="B132" s="22"/>
      <c r="C132" s="24">
        <v>71</v>
      </c>
      <c r="D132" s="24">
        <v>72</v>
      </c>
      <c r="E132" s="24">
        <v>72</v>
      </c>
      <c r="F132" s="24">
        <v>71</v>
      </c>
      <c r="G132" s="24" t="s">
        <v>155</v>
      </c>
    </row>
    <row r="133" spans="1:7" x14ac:dyDescent="0.4">
      <c r="A133" s="22" t="s">
        <v>606</v>
      </c>
      <c r="B133" s="22"/>
      <c r="C133" s="24" t="s">
        <v>155</v>
      </c>
      <c r="D133" s="24" t="s">
        <v>155</v>
      </c>
      <c r="E133" s="24" t="s">
        <v>155</v>
      </c>
      <c r="F133" s="24" t="s">
        <v>155</v>
      </c>
      <c r="G133" s="24">
        <v>72</v>
      </c>
    </row>
    <row r="134" spans="1:7" x14ac:dyDescent="0.4">
      <c r="A134" s="22" t="s">
        <v>605</v>
      </c>
      <c r="B134" s="22"/>
      <c r="C134" s="24">
        <v>1007</v>
      </c>
      <c r="D134" s="24">
        <v>1008</v>
      </c>
      <c r="E134" s="24">
        <v>1003</v>
      </c>
      <c r="F134" s="24">
        <v>1022</v>
      </c>
      <c r="G134" s="24" t="s">
        <v>155</v>
      </c>
    </row>
    <row r="135" spans="1:7" x14ac:dyDescent="0.4">
      <c r="A135" s="22" t="s">
        <v>605</v>
      </c>
      <c r="B135" s="22"/>
      <c r="C135" s="24" t="s">
        <v>155</v>
      </c>
      <c r="D135" s="24" t="s">
        <v>155</v>
      </c>
      <c r="E135" s="24" t="s">
        <v>155</v>
      </c>
      <c r="F135" s="24" t="s">
        <v>155</v>
      </c>
      <c r="G135" s="24">
        <v>1042</v>
      </c>
    </row>
    <row r="136" spans="1:7" x14ac:dyDescent="0.4">
      <c r="A136" s="22" t="s">
        <v>604</v>
      </c>
      <c r="B136" s="22"/>
      <c r="C136" s="24">
        <v>163</v>
      </c>
      <c r="D136" s="24">
        <v>226</v>
      </c>
      <c r="E136" s="24">
        <v>285</v>
      </c>
      <c r="F136" s="24">
        <v>344</v>
      </c>
      <c r="G136" s="24" t="s">
        <v>155</v>
      </c>
    </row>
    <row r="137" spans="1:7" x14ac:dyDescent="0.4">
      <c r="A137" s="22" t="s">
        <v>604</v>
      </c>
      <c r="B137" s="22"/>
      <c r="C137" s="24" t="s">
        <v>155</v>
      </c>
      <c r="D137" s="24" t="s">
        <v>155</v>
      </c>
      <c r="E137" s="24" t="s">
        <v>155</v>
      </c>
      <c r="F137" s="24" t="s">
        <v>155</v>
      </c>
      <c r="G137" s="24">
        <v>222</v>
      </c>
    </row>
    <row r="138" spans="1:7" x14ac:dyDescent="0.4">
      <c r="A138" s="22" t="s">
        <v>603</v>
      </c>
      <c r="B138" s="22"/>
      <c r="C138" s="24">
        <v>3923</v>
      </c>
      <c r="D138" s="24">
        <v>2048</v>
      </c>
      <c r="E138" s="24">
        <v>2230</v>
      </c>
      <c r="F138" s="24">
        <v>2146</v>
      </c>
      <c r="G138" s="24">
        <v>2301</v>
      </c>
    </row>
    <row r="139" spans="1:7" x14ac:dyDescent="0.4">
      <c r="A139" s="22" t="s">
        <v>602</v>
      </c>
      <c r="B139" s="22"/>
      <c r="C139" s="24">
        <v>1997</v>
      </c>
      <c r="D139" s="24">
        <v>4320</v>
      </c>
      <c r="E139" s="24">
        <v>5291</v>
      </c>
      <c r="F139" s="24">
        <v>5197</v>
      </c>
      <c r="G139" s="24">
        <v>5660</v>
      </c>
    </row>
    <row r="140" spans="1:7" x14ac:dyDescent="0.4">
      <c r="A140" s="22" t="s">
        <v>601</v>
      </c>
      <c r="B140" s="22"/>
      <c r="C140" s="24">
        <v>7161</v>
      </c>
      <c r="D140" s="24">
        <v>7674</v>
      </c>
      <c r="E140" s="24">
        <v>8881</v>
      </c>
      <c r="F140" s="24">
        <v>8780</v>
      </c>
      <c r="G140" s="24" t="s">
        <v>155</v>
      </c>
    </row>
    <row r="141" spans="1:7" x14ac:dyDescent="0.4">
      <c r="A141" s="22" t="s">
        <v>601</v>
      </c>
      <c r="B141" s="22"/>
      <c r="C141" s="24" t="s">
        <v>155</v>
      </c>
      <c r="D141" s="24" t="s">
        <v>155</v>
      </c>
      <c r="E141" s="24" t="s">
        <v>155</v>
      </c>
      <c r="F141" s="24" t="s">
        <v>155</v>
      </c>
      <c r="G141" s="24">
        <v>9297</v>
      </c>
    </row>
    <row r="142" spans="1:7" x14ac:dyDescent="0.4">
      <c r="A142" s="22" t="s">
        <v>600</v>
      </c>
      <c r="B142" s="22"/>
      <c r="C142" s="24">
        <v>4424</v>
      </c>
      <c r="D142" s="24">
        <v>-4959</v>
      </c>
      <c r="E142" s="24">
        <v>5658</v>
      </c>
      <c r="F142" s="24">
        <v>5355</v>
      </c>
      <c r="G142" s="24" t="s">
        <v>155</v>
      </c>
    </row>
    <row r="143" spans="1:7" x14ac:dyDescent="0.4">
      <c r="A143" s="22" t="s">
        <v>600</v>
      </c>
      <c r="B143" s="22"/>
      <c r="C143" s="24" t="s">
        <v>155</v>
      </c>
      <c r="D143" s="24" t="s">
        <v>155</v>
      </c>
      <c r="E143" s="24" t="s">
        <v>155</v>
      </c>
      <c r="F143" s="24" t="s">
        <v>155</v>
      </c>
      <c r="G143" s="24">
        <v>-5473</v>
      </c>
    </row>
    <row r="144" spans="1:7" x14ac:dyDescent="0.4">
      <c r="A144" s="22" t="s">
        <v>599</v>
      </c>
      <c r="B144" s="22"/>
      <c r="C144" s="24">
        <v>2737</v>
      </c>
      <c r="D144" s="24">
        <v>2715</v>
      </c>
      <c r="E144" s="24">
        <v>3223</v>
      </c>
      <c r="F144" s="24">
        <v>3425</v>
      </c>
      <c r="G144" s="24" t="s">
        <v>155</v>
      </c>
    </row>
    <row r="145" spans="1:7" x14ac:dyDescent="0.4">
      <c r="A145" s="22" t="s">
        <v>599</v>
      </c>
      <c r="B145" s="22"/>
      <c r="C145" s="24" t="s">
        <v>155</v>
      </c>
      <c r="D145" s="24" t="s">
        <v>155</v>
      </c>
      <c r="E145" s="24" t="s">
        <v>155</v>
      </c>
      <c r="F145" s="24" t="s">
        <v>155</v>
      </c>
      <c r="G145" s="24">
        <v>3824</v>
      </c>
    </row>
    <row r="146" spans="1:7" x14ac:dyDescent="0.4">
      <c r="A146" s="22" t="s">
        <v>598</v>
      </c>
      <c r="B146" s="22"/>
      <c r="C146" s="24">
        <v>798</v>
      </c>
      <c r="D146" s="24">
        <v>1046</v>
      </c>
      <c r="E146" s="24">
        <v>1167</v>
      </c>
      <c r="F146" s="24">
        <v>1553</v>
      </c>
      <c r="G146" s="24" t="s">
        <v>155</v>
      </c>
    </row>
    <row r="147" spans="1:7" x14ac:dyDescent="0.4">
      <c r="A147" s="22" t="s">
        <v>598</v>
      </c>
      <c r="B147" s="22"/>
      <c r="C147" s="24" t="s">
        <v>155</v>
      </c>
      <c r="D147" s="24" t="s">
        <v>155</v>
      </c>
      <c r="E147" s="24" t="s">
        <v>155</v>
      </c>
      <c r="F147" s="24" t="s">
        <v>155</v>
      </c>
      <c r="G147" s="24">
        <v>1641</v>
      </c>
    </row>
    <row r="148" spans="1:7" x14ac:dyDescent="0.4">
      <c r="A148" s="22" t="s">
        <v>597</v>
      </c>
      <c r="B148" s="22"/>
      <c r="C148" s="24" t="s">
        <v>155</v>
      </c>
      <c r="D148" s="24">
        <v>27323</v>
      </c>
      <c r="E148" s="24">
        <v>24706</v>
      </c>
      <c r="F148" s="24">
        <v>17997</v>
      </c>
      <c r="G148" s="24">
        <v>26641</v>
      </c>
    </row>
    <row r="149" spans="1:7" x14ac:dyDescent="0.4">
      <c r="A149" s="22" t="s">
        <v>596</v>
      </c>
      <c r="B149" s="22"/>
      <c r="C149" s="24" t="s">
        <v>155</v>
      </c>
      <c r="D149" s="24">
        <v>15958</v>
      </c>
      <c r="E149" s="24">
        <v>17787</v>
      </c>
      <c r="F149" s="24">
        <v>280</v>
      </c>
      <c r="G149" s="24">
        <v>248</v>
      </c>
    </row>
    <row r="150" spans="1:7" x14ac:dyDescent="0.4">
      <c r="A150" s="22" t="s">
        <v>595</v>
      </c>
      <c r="B150" s="22"/>
      <c r="C150" s="24" t="s">
        <v>155</v>
      </c>
      <c r="D150" s="24">
        <v>341</v>
      </c>
      <c r="E150" s="24">
        <v>359</v>
      </c>
      <c r="F150" s="24">
        <v>25824</v>
      </c>
      <c r="G150" s="24">
        <v>18941</v>
      </c>
    </row>
    <row r="151" spans="1:7" x14ac:dyDescent="0.4">
      <c r="A151" s="22" t="s">
        <v>594</v>
      </c>
      <c r="B151" s="22"/>
      <c r="C151" s="24">
        <v>6</v>
      </c>
      <c r="D151" s="24">
        <v>1</v>
      </c>
      <c r="E151" s="24">
        <v>0</v>
      </c>
      <c r="F151" s="24">
        <v>0</v>
      </c>
      <c r="G151" s="24">
        <v>0</v>
      </c>
    </row>
    <row r="152" spans="1:7" x14ac:dyDescent="0.4">
      <c r="A152" s="22" t="s">
        <v>593</v>
      </c>
      <c r="B152" s="22"/>
      <c r="C152" s="24">
        <v>3</v>
      </c>
      <c r="D152" s="24">
        <v>3</v>
      </c>
      <c r="E152" s="24">
        <v>0</v>
      </c>
      <c r="F152" s="24">
        <v>0</v>
      </c>
      <c r="G152" s="24" t="s">
        <v>155</v>
      </c>
    </row>
    <row r="153" spans="1:7" x14ac:dyDescent="0.4">
      <c r="A153" s="22" t="s">
        <v>592</v>
      </c>
      <c r="B153" s="22"/>
      <c r="C153" s="24" t="s">
        <v>155</v>
      </c>
      <c r="D153" s="24">
        <v>15958</v>
      </c>
      <c r="E153" s="24">
        <v>17787</v>
      </c>
      <c r="F153" s="24">
        <v>17997</v>
      </c>
      <c r="G153" s="24" t="s">
        <v>155</v>
      </c>
    </row>
    <row r="154" spans="1:7" x14ac:dyDescent="0.4">
      <c r="A154" s="22" t="s">
        <v>592</v>
      </c>
      <c r="B154" s="22"/>
      <c r="C154" s="24" t="s">
        <v>155</v>
      </c>
      <c r="D154" s="24" t="s">
        <v>155</v>
      </c>
      <c r="E154" s="24" t="s">
        <v>155</v>
      </c>
      <c r="F154" s="24" t="s">
        <v>155</v>
      </c>
      <c r="G154" s="24">
        <v>18941</v>
      </c>
    </row>
    <row r="155" spans="1:7" x14ac:dyDescent="0.4">
      <c r="A155" s="22" t="s">
        <v>591</v>
      </c>
      <c r="B155" s="22"/>
      <c r="C155" s="24">
        <v>65</v>
      </c>
      <c r="D155" s="24">
        <v>4084</v>
      </c>
      <c r="E155" s="24">
        <v>36</v>
      </c>
      <c r="F155" s="24">
        <v>23</v>
      </c>
      <c r="G155" s="24">
        <v>11</v>
      </c>
    </row>
    <row r="156" spans="1:7" x14ac:dyDescent="0.4">
      <c r="A156" s="22" t="s">
        <v>590</v>
      </c>
      <c r="B156" s="22"/>
      <c r="C156" s="24">
        <v>4084</v>
      </c>
      <c r="D156" s="24">
        <v>51</v>
      </c>
      <c r="E156" s="24">
        <v>4084</v>
      </c>
      <c r="F156" s="24">
        <v>4084</v>
      </c>
      <c r="G156" s="24">
        <v>4084</v>
      </c>
    </row>
    <row r="157" spans="1:7" x14ac:dyDescent="0.4">
      <c r="A157" s="22" t="s">
        <v>589</v>
      </c>
      <c r="B157" s="22"/>
      <c r="C157" s="24">
        <v>2999</v>
      </c>
      <c r="D157" s="24">
        <v>999</v>
      </c>
      <c r="E157" s="24">
        <v>2250</v>
      </c>
      <c r="F157" s="24">
        <v>0</v>
      </c>
      <c r="G157" s="24">
        <v>0</v>
      </c>
    </row>
    <row r="158" spans="1:7" x14ac:dyDescent="0.4">
      <c r="A158" s="22" t="s">
        <v>588</v>
      </c>
      <c r="B158" s="22"/>
      <c r="C158" s="24">
        <v>5972</v>
      </c>
      <c r="D158" s="24">
        <v>7094</v>
      </c>
      <c r="E158" s="24">
        <v>6412</v>
      </c>
      <c r="F158" s="24">
        <v>6541</v>
      </c>
      <c r="G158" s="24" t="s">
        <v>155</v>
      </c>
    </row>
    <row r="159" spans="1:7" x14ac:dyDescent="0.4">
      <c r="A159" s="22" t="s">
        <v>588</v>
      </c>
      <c r="B159" s="22"/>
      <c r="C159" s="24" t="s">
        <v>155</v>
      </c>
      <c r="D159" s="24" t="s">
        <v>155</v>
      </c>
      <c r="E159" s="24" t="s">
        <v>155</v>
      </c>
      <c r="F159" s="24" t="s">
        <v>155</v>
      </c>
      <c r="G159" s="24">
        <v>-6802</v>
      </c>
    </row>
    <row r="160" spans="1:7" x14ac:dyDescent="0.4">
      <c r="A160" s="22" t="s">
        <v>587</v>
      </c>
      <c r="B160" s="22"/>
      <c r="C160" s="24">
        <v>6</v>
      </c>
      <c r="D160" s="24">
        <v>-5</v>
      </c>
      <c r="E160" s="24">
        <v>4</v>
      </c>
      <c r="F160" s="24" t="s">
        <v>155</v>
      </c>
      <c r="G160" s="24" t="s">
        <v>155</v>
      </c>
    </row>
    <row r="161" spans="1:7" x14ac:dyDescent="0.4">
      <c r="A161" s="22" t="s">
        <v>586</v>
      </c>
      <c r="B161" s="22"/>
      <c r="C161" s="24" t="s">
        <v>155</v>
      </c>
      <c r="D161" s="24" t="s">
        <v>155</v>
      </c>
      <c r="E161" s="24" t="s">
        <v>155</v>
      </c>
      <c r="F161" s="24" t="s">
        <v>155</v>
      </c>
      <c r="G161" s="24" t="s">
        <v>155</v>
      </c>
    </row>
    <row r="162" spans="1:7" x14ac:dyDescent="0.4">
      <c r="A162" s="22" t="s">
        <v>545</v>
      </c>
      <c r="B162" s="22"/>
      <c r="C162" s="24">
        <v>5086</v>
      </c>
      <c r="D162" s="24">
        <v>3080</v>
      </c>
      <c r="E162" s="24">
        <v>2324</v>
      </c>
      <c r="F162" s="24">
        <v>1698</v>
      </c>
      <c r="G162" s="24">
        <v>1031</v>
      </c>
    </row>
    <row r="163" spans="1:7" x14ac:dyDescent="0.4">
      <c r="A163" s="22" t="s">
        <v>585</v>
      </c>
      <c r="B163" s="22"/>
      <c r="C163" s="24" t="s">
        <v>155</v>
      </c>
      <c r="D163" s="24" t="s">
        <v>155</v>
      </c>
      <c r="E163" s="24" t="s">
        <v>155</v>
      </c>
      <c r="F163" s="24" t="s">
        <v>155</v>
      </c>
      <c r="G163" s="24" t="s">
        <v>155</v>
      </c>
    </row>
    <row r="164" spans="1:7" x14ac:dyDescent="0.4">
      <c r="A164" s="22" t="s">
        <v>584</v>
      </c>
      <c r="B164" s="22"/>
      <c r="C164" s="24">
        <v>354</v>
      </c>
      <c r="D164" s="24">
        <v>436</v>
      </c>
      <c r="E164" s="24">
        <v>2369</v>
      </c>
      <c r="F164" s="24">
        <v>-1317</v>
      </c>
      <c r="G164" s="24" t="s">
        <v>155</v>
      </c>
    </row>
    <row r="165" spans="1:7" x14ac:dyDescent="0.4">
      <c r="A165" s="22" t="s">
        <v>584</v>
      </c>
      <c r="B165" s="22"/>
      <c r="C165" s="24" t="s">
        <v>155</v>
      </c>
      <c r="D165" s="24" t="s">
        <v>155</v>
      </c>
      <c r="E165" s="24" t="s">
        <v>155</v>
      </c>
      <c r="F165" s="24" t="s">
        <v>155</v>
      </c>
      <c r="G165" s="24">
        <v>-308</v>
      </c>
    </row>
    <row r="166" spans="1:7" x14ac:dyDescent="0.4">
      <c r="A166" s="22" t="s">
        <v>583</v>
      </c>
      <c r="B166" s="22"/>
      <c r="C166" s="24">
        <v>39</v>
      </c>
      <c r="D166" s="24">
        <v>-133</v>
      </c>
      <c r="E166" s="24">
        <v>35</v>
      </c>
      <c r="F166" s="24">
        <v>-140</v>
      </c>
      <c r="G166" s="24" t="s">
        <v>155</v>
      </c>
    </row>
    <row r="167" spans="1:7" x14ac:dyDescent="0.4">
      <c r="A167" s="22" t="s">
        <v>583</v>
      </c>
      <c r="B167" s="22"/>
      <c r="C167" s="24" t="s">
        <v>155</v>
      </c>
      <c r="D167" s="24" t="s">
        <v>155</v>
      </c>
      <c r="E167" s="24" t="s">
        <v>155</v>
      </c>
      <c r="F167" s="24" t="s">
        <v>155</v>
      </c>
      <c r="G167" s="24">
        <v>-104</v>
      </c>
    </row>
    <row r="168" spans="1:7" x14ac:dyDescent="0.4">
      <c r="A168" s="22" t="s">
        <v>582</v>
      </c>
      <c r="B168" s="22"/>
      <c r="C168" s="24">
        <v>14088</v>
      </c>
      <c r="D168" s="24">
        <v>15351</v>
      </c>
      <c r="E168" s="24">
        <v>16116</v>
      </c>
      <c r="F168" s="24">
        <v>18040</v>
      </c>
      <c r="G168" s="24">
        <v>17289</v>
      </c>
    </row>
    <row r="169" spans="1:7" x14ac:dyDescent="0.4">
      <c r="A169" s="22" t="s">
        <v>578</v>
      </c>
      <c r="B169" s="22"/>
      <c r="C169" s="24">
        <v>1683</v>
      </c>
      <c r="D169" s="24">
        <v>1677</v>
      </c>
      <c r="E169" s="24">
        <v>1890</v>
      </c>
      <c r="F169" s="24" t="s">
        <v>155</v>
      </c>
      <c r="G169" s="24">
        <v>1868</v>
      </c>
    </row>
    <row r="170" spans="1:7" x14ac:dyDescent="0.4">
      <c r="A170" s="22" t="s">
        <v>581</v>
      </c>
      <c r="B170" s="22"/>
      <c r="C170" s="24">
        <v>245</v>
      </c>
      <c r="D170" s="24">
        <v>398</v>
      </c>
      <c r="E170" s="24" t="s">
        <v>155</v>
      </c>
      <c r="F170" s="24" t="s">
        <v>155</v>
      </c>
      <c r="G170" s="24" t="s">
        <v>155</v>
      </c>
    </row>
    <row r="171" spans="1:7" x14ac:dyDescent="0.4">
      <c r="A171" s="22" t="s">
        <v>580</v>
      </c>
      <c r="B171" s="22"/>
      <c r="C171" s="24">
        <v>11</v>
      </c>
      <c r="D171" s="24">
        <v>41</v>
      </c>
      <c r="E171" s="24" t="s">
        <v>155</v>
      </c>
      <c r="F171" s="24" t="s">
        <v>155</v>
      </c>
      <c r="G171" s="24" t="s">
        <v>155</v>
      </c>
    </row>
    <row r="172" spans="1:7" x14ac:dyDescent="0.4">
      <c r="A172" s="22" t="s">
        <v>579</v>
      </c>
      <c r="B172" s="22"/>
      <c r="C172" s="24" t="s">
        <v>155</v>
      </c>
      <c r="D172" s="24">
        <v>10</v>
      </c>
      <c r="E172" s="24" t="s">
        <v>155</v>
      </c>
      <c r="F172" s="24" t="s">
        <v>155</v>
      </c>
      <c r="G172" s="24" t="s">
        <v>155</v>
      </c>
    </row>
    <row r="173" spans="1:7" x14ac:dyDescent="0.4">
      <c r="A173" s="22" t="s">
        <v>578</v>
      </c>
      <c r="B173" s="22"/>
      <c r="C173" s="24" t="s">
        <v>155</v>
      </c>
      <c r="D173" s="24">
        <v>245</v>
      </c>
      <c r="E173" s="24" t="s">
        <v>155</v>
      </c>
      <c r="F173" s="24" t="s">
        <v>155</v>
      </c>
      <c r="G173" s="24" t="s">
        <v>155</v>
      </c>
    </row>
    <row r="174" spans="1:7" x14ac:dyDescent="0.4">
      <c r="A174" s="22" t="s">
        <v>577</v>
      </c>
      <c r="B174" s="22"/>
      <c r="C174" s="24">
        <v>1E-4</v>
      </c>
      <c r="D174" s="24">
        <v>1E-4</v>
      </c>
      <c r="E174" s="24">
        <v>1E-4</v>
      </c>
      <c r="F174" s="24">
        <v>1E-4</v>
      </c>
      <c r="G174" s="24">
        <v>1E-4</v>
      </c>
    </row>
    <row r="175" spans="1:7" x14ac:dyDescent="0.4">
      <c r="A175" s="22" t="s">
        <v>576</v>
      </c>
      <c r="B175" s="22"/>
      <c r="C175" s="24">
        <v>16721</v>
      </c>
      <c r="D175" s="24">
        <v>18855</v>
      </c>
      <c r="E175" s="24">
        <v>19545</v>
      </c>
      <c r="F175" s="24">
        <v>20452</v>
      </c>
      <c r="G175" s="24">
        <v>21229</v>
      </c>
    </row>
    <row r="176" spans="1:7" x14ac:dyDescent="0.4">
      <c r="A176" s="22" t="s">
        <v>575</v>
      </c>
      <c r="B176" s="22"/>
      <c r="C176" s="24">
        <v>5000</v>
      </c>
      <c r="D176" s="24">
        <v>5000</v>
      </c>
      <c r="E176" s="24">
        <v>5000</v>
      </c>
      <c r="F176" s="24">
        <v>7000</v>
      </c>
      <c r="G176" s="24">
        <v>7000</v>
      </c>
    </row>
    <row r="177" spans="1:7" x14ac:dyDescent="0.4">
      <c r="A177" s="22" t="s">
        <v>574</v>
      </c>
      <c r="B177" s="22"/>
      <c r="C177" s="24">
        <v>5000</v>
      </c>
      <c r="D177" s="24">
        <v>5000</v>
      </c>
      <c r="E177" s="24">
        <v>5000</v>
      </c>
      <c r="F177" s="24">
        <v>7000</v>
      </c>
      <c r="G177" s="24">
        <v>7000</v>
      </c>
    </row>
    <row r="178" spans="1:7" x14ac:dyDescent="0.4">
      <c r="A178" s="22" t="s">
        <v>573</v>
      </c>
      <c r="B178" s="22"/>
      <c r="C178" s="24">
        <v>621</v>
      </c>
      <c r="D178" s="24">
        <v>620</v>
      </c>
      <c r="E178" s="24">
        <v>557</v>
      </c>
      <c r="F178" s="24">
        <v>568</v>
      </c>
      <c r="G178" s="24">
        <v>996</v>
      </c>
    </row>
    <row r="179" spans="1:7" x14ac:dyDescent="0.4">
      <c r="A179" s="22" t="s">
        <v>572</v>
      </c>
      <c r="B179" s="22"/>
      <c r="C179" s="24">
        <v>108</v>
      </c>
      <c r="D179" s="24">
        <v>120</v>
      </c>
      <c r="E179" s="24">
        <v>102</v>
      </c>
      <c r="F179" s="24">
        <v>123</v>
      </c>
      <c r="G179" s="24">
        <v>179</v>
      </c>
    </row>
    <row r="180" spans="1:7" x14ac:dyDescent="0.4">
      <c r="A180" s="22" t="s">
        <v>571</v>
      </c>
      <c r="B180" s="22"/>
      <c r="C180" s="24">
        <v>103</v>
      </c>
      <c r="D180" s="24">
        <v>108</v>
      </c>
      <c r="E180" s="24">
        <v>107</v>
      </c>
      <c r="F180" s="24">
        <v>111</v>
      </c>
      <c r="G180" s="24">
        <v>162</v>
      </c>
    </row>
    <row r="181" spans="1:7" x14ac:dyDescent="0.4">
      <c r="A181" s="22" t="s">
        <v>570</v>
      </c>
      <c r="B181" s="22"/>
      <c r="C181" s="24">
        <v>95</v>
      </c>
      <c r="D181" s="24">
        <v>100</v>
      </c>
      <c r="E181" s="24">
        <v>91</v>
      </c>
      <c r="F181" s="24">
        <v>98</v>
      </c>
      <c r="G181" s="24">
        <v>123</v>
      </c>
    </row>
    <row r="182" spans="1:7" x14ac:dyDescent="0.4">
      <c r="A182" s="22" t="s">
        <v>569</v>
      </c>
      <c r="B182" s="22"/>
      <c r="C182" s="24">
        <v>82</v>
      </c>
      <c r="D182" s="24">
        <v>85</v>
      </c>
      <c r="E182" s="24">
        <v>78</v>
      </c>
      <c r="F182" s="24">
        <v>76</v>
      </c>
      <c r="G182" s="24">
        <v>99</v>
      </c>
    </row>
    <row r="183" spans="1:7" x14ac:dyDescent="0.4">
      <c r="A183" s="22" t="s">
        <v>568</v>
      </c>
      <c r="B183" s="22"/>
      <c r="C183" s="24">
        <v>70</v>
      </c>
      <c r="D183" s="24">
        <v>75</v>
      </c>
      <c r="E183" s="24">
        <v>58</v>
      </c>
      <c r="F183" s="24">
        <v>60</v>
      </c>
      <c r="G183" s="24">
        <v>76</v>
      </c>
    </row>
    <row r="184" spans="1:7" x14ac:dyDescent="0.4">
      <c r="A184" s="22" t="s">
        <v>567</v>
      </c>
      <c r="B184" s="22"/>
      <c r="C184" s="24">
        <v>163</v>
      </c>
      <c r="D184" s="24">
        <v>132</v>
      </c>
      <c r="E184" s="24">
        <v>121</v>
      </c>
      <c r="F184" s="24">
        <v>100</v>
      </c>
      <c r="G184" s="24">
        <v>357</v>
      </c>
    </row>
    <row r="185" spans="1:7" x14ac:dyDescent="0.4">
      <c r="A185" s="22" t="s">
        <v>566</v>
      </c>
      <c r="B185" s="22"/>
      <c r="C185" s="24">
        <v>5972</v>
      </c>
      <c r="D185" s="24">
        <v>-7094</v>
      </c>
      <c r="E185" s="24">
        <v>6412</v>
      </c>
      <c r="F185" s="24">
        <v>6541</v>
      </c>
      <c r="G185" s="24">
        <v>-6802</v>
      </c>
    </row>
    <row r="186" spans="1:7" x14ac:dyDescent="0.4">
      <c r="A186" s="22" t="s">
        <v>565</v>
      </c>
      <c r="B186" s="22"/>
      <c r="C186" s="24">
        <v>798</v>
      </c>
      <c r="D186" s="24">
        <v>1046</v>
      </c>
      <c r="E186" s="24">
        <v>1167</v>
      </c>
      <c r="F186" s="24">
        <v>1553</v>
      </c>
      <c r="G186" s="24">
        <v>1641</v>
      </c>
    </row>
    <row r="187" spans="1:7" x14ac:dyDescent="0.4">
      <c r="A187" s="22" t="s">
        <v>564</v>
      </c>
      <c r="B187" s="22"/>
      <c r="C187" s="24">
        <v>36210</v>
      </c>
      <c r="D187" s="24">
        <v>37589</v>
      </c>
      <c r="E187" s="24">
        <v>35581</v>
      </c>
      <c r="F187" s="24">
        <v>38733</v>
      </c>
      <c r="G187" s="24" t="s">
        <v>155</v>
      </c>
    </row>
    <row r="188" spans="1:7" x14ac:dyDescent="0.4">
      <c r="A188" s="22" t="s">
        <v>564</v>
      </c>
      <c r="B188" s="22"/>
      <c r="C188" s="24" t="s">
        <v>155</v>
      </c>
      <c r="D188" s="24" t="s">
        <v>155</v>
      </c>
      <c r="E188" s="24" t="s">
        <v>155</v>
      </c>
      <c r="F188" s="24" t="s">
        <v>155</v>
      </c>
      <c r="G188" s="24">
        <v>39137</v>
      </c>
    </row>
    <row r="189" spans="1:7" x14ac:dyDescent="0.4">
      <c r="A189" s="22" t="s">
        <v>438</v>
      </c>
      <c r="B189" s="22"/>
      <c r="C189" s="24">
        <v>512</v>
      </c>
      <c r="D189" s="24">
        <v>410</v>
      </c>
      <c r="E189" s="24">
        <v>1131</v>
      </c>
      <c r="F189" s="24">
        <v>293</v>
      </c>
      <c r="G189" s="24">
        <v>103</v>
      </c>
    </row>
    <row r="190" spans="1:7" x14ac:dyDescent="0.4">
      <c r="A190" s="22" t="s">
        <v>563</v>
      </c>
      <c r="B190" s="22"/>
      <c r="C190" s="24">
        <v>0</v>
      </c>
      <c r="D190" s="24" t="s">
        <v>155</v>
      </c>
      <c r="E190" s="24" t="s">
        <v>155</v>
      </c>
      <c r="F190" s="24" t="s">
        <v>155</v>
      </c>
      <c r="G190" s="24" t="s">
        <v>155</v>
      </c>
    </row>
    <row r="191" spans="1:7" x14ac:dyDescent="0.4">
      <c r="A191" s="22" t="s">
        <v>562</v>
      </c>
      <c r="B191" s="22"/>
      <c r="C191" s="24">
        <v>93</v>
      </c>
      <c r="D191" s="24">
        <v>83</v>
      </c>
      <c r="E191" s="24">
        <v>190</v>
      </c>
      <c r="F191" s="24">
        <v>206</v>
      </c>
      <c r="G191" s="24">
        <v>832</v>
      </c>
    </row>
    <row r="192" spans="1:7" x14ac:dyDescent="0.4">
      <c r="A192" s="22" t="s">
        <v>561</v>
      </c>
      <c r="B192" s="22"/>
      <c r="C192" s="24">
        <v>20500</v>
      </c>
      <c r="D192" s="24">
        <v>21500</v>
      </c>
      <c r="E192" s="24">
        <v>26500</v>
      </c>
      <c r="F192" s="24">
        <v>28800</v>
      </c>
      <c r="G192" s="24">
        <v>31600</v>
      </c>
    </row>
    <row r="193" spans="1:7" x14ac:dyDescent="0.4">
      <c r="A193" s="22" t="s">
        <v>560</v>
      </c>
      <c r="B193" s="22"/>
      <c r="C193" s="24">
        <v>1306</v>
      </c>
      <c r="D193" s="24">
        <v>1518</v>
      </c>
      <c r="E193" s="24">
        <v>1582</v>
      </c>
      <c r="F193" s="24">
        <v>1738</v>
      </c>
      <c r="G193" s="24" t="s">
        <v>155</v>
      </c>
    </row>
    <row r="194" spans="1:7" x14ac:dyDescent="0.4">
      <c r="A194" s="22" t="s">
        <v>559</v>
      </c>
      <c r="B194" s="22"/>
      <c r="C194" s="24">
        <v>245.513385</v>
      </c>
      <c r="D194" s="24">
        <v>245.513385</v>
      </c>
      <c r="E194" s="24" t="s">
        <v>155</v>
      </c>
      <c r="F194" s="24" t="s">
        <v>155</v>
      </c>
      <c r="G194" s="24">
        <v>4.8353840000000003</v>
      </c>
    </row>
    <row r="195" spans="1:7" x14ac:dyDescent="0.4">
      <c r="A195" s="22" t="s">
        <v>558</v>
      </c>
      <c r="B195" s="22"/>
      <c r="C195" s="24">
        <v>10.684538999999999</v>
      </c>
      <c r="D195" s="24">
        <v>10.099892000000001</v>
      </c>
      <c r="E195" s="24">
        <v>1628.169181</v>
      </c>
      <c r="F195" s="24">
        <v>1580.6799000000001</v>
      </c>
      <c r="G195" s="24">
        <v>120.338948</v>
      </c>
    </row>
    <row r="196" spans="1:7" x14ac:dyDescent="0.4">
      <c r="A196" s="22" t="s">
        <v>557</v>
      </c>
      <c r="B196" s="22"/>
      <c r="C196" s="24" t="s">
        <v>155</v>
      </c>
      <c r="D196" s="24" t="s">
        <v>155</v>
      </c>
      <c r="E196" s="24">
        <v>245.513385</v>
      </c>
      <c r="F196" s="24" t="s">
        <v>155</v>
      </c>
      <c r="G196" s="24">
        <v>9.5957740000000005</v>
      </c>
    </row>
    <row r="197" spans="1:7" x14ac:dyDescent="0.4">
      <c r="A197" s="22" t="s">
        <v>556</v>
      </c>
      <c r="B197" s="22"/>
      <c r="C197" s="24" t="s">
        <v>155</v>
      </c>
      <c r="D197" s="24" t="s">
        <v>155</v>
      </c>
      <c r="E197" s="24">
        <v>9.8121050000000007</v>
      </c>
      <c r="F197" s="24" t="s">
        <v>155</v>
      </c>
      <c r="G197" s="24" t="s">
        <v>155</v>
      </c>
    </row>
    <row r="198" spans="1:7" x14ac:dyDescent="0.4">
      <c r="A198" s="22" t="s">
        <v>555</v>
      </c>
      <c r="B198" s="22"/>
      <c r="C198" s="24">
        <v>1692.3837619999999</v>
      </c>
      <c r="D198" s="24">
        <v>1669.7307619999999</v>
      </c>
      <c r="E198" s="24" t="s">
        <v>155</v>
      </c>
      <c r="F198" s="24" t="s">
        <v>155</v>
      </c>
      <c r="G198" s="24">
        <v>1728.1050210000001</v>
      </c>
    </row>
    <row r="199" spans="1:7" x14ac:dyDescent="0.4">
      <c r="A199" s="22" t="s">
        <v>554</v>
      </c>
      <c r="B199" s="22"/>
      <c r="C199" s="24">
        <v>23317</v>
      </c>
      <c r="D199" s="24">
        <v>23239</v>
      </c>
      <c r="E199" s="24">
        <v>323</v>
      </c>
      <c r="F199" s="24">
        <v>257</v>
      </c>
      <c r="G199" s="24">
        <v>237</v>
      </c>
    </row>
    <row r="200" spans="1:7" x14ac:dyDescent="0.4">
      <c r="A200" s="22" t="s">
        <v>553</v>
      </c>
      <c r="B200" s="22"/>
      <c r="C200" s="24">
        <v>333</v>
      </c>
      <c r="D200" s="24">
        <v>286</v>
      </c>
      <c r="E200" s="24">
        <v>20622</v>
      </c>
      <c r="F200" s="24">
        <v>21740</v>
      </c>
      <c r="G200" s="24">
        <v>22557</v>
      </c>
    </row>
    <row r="201" spans="1:7" x14ac:dyDescent="0.4">
      <c r="A201" s="22" t="s">
        <v>552</v>
      </c>
      <c r="B201" s="22"/>
      <c r="C201" s="24">
        <v>20500</v>
      </c>
      <c r="D201" s="24">
        <v>21500</v>
      </c>
      <c r="E201" s="24">
        <v>26500</v>
      </c>
      <c r="F201" s="24">
        <v>28800</v>
      </c>
      <c r="G201" s="24">
        <v>31600</v>
      </c>
    </row>
    <row r="202" spans="1:7" x14ac:dyDescent="0.4">
      <c r="A202" s="22" t="s">
        <v>551</v>
      </c>
      <c r="B202" s="22"/>
      <c r="C202" s="24">
        <v>613</v>
      </c>
      <c r="D202" s="24">
        <v>695</v>
      </c>
      <c r="E202" s="24">
        <v>783</v>
      </c>
      <c r="F202" s="24">
        <v>855</v>
      </c>
      <c r="G202" s="24">
        <v>-477</v>
      </c>
    </row>
    <row r="203" spans="1:7" x14ac:dyDescent="0.4">
      <c r="A203" s="22" t="s">
        <v>550</v>
      </c>
      <c r="B203" s="22"/>
      <c r="C203" s="24">
        <v>914</v>
      </c>
      <c r="D203" s="24">
        <v>894</v>
      </c>
      <c r="E203" s="24">
        <v>1456</v>
      </c>
      <c r="F203" s="24">
        <v>1751</v>
      </c>
      <c r="G203" s="24" t="s">
        <v>155</v>
      </c>
    </row>
    <row r="204" spans="1:7" x14ac:dyDescent="0.4">
      <c r="A204" s="22" t="s">
        <v>550</v>
      </c>
      <c r="B204" s="22"/>
      <c r="C204" s="24" t="s">
        <v>155</v>
      </c>
      <c r="D204" s="24" t="s">
        <v>155</v>
      </c>
      <c r="E204" s="24" t="s">
        <v>155</v>
      </c>
      <c r="F204" s="24" t="s">
        <v>155</v>
      </c>
      <c r="G204" s="24">
        <v>1727</v>
      </c>
    </row>
    <row r="205" spans="1:7" x14ac:dyDescent="0.4">
      <c r="A205" s="22" t="s">
        <v>549</v>
      </c>
      <c r="B205" s="22"/>
      <c r="C205" s="24">
        <v>717</v>
      </c>
      <c r="D205" s="24">
        <v>758</v>
      </c>
      <c r="E205" s="24">
        <v>950</v>
      </c>
      <c r="F205" s="24">
        <v>1047</v>
      </c>
      <c r="G205" s="24" t="s">
        <v>155</v>
      </c>
    </row>
    <row r="206" spans="1:7" x14ac:dyDescent="0.4">
      <c r="A206" s="22" t="s">
        <v>548</v>
      </c>
      <c r="B206" s="22"/>
      <c r="C206" s="24">
        <v>914</v>
      </c>
      <c r="D206" s="24">
        <v>894</v>
      </c>
      <c r="E206" s="24">
        <v>1456</v>
      </c>
      <c r="F206" s="24">
        <v>1751</v>
      </c>
      <c r="G206" s="24" t="s">
        <v>155</v>
      </c>
    </row>
    <row r="207" spans="1:7" x14ac:dyDescent="0.4">
      <c r="A207" s="22" t="s">
        <v>548</v>
      </c>
      <c r="B207" s="22"/>
      <c r="C207" s="24" t="s">
        <v>155</v>
      </c>
      <c r="D207" s="24" t="s">
        <v>155</v>
      </c>
      <c r="E207" s="24" t="s">
        <v>155</v>
      </c>
      <c r="F207" s="24" t="s">
        <v>155</v>
      </c>
      <c r="G207" s="24">
        <v>1727</v>
      </c>
    </row>
    <row r="208" spans="1:7" x14ac:dyDescent="0.4">
      <c r="A208" s="22" t="s">
        <v>547</v>
      </c>
      <c r="B208" s="22"/>
      <c r="C208" s="24">
        <v>1.2479819999999999</v>
      </c>
      <c r="D208" s="24">
        <v>1.0224299999999999</v>
      </c>
      <c r="E208" s="24">
        <v>0.96157000000000004</v>
      </c>
      <c r="F208" s="24">
        <v>0.79801699999999998</v>
      </c>
      <c r="G208" s="24">
        <v>0.72269499999999998</v>
      </c>
    </row>
    <row r="209" spans="1:7" x14ac:dyDescent="0.4">
      <c r="A209" s="22" t="s">
        <v>546</v>
      </c>
      <c r="B209" s="22"/>
      <c r="C209" s="24">
        <v>5.7865489999999999</v>
      </c>
      <c r="D209" s="24">
        <v>5.8397790000000001</v>
      </c>
      <c r="E209" s="24">
        <v>6.1686240000000003</v>
      </c>
      <c r="F209" s="24">
        <v>5.9253549999999997</v>
      </c>
      <c r="G209" s="24">
        <v>5.3647320000000001</v>
      </c>
    </row>
    <row r="210" spans="1:7" x14ac:dyDescent="0.4">
      <c r="A210" s="22" t="s">
        <v>545</v>
      </c>
      <c r="B210" s="22"/>
      <c r="C210" s="24">
        <v>3</v>
      </c>
      <c r="D210" s="24">
        <v>0</v>
      </c>
      <c r="E210" s="24">
        <v>3</v>
      </c>
      <c r="F210" s="24">
        <v>3</v>
      </c>
      <c r="G210" s="24">
        <v>5</v>
      </c>
    </row>
    <row r="211" spans="1:7" x14ac:dyDescent="0.4">
      <c r="A211" s="22" t="s">
        <v>545</v>
      </c>
      <c r="B211" s="22"/>
      <c r="C211" s="24">
        <v>0</v>
      </c>
      <c r="D211" s="24">
        <v>3</v>
      </c>
      <c r="E211" s="24">
        <v>2</v>
      </c>
      <c r="F211" s="24">
        <v>2</v>
      </c>
      <c r="G211" s="24" t="s">
        <v>155</v>
      </c>
    </row>
    <row r="212" spans="1:7" x14ac:dyDescent="0.4">
      <c r="A212" s="22" t="s">
        <v>544</v>
      </c>
      <c r="B212" s="22"/>
      <c r="C212" s="24">
        <v>2</v>
      </c>
      <c r="D212" s="24">
        <v>2</v>
      </c>
      <c r="E212" s="24">
        <v>0</v>
      </c>
      <c r="F212" s="24">
        <v>0</v>
      </c>
      <c r="G212" s="24" t="s">
        <v>155</v>
      </c>
    </row>
    <row r="213" spans="1:7" x14ac:dyDescent="0.4">
      <c r="A213" s="22" t="s">
        <v>543</v>
      </c>
      <c r="B213" s="22"/>
      <c r="C213" s="24">
        <v>1.1088979999999999</v>
      </c>
      <c r="D213" s="24">
        <v>0.91209300000000004</v>
      </c>
      <c r="E213" s="24">
        <v>0.49721399999999999</v>
      </c>
      <c r="F213" s="24">
        <v>1.0062120000000001</v>
      </c>
      <c r="G213" s="24">
        <v>-1.2435419999999999</v>
      </c>
    </row>
    <row r="214" spans="1:7" x14ac:dyDescent="0.4">
      <c r="A214" s="22" t="s">
        <v>449</v>
      </c>
      <c r="B214" s="22"/>
      <c r="C214" s="24" t="s">
        <v>155</v>
      </c>
      <c r="D214" s="24">
        <v>0</v>
      </c>
      <c r="E214" s="24">
        <v>1.2639999999999999E-3</v>
      </c>
      <c r="F214" s="24">
        <v>2.7160000000000001E-3</v>
      </c>
      <c r="G214" s="24" t="s">
        <v>155</v>
      </c>
    </row>
    <row r="215" spans="1:7" x14ac:dyDescent="0.4">
      <c r="A215" s="22" t="s">
        <v>542</v>
      </c>
      <c r="B215" s="22"/>
      <c r="C215" s="24">
        <v>5174</v>
      </c>
      <c r="D215" s="24">
        <v>-6048</v>
      </c>
      <c r="E215" s="24">
        <v>5245</v>
      </c>
      <c r="F215" s="24">
        <v>4988</v>
      </c>
      <c r="G215" s="24">
        <v>-5161</v>
      </c>
    </row>
    <row r="216" spans="1:7" x14ac:dyDescent="0.4">
      <c r="A216" s="22" t="s">
        <v>541</v>
      </c>
      <c r="B216" s="22"/>
      <c r="C216" s="24">
        <v>3412</v>
      </c>
      <c r="D216" s="24">
        <v>1730</v>
      </c>
      <c r="E216" s="24">
        <v>83</v>
      </c>
      <c r="F216" s="24">
        <v>85</v>
      </c>
      <c r="G216" s="24">
        <v>194</v>
      </c>
    </row>
    <row r="217" spans="1:7" x14ac:dyDescent="0.4">
      <c r="A217" s="22" t="s">
        <v>541</v>
      </c>
      <c r="B217" s="22"/>
      <c r="C217" s="24" t="s">
        <v>155</v>
      </c>
      <c r="D217" s="24">
        <v>384</v>
      </c>
      <c r="E217" s="24">
        <v>7</v>
      </c>
      <c r="F217" s="24">
        <v>0</v>
      </c>
      <c r="G217" s="24">
        <v>8</v>
      </c>
    </row>
    <row r="218" spans="1:7" x14ac:dyDescent="0.4">
      <c r="A218" s="22" t="s">
        <v>541</v>
      </c>
      <c r="B218" s="22"/>
      <c r="C218" s="24" t="s">
        <v>155</v>
      </c>
      <c r="D218" s="24">
        <v>685</v>
      </c>
      <c r="E218" s="24">
        <v>0</v>
      </c>
      <c r="F218" s="24">
        <v>0</v>
      </c>
      <c r="G218" s="24">
        <v>78</v>
      </c>
    </row>
    <row r="219" spans="1:7" x14ac:dyDescent="0.4">
      <c r="A219" s="22" t="s">
        <v>541</v>
      </c>
      <c r="B219" s="22"/>
      <c r="C219" s="24" t="s">
        <v>155</v>
      </c>
      <c r="D219" s="24">
        <v>569</v>
      </c>
      <c r="E219" s="24">
        <v>0</v>
      </c>
      <c r="F219" s="24">
        <v>33</v>
      </c>
      <c r="G219" s="24">
        <v>0</v>
      </c>
    </row>
    <row r="220" spans="1:7" x14ac:dyDescent="0.4">
      <c r="A220" s="22" t="s">
        <v>541</v>
      </c>
      <c r="B220" s="22"/>
      <c r="C220" s="24" t="s">
        <v>155</v>
      </c>
      <c r="D220" s="24" t="s">
        <v>155</v>
      </c>
      <c r="E220" s="24">
        <v>0</v>
      </c>
      <c r="F220" s="24">
        <v>0</v>
      </c>
      <c r="G220" s="24">
        <v>0</v>
      </c>
    </row>
    <row r="221" spans="1:7" x14ac:dyDescent="0.4">
      <c r="A221" s="22" t="s">
        <v>541</v>
      </c>
      <c r="B221" s="22"/>
      <c r="C221" s="24" t="s">
        <v>155</v>
      </c>
      <c r="D221" s="24" t="s">
        <v>155</v>
      </c>
      <c r="E221" s="24">
        <v>27</v>
      </c>
      <c r="F221" s="24">
        <v>5</v>
      </c>
      <c r="G221" s="24">
        <v>1</v>
      </c>
    </row>
    <row r="222" spans="1:7" x14ac:dyDescent="0.4">
      <c r="A222" s="22" t="s">
        <v>540</v>
      </c>
      <c r="B222" s="22"/>
      <c r="C222" s="24">
        <v>16289</v>
      </c>
      <c r="D222" s="24">
        <v>894</v>
      </c>
      <c r="E222" s="24">
        <v>1449</v>
      </c>
      <c r="F222" s="24">
        <v>1764</v>
      </c>
      <c r="G222" s="24">
        <v>3089</v>
      </c>
    </row>
    <row r="223" spans="1:7" x14ac:dyDescent="0.4">
      <c r="A223" s="22" t="s">
        <v>539</v>
      </c>
      <c r="B223" s="22"/>
      <c r="C223" s="24">
        <v>901</v>
      </c>
      <c r="D223" s="24">
        <v>16487</v>
      </c>
      <c r="E223" s="24">
        <v>15689</v>
      </c>
      <c r="F223" s="24">
        <v>16286</v>
      </c>
      <c r="G223" s="24">
        <v>11975</v>
      </c>
    </row>
    <row r="224" spans="1:7" x14ac:dyDescent="0.4">
      <c r="A224" s="22" t="s">
        <v>538</v>
      </c>
      <c r="B224" s="22"/>
      <c r="C224" s="24">
        <v>1850</v>
      </c>
      <c r="D224" s="24">
        <v>2260</v>
      </c>
      <c r="E224" s="24">
        <v>2342</v>
      </c>
      <c r="F224" s="24">
        <v>3005</v>
      </c>
      <c r="G224" s="24">
        <v>3524</v>
      </c>
    </row>
    <row r="225" spans="1:7" x14ac:dyDescent="0.4">
      <c r="A225" s="22" t="s">
        <v>537</v>
      </c>
      <c r="B225" s="22"/>
      <c r="C225" s="24">
        <v>3643</v>
      </c>
      <c r="D225" s="24">
        <v>1000</v>
      </c>
      <c r="E225" s="24">
        <v>2250</v>
      </c>
      <c r="F225" s="24">
        <v>0</v>
      </c>
      <c r="G225" s="24">
        <v>0</v>
      </c>
    </row>
    <row r="226" spans="1:7" x14ac:dyDescent="0.4">
      <c r="A226" s="22" t="s">
        <v>536</v>
      </c>
      <c r="B226" s="22"/>
      <c r="C226" s="24" t="s">
        <v>155</v>
      </c>
      <c r="D226" s="24">
        <v>2250</v>
      </c>
      <c r="E226" s="24">
        <v>0</v>
      </c>
      <c r="F226" s="24">
        <v>0</v>
      </c>
      <c r="G226" s="24">
        <v>5513</v>
      </c>
    </row>
    <row r="227" spans="1:7" x14ac:dyDescent="0.4">
      <c r="A227" s="22" t="s">
        <v>535</v>
      </c>
      <c r="B227" s="22"/>
      <c r="C227" s="24" t="s">
        <v>155</v>
      </c>
      <c r="D227" s="24">
        <v>0</v>
      </c>
      <c r="E227" s="24">
        <v>0</v>
      </c>
      <c r="F227" s="24">
        <v>5434</v>
      </c>
      <c r="G227" s="24">
        <v>2750</v>
      </c>
    </row>
    <row r="228" spans="1:7" x14ac:dyDescent="0.4">
      <c r="A228" s="22" t="s">
        <v>534</v>
      </c>
      <c r="B228" s="22"/>
      <c r="C228" s="24" t="s">
        <v>155</v>
      </c>
      <c r="D228" s="24">
        <v>0</v>
      </c>
      <c r="E228" s="24">
        <v>5325</v>
      </c>
      <c r="F228" s="24">
        <v>2750</v>
      </c>
      <c r="G228" s="24">
        <v>0</v>
      </c>
    </row>
    <row r="229" spans="1:7" x14ac:dyDescent="0.4">
      <c r="A229" s="22" t="s">
        <v>533</v>
      </c>
      <c r="B229" s="22"/>
      <c r="C229" s="24" t="s">
        <v>155</v>
      </c>
      <c r="D229" s="24">
        <v>4000</v>
      </c>
      <c r="E229" s="24">
        <v>2750</v>
      </c>
      <c r="F229" s="24">
        <v>0</v>
      </c>
      <c r="G229" s="24">
        <v>1120</v>
      </c>
    </row>
    <row r="230" spans="1:7" x14ac:dyDescent="0.4">
      <c r="A230" s="22" t="s">
        <v>532</v>
      </c>
      <c r="B230" s="22"/>
      <c r="C230" s="24">
        <v>23754</v>
      </c>
      <c r="D230" s="24">
        <v>13750</v>
      </c>
      <c r="E230" s="24">
        <v>12620</v>
      </c>
      <c r="F230" s="24">
        <v>12752</v>
      </c>
      <c r="G230" s="24" t="s">
        <v>155</v>
      </c>
    </row>
    <row r="231" spans="1:7" x14ac:dyDescent="0.4">
      <c r="A231" s="22" t="s">
        <v>532</v>
      </c>
      <c r="B231" s="22"/>
      <c r="C231" s="24" t="s">
        <v>155</v>
      </c>
      <c r="D231" s="24" t="s">
        <v>155</v>
      </c>
      <c r="E231" s="24" t="s">
        <v>155</v>
      </c>
      <c r="F231" s="24" t="s">
        <v>155</v>
      </c>
      <c r="G231" s="24">
        <v>11728</v>
      </c>
    </row>
    <row r="232" spans="1:7" x14ac:dyDescent="0.4">
      <c r="A232" s="22" t="s">
        <v>531</v>
      </c>
      <c r="B232" s="22"/>
      <c r="C232" s="24">
        <v>21071</v>
      </c>
      <c r="D232" s="24">
        <v>20977</v>
      </c>
      <c r="E232" s="24">
        <v>22450</v>
      </c>
      <c r="F232" s="24">
        <v>20463</v>
      </c>
      <c r="G232" s="24">
        <v>20836</v>
      </c>
    </row>
    <row r="233" spans="1:7" x14ac:dyDescent="0.4">
      <c r="A233" s="22" t="s">
        <v>530</v>
      </c>
      <c r="B233" s="22"/>
      <c r="C233" s="24">
        <v>32854</v>
      </c>
      <c r="D233" s="24">
        <v>19978</v>
      </c>
      <c r="E233" s="24">
        <v>20200</v>
      </c>
      <c r="F233" s="24">
        <v>20463</v>
      </c>
      <c r="G233" s="24">
        <v>20836</v>
      </c>
    </row>
    <row r="234" spans="1:7" x14ac:dyDescent="0.4">
      <c r="A234" s="22" t="s">
        <v>529</v>
      </c>
      <c r="B234" s="22"/>
      <c r="C234" s="24" t="s">
        <v>155</v>
      </c>
      <c r="D234" s="24" t="s">
        <v>155</v>
      </c>
      <c r="E234" s="24" t="s">
        <v>155</v>
      </c>
      <c r="F234" s="24">
        <v>16</v>
      </c>
      <c r="G234" s="24">
        <v>64</v>
      </c>
    </row>
    <row r="235" spans="1:7" x14ac:dyDescent="0.4">
      <c r="A235" s="22" t="s">
        <v>529</v>
      </c>
      <c r="B235" s="22"/>
      <c r="C235" s="24" t="s">
        <v>155</v>
      </c>
      <c r="D235" s="24" t="s">
        <v>155</v>
      </c>
      <c r="E235" s="24" t="s">
        <v>155</v>
      </c>
      <c r="F235" s="24">
        <v>13</v>
      </c>
      <c r="G235" s="24" t="s">
        <v>155</v>
      </c>
    </row>
    <row r="236" spans="1:7" x14ac:dyDescent="0.4">
      <c r="A236" s="22" t="s">
        <v>529</v>
      </c>
      <c r="B236" s="22"/>
      <c r="C236" s="24" t="s">
        <v>155</v>
      </c>
      <c r="D236" s="24" t="s">
        <v>155</v>
      </c>
      <c r="E236" s="24" t="s">
        <v>155</v>
      </c>
      <c r="F236" s="24">
        <v>17</v>
      </c>
      <c r="G236" s="24" t="s">
        <v>155</v>
      </c>
    </row>
    <row r="237" spans="1:7" x14ac:dyDescent="0.4">
      <c r="A237" s="22" t="s">
        <v>529</v>
      </c>
      <c r="B237" s="22"/>
      <c r="C237" s="24">
        <v>44</v>
      </c>
      <c r="D237" s="24">
        <v>40</v>
      </c>
      <c r="E237" s="24">
        <v>56</v>
      </c>
      <c r="F237" s="24">
        <v>10</v>
      </c>
      <c r="G237" s="24" t="s">
        <v>155</v>
      </c>
    </row>
    <row r="238" spans="1:7" x14ac:dyDescent="0.4">
      <c r="A238" s="22" t="s">
        <v>528</v>
      </c>
      <c r="B238" s="22"/>
      <c r="C238" s="24">
        <v>8114</v>
      </c>
      <c r="D238" s="24">
        <v>8676</v>
      </c>
      <c r="E238" s="24">
        <v>11589</v>
      </c>
      <c r="F238" s="24">
        <v>12182</v>
      </c>
      <c r="G238" s="24">
        <v>-16958</v>
      </c>
    </row>
    <row r="239" spans="1:7" x14ac:dyDescent="0.4">
      <c r="A239" s="22" t="s">
        <v>527</v>
      </c>
      <c r="B239" s="22"/>
      <c r="C239" s="24">
        <v>627</v>
      </c>
      <c r="D239" s="24">
        <v>471</v>
      </c>
      <c r="E239" s="24">
        <v>98</v>
      </c>
      <c r="F239" s="24">
        <v>412</v>
      </c>
      <c r="G239" s="24">
        <v>685</v>
      </c>
    </row>
    <row r="240" spans="1:7" x14ac:dyDescent="0.4">
      <c r="A240" s="22" t="s">
        <v>526</v>
      </c>
      <c r="B240" s="22"/>
      <c r="C240" s="24" t="s">
        <v>155</v>
      </c>
      <c r="D240" s="24">
        <v>103</v>
      </c>
      <c r="E240" s="24">
        <v>422</v>
      </c>
      <c r="F240" s="24">
        <v>106</v>
      </c>
      <c r="G240" s="24">
        <v>150</v>
      </c>
    </row>
    <row r="241" spans="1:7" x14ac:dyDescent="0.4">
      <c r="A241" s="22" t="s">
        <v>524</v>
      </c>
      <c r="B241" s="22"/>
      <c r="C241" s="24">
        <v>12522</v>
      </c>
      <c r="D241" s="24">
        <v>11779</v>
      </c>
      <c r="E241" s="24">
        <v>11736</v>
      </c>
      <c r="F241" s="24">
        <v>13504</v>
      </c>
      <c r="G241" s="24" t="s">
        <v>155</v>
      </c>
    </row>
    <row r="242" spans="1:7" x14ac:dyDescent="0.4">
      <c r="A242" s="22" t="s">
        <v>524</v>
      </c>
      <c r="B242" s="22"/>
      <c r="C242" s="24">
        <v>148</v>
      </c>
      <c r="D242" s="24">
        <v>0</v>
      </c>
      <c r="E242" s="24">
        <v>437</v>
      </c>
      <c r="F242" s="24">
        <v>0</v>
      </c>
      <c r="G242" s="24">
        <v>15684</v>
      </c>
    </row>
    <row r="243" spans="1:7" x14ac:dyDescent="0.4">
      <c r="A243" s="22" t="s">
        <v>524</v>
      </c>
      <c r="B243" s="22"/>
      <c r="C243" s="24">
        <v>0</v>
      </c>
      <c r="D243" s="24">
        <v>2985</v>
      </c>
      <c r="E243" s="24">
        <v>0</v>
      </c>
      <c r="F243" s="24">
        <v>23</v>
      </c>
      <c r="G243" s="24" t="s">
        <v>155</v>
      </c>
    </row>
    <row r="244" spans="1:7" x14ac:dyDescent="0.4">
      <c r="A244" s="22" t="s">
        <v>524</v>
      </c>
      <c r="B244" s="22"/>
      <c r="C244" s="24">
        <v>0</v>
      </c>
      <c r="D244" s="24">
        <v>490</v>
      </c>
      <c r="E244" s="24">
        <v>22</v>
      </c>
      <c r="F244" s="24">
        <v>339</v>
      </c>
      <c r="G244" s="24" t="s">
        <v>155</v>
      </c>
    </row>
    <row r="245" spans="1:7" x14ac:dyDescent="0.4">
      <c r="A245" s="22" t="s">
        <v>524</v>
      </c>
      <c r="B245" s="22"/>
      <c r="C245" s="24">
        <v>650</v>
      </c>
      <c r="D245" s="24">
        <v>4</v>
      </c>
      <c r="E245" s="24">
        <v>799</v>
      </c>
      <c r="F245" s="24">
        <v>0</v>
      </c>
      <c r="G245" s="24" t="s">
        <v>155</v>
      </c>
    </row>
    <row r="246" spans="1:7" x14ac:dyDescent="0.4">
      <c r="A246" s="22" t="s">
        <v>524</v>
      </c>
      <c r="B246" s="22"/>
      <c r="C246" s="24">
        <v>1253</v>
      </c>
      <c r="D246" s="24">
        <v>2400</v>
      </c>
      <c r="E246" s="24">
        <v>4005</v>
      </c>
      <c r="F246" s="24">
        <v>4316</v>
      </c>
      <c r="G246" s="24" t="s">
        <v>155</v>
      </c>
    </row>
    <row r="247" spans="1:7" x14ac:dyDescent="0.4">
      <c r="A247" s="22" t="s">
        <v>525</v>
      </c>
      <c r="B247" s="22"/>
      <c r="C247" s="24">
        <v>0</v>
      </c>
      <c r="D247" s="24">
        <v>0</v>
      </c>
      <c r="E247" s="24">
        <v>0</v>
      </c>
      <c r="F247" s="24">
        <v>301</v>
      </c>
      <c r="G247" s="24" t="s">
        <v>155</v>
      </c>
    </row>
    <row r="248" spans="1:7" x14ac:dyDescent="0.4">
      <c r="A248" s="22" t="s">
        <v>524</v>
      </c>
      <c r="B248" s="22"/>
      <c r="C248" s="24" t="s">
        <v>155</v>
      </c>
      <c r="D248" s="24">
        <v>0</v>
      </c>
      <c r="E248" s="24">
        <v>0</v>
      </c>
      <c r="F248" s="24">
        <v>0</v>
      </c>
      <c r="G248" s="24" t="s">
        <v>155</v>
      </c>
    </row>
    <row r="249" spans="1:7" x14ac:dyDescent="0.4">
      <c r="A249" s="22" t="s">
        <v>516</v>
      </c>
      <c r="B249" s="22"/>
      <c r="C249" s="24">
        <v>0</v>
      </c>
      <c r="D249" s="24">
        <v>0</v>
      </c>
      <c r="E249" s="24">
        <v>0</v>
      </c>
      <c r="F249" s="24">
        <v>0</v>
      </c>
      <c r="G249" s="24" t="s">
        <v>155</v>
      </c>
    </row>
    <row r="250" spans="1:7" x14ac:dyDescent="0.4">
      <c r="A250" s="22" t="s">
        <v>523</v>
      </c>
      <c r="B250" s="22"/>
      <c r="C250" s="24">
        <v>1469</v>
      </c>
      <c r="D250" s="24">
        <v>100</v>
      </c>
      <c r="E250" s="24">
        <v>0</v>
      </c>
      <c r="F250" s="24">
        <v>0</v>
      </c>
      <c r="G250" s="24" t="s">
        <v>155</v>
      </c>
    </row>
    <row r="251" spans="1:7" x14ac:dyDescent="0.4">
      <c r="A251" s="22" t="s">
        <v>522</v>
      </c>
      <c r="B251" s="22"/>
      <c r="C251" s="24">
        <v>0</v>
      </c>
      <c r="D251" s="24">
        <v>0</v>
      </c>
      <c r="E251" s="24">
        <v>0</v>
      </c>
      <c r="F251" s="24">
        <v>0</v>
      </c>
      <c r="G251" s="24" t="s">
        <v>155</v>
      </c>
    </row>
    <row r="252" spans="1:7" x14ac:dyDescent="0.4">
      <c r="A252" s="22" t="s">
        <v>521</v>
      </c>
      <c r="B252" s="22"/>
      <c r="C252" s="24">
        <v>0</v>
      </c>
      <c r="D252" s="24">
        <v>0</v>
      </c>
      <c r="E252" s="24">
        <v>457</v>
      </c>
      <c r="F252" s="24">
        <v>1108</v>
      </c>
      <c r="G252" s="24">
        <v>599</v>
      </c>
    </row>
    <row r="253" spans="1:7" x14ac:dyDescent="0.4">
      <c r="A253" s="22" t="s">
        <v>520</v>
      </c>
      <c r="B253" s="22"/>
      <c r="C253" s="24">
        <v>2582</v>
      </c>
      <c r="D253" s="24">
        <v>245</v>
      </c>
      <c r="E253" s="24">
        <v>0</v>
      </c>
      <c r="F253" s="24">
        <v>0</v>
      </c>
      <c r="G253" s="24" t="s">
        <v>155</v>
      </c>
    </row>
    <row r="254" spans="1:7" x14ac:dyDescent="0.4">
      <c r="A254" s="22" t="s">
        <v>519</v>
      </c>
      <c r="B254" s="22"/>
      <c r="C254" s="24">
        <v>0</v>
      </c>
      <c r="D254" s="24">
        <v>0</v>
      </c>
      <c r="E254" s="24">
        <v>0</v>
      </c>
      <c r="F254" s="24">
        <v>0</v>
      </c>
      <c r="G254" s="24" t="s">
        <v>155</v>
      </c>
    </row>
    <row r="255" spans="1:7" x14ac:dyDescent="0.4">
      <c r="A255" s="22" t="s">
        <v>518</v>
      </c>
      <c r="B255" s="22"/>
      <c r="C255" s="24">
        <v>512</v>
      </c>
      <c r="D255" s="24">
        <v>0</v>
      </c>
      <c r="E255" s="24">
        <v>1131</v>
      </c>
      <c r="F255" s="24">
        <v>293</v>
      </c>
      <c r="G255" s="24" t="s">
        <v>155</v>
      </c>
    </row>
    <row r="256" spans="1:7" x14ac:dyDescent="0.4">
      <c r="A256" s="22" t="s">
        <v>517</v>
      </c>
      <c r="B256" s="22"/>
      <c r="C256" s="24" t="s">
        <v>155</v>
      </c>
      <c r="D256" s="24">
        <v>410</v>
      </c>
      <c r="E256" s="24" t="s">
        <v>155</v>
      </c>
      <c r="F256" s="24">
        <v>0</v>
      </c>
      <c r="G256" s="24" t="s">
        <v>155</v>
      </c>
    </row>
    <row r="257" spans="1:7" x14ac:dyDescent="0.4">
      <c r="A257" s="22" t="s">
        <v>516</v>
      </c>
      <c r="B257" s="22"/>
      <c r="C257" s="24" t="s">
        <v>155</v>
      </c>
      <c r="D257" s="24" t="s">
        <v>155</v>
      </c>
      <c r="E257" s="24" t="s">
        <v>155</v>
      </c>
      <c r="F257" s="24">
        <v>0</v>
      </c>
      <c r="G257" s="24" t="s">
        <v>155</v>
      </c>
    </row>
    <row r="258" spans="1:7" x14ac:dyDescent="0.4">
      <c r="A258" s="22" t="s">
        <v>513</v>
      </c>
      <c r="B258" s="22"/>
      <c r="C258" s="24">
        <v>12522</v>
      </c>
      <c r="D258" s="24" t="s">
        <v>155</v>
      </c>
      <c r="E258" s="24" t="s">
        <v>155</v>
      </c>
      <c r="F258" s="24" t="s">
        <v>155</v>
      </c>
      <c r="G258" s="24" t="s">
        <v>155</v>
      </c>
    </row>
    <row r="259" spans="1:7" x14ac:dyDescent="0.4">
      <c r="A259" s="22" t="s">
        <v>515</v>
      </c>
      <c r="B259" s="22"/>
      <c r="C259" s="24">
        <v>0</v>
      </c>
      <c r="D259" s="24">
        <v>11779</v>
      </c>
      <c r="E259" s="24">
        <v>11736</v>
      </c>
      <c r="F259" s="24">
        <v>13504</v>
      </c>
      <c r="G259" s="24" t="s">
        <v>155</v>
      </c>
    </row>
    <row r="260" spans="1:7" x14ac:dyDescent="0.4">
      <c r="A260" s="22" t="s">
        <v>514</v>
      </c>
      <c r="B260" s="22"/>
      <c r="C260" s="24">
        <v>650</v>
      </c>
      <c r="D260" s="24" t="s">
        <v>155</v>
      </c>
      <c r="E260" s="24">
        <v>0</v>
      </c>
      <c r="F260" s="24">
        <v>301</v>
      </c>
      <c r="G260" s="24" t="s">
        <v>155</v>
      </c>
    </row>
    <row r="261" spans="1:7" x14ac:dyDescent="0.4">
      <c r="A261" s="22" t="s">
        <v>513</v>
      </c>
      <c r="B261" s="22"/>
      <c r="C261" s="24">
        <v>0</v>
      </c>
      <c r="D261" s="24">
        <v>410</v>
      </c>
      <c r="E261" s="24">
        <v>0</v>
      </c>
      <c r="F261" s="24">
        <v>0</v>
      </c>
      <c r="G261" s="24">
        <v>15684</v>
      </c>
    </row>
    <row r="262" spans="1:7" x14ac:dyDescent="0.4">
      <c r="A262" s="22" t="s">
        <v>513</v>
      </c>
      <c r="B262" s="22"/>
      <c r="C262" s="24">
        <v>1253</v>
      </c>
      <c r="D262" s="24">
        <v>100</v>
      </c>
      <c r="E262" s="24">
        <v>0</v>
      </c>
      <c r="F262" s="24">
        <v>1108</v>
      </c>
      <c r="G262" s="24">
        <v>599</v>
      </c>
    </row>
    <row r="263" spans="1:7" x14ac:dyDescent="0.4">
      <c r="A263" s="22" t="s">
        <v>513</v>
      </c>
      <c r="B263" s="22"/>
      <c r="C263" s="24">
        <v>0</v>
      </c>
      <c r="D263" s="24">
        <v>490</v>
      </c>
      <c r="E263" s="24">
        <v>457</v>
      </c>
      <c r="F263" s="24">
        <v>293</v>
      </c>
      <c r="G263" s="24" t="s">
        <v>155</v>
      </c>
    </row>
    <row r="264" spans="1:7" x14ac:dyDescent="0.4">
      <c r="A264" s="22" t="s">
        <v>513</v>
      </c>
      <c r="B264" s="22"/>
      <c r="C264" s="24">
        <v>2582</v>
      </c>
      <c r="D264" s="24">
        <v>0</v>
      </c>
      <c r="E264" s="24">
        <v>4005</v>
      </c>
      <c r="F264" s="24">
        <v>0</v>
      </c>
      <c r="G264" s="24" t="s">
        <v>155</v>
      </c>
    </row>
    <row r="265" spans="1:7" x14ac:dyDescent="0.4">
      <c r="A265" s="22" t="s">
        <v>513</v>
      </c>
      <c r="B265" s="22"/>
      <c r="C265" s="24">
        <v>512</v>
      </c>
      <c r="D265" s="24">
        <v>0</v>
      </c>
      <c r="E265" s="24">
        <v>0</v>
      </c>
      <c r="F265" s="24">
        <v>23</v>
      </c>
      <c r="G265" s="24" t="s">
        <v>155</v>
      </c>
    </row>
    <row r="266" spans="1:7" x14ac:dyDescent="0.4">
      <c r="A266" s="22" t="s">
        <v>513</v>
      </c>
      <c r="B266" s="22"/>
      <c r="C266" s="24">
        <v>0</v>
      </c>
      <c r="D266" s="24">
        <v>2985</v>
      </c>
      <c r="E266" s="24">
        <v>22</v>
      </c>
      <c r="F266" s="24">
        <v>0</v>
      </c>
      <c r="G266" s="24" t="s">
        <v>155</v>
      </c>
    </row>
    <row r="267" spans="1:7" x14ac:dyDescent="0.4">
      <c r="A267" s="22" t="s">
        <v>513</v>
      </c>
      <c r="B267" s="22"/>
      <c r="C267" s="24">
        <v>148</v>
      </c>
      <c r="D267" s="24">
        <v>4</v>
      </c>
      <c r="E267" s="24">
        <v>0</v>
      </c>
      <c r="F267" s="24">
        <v>0</v>
      </c>
      <c r="G267" s="24" t="s">
        <v>155</v>
      </c>
    </row>
    <row r="268" spans="1:7" x14ac:dyDescent="0.4">
      <c r="A268" s="22" t="s">
        <v>513</v>
      </c>
      <c r="B268" s="22"/>
      <c r="C268" s="24">
        <v>0</v>
      </c>
      <c r="D268" s="24">
        <v>0</v>
      </c>
      <c r="E268" s="24">
        <v>799</v>
      </c>
      <c r="F268" s="24">
        <v>0</v>
      </c>
      <c r="G268" s="24" t="s">
        <v>155</v>
      </c>
    </row>
    <row r="269" spans="1:7" x14ac:dyDescent="0.4">
      <c r="A269" s="22" t="s">
        <v>513</v>
      </c>
      <c r="B269" s="22"/>
      <c r="C269" s="24">
        <v>1469</v>
      </c>
      <c r="D269" s="24">
        <v>0</v>
      </c>
      <c r="E269" s="24">
        <v>437</v>
      </c>
      <c r="F269" s="24">
        <v>0</v>
      </c>
      <c r="G269" s="24" t="s">
        <v>155</v>
      </c>
    </row>
    <row r="270" spans="1:7" x14ac:dyDescent="0.4">
      <c r="A270" s="22" t="s">
        <v>513</v>
      </c>
      <c r="B270" s="22"/>
      <c r="C270" s="24">
        <v>0</v>
      </c>
      <c r="D270" s="24">
        <v>0</v>
      </c>
      <c r="E270" s="24">
        <v>0</v>
      </c>
      <c r="F270" s="24">
        <v>0</v>
      </c>
      <c r="G270" s="24" t="s">
        <v>155</v>
      </c>
    </row>
    <row r="271" spans="1:7" x14ac:dyDescent="0.4">
      <c r="A271" s="22" t="s">
        <v>513</v>
      </c>
      <c r="B271" s="22"/>
      <c r="C271" s="24">
        <v>0</v>
      </c>
      <c r="D271" s="24">
        <v>0</v>
      </c>
      <c r="E271" s="24">
        <v>1131</v>
      </c>
      <c r="F271" s="24">
        <v>0</v>
      </c>
      <c r="G271" s="24" t="s">
        <v>155</v>
      </c>
    </row>
    <row r="272" spans="1:7" x14ac:dyDescent="0.4">
      <c r="A272" s="22" t="s">
        <v>513</v>
      </c>
      <c r="B272" s="22"/>
      <c r="C272" s="24" t="s">
        <v>155</v>
      </c>
      <c r="D272" s="24">
        <v>245</v>
      </c>
      <c r="E272" s="24">
        <v>0</v>
      </c>
      <c r="F272" s="24">
        <v>339</v>
      </c>
      <c r="G272" s="24" t="s">
        <v>155</v>
      </c>
    </row>
    <row r="273" spans="1:7" x14ac:dyDescent="0.4">
      <c r="A273" s="22" t="s">
        <v>513</v>
      </c>
      <c r="B273" s="22"/>
      <c r="C273" s="24" t="s">
        <v>155</v>
      </c>
      <c r="D273" s="24">
        <v>0</v>
      </c>
      <c r="E273" s="24">
        <v>0</v>
      </c>
      <c r="F273" s="24">
        <v>4316</v>
      </c>
      <c r="G273" s="24" t="s">
        <v>155</v>
      </c>
    </row>
    <row r="274" spans="1:7" x14ac:dyDescent="0.4">
      <c r="A274" s="22" t="s">
        <v>513</v>
      </c>
      <c r="B274" s="22"/>
      <c r="C274" s="24" t="s">
        <v>155</v>
      </c>
      <c r="D274" s="24">
        <v>2400</v>
      </c>
      <c r="E274" s="24" t="s">
        <v>155</v>
      </c>
      <c r="F274" s="24">
        <v>0</v>
      </c>
      <c r="G274" s="24" t="s">
        <v>155</v>
      </c>
    </row>
    <row r="275" spans="1:7" x14ac:dyDescent="0.4">
      <c r="A275" s="22" t="s">
        <v>513</v>
      </c>
      <c r="B275" s="22"/>
      <c r="C275" s="24" t="s">
        <v>155</v>
      </c>
      <c r="D275" s="24">
        <v>0</v>
      </c>
      <c r="E275" s="24" t="s">
        <v>155</v>
      </c>
      <c r="F275" s="24" t="s">
        <v>155</v>
      </c>
      <c r="G275" s="24" t="s">
        <v>155</v>
      </c>
    </row>
    <row r="276" spans="1:7" x14ac:dyDescent="0.4">
      <c r="A276" s="22" t="s">
        <v>432</v>
      </c>
      <c r="B276" s="22"/>
      <c r="C276" s="24">
        <v>0</v>
      </c>
      <c r="D276" s="24">
        <v>167</v>
      </c>
      <c r="E276" s="24">
        <v>0</v>
      </c>
      <c r="F276" s="24">
        <v>0</v>
      </c>
      <c r="G276" s="24">
        <v>238</v>
      </c>
    </row>
    <row r="277" spans="1:7" x14ac:dyDescent="0.4">
      <c r="A277" s="22" t="s">
        <v>464</v>
      </c>
      <c r="B277" s="22"/>
      <c r="C277" s="24">
        <v>135</v>
      </c>
      <c r="D277" s="24">
        <v>0</v>
      </c>
      <c r="E277" s="24">
        <v>146</v>
      </c>
      <c r="F277" s="24">
        <v>175</v>
      </c>
      <c r="G277" s="24" t="s">
        <v>155</v>
      </c>
    </row>
    <row r="278" spans="1:7" x14ac:dyDescent="0.4">
      <c r="A278" s="22" t="s">
        <v>512</v>
      </c>
      <c r="B278" s="22"/>
      <c r="C278" s="24" t="s">
        <v>155</v>
      </c>
      <c r="D278" s="24">
        <v>0</v>
      </c>
      <c r="E278" s="24">
        <v>0</v>
      </c>
      <c r="F278" s="24">
        <v>0</v>
      </c>
      <c r="G278" s="24" t="s">
        <v>155</v>
      </c>
    </row>
    <row r="279" spans="1:7" x14ac:dyDescent="0.4">
      <c r="A279" s="22" t="s">
        <v>512</v>
      </c>
      <c r="B279" s="22"/>
      <c r="C279" s="24">
        <v>181</v>
      </c>
      <c r="D279" s="24">
        <v>109</v>
      </c>
      <c r="E279" s="24">
        <v>418</v>
      </c>
      <c r="F279" s="24">
        <v>396</v>
      </c>
      <c r="G279" s="24">
        <v>226</v>
      </c>
    </row>
    <row r="280" spans="1:7" x14ac:dyDescent="0.4">
      <c r="A280" s="22" t="s">
        <v>512</v>
      </c>
      <c r="B280" s="22"/>
      <c r="C280" s="24">
        <v>0</v>
      </c>
      <c r="D280" s="24" t="s">
        <v>155</v>
      </c>
      <c r="E280" s="24" t="s">
        <v>155</v>
      </c>
      <c r="F280" s="24" t="s">
        <v>155</v>
      </c>
      <c r="G280" s="24" t="s">
        <v>155</v>
      </c>
    </row>
    <row r="281" spans="1:7" x14ac:dyDescent="0.4">
      <c r="A281" s="22" t="s">
        <v>509</v>
      </c>
      <c r="B281" s="22"/>
      <c r="C281" s="24">
        <v>135</v>
      </c>
      <c r="D281" s="24">
        <v>0</v>
      </c>
      <c r="E281" s="24">
        <v>146</v>
      </c>
      <c r="F281" s="24">
        <v>175</v>
      </c>
      <c r="G281" s="24" t="s">
        <v>155</v>
      </c>
    </row>
    <row r="282" spans="1:7" x14ac:dyDescent="0.4">
      <c r="A282" s="22" t="s">
        <v>511</v>
      </c>
      <c r="B282" s="22"/>
      <c r="C282" s="24">
        <v>0</v>
      </c>
      <c r="D282" s="24">
        <v>0</v>
      </c>
      <c r="E282" s="24">
        <v>0</v>
      </c>
      <c r="F282" s="24">
        <v>0</v>
      </c>
      <c r="G282" s="24">
        <v>238</v>
      </c>
    </row>
    <row r="283" spans="1:7" x14ac:dyDescent="0.4">
      <c r="A283" s="22" t="s">
        <v>510</v>
      </c>
      <c r="B283" s="22"/>
      <c r="C283" s="24">
        <v>0</v>
      </c>
      <c r="D283" s="24">
        <v>109</v>
      </c>
      <c r="E283" s="24">
        <v>0</v>
      </c>
      <c r="F283" s="24">
        <v>0</v>
      </c>
      <c r="G283" s="24">
        <v>226</v>
      </c>
    </row>
    <row r="284" spans="1:7" x14ac:dyDescent="0.4">
      <c r="A284" s="22" t="s">
        <v>509</v>
      </c>
      <c r="B284" s="22"/>
      <c r="C284" s="24">
        <v>181</v>
      </c>
      <c r="D284" s="24">
        <v>167</v>
      </c>
      <c r="E284" s="24">
        <v>418</v>
      </c>
      <c r="F284" s="24">
        <v>396</v>
      </c>
      <c r="G284" s="24" t="s">
        <v>155</v>
      </c>
    </row>
    <row r="285" spans="1:7" x14ac:dyDescent="0.4">
      <c r="A285" s="22" t="s">
        <v>508</v>
      </c>
      <c r="B285" s="22"/>
      <c r="C285" s="24">
        <v>6.7193000000000003E-2</v>
      </c>
      <c r="D285" s="24">
        <v>5.7106999999999998E-2</v>
      </c>
      <c r="E285" s="24">
        <v>0.13424700000000001</v>
      </c>
      <c r="F285" s="24">
        <v>3.2357999999999998E-2</v>
      </c>
      <c r="G285" s="24">
        <v>-3.9775999999999999E-2</v>
      </c>
    </row>
    <row r="286" spans="1:7" x14ac:dyDescent="0.4">
      <c r="A286" s="22" t="s">
        <v>507</v>
      </c>
      <c r="B286" s="22"/>
      <c r="C286" s="24">
        <v>6081</v>
      </c>
      <c r="D286" s="24">
        <v>1818</v>
      </c>
      <c r="E286" s="24">
        <v>83</v>
      </c>
      <c r="F286" s="24">
        <v>85</v>
      </c>
      <c r="G286" s="24">
        <v>194</v>
      </c>
    </row>
    <row r="287" spans="1:7" x14ac:dyDescent="0.4">
      <c r="A287" s="22" t="s">
        <v>506</v>
      </c>
      <c r="B287" s="22"/>
      <c r="C287" s="24">
        <v>5535</v>
      </c>
      <c r="D287" s="24">
        <v>975</v>
      </c>
      <c r="E287" s="24">
        <v>27</v>
      </c>
      <c r="F287" s="24">
        <v>33</v>
      </c>
      <c r="G287" s="24">
        <v>78</v>
      </c>
    </row>
    <row r="288" spans="1:7" x14ac:dyDescent="0.4">
      <c r="A288" s="22" t="s">
        <v>506</v>
      </c>
      <c r="B288" s="22"/>
      <c r="C288" s="24" t="s">
        <v>155</v>
      </c>
      <c r="D288" s="24" t="s">
        <v>155</v>
      </c>
      <c r="E288" s="24" t="s">
        <v>155</v>
      </c>
      <c r="F288" s="24">
        <v>5</v>
      </c>
      <c r="G288" s="24">
        <v>8</v>
      </c>
    </row>
    <row r="289" spans="1:7" x14ac:dyDescent="0.4">
      <c r="A289" s="22" t="s">
        <v>505</v>
      </c>
      <c r="B289" s="22"/>
      <c r="C289" s="24">
        <v>2037</v>
      </c>
      <c r="D289" s="24">
        <v>897</v>
      </c>
      <c r="E289" s="24">
        <v>7</v>
      </c>
      <c r="F289" s="24">
        <v>0</v>
      </c>
      <c r="G289" s="24">
        <v>1</v>
      </c>
    </row>
    <row r="290" spans="1:7" x14ac:dyDescent="0.4">
      <c r="A290" s="22" t="s">
        <v>505</v>
      </c>
      <c r="B290" s="22"/>
      <c r="C290" s="24" t="s">
        <v>155</v>
      </c>
      <c r="D290" s="24" t="s">
        <v>155</v>
      </c>
      <c r="E290" s="24" t="s">
        <v>155</v>
      </c>
      <c r="F290" s="24">
        <v>0</v>
      </c>
      <c r="G290" s="24">
        <v>0</v>
      </c>
    </row>
    <row r="291" spans="1:7" x14ac:dyDescent="0.4">
      <c r="A291" s="22" t="s">
        <v>504</v>
      </c>
      <c r="B291" s="22"/>
      <c r="C291" s="24">
        <v>25284</v>
      </c>
      <c r="D291" s="24">
        <v>936</v>
      </c>
      <c r="E291" s="24">
        <v>0</v>
      </c>
      <c r="F291" s="24">
        <v>0</v>
      </c>
      <c r="G291" s="24">
        <v>0</v>
      </c>
    </row>
    <row r="292" spans="1:7" x14ac:dyDescent="0.4">
      <c r="A292" s="22" t="s">
        <v>503</v>
      </c>
      <c r="B292" s="22"/>
      <c r="C292" s="24">
        <v>38937</v>
      </c>
      <c r="D292" s="24">
        <v>4626</v>
      </c>
      <c r="E292" s="24">
        <v>117</v>
      </c>
      <c r="F292" s="24">
        <v>123</v>
      </c>
      <c r="G292" s="24">
        <v>281</v>
      </c>
    </row>
    <row r="293" spans="1:7" x14ac:dyDescent="0.4">
      <c r="A293" s="22" t="s">
        <v>502</v>
      </c>
      <c r="B293" s="22"/>
      <c r="C293" s="24">
        <v>512</v>
      </c>
      <c r="D293" s="24">
        <v>410</v>
      </c>
      <c r="E293" s="24">
        <v>1131</v>
      </c>
      <c r="F293" s="24">
        <v>396</v>
      </c>
      <c r="G293" s="24">
        <v>226</v>
      </c>
    </row>
    <row r="294" spans="1:7" x14ac:dyDescent="0.4">
      <c r="A294" s="22" t="s">
        <v>501</v>
      </c>
      <c r="B294" s="22"/>
      <c r="C294" s="24">
        <v>181</v>
      </c>
      <c r="D294" s="24">
        <v>109</v>
      </c>
      <c r="E294" s="24">
        <v>418</v>
      </c>
      <c r="F294" s="24">
        <v>293</v>
      </c>
      <c r="G294" s="24">
        <v>103</v>
      </c>
    </row>
    <row r="295" spans="1:7" x14ac:dyDescent="0.4">
      <c r="A295" s="22" t="s">
        <v>500</v>
      </c>
      <c r="B295" s="22"/>
      <c r="C295" s="24">
        <v>570</v>
      </c>
      <c r="D295" s="24">
        <v>574</v>
      </c>
      <c r="E295" s="24">
        <v>520</v>
      </c>
      <c r="F295" s="24">
        <v>518</v>
      </c>
      <c r="G295" s="24">
        <v>835</v>
      </c>
    </row>
    <row r="296" spans="1:7" x14ac:dyDescent="0.4">
      <c r="A296" s="22" t="s">
        <v>499</v>
      </c>
      <c r="B296" s="22"/>
      <c r="C296" s="24">
        <v>4411</v>
      </c>
      <c r="D296" s="24" t="s">
        <v>155</v>
      </c>
      <c r="E296" s="24" t="s">
        <v>155</v>
      </c>
      <c r="F296" s="24" t="s">
        <v>155</v>
      </c>
      <c r="G296" s="24" t="s">
        <v>155</v>
      </c>
    </row>
    <row r="297" spans="1:7" x14ac:dyDescent="0.4">
      <c r="A297" s="22" t="s">
        <v>499</v>
      </c>
      <c r="B297" s="22"/>
      <c r="C297" s="24">
        <v>1046</v>
      </c>
      <c r="D297" s="24" t="s">
        <v>155</v>
      </c>
      <c r="E297" s="24" t="s">
        <v>155</v>
      </c>
      <c r="F297" s="24" t="s">
        <v>155</v>
      </c>
      <c r="G297" s="24" t="s">
        <v>155</v>
      </c>
    </row>
    <row r="298" spans="1:7" x14ac:dyDescent="0.4">
      <c r="A298" s="22" t="s">
        <v>498</v>
      </c>
      <c r="B298" s="22"/>
      <c r="C298" s="24" t="s">
        <v>155</v>
      </c>
      <c r="D298" s="24" t="s">
        <v>155</v>
      </c>
      <c r="E298" s="24" t="s">
        <v>155</v>
      </c>
      <c r="F298" s="24" t="s">
        <v>155</v>
      </c>
      <c r="G298" s="24" t="s">
        <v>155</v>
      </c>
    </row>
    <row r="299" spans="1:7" x14ac:dyDescent="0.4">
      <c r="A299" s="22" t="s">
        <v>497</v>
      </c>
      <c r="B299" s="22"/>
      <c r="C299" s="24" t="s">
        <v>155</v>
      </c>
      <c r="D299" s="24" t="s">
        <v>155</v>
      </c>
      <c r="E299" s="24" t="s">
        <v>155</v>
      </c>
      <c r="F299" s="24" t="s">
        <v>155</v>
      </c>
      <c r="G299" s="24" t="s">
        <v>155</v>
      </c>
    </row>
    <row r="300" spans="1:7" x14ac:dyDescent="0.4">
      <c r="A300" s="22" t="s">
        <v>496</v>
      </c>
      <c r="B300" s="22"/>
      <c r="C300" s="24">
        <v>29.37</v>
      </c>
      <c r="D300" s="24">
        <v>39.51</v>
      </c>
      <c r="E300" s="24">
        <v>43.16</v>
      </c>
      <c r="F300" s="24">
        <v>57.31</v>
      </c>
      <c r="G300" s="24" t="s">
        <v>155</v>
      </c>
    </row>
    <row r="301" spans="1:7" x14ac:dyDescent="0.4">
      <c r="A301" s="22" t="s">
        <v>496</v>
      </c>
      <c r="B301" s="22"/>
      <c r="C301" s="24" t="s">
        <v>155</v>
      </c>
      <c r="D301" s="24" t="s">
        <v>155</v>
      </c>
      <c r="E301" s="24" t="s">
        <v>155</v>
      </c>
      <c r="F301" s="24" t="s">
        <v>155</v>
      </c>
      <c r="G301" s="24">
        <v>62.55</v>
      </c>
    </row>
    <row r="302" spans="1:7" x14ac:dyDescent="0.4">
      <c r="A302" s="22" t="s">
        <v>495</v>
      </c>
      <c r="B302" s="22"/>
      <c r="C302" s="24">
        <v>1.6</v>
      </c>
      <c r="D302" s="24">
        <v>0.3</v>
      </c>
      <c r="E302" s="24">
        <v>1.1000000000000001</v>
      </c>
      <c r="F302" s="24">
        <v>4</v>
      </c>
      <c r="G302" s="24" t="s">
        <v>155</v>
      </c>
    </row>
    <row r="303" spans="1:7" x14ac:dyDescent="0.4">
      <c r="A303" s="22" t="s">
        <v>495</v>
      </c>
      <c r="B303" s="22"/>
      <c r="C303" s="24" t="s">
        <v>155</v>
      </c>
      <c r="D303" s="24" t="s">
        <v>155</v>
      </c>
      <c r="E303" s="24" t="s">
        <v>155</v>
      </c>
      <c r="F303" s="24" t="s">
        <v>155</v>
      </c>
      <c r="G303" s="24">
        <v>4.4000000000000004</v>
      </c>
    </row>
    <row r="304" spans="1:7" x14ac:dyDescent="0.4">
      <c r="A304" s="22" t="s">
        <v>494</v>
      </c>
      <c r="B304" s="22"/>
      <c r="C304" s="24">
        <v>4.03</v>
      </c>
      <c r="D304" s="24">
        <v>4.07</v>
      </c>
      <c r="E304" s="24">
        <v>4.1100000000000003</v>
      </c>
      <c r="F304" s="24">
        <v>4.17</v>
      </c>
      <c r="G304" s="24" t="s">
        <v>155</v>
      </c>
    </row>
    <row r="305" spans="1:7" x14ac:dyDescent="0.4">
      <c r="A305" s="22" t="s">
        <v>494</v>
      </c>
      <c r="B305" s="22"/>
      <c r="C305" s="24" t="s">
        <v>155</v>
      </c>
      <c r="D305" s="24" t="s">
        <v>155</v>
      </c>
      <c r="E305" s="24" t="s">
        <v>155</v>
      </c>
      <c r="F305" s="24" t="s">
        <v>155</v>
      </c>
      <c r="G305" s="24">
        <v>4.2300000000000004</v>
      </c>
    </row>
    <row r="306" spans="1:7" x14ac:dyDescent="0.4">
      <c r="A306" s="22" t="s">
        <v>493</v>
      </c>
      <c r="B306" s="22"/>
      <c r="C306" s="24">
        <v>18.7</v>
      </c>
      <c r="D306" s="24">
        <v>25.1</v>
      </c>
      <c r="E306" s="24">
        <v>27.1</v>
      </c>
      <c r="F306" s="24">
        <v>28.6</v>
      </c>
      <c r="G306" s="24" t="s">
        <v>155</v>
      </c>
    </row>
    <row r="307" spans="1:7" x14ac:dyDescent="0.4">
      <c r="A307" s="22" t="s">
        <v>493</v>
      </c>
      <c r="B307" s="22"/>
      <c r="C307" s="24" t="s">
        <v>155</v>
      </c>
      <c r="D307" s="24" t="s">
        <v>155</v>
      </c>
      <c r="E307" s="24" t="s">
        <v>155</v>
      </c>
      <c r="F307" s="24" t="s">
        <v>155</v>
      </c>
      <c r="G307" s="24">
        <v>24.1</v>
      </c>
    </row>
    <row r="308" spans="1:7" x14ac:dyDescent="0.4">
      <c r="A308" s="22" t="s">
        <v>492</v>
      </c>
      <c r="B308" s="22"/>
      <c r="C308" s="24">
        <v>0.7</v>
      </c>
      <c r="D308" s="24">
        <v>0.6</v>
      </c>
      <c r="E308" s="24">
        <v>0.7</v>
      </c>
      <c r="F308" s="24">
        <v>0.8</v>
      </c>
      <c r="G308" s="24" t="s">
        <v>155</v>
      </c>
    </row>
    <row r="309" spans="1:7" x14ac:dyDescent="0.4">
      <c r="A309" s="22" t="s">
        <v>492</v>
      </c>
      <c r="B309" s="22"/>
      <c r="C309" s="24" t="s">
        <v>155</v>
      </c>
      <c r="D309" s="24" t="s">
        <v>155</v>
      </c>
      <c r="E309" s="24" t="s">
        <v>155</v>
      </c>
      <c r="F309" s="24" t="s">
        <v>155</v>
      </c>
      <c r="G309" s="24">
        <v>0.8</v>
      </c>
    </row>
    <row r="310" spans="1:7" x14ac:dyDescent="0.4">
      <c r="A310" s="22" t="s">
        <v>491</v>
      </c>
      <c r="B310" s="22"/>
      <c r="C310" s="24">
        <v>87.28</v>
      </c>
      <c r="D310" s="24">
        <v>105.05</v>
      </c>
      <c r="E310" s="24">
        <v>122.49</v>
      </c>
      <c r="F310" s="24">
        <v>144.75</v>
      </c>
      <c r="G310" s="24">
        <v>165.79</v>
      </c>
    </row>
    <row r="311" spans="1:7" x14ac:dyDescent="0.4">
      <c r="A311" s="22" t="s">
        <v>490</v>
      </c>
      <c r="B311" s="22"/>
      <c r="C311" s="24">
        <v>114.61</v>
      </c>
      <c r="D311" s="24">
        <v>134.56</v>
      </c>
      <c r="E311" s="24">
        <v>145.91999999999999</v>
      </c>
      <c r="F311" s="24">
        <v>162.4</v>
      </c>
      <c r="G311" s="24">
        <v>183.02</v>
      </c>
    </row>
    <row r="312" spans="1:7" x14ac:dyDescent="0.4">
      <c r="A312" s="22" t="s">
        <v>489</v>
      </c>
      <c r="B312" s="22"/>
      <c r="C312" s="24">
        <v>3.425611</v>
      </c>
      <c r="D312" s="24">
        <v>3.7365089999999999</v>
      </c>
      <c r="E312" s="24">
        <v>4.299455</v>
      </c>
      <c r="F312" s="24">
        <v>4.2418610000000001</v>
      </c>
      <c r="G312" s="24">
        <v>3.8624339999999999</v>
      </c>
    </row>
    <row r="313" spans="1:7" x14ac:dyDescent="0.4">
      <c r="A313" s="22" t="s">
        <v>488</v>
      </c>
      <c r="B313" s="22"/>
      <c r="C313" s="24">
        <v>178</v>
      </c>
      <c r="D313" s="24">
        <v>-161</v>
      </c>
      <c r="E313" s="24">
        <v>173</v>
      </c>
      <c r="F313" s="24">
        <v>159</v>
      </c>
      <c r="G313" s="24">
        <v>-142</v>
      </c>
    </row>
    <row r="314" spans="1:7" x14ac:dyDescent="0.4">
      <c r="A314" s="22" t="s">
        <v>487</v>
      </c>
      <c r="B314" s="22"/>
      <c r="C314" s="24">
        <v>248</v>
      </c>
      <c r="D314" s="24" t="s">
        <v>155</v>
      </c>
      <c r="E314" s="24" t="s">
        <v>155</v>
      </c>
      <c r="F314" s="24" t="s">
        <v>155</v>
      </c>
      <c r="G314" s="24" t="s">
        <v>155</v>
      </c>
    </row>
    <row r="315" spans="1:7" x14ac:dyDescent="0.4">
      <c r="A315" s="22" t="s">
        <v>486</v>
      </c>
      <c r="B315" s="22"/>
      <c r="C315" s="24">
        <v>84</v>
      </c>
      <c r="D315" s="24">
        <v>-103</v>
      </c>
      <c r="E315" s="24">
        <v>120</v>
      </c>
      <c r="F315" s="24">
        <v>149</v>
      </c>
      <c r="G315" s="24">
        <v>-212</v>
      </c>
    </row>
    <row r="316" spans="1:7" x14ac:dyDescent="0.4">
      <c r="A316" s="22" t="s">
        <v>485</v>
      </c>
      <c r="B316" s="22"/>
      <c r="C316" s="24">
        <v>8500</v>
      </c>
      <c r="D316" s="24">
        <v>9500</v>
      </c>
      <c r="E316" s="24">
        <v>8000</v>
      </c>
      <c r="F316" s="24">
        <v>12000</v>
      </c>
      <c r="G316" s="24">
        <v>12000</v>
      </c>
    </row>
    <row r="317" spans="1:7" x14ac:dyDescent="0.4">
      <c r="A317" s="22" t="s">
        <v>485</v>
      </c>
      <c r="B317" s="22"/>
      <c r="C317" s="24" t="s">
        <v>155</v>
      </c>
      <c r="D317" s="24">
        <v>8000</v>
      </c>
      <c r="E317" s="24">
        <v>12000</v>
      </c>
      <c r="F317" s="24" t="s">
        <v>155</v>
      </c>
      <c r="G317" s="24">
        <v>25000</v>
      </c>
    </row>
    <row r="318" spans="1:7" x14ac:dyDescent="0.4">
      <c r="A318" s="22" t="s">
        <v>484</v>
      </c>
      <c r="B318" s="22"/>
      <c r="C318" s="24">
        <v>5389</v>
      </c>
      <c r="D318" s="24">
        <v>4679</v>
      </c>
      <c r="E318" s="24">
        <v>5095</v>
      </c>
      <c r="F318" s="24">
        <v>4733</v>
      </c>
      <c r="G318" s="24">
        <v>13075</v>
      </c>
    </row>
    <row r="319" spans="1:7" x14ac:dyDescent="0.4">
      <c r="A319" s="22" t="s">
        <v>483</v>
      </c>
      <c r="B319" s="22"/>
      <c r="C319" s="24">
        <v>12522</v>
      </c>
      <c r="D319" s="24">
        <v>11779</v>
      </c>
      <c r="E319" s="24">
        <v>11736</v>
      </c>
      <c r="F319" s="24">
        <v>13504</v>
      </c>
      <c r="G319" s="24">
        <v>10403</v>
      </c>
    </row>
    <row r="320" spans="1:7" x14ac:dyDescent="0.4">
      <c r="A320" s="22" t="s">
        <v>483</v>
      </c>
      <c r="B320" s="22"/>
      <c r="C320" s="24">
        <v>0</v>
      </c>
      <c r="D320" s="24">
        <v>0</v>
      </c>
      <c r="E320" s="24">
        <v>799</v>
      </c>
      <c r="F320" s="24">
        <v>0</v>
      </c>
      <c r="G320" s="24">
        <v>7</v>
      </c>
    </row>
    <row r="321" spans="1:7" x14ac:dyDescent="0.4">
      <c r="A321" s="22" t="s">
        <v>483</v>
      </c>
      <c r="B321" s="22"/>
      <c r="C321" s="24">
        <v>650</v>
      </c>
      <c r="D321" s="24">
        <v>2400</v>
      </c>
      <c r="E321" s="24">
        <v>0</v>
      </c>
      <c r="F321" s="24">
        <v>301</v>
      </c>
      <c r="G321" s="24">
        <v>0</v>
      </c>
    </row>
    <row r="322" spans="1:7" x14ac:dyDescent="0.4">
      <c r="A322" s="22" t="s">
        <v>462</v>
      </c>
      <c r="B322" s="22"/>
      <c r="C322" s="24" t="s">
        <v>155</v>
      </c>
      <c r="D322" s="24" t="s">
        <v>155</v>
      </c>
      <c r="E322" s="24" t="s">
        <v>155</v>
      </c>
      <c r="F322" s="24" t="s">
        <v>155</v>
      </c>
      <c r="G322" s="24" t="s">
        <v>155</v>
      </c>
    </row>
    <row r="323" spans="1:7" x14ac:dyDescent="0.4">
      <c r="A323" s="22" t="s">
        <v>482</v>
      </c>
      <c r="B323" s="22"/>
      <c r="C323" s="24">
        <v>148</v>
      </c>
      <c r="D323" s="24">
        <v>2985</v>
      </c>
      <c r="E323" s="24">
        <v>4005</v>
      </c>
      <c r="F323" s="24">
        <v>4316</v>
      </c>
      <c r="G323" s="24">
        <v>4948</v>
      </c>
    </row>
    <row r="324" spans="1:7" x14ac:dyDescent="0.4">
      <c r="A324" s="22" t="s">
        <v>482</v>
      </c>
      <c r="B324" s="22"/>
      <c r="C324" s="24">
        <v>0</v>
      </c>
      <c r="D324" s="24">
        <v>490</v>
      </c>
      <c r="E324" s="24">
        <v>22</v>
      </c>
      <c r="F324" s="24">
        <v>0</v>
      </c>
      <c r="G324" s="24">
        <v>301</v>
      </c>
    </row>
    <row r="325" spans="1:7" x14ac:dyDescent="0.4">
      <c r="A325" s="22" t="s">
        <v>482</v>
      </c>
      <c r="B325" s="22"/>
      <c r="C325" s="24">
        <v>1253</v>
      </c>
      <c r="D325" s="24">
        <v>4</v>
      </c>
      <c r="E325" s="24">
        <v>0</v>
      </c>
      <c r="F325" s="24">
        <v>339</v>
      </c>
      <c r="G325" s="24">
        <v>25</v>
      </c>
    </row>
    <row r="326" spans="1:7" x14ac:dyDescent="0.4">
      <c r="A326" s="22" t="s">
        <v>482</v>
      </c>
      <c r="B326" s="22"/>
      <c r="C326" s="24" t="s">
        <v>155</v>
      </c>
      <c r="D326" s="24">
        <v>0</v>
      </c>
      <c r="E326" s="24">
        <v>437</v>
      </c>
      <c r="F326" s="24">
        <v>23</v>
      </c>
      <c r="G326" s="24" t="s">
        <v>155</v>
      </c>
    </row>
    <row r="327" spans="1:7" x14ac:dyDescent="0.4">
      <c r="A327" s="22" t="s">
        <v>482</v>
      </c>
      <c r="B327" s="22"/>
      <c r="C327" s="24" t="s">
        <v>155</v>
      </c>
      <c r="D327" s="24">
        <v>0</v>
      </c>
      <c r="E327" s="24" t="s">
        <v>155</v>
      </c>
      <c r="F327" s="24" t="s">
        <v>155</v>
      </c>
      <c r="G327" s="24" t="s">
        <v>155</v>
      </c>
    </row>
    <row r="328" spans="1:7" x14ac:dyDescent="0.4">
      <c r="A328" s="22" t="s">
        <v>481</v>
      </c>
      <c r="B328" s="22"/>
      <c r="C328" s="24" t="s">
        <v>155</v>
      </c>
      <c r="D328" s="24" t="s">
        <v>155</v>
      </c>
      <c r="E328" s="24" t="s">
        <v>155</v>
      </c>
      <c r="F328" s="24" t="s">
        <v>155</v>
      </c>
      <c r="G328" s="24" t="s">
        <v>155</v>
      </c>
    </row>
    <row r="329" spans="1:7" x14ac:dyDescent="0.4">
      <c r="A329" s="22" t="s">
        <v>468</v>
      </c>
      <c r="B329" s="22"/>
      <c r="C329" s="24">
        <v>0</v>
      </c>
      <c r="D329" s="24" t="s">
        <v>155</v>
      </c>
      <c r="E329" s="24">
        <v>0</v>
      </c>
      <c r="F329" s="24">
        <v>0</v>
      </c>
      <c r="G329" s="24">
        <v>0</v>
      </c>
    </row>
    <row r="330" spans="1:7" x14ac:dyDescent="0.4">
      <c r="A330" s="22" t="s">
        <v>470</v>
      </c>
      <c r="B330" s="22"/>
      <c r="C330" s="24">
        <v>0</v>
      </c>
      <c r="D330" s="24">
        <v>0</v>
      </c>
      <c r="E330" s="24">
        <v>0</v>
      </c>
      <c r="F330" s="24">
        <v>0</v>
      </c>
      <c r="G330" s="24">
        <v>0</v>
      </c>
    </row>
    <row r="331" spans="1:7" x14ac:dyDescent="0.4">
      <c r="A331" s="22" t="s">
        <v>469</v>
      </c>
      <c r="B331" s="22"/>
      <c r="C331" s="24">
        <v>1469</v>
      </c>
      <c r="D331" s="24">
        <v>0</v>
      </c>
      <c r="E331" s="24">
        <v>0</v>
      </c>
      <c r="F331" s="24">
        <v>0</v>
      </c>
      <c r="G331" s="24">
        <v>0</v>
      </c>
    </row>
    <row r="332" spans="1:7" x14ac:dyDescent="0.4">
      <c r="A332" s="22" t="s">
        <v>462</v>
      </c>
      <c r="B332" s="22"/>
      <c r="C332" s="24">
        <v>0</v>
      </c>
      <c r="D332" s="24">
        <v>100</v>
      </c>
      <c r="E332" s="24">
        <v>0</v>
      </c>
      <c r="F332" s="24">
        <v>0</v>
      </c>
      <c r="G332" s="24">
        <v>0</v>
      </c>
    </row>
    <row r="333" spans="1:7" x14ac:dyDescent="0.4">
      <c r="A333" s="22" t="s">
        <v>480</v>
      </c>
      <c r="B333" s="22"/>
      <c r="C333" s="24" t="s">
        <v>155</v>
      </c>
      <c r="D333" s="24" t="s">
        <v>155</v>
      </c>
      <c r="E333" s="24" t="s">
        <v>155</v>
      </c>
      <c r="F333" s="24" t="s">
        <v>155</v>
      </c>
      <c r="G333" s="24" t="s">
        <v>155</v>
      </c>
    </row>
    <row r="334" spans="1:7" x14ac:dyDescent="0.4">
      <c r="A334" s="22" t="s">
        <v>479</v>
      </c>
      <c r="B334" s="22"/>
      <c r="C334" s="24" t="s">
        <v>155</v>
      </c>
      <c r="D334" s="24" t="s">
        <v>155</v>
      </c>
      <c r="E334" s="24" t="s">
        <v>155</v>
      </c>
      <c r="F334" s="24" t="s">
        <v>155</v>
      </c>
      <c r="G334" s="24" t="s">
        <v>155</v>
      </c>
    </row>
    <row r="335" spans="1:7" x14ac:dyDescent="0.4">
      <c r="A335" s="22" t="s">
        <v>478</v>
      </c>
      <c r="B335" s="22"/>
      <c r="C335" s="24" t="s">
        <v>155</v>
      </c>
      <c r="D335" s="24" t="s">
        <v>155</v>
      </c>
      <c r="E335" s="24" t="s">
        <v>155</v>
      </c>
      <c r="F335" s="24" t="s">
        <v>155</v>
      </c>
      <c r="G335" s="24" t="s">
        <v>155</v>
      </c>
    </row>
    <row r="336" spans="1:7" x14ac:dyDescent="0.4">
      <c r="A336" s="22" t="s">
        <v>477</v>
      </c>
      <c r="B336" s="22"/>
      <c r="C336" s="24">
        <v>0</v>
      </c>
      <c r="D336" s="24">
        <v>410</v>
      </c>
      <c r="E336" s="24">
        <v>0</v>
      </c>
      <c r="F336" s="24">
        <v>1108</v>
      </c>
      <c r="G336" s="24">
        <v>0</v>
      </c>
    </row>
    <row r="337" spans="1:7" x14ac:dyDescent="0.4">
      <c r="A337" s="22" t="s">
        <v>477</v>
      </c>
      <c r="B337" s="22"/>
      <c r="C337" s="24">
        <v>2582</v>
      </c>
      <c r="D337" s="24">
        <v>245</v>
      </c>
      <c r="E337" s="24">
        <v>0</v>
      </c>
      <c r="F337" s="24">
        <v>0</v>
      </c>
      <c r="G337" s="24">
        <v>0</v>
      </c>
    </row>
    <row r="338" spans="1:7" x14ac:dyDescent="0.4">
      <c r="A338" s="22" t="s">
        <v>477</v>
      </c>
      <c r="B338" s="22"/>
      <c r="C338" s="24">
        <v>0</v>
      </c>
      <c r="D338" s="24">
        <v>0</v>
      </c>
      <c r="E338" s="24">
        <v>457</v>
      </c>
      <c r="F338" s="24">
        <v>0</v>
      </c>
      <c r="G338" s="24">
        <v>0</v>
      </c>
    </row>
    <row r="339" spans="1:7" x14ac:dyDescent="0.4">
      <c r="A339" s="22" t="s">
        <v>477</v>
      </c>
      <c r="B339" s="22"/>
      <c r="C339" s="24" t="s">
        <v>155</v>
      </c>
      <c r="D339" s="24">
        <v>0</v>
      </c>
      <c r="E339" s="24">
        <v>0</v>
      </c>
      <c r="F339" s="24">
        <v>0</v>
      </c>
      <c r="G339" s="24">
        <v>496</v>
      </c>
    </row>
    <row r="340" spans="1:7" x14ac:dyDescent="0.4">
      <c r="A340" s="22" t="s">
        <v>477</v>
      </c>
      <c r="B340" s="22"/>
      <c r="C340" s="24" t="s">
        <v>155</v>
      </c>
      <c r="D340" s="24">
        <v>0</v>
      </c>
      <c r="E340" s="24" t="s">
        <v>155</v>
      </c>
      <c r="F340" s="24" t="s">
        <v>155</v>
      </c>
      <c r="G340" s="24" t="s">
        <v>155</v>
      </c>
    </row>
    <row r="341" spans="1:7" x14ac:dyDescent="0.4">
      <c r="A341" s="22" t="s">
        <v>476</v>
      </c>
      <c r="B341" s="22"/>
      <c r="C341" s="24" t="s">
        <v>155</v>
      </c>
      <c r="D341" s="24" t="s">
        <v>155</v>
      </c>
      <c r="E341" s="24" t="s">
        <v>155</v>
      </c>
      <c r="F341" s="24" t="s">
        <v>155</v>
      </c>
      <c r="G341" s="24">
        <v>103</v>
      </c>
    </row>
    <row r="342" spans="1:7" x14ac:dyDescent="0.4">
      <c r="A342" s="22" t="s">
        <v>476</v>
      </c>
      <c r="B342" s="22"/>
      <c r="C342" s="24">
        <v>512</v>
      </c>
      <c r="D342" s="24" t="s">
        <v>155</v>
      </c>
      <c r="E342" s="24">
        <v>1131</v>
      </c>
      <c r="F342" s="24">
        <v>293</v>
      </c>
      <c r="G342" s="24" t="s">
        <v>155</v>
      </c>
    </row>
    <row r="343" spans="1:7" x14ac:dyDescent="0.4">
      <c r="A343" s="22" t="s">
        <v>475</v>
      </c>
      <c r="B343" s="22"/>
      <c r="C343" s="24">
        <v>0</v>
      </c>
      <c r="D343" s="24">
        <v>100</v>
      </c>
      <c r="E343" s="24">
        <v>0</v>
      </c>
      <c r="F343" s="24">
        <v>0</v>
      </c>
      <c r="G343" s="24">
        <v>7</v>
      </c>
    </row>
    <row r="344" spans="1:7" x14ac:dyDescent="0.4">
      <c r="A344" s="22" t="s">
        <v>475</v>
      </c>
      <c r="B344" s="22"/>
      <c r="C344" s="24">
        <v>650</v>
      </c>
      <c r="D344" s="24">
        <v>0</v>
      </c>
      <c r="E344" s="24">
        <v>0</v>
      </c>
      <c r="F344" s="24">
        <v>0</v>
      </c>
      <c r="G344" s="24">
        <v>0</v>
      </c>
    </row>
    <row r="345" spans="1:7" x14ac:dyDescent="0.4">
      <c r="A345" s="22" t="s">
        <v>475</v>
      </c>
      <c r="B345" s="22"/>
      <c r="C345" s="24">
        <v>0</v>
      </c>
      <c r="D345" s="24">
        <v>0</v>
      </c>
      <c r="E345" s="24">
        <v>11736</v>
      </c>
      <c r="F345" s="24">
        <v>301</v>
      </c>
      <c r="G345" s="24">
        <v>0</v>
      </c>
    </row>
    <row r="346" spans="1:7" x14ac:dyDescent="0.4">
      <c r="A346" s="22" t="s">
        <v>475</v>
      </c>
      <c r="B346" s="22"/>
      <c r="C346" s="24">
        <v>0</v>
      </c>
      <c r="D346" s="24">
        <v>2400</v>
      </c>
      <c r="E346" s="24" t="s">
        <v>155</v>
      </c>
      <c r="F346" s="24" t="s">
        <v>155</v>
      </c>
      <c r="G346" s="24" t="s">
        <v>155</v>
      </c>
    </row>
    <row r="347" spans="1:7" x14ac:dyDescent="0.4">
      <c r="A347" s="22" t="s">
        <v>475</v>
      </c>
      <c r="B347" s="22"/>
      <c r="C347" s="24">
        <v>1469</v>
      </c>
      <c r="D347" s="24">
        <v>0</v>
      </c>
      <c r="E347" s="24" t="s">
        <v>155</v>
      </c>
      <c r="F347" s="24" t="s">
        <v>155</v>
      </c>
      <c r="G347" s="24" t="s">
        <v>155</v>
      </c>
    </row>
    <row r="348" spans="1:7" x14ac:dyDescent="0.4">
      <c r="A348" s="22" t="s">
        <v>475</v>
      </c>
      <c r="B348" s="22"/>
      <c r="C348" s="24">
        <v>12522</v>
      </c>
      <c r="D348" s="24">
        <v>11779</v>
      </c>
      <c r="E348" s="24">
        <v>799</v>
      </c>
      <c r="F348" s="24">
        <v>13504</v>
      </c>
      <c r="G348" s="24">
        <v>10403</v>
      </c>
    </row>
    <row r="349" spans="1:7" x14ac:dyDescent="0.4">
      <c r="A349" s="22" t="s">
        <v>474</v>
      </c>
      <c r="B349" s="22"/>
      <c r="C349" s="24">
        <v>148</v>
      </c>
      <c r="D349" s="24">
        <v>4</v>
      </c>
      <c r="E349" s="24">
        <v>457</v>
      </c>
      <c r="F349" s="24">
        <v>0</v>
      </c>
      <c r="G349" s="24">
        <v>0</v>
      </c>
    </row>
    <row r="350" spans="1:7" x14ac:dyDescent="0.4">
      <c r="A350" s="22" t="s">
        <v>462</v>
      </c>
      <c r="B350" s="22"/>
      <c r="C350" s="24">
        <v>0</v>
      </c>
      <c r="D350" s="24">
        <v>0</v>
      </c>
      <c r="E350" s="24">
        <v>0</v>
      </c>
      <c r="F350" s="24">
        <v>0</v>
      </c>
      <c r="G350" s="24">
        <v>4948</v>
      </c>
    </row>
    <row r="351" spans="1:7" x14ac:dyDescent="0.4">
      <c r="A351" s="22" t="s">
        <v>462</v>
      </c>
      <c r="B351" s="22"/>
      <c r="C351" s="24">
        <v>1253</v>
      </c>
      <c r="D351" s="24">
        <v>245</v>
      </c>
      <c r="E351" s="24">
        <v>0</v>
      </c>
      <c r="F351" s="24">
        <v>0</v>
      </c>
      <c r="G351" s="24">
        <v>0</v>
      </c>
    </row>
    <row r="352" spans="1:7" x14ac:dyDescent="0.4">
      <c r="A352" s="22" t="s">
        <v>474</v>
      </c>
      <c r="B352" s="22"/>
      <c r="C352" s="24">
        <v>0</v>
      </c>
      <c r="D352" s="24">
        <v>490</v>
      </c>
      <c r="E352" s="24">
        <v>0</v>
      </c>
      <c r="F352" s="24">
        <v>23</v>
      </c>
      <c r="G352" s="24">
        <v>25</v>
      </c>
    </row>
    <row r="353" spans="1:7" x14ac:dyDescent="0.4">
      <c r="A353" s="22" t="s">
        <v>469</v>
      </c>
      <c r="B353" s="22"/>
      <c r="C353" s="24">
        <v>2582</v>
      </c>
      <c r="D353" s="24">
        <v>0</v>
      </c>
      <c r="E353" s="24">
        <v>437</v>
      </c>
      <c r="F353" s="24">
        <v>0</v>
      </c>
      <c r="G353" s="24">
        <v>0</v>
      </c>
    </row>
    <row r="354" spans="1:7" x14ac:dyDescent="0.4">
      <c r="A354" s="22" t="s">
        <v>469</v>
      </c>
      <c r="B354" s="22"/>
      <c r="C354" s="24">
        <v>0</v>
      </c>
      <c r="D354" s="24">
        <v>0</v>
      </c>
      <c r="E354" s="24">
        <v>0</v>
      </c>
      <c r="F354" s="24">
        <v>1108</v>
      </c>
      <c r="G354" s="24">
        <v>0</v>
      </c>
    </row>
    <row r="355" spans="1:7" x14ac:dyDescent="0.4">
      <c r="A355" s="22" t="s">
        <v>473</v>
      </c>
      <c r="B355" s="22"/>
      <c r="C355" s="24" t="s">
        <v>155</v>
      </c>
      <c r="D355" s="24">
        <v>0</v>
      </c>
      <c r="E355" s="24">
        <v>4005</v>
      </c>
      <c r="F355" s="24">
        <v>339</v>
      </c>
      <c r="G355" s="24">
        <v>496</v>
      </c>
    </row>
    <row r="356" spans="1:7" x14ac:dyDescent="0.4">
      <c r="A356" s="22" t="s">
        <v>473</v>
      </c>
      <c r="B356" s="22"/>
      <c r="C356" s="24" t="s">
        <v>155</v>
      </c>
      <c r="D356" s="24">
        <v>0</v>
      </c>
      <c r="E356" s="24">
        <v>22</v>
      </c>
      <c r="F356" s="24">
        <v>4316</v>
      </c>
      <c r="G356" s="24">
        <v>301</v>
      </c>
    </row>
    <row r="357" spans="1:7" x14ac:dyDescent="0.4">
      <c r="A357" s="22" t="s">
        <v>473</v>
      </c>
      <c r="B357" s="22"/>
      <c r="C357" s="24" t="s">
        <v>155</v>
      </c>
      <c r="D357" s="24">
        <v>410</v>
      </c>
      <c r="E357" s="24">
        <v>0</v>
      </c>
      <c r="F357" s="24">
        <v>0</v>
      </c>
      <c r="G357" s="24" t="s">
        <v>155</v>
      </c>
    </row>
    <row r="358" spans="1:7" x14ac:dyDescent="0.4">
      <c r="A358" s="22" t="s">
        <v>473</v>
      </c>
      <c r="B358" s="22"/>
      <c r="C358" s="24" t="s">
        <v>155</v>
      </c>
      <c r="D358" s="24">
        <v>2985</v>
      </c>
      <c r="E358" s="24" t="s">
        <v>155</v>
      </c>
      <c r="F358" s="24" t="s">
        <v>155</v>
      </c>
      <c r="G358" s="24" t="s">
        <v>155</v>
      </c>
    </row>
    <row r="359" spans="1:7" x14ac:dyDescent="0.4">
      <c r="A359" s="22" t="s">
        <v>472</v>
      </c>
      <c r="B359" s="22"/>
      <c r="C359" s="24">
        <v>512</v>
      </c>
      <c r="D359" s="24" t="s">
        <v>155</v>
      </c>
      <c r="E359" s="24" t="s">
        <v>155</v>
      </c>
      <c r="F359" s="24" t="s">
        <v>155</v>
      </c>
      <c r="G359" s="24">
        <v>103</v>
      </c>
    </row>
    <row r="360" spans="1:7" x14ac:dyDescent="0.4">
      <c r="A360" s="22" t="s">
        <v>472</v>
      </c>
      <c r="B360" s="22"/>
      <c r="C360" s="24">
        <v>0</v>
      </c>
      <c r="D360" s="24" t="s">
        <v>155</v>
      </c>
      <c r="E360" s="24">
        <v>1131</v>
      </c>
      <c r="F360" s="24">
        <v>293</v>
      </c>
      <c r="G360" s="24">
        <v>0</v>
      </c>
    </row>
    <row r="361" spans="1:7" x14ac:dyDescent="0.4">
      <c r="A361" s="22" t="s">
        <v>471</v>
      </c>
      <c r="B361" s="22"/>
      <c r="C361" s="24" t="s">
        <v>155</v>
      </c>
      <c r="D361" s="24" t="s">
        <v>155</v>
      </c>
      <c r="E361" s="24" t="s">
        <v>155</v>
      </c>
      <c r="F361" s="24" t="s">
        <v>155</v>
      </c>
      <c r="G361" s="24" t="s">
        <v>155</v>
      </c>
    </row>
    <row r="362" spans="1:7" x14ac:dyDescent="0.4">
      <c r="A362" s="22" t="s">
        <v>462</v>
      </c>
      <c r="B362" s="22"/>
      <c r="C362" s="24" t="s">
        <v>155</v>
      </c>
      <c r="D362" s="24" t="s">
        <v>155</v>
      </c>
      <c r="E362" s="24" t="s">
        <v>155</v>
      </c>
      <c r="F362" s="24" t="s">
        <v>155</v>
      </c>
      <c r="G362" s="24" t="s">
        <v>155</v>
      </c>
    </row>
    <row r="363" spans="1:7" x14ac:dyDescent="0.4">
      <c r="A363" s="22" t="s">
        <v>438</v>
      </c>
      <c r="B363" s="22"/>
      <c r="C363" s="24" t="s">
        <v>155</v>
      </c>
      <c r="D363" s="24" t="s">
        <v>155</v>
      </c>
      <c r="E363" s="24" t="s">
        <v>155</v>
      </c>
      <c r="F363" s="24" t="s">
        <v>155</v>
      </c>
      <c r="G363" s="24" t="s">
        <v>155</v>
      </c>
    </row>
    <row r="364" spans="1:7" x14ac:dyDescent="0.4">
      <c r="A364" s="22" t="s">
        <v>471</v>
      </c>
      <c r="B364" s="22"/>
      <c r="C364" s="24" t="s">
        <v>155</v>
      </c>
      <c r="D364" s="24" t="s">
        <v>155</v>
      </c>
      <c r="E364" s="24" t="s">
        <v>155</v>
      </c>
      <c r="F364" s="24" t="s">
        <v>155</v>
      </c>
      <c r="G364" s="24" t="s">
        <v>155</v>
      </c>
    </row>
    <row r="365" spans="1:7" x14ac:dyDescent="0.4">
      <c r="A365" s="22" t="s">
        <v>469</v>
      </c>
      <c r="B365" s="22"/>
      <c r="C365" s="24" t="s">
        <v>155</v>
      </c>
      <c r="D365" s="24" t="s">
        <v>155</v>
      </c>
      <c r="E365" s="24" t="s">
        <v>155</v>
      </c>
      <c r="F365" s="24" t="s">
        <v>155</v>
      </c>
      <c r="G365" s="24" t="s">
        <v>155</v>
      </c>
    </row>
    <row r="366" spans="1:7" x14ac:dyDescent="0.4">
      <c r="A366" s="22" t="s">
        <v>470</v>
      </c>
      <c r="B366" s="22"/>
      <c r="C366" s="24" t="s">
        <v>155</v>
      </c>
      <c r="D366" s="24" t="s">
        <v>155</v>
      </c>
      <c r="E366" s="24" t="s">
        <v>155</v>
      </c>
      <c r="F366" s="24" t="s">
        <v>155</v>
      </c>
      <c r="G366" s="24" t="s">
        <v>155</v>
      </c>
    </row>
    <row r="367" spans="1:7" x14ac:dyDescent="0.4">
      <c r="A367" s="22" t="s">
        <v>469</v>
      </c>
      <c r="B367" s="22"/>
      <c r="C367" s="24" t="s">
        <v>155</v>
      </c>
      <c r="D367" s="24" t="s">
        <v>155</v>
      </c>
      <c r="E367" s="24" t="s">
        <v>155</v>
      </c>
      <c r="F367" s="24" t="s">
        <v>155</v>
      </c>
      <c r="G367" s="24" t="s">
        <v>155</v>
      </c>
    </row>
    <row r="368" spans="1:7" x14ac:dyDescent="0.4">
      <c r="A368" s="22" t="s">
        <v>468</v>
      </c>
      <c r="B368" s="22"/>
      <c r="C368" s="24">
        <v>0</v>
      </c>
      <c r="D368" s="24">
        <v>167</v>
      </c>
      <c r="E368" s="24">
        <v>0</v>
      </c>
      <c r="F368" s="24">
        <v>0</v>
      </c>
      <c r="G368" s="24">
        <v>0</v>
      </c>
    </row>
    <row r="369" spans="1:7" x14ac:dyDescent="0.4">
      <c r="A369" s="22" t="s">
        <v>467</v>
      </c>
      <c r="B369" s="22"/>
      <c r="C369" s="24" t="s">
        <v>155</v>
      </c>
      <c r="D369" s="24">
        <v>0</v>
      </c>
      <c r="E369" s="24" t="s">
        <v>155</v>
      </c>
      <c r="F369" s="24" t="s">
        <v>155</v>
      </c>
      <c r="G369" s="24" t="s">
        <v>155</v>
      </c>
    </row>
    <row r="370" spans="1:7" x14ac:dyDescent="0.4">
      <c r="A370" s="22" t="s">
        <v>466</v>
      </c>
      <c r="B370" s="22"/>
      <c r="C370" s="24">
        <v>135</v>
      </c>
      <c r="D370" s="24" t="s">
        <v>155</v>
      </c>
      <c r="E370" s="24">
        <v>146</v>
      </c>
      <c r="F370" s="24">
        <v>175</v>
      </c>
      <c r="G370" s="24">
        <v>238</v>
      </c>
    </row>
    <row r="371" spans="1:7" x14ac:dyDescent="0.4">
      <c r="A371" s="22" t="s">
        <v>465</v>
      </c>
      <c r="B371" s="22"/>
      <c r="C371" s="24">
        <v>181</v>
      </c>
      <c r="D371" s="24">
        <v>109</v>
      </c>
      <c r="E371" s="24">
        <v>418</v>
      </c>
      <c r="F371" s="24">
        <v>396</v>
      </c>
      <c r="G371" s="24">
        <v>226</v>
      </c>
    </row>
    <row r="372" spans="1:7" x14ac:dyDescent="0.4">
      <c r="A372" s="22" t="s">
        <v>465</v>
      </c>
      <c r="B372" s="22"/>
      <c r="C372" s="24" t="s">
        <v>155</v>
      </c>
      <c r="D372" s="24">
        <v>0</v>
      </c>
      <c r="E372" s="24" t="s">
        <v>155</v>
      </c>
      <c r="F372" s="24" t="s">
        <v>155</v>
      </c>
      <c r="G372" s="24" t="s">
        <v>155</v>
      </c>
    </row>
    <row r="373" spans="1:7" x14ac:dyDescent="0.4">
      <c r="A373" s="22" t="s">
        <v>464</v>
      </c>
      <c r="B373" s="22"/>
      <c r="C373" s="24">
        <v>0</v>
      </c>
      <c r="D373" s="24" t="s">
        <v>155</v>
      </c>
      <c r="E373" s="24">
        <v>0</v>
      </c>
      <c r="F373" s="24">
        <v>0</v>
      </c>
      <c r="G373" s="24">
        <v>0</v>
      </c>
    </row>
    <row r="374" spans="1:7" x14ac:dyDescent="0.4">
      <c r="A374" s="22" t="s">
        <v>463</v>
      </c>
      <c r="B374" s="22"/>
      <c r="C374" s="24">
        <v>181</v>
      </c>
      <c r="D374" s="24">
        <v>0</v>
      </c>
      <c r="E374" s="24">
        <v>0</v>
      </c>
      <c r="F374" s="24">
        <v>0</v>
      </c>
      <c r="G374" s="24">
        <v>0</v>
      </c>
    </row>
    <row r="375" spans="1:7" x14ac:dyDescent="0.4">
      <c r="A375" s="22" t="s">
        <v>463</v>
      </c>
      <c r="B375" s="22"/>
      <c r="C375" s="24" t="s">
        <v>155</v>
      </c>
      <c r="D375" s="24">
        <v>167</v>
      </c>
      <c r="E375" s="24">
        <v>0</v>
      </c>
      <c r="F375" s="24">
        <v>0</v>
      </c>
      <c r="G375" s="24">
        <v>226</v>
      </c>
    </row>
    <row r="376" spans="1:7" x14ac:dyDescent="0.4">
      <c r="A376" s="22" t="s">
        <v>463</v>
      </c>
      <c r="B376" s="22"/>
      <c r="C376" s="24">
        <v>0</v>
      </c>
      <c r="D376" s="24">
        <v>109</v>
      </c>
      <c r="E376" s="24">
        <v>418</v>
      </c>
      <c r="F376" s="24">
        <v>396</v>
      </c>
      <c r="G376" s="24" t="s">
        <v>155</v>
      </c>
    </row>
    <row r="377" spans="1:7" x14ac:dyDescent="0.4">
      <c r="A377" s="22" t="s">
        <v>463</v>
      </c>
      <c r="B377" s="22"/>
      <c r="C377" s="24" t="s">
        <v>155</v>
      </c>
      <c r="D377" s="24">
        <v>0</v>
      </c>
      <c r="E377" s="24" t="s">
        <v>155</v>
      </c>
      <c r="F377" s="24" t="s">
        <v>155</v>
      </c>
      <c r="G377" s="24" t="s">
        <v>155</v>
      </c>
    </row>
    <row r="378" spans="1:7" x14ac:dyDescent="0.4">
      <c r="A378" s="22" t="s">
        <v>432</v>
      </c>
      <c r="B378" s="22"/>
      <c r="C378" s="24">
        <v>135</v>
      </c>
      <c r="D378" s="24" t="s">
        <v>155</v>
      </c>
      <c r="E378" s="24">
        <v>0</v>
      </c>
      <c r="F378" s="24">
        <v>0</v>
      </c>
      <c r="G378" s="24">
        <v>238</v>
      </c>
    </row>
    <row r="379" spans="1:7" x14ac:dyDescent="0.4">
      <c r="A379" s="22" t="s">
        <v>432</v>
      </c>
      <c r="B379" s="22"/>
      <c r="C379" s="24">
        <v>0</v>
      </c>
      <c r="D379" s="24" t="s">
        <v>155</v>
      </c>
      <c r="E379" s="24">
        <v>146</v>
      </c>
      <c r="F379" s="24">
        <v>175</v>
      </c>
      <c r="G379" s="24">
        <v>0</v>
      </c>
    </row>
    <row r="380" spans="1:7" x14ac:dyDescent="0.4">
      <c r="A380" s="22" t="s">
        <v>462</v>
      </c>
      <c r="B380" s="22"/>
      <c r="C380" s="24">
        <v>1253</v>
      </c>
      <c r="D380" s="24">
        <v>2985</v>
      </c>
      <c r="E380" s="24">
        <v>4005</v>
      </c>
      <c r="F380" s="24">
        <v>4316</v>
      </c>
      <c r="G380" s="24">
        <v>4948</v>
      </c>
    </row>
    <row r="381" spans="1:7" x14ac:dyDescent="0.4">
      <c r="A381" s="22" t="s">
        <v>461</v>
      </c>
      <c r="B381" s="22"/>
      <c r="C381" s="24" t="s">
        <v>155</v>
      </c>
      <c r="D381" s="24">
        <v>4000</v>
      </c>
      <c r="E381" s="24" t="s">
        <v>155</v>
      </c>
      <c r="F381" s="24" t="s">
        <v>155</v>
      </c>
      <c r="G381" s="24" t="s">
        <v>155</v>
      </c>
    </row>
    <row r="382" spans="1:7" x14ac:dyDescent="0.4">
      <c r="A382" s="22" t="s">
        <v>459</v>
      </c>
      <c r="B382" s="22"/>
      <c r="C382" s="24" t="s">
        <v>155</v>
      </c>
      <c r="D382" s="24" t="s">
        <v>155</v>
      </c>
      <c r="E382" s="24" t="s">
        <v>155</v>
      </c>
      <c r="F382" s="24" t="s">
        <v>155</v>
      </c>
      <c r="G382" s="24" t="s">
        <v>155</v>
      </c>
    </row>
    <row r="383" spans="1:7" x14ac:dyDescent="0.4">
      <c r="A383" s="22" t="s">
        <v>460</v>
      </c>
      <c r="B383" s="22"/>
      <c r="C383" s="24" t="s">
        <v>155</v>
      </c>
      <c r="D383" s="24" t="s">
        <v>155</v>
      </c>
      <c r="E383" s="24" t="s">
        <v>155</v>
      </c>
      <c r="F383" s="24" t="s">
        <v>155</v>
      </c>
      <c r="G383" s="24" t="s">
        <v>155</v>
      </c>
    </row>
    <row r="384" spans="1:7" x14ac:dyDescent="0.4">
      <c r="A384" s="22" t="s">
        <v>459</v>
      </c>
      <c r="B384" s="22"/>
      <c r="C384" s="24" t="s">
        <v>155</v>
      </c>
      <c r="D384" s="24" t="s">
        <v>155</v>
      </c>
      <c r="E384" s="24" t="s">
        <v>155</v>
      </c>
      <c r="F384" s="24">
        <v>339</v>
      </c>
      <c r="G384" s="24">
        <v>301</v>
      </c>
    </row>
    <row r="385" spans="1:7" x14ac:dyDescent="0.4">
      <c r="A385" s="22" t="s">
        <v>458</v>
      </c>
      <c r="B385" s="22"/>
      <c r="C385" s="24">
        <v>0</v>
      </c>
      <c r="D385" s="24">
        <v>0</v>
      </c>
      <c r="E385" s="24">
        <v>0</v>
      </c>
      <c r="F385" s="24">
        <v>0</v>
      </c>
      <c r="G385" s="24">
        <v>0</v>
      </c>
    </row>
    <row r="386" spans="1:7" x14ac:dyDescent="0.4">
      <c r="A386" s="22" t="s">
        <v>458</v>
      </c>
      <c r="B386" s="22"/>
      <c r="C386" s="24">
        <v>512</v>
      </c>
      <c r="D386" s="24">
        <v>410</v>
      </c>
      <c r="E386" s="24">
        <v>1131</v>
      </c>
      <c r="F386" s="24">
        <v>293</v>
      </c>
      <c r="G386" s="24">
        <v>103</v>
      </c>
    </row>
    <row r="387" spans="1:7" x14ac:dyDescent="0.4">
      <c r="A387" s="22" t="s">
        <v>457</v>
      </c>
      <c r="B387" s="22"/>
      <c r="C387" s="24">
        <v>2582</v>
      </c>
      <c r="D387" s="24" t="s">
        <v>155</v>
      </c>
      <c r="E387" s="24" t="s">
        <v>155</v>
      </c>
      <c r="F387" s="24" t="s">
        <v>155</v>
      </c>
      <c r="G387" s="24" t="s">
        <v>155</v>
      </c>
    </row>
    <row r="388" spans="1:7" x14ac:dyDescent="0.4">
      <c r="A388" s="22" t="s">
        <v>457</v>
      </c>
      <c r="B388" s="22"/>
      <c r="C388" s="24" t="s">
        <v>155</v>
      </c>
      <c r="D388" s="24" t="s">
        <v>155</v>
      </c>
      <c r="E388" s="24" t="s">
        <v>155</v>
      </c>
      <c r="F388" s="24">
        <v>1108</v>
      </c>
      <c r="G388" s="24">
        <v>496</v>
      </c>
    </row>
    <row r="389" spans="1:7" x14ac:dyDescent="0.4">
      <c r="A389" s="22" t="s">
        <v>456</v>
      </c>
      <c r="B389" s="22"/>
      <c r="C389" s="24">
        <v>470128</v>
      </c>
      <c r="D389" s="24">
        <v>432714</v>
      </c>
      <c r="E389" s="24">
        <v>440722</v>
      </c>
      <c r="F389" s="24">
        <v>551818</v>
      </c>
      <c r="G389" s="24">
        <v>528008</v>
      </c>
    </row>
    <row r="390" spans="1:7" x14ac:dyDescent="0.4">
      <c r="A390" s="22" t="s">
        <v>455</v>
      </c>
      <c r="B390" s="22"/>
      <c r="C390" s="24">
        <v>994800</v>
      </c>
      <c r="D390" s="24">
        <v>863860</v>
      </c>
      <c r="E390" s="24">
        <v>834196</v>
      </c>
      <c r="F390" s="24">
        <v>998502</v>
      </c>
      <c r="G390" s="24">
        <v>1084232</v>
      </c>
    </row>
    <row r="391" spans="1:7" x14ac:dyDescent="0.4">
      <c r="A391" s="22" t="s">
        <v>454</v>
      </c>
      <c r="B391" s="22"/>
      <c r="C391" s="24">
        <v>0</v>
      </c>
      <c r="D391" s="24">
        <v>109</v>
      </c>
      <c r="E391" s="24">
        <v>0</v>
      </c>
      <c r="F391" s="24">
        <v>0</v>
      </c>
      <c r="G391" s="24">
        <v>0</v>
      </c>
    </row>
    <row r="392" spans="1:7" x14ac:dyDescent="0.4">
      <c r="A392" s="22" t="s">
        <v>454</v>
      </c>
      <c r="B392" s="22"/>
      <c r="C392" s="24">
        <v>181</v>
      </c>
      <c r="D392" s="24">
        <v>0</v>
      </c>
      <c r="E392" s="24">
        <v>418</v>
      </c>
      <c r="F392" s="24">
        <v>396</v>
      </c>
      <c r="G392" s="24">
        <v>226</v>
      </c>
    </row>
    <row r="393" spans="1:7" x14ac:dyDescent="0.4">
      <c r="A393" s="22" t="s">
        <v>453</v>
      </c>
      <c r="B393" s="22"/>
      <c r="C393" s="24">
        <v>80</v>
      </c>
      <c r="D393" s="24">
        <v>104</v>
      </c>
      <c r="E393" s="24">
        <v>117</v>
      </c>
      <c r="F393" s="24">
        <v>232</v>
      </c>
      <c r="G393" s="24">
        <v>206</v>
      </c>
    </row>
    <row r="394" spans="1:7" x14ac:dyDescent="0.4">
      <c r="A394" s="22" t="s">
        <v>452</v>
      </c>
      <c r="B394" s="22"/>
      <c r="C394" s="24">
        <v>512</v>
      </c>
      <c r="D394" s="24">
        <v>0</v>
      </c>
      <c r="E394" s="24">
        <v>0</v>
      </c>
      <c r="F394" s="24">
        <v>0</v>
      </c>
      <c r="G394" s="24">
        <v>0</v>
      </c>
    </row>
    <row r="395" spans="1:7" x14ac:dyDescent="0.4">
      <c r="A395" s="22" t="s">
        <v>452</v>
      </c>
      <c r="B395" s="22"/>
      <c r="C395" s="24">
        <v>0</v>
      </c>
      <c r="D395" s="24">
        <v>410</v>
      </c>
      <c r="E395" s="24">
        <v>1131</v>
      </c>
      <c r="F395" s="24">
        <v>293</v>
      </c>
      <c r="G395" s="24">
        <v>103</v>
      </c>
    </row>
    <row r="396" spans="1:7" x14ac:dyDescent="0.4">
      <c r="A396" s="22" t="s">
        <v>451</v>
      </c>
      <c r="B396" s="22"/>
      <c r="C396" s="24">
        <v>181</v>
      </c>
      <c r="D396" s="24">
        <v>109</v>
      </c>
      <c r="E396" s="24">
        <v>418</v>
      </c>
      <c r="F396" s="24">
        <v>396</v>
      </c>
      <c r="G396" s="24">
        <v>226</v>
      </c>
    </row>
    <row r="397" spans="1:7" x14ac:dyDescent="0.4">
      <c r="A397" s="22" t="s">
        <v>451</v>
      </c>
      <c r="B397" s="22"/>
      <c r="C397" s="24">
        <v>0</v>
      </c>
      <c r="D397" s="24">
        <v>0</v>
      </c>
      <c r="E397" s="24">
        <v>0</v>
      </c>
      <c r="F397" s="24">
        <v>0</v>
      </c>
      <c r="G397" s="24">
        <v>0</v>
      </c>
    </row>
    <row r="398" spans="1:7" x14ac:dyDescent="0.4">
      <c r="A398" s="22" t="s">
        <v>450</v>
      </c>
      <c r="B398" s="22"/>
      <c r="C398" s="24">
        <v>5.714658</v>
      </c>
      <c r="D398" s="24">
        <v>5.7865489999999999</v>
      </c>
      <c r="E398" s="24">
        <v>5.8397790000000001</v>
      </c>
      <c r="F398" s="24">
        <v>6.1686240000000003</v>
      </c>
      <c r="G398" s="24">
        <v>5.9253549999999997</v>
      </c>
    </row>
    <row r="399" spans="1:7" x14ac:dyDescent="0.4">
      <c r="A399" s="22" t="s">
        <v>449</v>
      </c>
      <c r="B399" s="22"/>
      <c r="C399" s="24">
        <v>0</v>
      </c>
      <c r="D399" s="24" t="s">
        <v>155</v>
      </c>
      <c r="E399" s="24" t="s">
        <v>155</v>
      </c>
      <c r="F399" s="24" t="s">
        <v>155</v>
      </c>
      <c r="G399" s="24" t="s">
        <v>155</v>
      </c>
    </row>
    <row r="400" spans="1:7" x14ac:dyDescent="0.4">
      <c r="A400" s="22" t="s">
        <v>448</v>
      </c>
      <c r="B400" s="22"/>
      <c r="C400" s="24" t="s">
        <v>155</v>
      </c>
      <c r="D400" s="24" t="s">
        <v>155</v>
      </c>
      <c r="E400" s="24" t="s">
        <v>155</v>
      </c>
      <c r="F400" s="24" t="s">
        <v>155</v>
      </c>
      <c r="G400" s="24" t="s">
        <v>155</v>
      </c>
    </row>
    <row r="401" spans="1:7" x14ac:dyDescent="0.4">
      <c r="A401" s="22" t="s">
        <v>447</v>
      </c>
      <c r="B401" s="22"/>
      <c r="C401" s="24">
        <v>183</v>
      </c>
      <c r="D401" s="24">
        <v>219.03</v>
      </c>
      <c r="E401" s="24">
        <v>206.47</v>
      </c>
      <c r="F401" s="24">
        <v>217.53</v>
      </c>
      <c r="G401" s="24">
        <v>266.24</v>
      </c>
    </row>
    <row r="402" spans="1:7" x14ac:dyDescent="0.4">
      <c r="A402" s="22" t="s">
        <v>446</v>
      </c>
      <c r="B402" s="22"/>
      <c r="C402" s="24">
        <v>2234</v>
      </c>
      <c r="D402" s="24">
        <v>2579</v>
      </c>
      <c r="E402" s="24">
        <v>2488</v>
      </c>
      <c r="F402" s="24">
        <v>2683</v>
      </c>
      <c r="G402" s="24">
        <v>3497</v>
      </c>
    </row>
    <row r="403" spans="1:7" x14ac:dyDescent="0.4">
      <c r="A403" s="22" t="s">
        <v>445</v>
      </c>
      <c r="B403" s="22"/>
      <c r="C403" s="24">
        <v>2579</v>
      </c>
      <c r="D403" s="24">
        <v>2488</v>
      </c>
      <c r="E403" s="24">
        <v>2683</v>
      </c>
      <c r="F403" s="24">
        <v>3497</v>
      </c>
      <c r="G403" s="24">
        <v>3750</v>
      </c>
    </row>
    <row r="404" spans="1:7" x14ac:dyDescent="0.4">
      <c r="A404" s="22" t="s">
        <v>444</v>
      </c>
      <c r="B404" s="22"/>
      <c r="C404" s="24">
        <v>376</v>
      </c>
      <c r="D404" s="24">
        <v>326</v>
      </c>
      <c r="E404" s="24">
        <v>350</v>
      </c>
      <c r="F404" s="24">
        <v>510</v>
      </c>
      <c r="G404" s="24">
        <v>556</v>
      </c>
    </row>
    <row r="405" spans="1:7" x14ac:dyDescent="0.4">
      <c r="A405" s="22" t="s">
        <v>443</v>
      </c>
      <c r="B405" s="22"/>
      <c r="C405" s="24">
        <v>66</v>
      </c>
      <c r="D405" s="24">
        <v>34</v>
      </c>
      <c r="E405" s="24">
        <v>10</v>
      </c>
      <c r="F405" s="24">
        <v>515</v>
      </c>
      <c r="G405" s="24">
        <v>148</v>
      </c>
    </row>
    <row r="406" spans="1:7" x14ac:dyDescent="0.4">
      <c r="A406" s="22" t="s">
        <v>442</v>
      </c>
      <c r="B406" s="22"/>
      <c r="C406" s="24">
        <v>83</v>
      </c>
      <c r="D406" s="24">
        <v>386</v>
      </c>
      <c r="E406" s="24">
        <v>143</v>
      </c>
      <c r="F406" s="24">
        <v>-190</v>
      </c>
      <c r="G406" s="24">
        <v>-322</v>
      </c>
    </row>
    <row r="407" spans="1:7" x14ac:dyDescent="0.4">
      <c r="A407" s="22" t="s">
        <v>441</v>
      </c>
      <c r="B407" s="22"/>
      <c r="C407" s="24">
        <v>12</v>
      </c>
      <c r="D407" s="24">
        <v>63</v>
      </c>
      <c r="E407" s="24">
        <v>19</v>
      </c>
      <c r="F407" s="24">
        <v>-17</v>
      </c>
      <c r="G407" s="24">
        <v>-127</v>
      </c>
    </row>
    <row r="408" spans="1:7" x14ac:dyDescent="0.4">
      <c r="A408" s="22" t="s">
        <v>440</v>
      </c>
      <c r="B408" s="22"/>
      <c r="C408" s="24">
        <v>-2</v>
      </c>
      <c r="D408" s="24">
        <v>2</v>
      </c>
      <c r="E408" s="24">
        <v>3</v>
      </c>
      <c r="F408" s="24">
        <v>-4</v>
      </c>
      <c r="G408" s="24">
        <v>-2</v>
      </c>
    </row>
    <row r="409" spans="1:7" x14ac:dyDescent="0.4">
      <c r="A409" s="22" t="s">
        <v>439</v>
      </c>
      <c r="B409" s="22"/>
      <c r="C409" s="24" t="s">
        <v>155</v>
      </c>
      <c r="D409" s="24" t="s">
        <v>155</v>
      </c>
      <c r="E409" s="24" t="s">
        <v>155</v>
      </c>
      <c r="F409" s="24" t="s">
        <v>155</v>
      </c>
      <c r="G409" s="24" t="s">
        <v>155</v>
      </c>
    </row>
    <row r="410" spans="1:7" x14ac:dyDescent="0.4">
      <c r="A410" s="22" t="s">
        <v>438</v>
      </c>
      <c r="B410" s="22"/>
      <c r="C410" s="24">
        <v>512</v>
      </c>
      <c r="D410" s="24">
        <v>410</v>
      </c>
      <c r="E410" s="24">
        <v>1131</v>
      </c>
      <c r="F410" s="24">
        <v>293</v>
      </c>
      <c r="G410" s="24">
        <v>103</v>
      </c>
    </row>
    <row r="411" spans="1:7" x14ac:dyDescent="0.4">
      <c r="A411" s="22" t="s">
        <v>437</v>
      </c>
      <c r="B411" s="22"/>
      <c r="C411" s="24">
        <v>4.6905000000000001</v>
      </c>
      <c r="D411" s="24">
        <v>4.5264480000000002</v>
      </c>
      <c r="E411" s="24">
        <v>5.7943199999999999</v>
      </c>
      <c r="F411" s="24">
        <v>6.4173970000000002</v>
      </c>
      <c r="G411" s="24">
        <v>6.359661</v>
      </c>
    </row>
    <row r="412" spans="1:7" x14ac:dyDescent="0.4">
      <c r="A412" s="22" t="s">
        <v>437</v>
      </c>
      <c r="B412" s="22"/>
      <c r="C412" s="24">
        <v>154.06</v>
      </c>
      <c r="D412" s="24">
        <v>188.16</v>
      </c>
      <c r="E412" s="24">
        <v>203.23</v>
      </c>
      <c r="F412" s="24">
        <v>209.19</v>
      </c>
      <c r="G412" s="24">
        <v>230.99</v>
      </c>
    </row>
    <row r="413" spans="1:7" x14ac:dyDescent="0.4">
      <c r="A413" s="22" t="s">
        <v>436</v>
      </c>
      <c r="B413" s="22"/>
      <c r="C413" s="24">
        <v>3000</v>
      </c>
      <c r="D413" s="24">
        <v>3000</v>
      </c>
      <c r="E413" s="24">
        <v>3000</v>
      </c>
      <c r="F413" s="24">
        <v>3000</v>
      </c>
      <c r="G413" s="24">
        <v>3000</v>
      </c>
    </row>
    <row r="414" spans="1:7" x14ac:dyDescent="0.4">
      <c r="A414" s="22" t="s">
        <v>435</v>
      </c>
      <c r="B414" s="22"/>
      <c r="C414" s="24">
        <v>5500</v>
      </c>
      <c r="D414" s="24">
        <v>4800</v>
      </c>
      <c r="E414" s="24">
        <v>5200</v>
      </c>
      <c r="F414" s="24">
        <v>4700</v>
      </c>
      <c r="G414" s="24" t="s">
        <v>155</v>
      </c>
    </row>
    <row r="415" spans="1:7" x14ac:dyDescent="0.4">
      <c r="A415" s="22" t="s">
        <v>434</v>
      </c>
      <c r="B415" s="22"/>
      <c r="C415" s="24">
        <v>3000</v>
      </c>
      <c r="D415" s="24">
        <v>3000</v>
      </c>
      <c r="E415" s="24">
        <v>3000</v>
      </c>
      <c r="F415" s="24">
        <v>3000</v>
      </c>
      <c r="G415" s="24">
        <v>3000</v>
      </c>
    </row>
    <row r="416" spans="1:7" x14ac:dyDescent="0.4">
      <c r="A416" s="22" t="s">
        <v>432</v>
      </c>
      <c r="B416" s="22"/>
      <c r="C416" s="24">
        <v>44</v>
      </c>
      <c r="D416" s="24">
        <v>40</v>
      </c>
      <c r="E416" s="24">
        <v>56</v>
      </c>
      <c r="F416" s="24">
        <v>16</v>
      </c>
      <c r="G416" s="24">
        <v>64</v>
      </c>
    </row>
    <row r="417" spans="1:7" x14ac:dyDescent="0.4">
      <c r="A417" s="22" t="s">
        <v>432</v>
      </c>
      <c r="B417" s="22"/>
      <c r="C417" s="24" t="s">
        <v>155</v>
      </c>
      <c r="D417" s="24" t="s">
        <v>155</v>
      </c>
      <c r="E417" s="24" t="s">
        <v>155</v>
      </c>
      <c r="F417" s="24">
        <v>10</v>
      </c>
      <c r="G417" s="24" t="s">
        <v>155</v>
      </c>
    </row>
    <row r="418" spans="1:7" x14ac:dyDescent="0.4">
      <c r="A418" s="22" t="s">
        <v>433</v>
      </c>
      <c r="B418" s="22"/>
      <c r="C418" s="24" t="s">
        <v>155</v>
      </c>
      <c r="D418" s="24" t="s">
        <v>155</v>
      </c>
      <c r="E418" s="24" t="s">
        <v>155</v>
      </c>
      <c r="F418" s="24">
        <v>13</v>
      </c>
      <c r="G418" s="24" t="s">
        <v>155</v>
      </c>
    </row>
    <row r="419" spans="1:7" x14ac:dyDescent="0.4">
      <c r="A419" s="22" t="s">
        <v>432</v>
      </c>
      <c r="B419" s="22"/>
      <c r="C419" s="24" t="s">
        <v>155</v>
      </c>
      <c r="D419" s="24" t="s">
        <v>155</v>
      </c>
      <c r="E419" s="24" t="s">
        <v>155</v>
      </c>
      <c r="F419" s="24">
        <v>17</v>
      </c>
      <c r="G419" s="24" t="s">
        <v>155</v>
      </c>
    </row>
    <row r="420" spans="1:7" x14ac:dyDescent="0.4">
      <c r="A420" s="25" t="s">
        <v>153</v>
      </c>
      <c r="B420" s="25"/>
      <c r="C420" s="25"/>
      <c r="D420" s="25"/>
      <c r="E420" s="25"/>
      <c r="F420" s="25"/>
      <c r="G420" s="25"/>
    </row>
  </sheetData>
  <phoneticPr fontId="3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E489-973F-4F77-B9C2-632CD98901BC}">
  <dimension ref="A1:H71"/>
  <sheetViews>
    <sheetView workbookViewId="0">
      <selection activeCell="D9" sqref="D9"/>
    </sheetView>
  </sheetViews>
  <sheetFormatPr defaultRowHeight="17.399999999999999" x14ac:dyDescent="0.4"/>
  <cols>
    <col min="1" max="1" width="35.19921875" customWidth="1"/>
    <col min="2" max="2" width="0" hidden="1" customWidth="1"/>
    <col min="3" max="8" width="14.09765625" customWidth="1"/>
  </cols>
  <sheetData>
    <row r="1" spans="1:8" x14ac:dyDescent="0.4">
      <c r="A1" s="5"/>
      <c r="B1" s="5"/>
      <c r="C1" s="5"/>
      <c r="D1" s="5"/>
      <c r="E1" s="5"/>
      <c r="F1" s="5"/>
      <c r="G1" s="5"/>
      <c r="H1" s="5"/>
    </row>
    <row r="2" spans="1:8" ht="21" x14ac:dyDescent="0.4">
      <c r="A2" s="6" t="s">
        <v>327</v>
      </c>
      <c r="B2" s="6"/>
      <c r="C2" s="6"/>
      <c r="D2" s="6"/>
      <c r="E2" s="6"/>
      <c r="F2" s="6"/>
      <c r="G2" s="6"/>
      <c r="H2" s="6"/>
    </row>
    <row r="3" spans="1:8" x14ac:dyDescent="0.4">
      <c r="A3" s="7"/>
      <c r="B3" s="7"/>
      <c r="C3" s="7"/>
      <c r="D3" s="7"/>
      <c r="E3" s="7"/>
      <c r="F3" s="7"/>
      <c r="G3" s="7"/>
      <c r="H3" s="7"/>
    </row>
    <row r="4" spans="1:8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</row>
    <row r="5" spans="1:8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</row>
    <row r="6" spans="1:8" x14ac:dyDescent="0.4">
      <c r="A6" s="17" t="s">
        <v>409</v>
      </c>
      <c r="B6" s="19"/>
      <c r="C6" s="19"/>
      <c r="D6" s="19"/>
      <c r="E6" s="19"/>
      <c r="F6" s="19"/>
      <c r="G6" s="19"/>
      <c r="H6" s="18"/>
    </row>
    <row r="7" spans="1:8" x14ac:dyDescent="0.4">
      <c r="A7" s="22" t="s">
        <v>431</v>
      </c>
      <c r="B7" s="22" t="s">
        <v>430</v>
      </c>
      <c r="C7" s="24">
        <v>10866</v>
      </c>
      <c r="D7" s="24">
        <v>12311</v>
      </c>
      <c r="E7" s="24">
        <v>14957</v>
      </c>
      <c r="F7" s="24">
        <v>17273</v>
      </c>
      <c r="G7" s="24">
        <v>19743</v>
      </c>
      <c r="H7" s="23">
        <v>19886</v>
      </c>
    </row>
    <row r="8" spans="1:8" x14ac:dyDescent="0.4">
      <c r="A8" s="22" t="s">
        <v>429</v>
      </c>
      <c r="B8" s="22" t="s">
        <v>428</v>
      </c>
      <c r="C8" s="24">
        <v>767</v>
      </c>
      <c r="D8" s="24">
        <v>804</v>
      </c>
      <c r="E8" s="24">
        <v>861</v>
      </c>
      <c r="F8" s="24">
        <v>943</v>
      </c>
      <c r="G8" s="24">
        <v>1034</v>
      </c>
      <c r="H8" s="23">
        <v>1125</v>
      </c>
    </row>
    <row r="9" spans="1:8" x14ac:dyDescent="0.4">
      <c r="A9" s="22" t="s">
        <v>427</v>
      </c>
      <c r="B9" s="22" t="s">
        <v>426</v>
      </c>
      <c r="C9" s="24">
        <v>-1278</v>
      </c>
      <c r="D9" s="24">
        <v>1157</v>
      </c>
      <c r="E9" s="24">
        <v>671</v>
      </c>
      <c r="F9" s="24">
        <v>1523</v>
      </c>
      <c r="G9" s="24">
        <v>339</v>
      </c>
      <c r="H9" s="23">
        <v>1150</v>
      </c>
    </row>
    <row r="10" spans="1:8" x14ac:dyDescent="0.4">
      <c r="A10" s="22" t="s">
        <v>425</v>
      </c>
      <c r="B10" s="22" t="s">
        <v>424</v>
      </c>
      <c r="C10" s="24">
        <v>416</v>
      </c>
      <c r="D10" s="24">
        <v>542</v>
      </c>
      <c r="E10" s="24">
        <v>602</v>
      </c>
      <c r="F10" s="24">
        <v>765</v>
      </c>
      <c r="G10" s="24">
        <v>850</v>
      </c>
      <c r="H10" s="23">
        <v>882</v>
      </c>
    </row>
    <row r="11" spans="1:8" x14ac:dyDescent="0.4">
      <c r="A11" s="22" t="s">
        <v>82</v>
      </c>
      <c r="B11" s="22" t="s">
        <v>423</v>
      </c>
      <c r="C11" s="24">
        <v>307</v>
      </c>
      <c r="D11" s="24">
        <v>873</v>
      </c>
      <c r="E11" s="24">
        <v>-336</v>
      </c>
      <c r="F11" s="24">
        <v>-483</v>
      </c>
      <c r="G11" s="24">
        <v>-100</v>
      </c>
      <c r="H11" s="23">
        <v>-118</v>
      </c>
    </row>
    <row r="12" spans="1:8" x14ac:dyDescent="0.4">
      <c r="A12" s="22" t="s">
        <v>422</v>
      </c>
      <c r="B12" s="22" t="s">
        <v>421</v>
      </c>
      <c r="C12" s="24">
        <v>-2001</v>
      </c>
      <c r="D12" s="24">
        <v>-258</v>
      </c>
      <c r="E12" s="24">
        <v>405</v>
      </c>
      <c r="F12" s="24">
        <v>1241</v>
      </c>
      <c r="G12" s="24">
        <v>-411</v>
      </c>
      <c r="H12" s="23">
        <v>386</v>
      </c>
    </row>
    <row r="13" spans="1:8" x14ac:dyDescent="0.4">
      <c r="A13" s="22" t="s">
        <v>420</v>
      </c>
      <c r="B13" s="22" t="s">
        <v>419</v>
      </c>
      <c r="C13" s="24">
        <v>85</v>
      </c>
      <c r="D13" s="24">
        <v>955</v>
      </c>
      <c r="E13" s="24">
        <v>2360</v>
      </c>
      <c r="F13" s="24">
        <v>1016</v>
      </c>
      <c r="G13" s="24">
        <v>-1166</v>
      </c>
      <c r="H13" s="23">
        <v>-272</v>
      </c>
    </row>
    <row r="14" spans="1:8" x14ac:dyDescent="0.4">
      <c r="A14" s="22" t="s">
        <v>418</v>
      </c>
      <c r="B14" s="22" t="s">
        <v>417</v>
      </c>
      <c r="C14" s="24">
        <v>-43</v>
      </c>
      <c r="D14" s="24">
        <v>-343</v>
      </c>
      <c r="E14" s="24">
        <v>-97</v>
      </c>
      <c r="F14" s="24">
        <v>-250</v>
      </c>
      <c r="G14" s="24">
        <v>-237</v>
      </c>
      <c r="H14" s="23">
        <v>-427</v>
      </c>
    </row>
    <row r="15" spans="1:8" x14ac:dyDescent="0.4">
      <c r="A15" s="22" t="s">
        <v>416</v>
      </c>
      <c r="B15" s="22" t="s">
        <v>415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3">
        <v>0</v>
      </c>
    </row>
    <row r="16" spans="1:8" x14ac:dyDescent="0.4">
      <c r="A16" s="22" t="s">
        <v>414</v>
      </c>
      <c r="B16" s="22" t="s">
        <v>413</v>
      </c>
      <c r="C16" s="24">
        <v>21</v>
      </c>
      <c r="D16" s="24">
        <v>88</v>
      </c>
      <c r="E16" s="24">
        <v>67</v>
      </c>
      <c r="F16" s="24">
        <v>34</v>
      </c>
      <c r="G16" s="24">
        <v>109</v>
      </c>
      <c r="H16" s="23">
        <v>89</v>
      </c>
    </row>
    <row r="17" spans="1:8" x14ac:dyDescent="0.4">
      <c r="A17" s="22" t="s">
        <v>412</v>
      </c>
      <c r="B17" s="22" t="s">
        <v>411</v>
      </c>
      <c r="C17" s="24">
        <v>107</v>
      </c>
      <c r="D17" s="24">
        <v>1210</v>
      </c>
      <c r="E17" s="24">
        <v>2390</v>
      </c>
      <c r="F17" s="24">
        <v>1232</v>
      </c>
      <c r="G17" s="24">
        <v>-1038</v>
      </c>
      <c r="H17" s="23">
        <v>66</v>
      </c>
    </row>
    <row r="18" spans="1:8" x14ac:dyDescent="0.4">
      <c r="A18" s="22" t="s">
        <v>356</v>
      </c>
      <c r="B18" s="22" t="s">
        <v>410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3">
        <v>0</v>
      </c>
    </row>
    <row r="19" spans="1:8" x14ac:dyDescent="0.4">
      <c r="A19" s="17" t="s">
        <v>409</v>
      </c>
      <c r="B19" s="17" t="s">
        <v>408</v>
      </c>
      <c r="C19" s="16">
        <v>10440</v>
      </c>
      <c r="D19" s="16">
        <v>15227</v>
      </c>
      <c r="E19" s="16">
        <v>18849</v>
      </c>
      <c r="F19" s="16">
        <v>20755</v>
      </c>
      <c r="G19" s="16">
        <v>19950</v>
      </c>
      <c r="H19" s="15">
        <v>21889</v>
      </c>
    </row>
    <row r="20" spans="1:8" x14ac:dyDescent="0.4">
      <c r="A20" s="17"/>
      <c r="B20" s="19"/>
      <c r="C20" s="19"/>
      <c r="D20" s="19"/>
      <c r="E20" s="19"/>
      <c r="F20" s="19"/>
      <c r="G20" s="19"/>
      <c r="H20" s="18"/>
    </row>
    <row r="21" spans="1:8" x14ac:dyDescent="0.4">
      <c r="A21" s="17" t="s">
        <v>376</v>
      </c>
      <c r="B21" s="19"/>
      <c r="C21" s="19"/>
      <c r="D21" s="19"/>
      <c r="E21" s="19"/>
      <c r="F21" s="19"/>
      <c r="G21" s="19"/>
      <c r="H21" s="18"/>
    </row>
    <row r="22" spans="1:8" x14ac:dyDescent="0.4">
      <c r="A22" s="22" t="s">
        <v>407</v>
      </c>
      <c r="B22" s="22" t="s">
        <v>406</v>
      </c>
      <c r="C22" s="24">
        <v>-736</v>
      </c>
      <c r="D22" s="24">
        <v>-705</v>
      </c>
      <c r="E22" s="24">
        <v>-970</v>
      </c>
      <c r="F22" s="24">
        <v>-1059</v>
      </c>
      <c r="G22" s="24">
        <v>-1257</v>
      </c>
      <c r="H22" s="23">
        <v>-1381</v>
      </c>
    </row>
    <row r="23" spans="1:8" x14ac:dyDescent="0.4">
      <c r="A23" s="22" t="s">
        <v>405</v>
      </c>
      <c r="B23" s="22" t="s">
        <v>404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3">
        <v>0</v>
      </c>
    </row>
    <row r="24" spans="1:8" x14ac:dyDescent="0.4">
      <c r="A24" s="12" t="s">
        <v>403</v>
      </c>
      <c r="B24" s="12" t="s">
        <v>402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3">
        <v>0</v>
      </c>
    </row>
    <row r="25" spans="1:8" x14ac:dyDescent="0.4">
      <c r="A25" s="12" t="s">
        <v>401</v>
      </c>
      <c r="B25" s="12" t="s">
        <v>400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3">
        <v>0</v>
      </c>
    </row>
    <row r="26" spans="1:8" x14ac:dyDescent="0.4">
      <c r="A26" s="22" t="s">
        <v>399</v>
      </c>
      <c r="B26" s="22" t="s">
        <v>398</v>
      </c>
      <c r="C26" s="24">
        <v>-736</v>
      </c>
      <c r="D26" s="24">
        <v>-705</v>
      </c>
      <c r="E26" s="24">
        <v>-970</v>
      </c>
      <c r="F26" s="24">
        <v>-1059</v>
      </c>
      <c r="G26" s="24">
        <v>-1257</v>
      </c>
      <c r="H26" s="23">
        <v>-1381</v>
      </c>
    </row>
    <row r="27" spans="1:8" x14ac:dyDescent="0.4">
      <c r="A27" s="12" t="s">
        <v>397</v>
      </c>
      <c r="B27" s="12" t="s">
        <v>396</v>
      </c>
      <c r="C27" s="14">
        <v>-736</v>
      </c>
      <c r="D27" s="14">
        <v>-705</v>
      </c>
      <c r="E27" s="14">
        <v>-970</v>
      </c>
      <c r="F27" s="14">
        <v>-1059</v>
      </c>
      <c r="G27" s="14">
        <v>-1257</v>
      </c>
      <c r="H27" s="13">
        <v>-1381</v>
      </c>
    </row>
    <row r="28" spans="1:8" x14ac:dyDescent="0.4">
      <c r="A28" s="12" t="s">
        <v>395</v>
      </c>
      <c r="B28" s="12" t="s">
        <v>394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3">
        <v>0</v>
      </c>
    </row>
    <row r="29" spans="1:8" x14ac:dyDescent="0.4">
      <c r="A29" s="22" t="s">
        <v>393</v>
      </c>
      <c r="B29" s="22" t="s">
        <v>392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3">
        <v>0</v>
      </c>
    </row>
    <row r="30" spans="1:8" x14ac:dyDescent="0.4">
      <c r="A30" s="22" t="s">
        <v>391</v>
      </c>
      <c r="B30" s="22" t="s">
        <v>390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3">
        <v>0</v>
      </c>
    </row>
    <row r="31" spans="1:8" x14ac:dyDescent="0.4">
      <c r="A31" s="22" t="s">
        <v>389</v>
      </c>
      <c r="B31" s="22" t="s">
        <v>388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3">
        <v>0</v>
      </c>
    </row>
    <row r="32" spans="1:8" x14ac:dyDescent="0.4">
      <c r="A32" s="22" t="s">
        <v>387</v>
      </c>
      <c r="B32" s="22" t="s">
        <v>386</v>
      </c>
      <c r="C32" s="24">
        <v>-77</v>
      </c>
      <c r="D32" s="24">
        <v>-75</v>
      </c>
      <c r="E32" s="24">
        <v>-1948</v>
      </c>
      <c r="F32" s="24">
        <v>0</v>
      </c>
      <c r="G32" s="24">
        <v>-915</v>
      </c>
      <c r="H32" s="23">
        <v>-887</v>
      </c>
    </row>
    <row r="33" spans="1:8" x14ac:dyDescent="0.4">
      <c r="A33" s="22" t="s">
        <v>385</v>
      </c>
      <c r="B33" s="22" t="s">
        <v>384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3">
        <v>0</v>
      </c>
    </row>
    <row r="34" spans="1:8" x14ac:dyDescent="0.4">
      <c r="A34" s="22" t="s">
        <v>383</v>
      </c>
      <c r="B34" s="22" t="s">
        <v>382</v>
      </c>
      <c r="C34" s="24">
        <v>-77</v>
      </c>
      <c r="D34" s="24">
        <v>-75</v>
      </c>
      <c r="E34" s="24">
        <v>-1948</v>
      </c>
      <c r="F34" s="24">
        <v>0</v>
      </c>
      <c r="G34" s="24">
        <v>-915</v>
      </c>
      <c r="H34" s="23">
        <v>-887</v>
      </c>
    </row>
    <row r="35" spans="1:8" x14ac:dyDescent="0.4">
      <c r="A35" s="22" t="s">
        <v>381</v>
      </c>
      <c r="B35" s="22" t="s">
        <v>380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3">
        <v>0</v>
      </c>
    </row>
    <row r="36" spans="1:8" x14ac:dyDescent="0.4">
      <c r="A36" s="22" t="s">
        <v>379</v>
      </c>
      <c r="B36" s="22" t="s">
        <v>378</v>
      </c>
      <c r="C36" s="24">
        <v>2240</v>
      </c>
      <c r="D36" s="24">
        <v>628</v>
      </c>
      <c r="E36" s="24">
        <v>-1370</v>
      </c>
      <c r="F36" s="24">
        <v>-947</v>
      </c>
      <c r="G36" s="24">
        <v>246</v>
      </c>
      <c r="H36" s="23">
        <v>4067</v>
      </c>
    </row>
    <row r="37" spans="1:8" x14ac:dyDescent="0.4">
      <c r="A37" s="22" t="s">
        <v>356</v>
      </c>
      <c r="B37" s="22" t="s">
        <v>377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3">
        <v>0</v>
      </c>
    </row>
    <row r="38" spans="1:8" x14ac:dyDescent="0.4">
      <c r="A38" s="17" t="s">
        <v>376</v>
      </c>
      <c r="B38" s="17" t="s">
        <v>375</v>
      </c>
      <c r="C38" s="16">
        <v>1427</v>
      </c>
      <c r="D38" s="16">
        <v>-152</v>
      </c>
      <c r="E38" s="16">
        <v>-4288</v>
      </c>
      <c r="F38" s="16">
        <v>-2006</v>
      </c>
      <c r="G38" s="16">
        <v>-1926</v>
      </c>
      <c r="H38" s="15">
        <v>1799</v>
      </c>
    </row>
    <row r="39" spans="1:8" x14ac:dyDescent="0.4">
      <c r="A39" s="17"/>
      <c r="B39" s="19"/>
      <c r="C39" s="19"/>
      <c r="D39" s="19"/>
      <c r="E39" s="19"/>
      <c r="F39" s="19"/>
      <c r="G39" s="19"/>
      <c r="H39" s="18"/>
    </row>
    <row r="40" spans="1:8" x14ac:dyDescent="0.4">
      <c r="A40" s="17" t="s">
        <v>354</v>
      </c>
      <c r="B40" s="19"/>
      <c r="C40" s="19"/>
      <c r="D40" s="19"/>
      <c r="E40" s="19"/>
      <c r="F40" s="19"/>
      <c r="G40" s="19"/>
      <c r="H40" s="18"/>
    </row>
    <row r="41" spans="1:8" x14ac:dyDescent="0.4">
      <c r="A41" s="22" t="s">
        <v>374</v>
      </c>
      <c r="B41" s="22" t="s">
        <v>373</v>
      </c>
      <c r="C41" s="24">
        <v>-2664</v>
      </c>
      <c r="D41" s="24">
        <v>-2798</v>
      </c>
      <c r="E41" s="24">
        <v>-3203</v>
      </c>
      <c r="F41" s="24">
        <v>-3751</v>
      </c>
      <c r="G41" s="24">
        <v>-4217</v>
      </c>
      <c r="H41" s="23">
        <v>-4431</v>
      </c>
    </row>
    <row r="42" spans="1:8" x14ac:dyDescent="0.4">
      <c r="A42" s="22" t="s">
        <v>372</v>
      </c>
      <c r="B42" s="22" t="s">
        <v>371</v>
      </c>
      <c r="C42" s="24">
        <v>7212</v>
      </c>
      <c r="D42" s="24">
        <v>-3000</v>
      </c>
      <c r="E42" s="24">
        <v>2218</v>
      </c>
      <c r="F42" s="24">
        <v>-2250</v>
      </c>
      <c r="G42" s="24">
        <v>0</v>
      </c>
      <c r="H42" s="23">
        <v>0</v>
      </c>
    </row>
    <row r="43" spans="1:8" x14ac:dyDescent="0.4">
      <c r="A43" s="22" t="s">
        <v>370</v>
      </c>
      <c r="B43" s="22" t="s">
        <v>369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3">
        <v>0</v>
      </c>
    </row>
    <row r="44" spans="1:8" x14ac:dyDescent="0.4">
      <c r="A44" s="22" t="s">
        <v>368</v>
      </c>
      <c r="B44" s="22" t="s">
        <v>367</v>
      </c>
      <c r="C44" s="24">
        <v>7212</v>
      </c>
      <c r="D44" s="24">
        <v>0</v>
      </c>
      <c r="E44" s="24">
        <v>3218</v>
      </c>
      <c r="F44" s="24">
        <v>0</v>
      </c>
      <c r="G44" s="24">
        <v>0</v>
      </c>
      <c r="H44" s="23">
        <v>0</v>
      </c>
    </row>
    <row r="45" spans="1:8" x14ac:dyDescent="0.4">
      <c r="A45" s="22" t="s">
        <v>366</v>
      </c>
      <c r="B45" s="22" t="s">
        <v>365</v>
      </c>
      <c r="C45" s="24">
        <v>0</v>
      </c>
      <c r="D45" s="24">
        <v>-3000</v>
      </c>
      <c r="E45" s="24">
        <v>-1000</v>
      </c>
      <c r="F45" s="24">
        <v>-2250</v>
      </c>
      <c r="G45" s="24">
        <v>0</v>
      </c>
      <c r="H45" s="23">
        <v>0</v>
      </c>
    </row>
    <row r="46" spans="1:8" x14ac:dyDescent="0.4">
      <c r="A46" s="22" t="s">
        <v>364</v>
      </c>
      <c r="B46" s="22" t="s">
        <v>363</v>
      </c>
      <c r="C46" s="24">
        <v>-7924</v>
      </c>
      <c r="D46" s="24">
        <v>-8468</v>
      </c>
      <c r="E46" s="24">
        <v>-11393</v>
      </c>
      <c r="F46" s="24">
        <v>-11841</v>
      </c>
      <c r="G46" s="24">
        <v>-16378</v>
      </c>
      <c r="H46" s="23">
        <v>-18584</v>
      </c>
    </row>
    <row r="47" spans="1:8" x14ac:dyDescent="0.4">
      <c r="A47" s="22" t="s">
        <v>362</v>
      </c>
      <c r="B47" s="22" t="s">
        <v>361</v>
      </c>
      <c r="C47" s="24">
        <v>190</v>
      </c>
      <c r="D47" s="24">
        <v>208</v>
      </c>
      <c r="E47" s="24">
        <v>196</v>
      </c>
      <c r="F47" s="24">
        <v>260</v>
      </c>
      <c r="G47" s="24">
        <v>335</v>
      </c>
      <c r="H47" s="23">
        <v>398</v>
      </c>
    </row>
    <row r="48" spans="1:8" x14ac:dyDescent="0.4">
      <c r="A48" s="22" t="s">
        <v>360</v>
      </c>
      <c r="B48" s="22" t="s">
        <v>359</v>
      </c>
      <c r="C48" s="24">
        <v>-8114</v>
      </c>
      <c r="D48" s="24">
        <v>-8676</v>
      </c>
      <c r="E48" s="24">
        <v>-11589</v>
      </c>
      <c r="F48" s="24">
        <v>-12101</v>
      </c>
      <c r="G48" s="24">
        <v>-16713</v>
      </c>
      <c r="H48" s="23">
        <v>-18982</v>
      </c>
    </row>
    <row r="49" spans="1:8" x14ac:dyDescent="0.4">
      <c r="A49" s="22" t="s">
        <v>358</v>
      </c>
      <c r="B49" s="22" t="s">
        <v>357</v>
      </c>
      <c r="C49" s="24">
        <v>-592</v>
      </c>
      <c r="D49" s="24">
        <v>-144</v>
      </c>
      <c r="E49" s="24">
        <v>-318</v>
      </c>
      <c r="F49" s="24">
        <v>70</v>
      </c>
      <c r="G49" s="24">
        <v>-38</v>
      </c>
      <c r="H49" s="23">
        <v>-500</v>
      </c>
    </row>
    <row r="50" spans="1:8" x14ac:dyDescent="0.4">
      <c r="A50" s="22" t="s">
        <v>356</v>
      </c>
      <c r="B50" s="22" t="s">
        <v>355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3">
        <v>0</v>
      </c>
    </row>
    <row r="51" spans="1:8" x14ac:dyDescent="0.4">
      <c r="A51" s="17" t="s">
        <v>354</v>
      </c>
      <c r="B51" s="17" t="s">
        <v>353</v>
      </c>
      <c r="C51" s="16">
        <v>-3968</v>
      </c>
      <c r="D51" s="16">
        <v>-14410</v>
      </c>
      <c r="E51" s="16">
        <v>-12696</v>
      </c>
      <c r="F51" s="16">
        <v>-17772</v>
      </c>
      <c r="G51" s="16">
        <v>-20633</v>
      </c>
      <c r="H51" s="15">
        <v>-23515</v>
      </c>
    </row>
    <row r="52" spans="1:8" x14ac:dyDescent="0.4">
      <c r="A52" s="17"/>
      <c r="B52" s="19"/>
      <c r="C52" s="19"/>
      <c r="D52" s="19"/>
      <c r="E52" s="19"/>
      <c r="F52" s="19"/>
      <c r="G52" s="19"/>
      <c r="H52" s="18"/>
    </row>
    <row r="53" spans="1:8" x14ac:dyDescent="0.4">
      <c r="A53" s="22" t="s">
        <v>352</v>
      </c>
      <c r="B53" s="22" t="s">
        <v>351</v>
      </c>
      <c r="C53" s="24">
        <v>440</v>
      </c>
      <c r="D53" s="24">
        <v>-37</v>
      </c>
      <c r="E53" s="24">
        <v>-1287</v>
      </c>
      <c r="F53" s="24">
        <v>636</v>
      </c>
      <c r="G53" s="24">
        <v>382</v>
      </c>
      <c r="H53" s="23">
        <v>15</v>
      </c>
    </row>
    <row r="54" spans="1:8" x14ac:dyDescent="0.4">
      <c r="A54" s="17"/>
      <c r="B54" s="19"/>
      <c r="C54" s="19"/>
      <c r="D54" s="19"/>
      <c r="E54" s="19"/>
      <c r="F54" s="19"/>
      <c r="G54" s="19"/>
      <c r="H54" s="18"/>
    </row>
    <row r="55" spans="1:8" x14ac:dyDescent="0.4">
      <c r="A55" s="17" t="s">
        <v>350</v>
      </c>
      <c r="B55" s="17" t="s">
        <v>349</v>
      </c>
      <c r="C55" s="16">
        <v>8339</v>
      </c>
      <c r="D55" s="16">
        <v>628</v>
      </c>
      <c r="E55" s="16">
        <v>578</v>
      </c>
      <c r="F55" s="16">
        <v>1613</v>
      </c>
      <c r="G55" s="16">
        <v>-2227</v>
      </c>
      <c r="H55" s="15">
        <v>188</v>
      </c>
    </row>
    <row r="56" spans="1:8" x14ac:dyDescent="0.4">
      <c r="A56" s="17"/>
      <c r="B56" s="19"/>
      <c r="C56" s="19"/>
      <c r="D56" s="19"/>
      <c r="E56" s="19"/>
      <c r="F56" s="19"/>
      <c r="G56" s="19"/>
      <c r="H56" s="18"/>
    </row>
    <row r="57" spans="1:8" x14ac:dyDescent="0.4">
      <c r="A57" s="17" t="s">
        <v>348</v>
      </c>
      <c r="B57" s="17" t="s">
        <v>347</v>
      </c>
      <c r="C57" s="16">
        <v>2671</v>
      </c>
      <c r="D57" s="16">
        <v>3012</v>
      </c>
      <c r="E57" s="16">
        <v>3741</v>
      </c>
      <c r="F57" s="16">
        <v>3433</v>
      </c>
      <c r="G57" s="16">
        <v>5775</v>
      </c>
      <c r="H57" s="15">
        <v>5172</v>
      </c>
    </row>
    <row r="58" spans="1:8" x14ac:dyDescent="0.4">
      <c r="A58" s="17" t="s">
        <v>346</v>
      </c>
      <c r="B58" s="17" t="s">
        <v>345</v>
      </c>
      <c r="C58" s="16">
        <v>537</v>
      </c>
      <c r="D58" s="16">
        <v>643</v>
      </c>
      <c r="E58" s="16">
        <v>607</v>
      </c>
      <c r="F58" s="16">
        <v>617</v>
      </c>
      <c r="G58" s="16">
        <v>583</v>
      </c>
      <c r="H58" s="15">
        <v>583</v>
      </c>
    </row>
    <row r="59" spans="1:8" x14ac:dyDescent="0.4">
      <c r="A59" s="17"/>
      <c r="B59" s="19"/>
      <c r="C59" s="19"/>
      <c r="D59" s="19"/>
      <c r="E59" s="19"/>
      <c r="F59" s="19"/>
      <c r="G59" s="19"/>
      <c r="H59" s="18"/>
    </row>
    <row r="60" spans="1:8" x14ac:dyDescent="0.4">
      <c r="A60" s="17" t="s">
        <v>124</v>
      </c>
      <c r="B60" s="19"/>
      <c r="C60" s="19"/>
      <c r="D60" s="19"/>
      <c r="E60" s="19"/>
      <c r="F60" s="19"/>
      <c r="G60" s="19"/>
      <c r="H60" s="18"/>
    </row>
    <row r="61" spans="1:8" x14ac:dyDescent="0.4">
      <c r="A61" s="22" t="s">
        <v>128</v>
      </c>
      <c r="B61" s="22" t="s">
        <v>128</v>
      </c>
      <c r="C61" s="24">
        <v>14962</v>
      </c>
      <c r="D61" s="24">
        <v>16719</v>
      </c>
      <c r="E61" s="24">
        <v>19791</v>
      </c>
      <c r="F61" s="24">
        <v>22072</v>
      </c>
      <c r="G61" s="24">
        <v>24808</v>
      </c>
      <c r="H61" s="23">
        <v>25081</v>
      </c>
    </row>
    <row r="62" spans="1:8" x14ac:dyDescent="0.4">
      <c r="A62" s="22" t="s">
        <v>344</v>
      </c>
      <c r="B62" s="22" t="s">
        <v>130</v>
      </c>
      <c r="C62" s="24">
        <v>68.488500000000002</v>
      </c>
      <c r="D62" s="24">
        <v>69.359099999999998</v>
      </c>
      <c r="E62" s="24">
        <v>67.522999999999996</v>
      </c>
      <c r="F62" s="24">
        <v>67.595600000000005</v>
      </c>
      <c r="G62" s="24">
        <v>69.053100000000001</v>
      </c>
      <c r="H62" s="23">
        <v>66.6675526966322</v>
      </c>
    </row>
    <row r="63" spans="1:8" x14ac:dyDescent="0.4">
      <c r="A63" s="22" t="s">
        <v>343</v>
      </c>
      <c r="B63" s="22" t="s">
        <v>342</v>
      </c>
      <c r="C63" s="24">
        <v>77</v>
      </c>
      <c r="D63" s="24">
        <v>75</v>
      </c>
      <c r="E63" s="24">
        <v>1948</v>
      </c>
      <c r="F63" s="24">
        <v>0</v>
      </c>
      <c r="G63" s="24">
        <v>915</v>
      </c>
      <c r="H63" s="23">
        <v>887</v>
      </c>
    </row>
    <row r="64" spans="1:8" x14ac:dyDescent="0.4">
      <c r="A64" s="22" t="s">
        <v>341</v>
      </c>
      <c r="B64" s="22" t="s">
        <v>340</v>
      </c>
      <c r="C64" s="24" t="s">
        <v>155</v>
      </c>
      <c r="D64" s="24" t="s">
        <v>155</v>
      </c>
      <c r="E64" s="24" t="s">
        <v>155</v>
      </c>
      <c r="F64" s="24" t="s">
        <v>155</v>
      </c>
      <c r="G64" s="24" t="s">
        <v>155</v>
      </c>
      <c r="H64" s="23"/>
    </row>
    <row r="65" spans="1:8" x14ac:dyDescent="0.4">
      <c r="A65" s="22" t="s">
        <v>339</v>
      </c>
      <c r="B65" s="22" t="s">
        <v>338</v>
      </c>
      <c r="C65" s="24">
        <v>9704</v>
      </c>
      <c r="D65" s="24">
        <v>14522</v>
      </c>
      <c r="E65" s="24">
        <v>17879</v>
      </c>
      <c r="F65" s="24">
        <v>19696</v>
      </c>
      <c r="G65" s="24">
        <v>18693</v>
      </c>
      <c r="H65" s="23">
        <v>20508</v>
      </c>
    </row>
    <row r="66" spans="1:8" x14ac:dyDescent="0.4">
      <c r="A66" s="22" t="s">
        <v>337</v>
      </c>
      <c r="B66" s="22" t="s">
        <v>336</v>
      </c>
      <c r="C66" s="24">
        <v>10110.5885</v>
      </c>
      <c r="D66" s="24">
        <v>14915.1733</v>
      </c>
      <c r="E66" s="24">
        <v>18322.6957</v>
      </c>
      <c r="F66" s="24">
        <v>20224.773700000002</v>
      </c>
      <c r="G66" s="24">
        <v>19222.154699999999</v>
      </c>
      <c r="H66" s="23">
        <v>21097.5831849077</v>
      </c>
    </row>
    <row r="67" spans="1:8" x14ac:dyDescent="0.4">
      <c r="A67" s="22" t="s">
        <v>335</v>
      </c>
      <c r="B67" s="22" t="s">
        <v>334</v>
      </c>
      <c r="C67" s="24">
        <v>16540</v>
      </c>
      <c r="D67" s="24">
        <v>9516</v>
      </c>
      <c r="E67" s="24">
        <v>19341</v>
      </c>
      <c r="F67" s="24">
        <v>16820</v>
      </c>
      <c r="G67" s="24">
        <v>18026</v>
      </c>
      <c r="H67" s="23">
        <v>19786</v>
      </c>
    </row>
    <row r="68" spans="1:8" x14ac:dyDescent="0.4">
      <c r="A68" s="22" t="s">
        <v>333</v>
      </c>
      <c r="B68" s="22" t="s">
        <v>332</v>
      </c>
      <c r="C68" s="24">
        <v>4.9687999999999999</v>
      </c>
      <c r="D68" s="24">
        <v>7.4625000000000004</v>
      </c>
      <c r="E68" s="24">
        <v>10.8292</v>
      </c>
      <c r="F68" s="24">
        <v>12.1731</v>
      </c>
      <c r="G68" s="24">
        <v>11.5318</v>
      </c>
      <c r="H68" s="23">
        <v>11.396324811895401</v>
      </c>
    </row>
    <row r="69" spans="1:8" x14ac:dyDescent="0.4">
      <c r="A69" s="22" t="s">
        <v>331</v>
      </c>
      <c r="B69" s="22" t="s">
        <v>330</v>
      </c>
      <c r="C69" s="24">
        <v>40.245399999999997</v>
      </c>
      <c r="D69" s="24">
        <v>29.849299999999999</v>
      </c>
      <c r="E69" s="24">
        <v>16.404699999999998</v>
      </c>
      <c r="F69" s="24">
        <v>18.895</v>
      </c>
      <c r="G69" s="24">
        <v>23.8428</v>
      </c>
      <c r="H69" s="23">
        <v>31.329399121043402</v>
      </c>
    </row>
    <row r="70" spans="1:8" x14ac:dyDescent="0.4">
      <c r="A70" s="22" t="s">
        <v>329</v>
      </c>
      <c r="B70" s="22" t="s">
        <v>328</v>
      </c>
      <c r="C70" s="24">
        <v>0.96079999999999999</v>
      </c>
      <c r="D70" s="24">
        <v>1.2369000000000001</v>
      </c>
      <c r="E70" s="24">
        <v>1.2602</v>
      </c>
      <c r="F70" s="24">
        <v>1.2016</v>
      </c>
      <c r="G70" s="24">
        <v>1.0105</v>
      </c>
      <c r="H70" s="23">
        <v>1.0257810793095901</v>
      </c>
    </row>
    <row r="71" spans="1:8" x14ac:dyDescent="0.4">
      <c r="A71" s="25" t="s">
        <v>153</v>
      </c>
      <c r="B71" s="25"/>
      <c r="C71" s="25" t="s">
        <v>154</v>
      </c>
      <c r="D71" s="25"/>
      <c r="E71" s="25"/>
      <c r="F71" s="25"/>
      <c r="G71" s="25"/>
      <c r="H71" s="25"/>
    </row>
  </sheetData>
  <phoneticPr fontId="3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ED5B-2EFD-4BE4-9A18-2134EF0E181C}">
  <dimension ref="A1:G99"/>
  <sheetViews>
    <sheetView workbookViewId="0">
      <selection activeCell="D16" sqref="D16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679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17" t="s">
        <v>740</v>
      </c>
      <c r="B6" s="19"/>
      <c r="C6" s="19"/>
      <c r="D6" s="19"/>
      <c r="E6" s="19"/>
      <c r="F6" s="19"/>
      <c r="G6" s="19"/>
    </row>
    <row r="7" spans="1:7" x14ac:dyDescent="0.4">
      <c r="A7" s="22" t="s">
        <v>739</v>
      </c>
      <c r="B7" s="21"/>
      <c r="C7" s="21"/>
      <c r="D7" s="21"/>
      <c r="E7" s="21"/>
      <c r="F7" s="21"/>
      <c r="G7" s="21"/>
    </row>
    <row r="8" spans="1:7" x14ac:dyDescent="0.4">
      <c r="A8" s="22" t="s">
        <v>738</v>
      </c>
      <c r="B8" s="22"/>
      <c r="C8" s="24">
        <v>10866</v>
      </c>
      <c r="D8" s="24">
        <v>12311</v>
      </c>
      <c r="E8" s="24">
        <v>14957</v>
      </c>
      <c r="F8" s="24">
        <v>17273</v>
      </c>
      <c r="G8" s="24" t="s">
        <v>155</v>
      </c>
    </row>
    <row r="9" spans="1:7" x14ac:dyDescent="0.4">
      <c r="A9" s="22" t="s">
        <v>738</v>
      </c>
      <c r="B9" s="22"/>
      <c r="C9" s="24" t="s">
        <v>155</v>
      </c>
      <c r="D9" s="24" t="s">
        <v>155</v>
      </c>
      <c r="E9" s="24" t="s">
        <v>155</v>
      </c>
      <c r="F9" s="24" t="s">
        <v>155</v>
      </c>
      <c r="G9" s="24">
        <v>19743</v>
      </c>
    </row>
    <row r="10" spans="1:7" x14ac:dyDescent="0.4">
      <c r="A10" s="22" t="s">
        <v>737</v>
      </c>
      <c r="B10" s="22"/>
      <c r="C10" s="24">
        <v>767</v>
      </c>
      <c r="D10" s="24">
        <v>804</v>
      </c>
      <c r="E10" s="24">
        <v>861</v>
      </c>
      <c r="F10" s="24">
        <v>943</v>
      </c>
      <c r="G10" s="24" t="s">
        <v>155</v>
      </c>
    </row>
    <row r="11" spans="1:7" x14ac:dyDescent="0.4">
      <c r="A11" s="22" t="s">
        <v>737</v>
      </c>
      <c r="B11" s="22"/>
      <c r="C11" s="24" t="s">
        <v>155</v>
      </c>
      <c r="D11" s="24" t="s">
        <v>155</v>
      </c>
      <c r="E11" s="24" t="s">
        <v>155</v>
      </c>
      <c r="F11" s="24" t="s">
        <v>155</v>
      </c>
      <c r="G11" s="24">
        <v>1034</v>
      </c>
    </row>
    <row r="12" spans="1:7" x14ac:dyDescent="0.4">
      <c r="A12" s="22" t="s">
        <v>736</v>
      </c>
      <c r="B12" s="22"/>
      <c r="C12" s="24">
        <v>307</v>
      </c>
      <c r="D12" s="24">
        <v>873</v>
      </c>
      <c r="E12" s="24">
        <v>336</v>
      </c>
      <c r="F12" s="24">
        <v>-483</v>
      </c>
      <c r="G12" s="24" t="s">
        <v>155</v>
      </c>
    </row>
    <row r="13" spans="1:7" x14ac:dyDescent="0.4">
      <c r="A13" s="22" t="s">
        <v>736</v>
      </c>
      <c r="B13" s="22"/>
      <c r="C13" s="24" t="s">
        <v>155</v>
      </c>
      <c r="D13" s="24" t="s">
        <v>155</v>
      </c>
      <c r="E13" s="24" t="s">
        <v>155</v>
      </c>
      <c r="F13" s="24" t="s">
        <v>155</v>
      </c>
      <c r="G13" s="24">
        <v>-100</v>
      </c>
    </row>
    <row r="14" spans="1:7" x14ac:dyDescent="0.4">
      <c r="A14" s="22" t="s">
        <v>735</v>
      </c>
      <c r="B14" s="22"/>
      <c r="C14" s="24">
        <v>416</v>
      </c>
      <c r="D14" s="24">
        <v>542</v>
      </c>
      <c r="E14" s="24">
        <v>602</v>
      </c>
      <c r="F14" s="24">
        <v>765</v>
      </c>
      <c r="G14" s="24" t="s">
        <v>155</v>
      </c>
    </row>
    <row r="15" spans="1:7" x14ac:dyDescent="0.4">
      <c r="A15" s="22" t="s">
        <v>735</v>
      </c>
      <c r="B15" s="22"/>
      <c r="C15" s="24" t="s">
        <v>155</v>
      </c>
      <c r="D15" s="24" t="s">
        <v>155</v>
      </c>
      <c r="E15" s="24" t="s">
        <v>155</v>
      </c>
      <c r="F15" s="24" t="s">
        <v>155</v>
      </c>
      <c r="G15" s="24">
        <v>850</v>
      </c>
    </row>
    <row r="16" spans="1:7" x14ac:dyDescent="0.4">
      <c r="A16" s="22" t="s">
        <v>734</v>
      </c>
      <c r="B16" s="22"/>
      <c r="C16" s="24">
        <v>37</v>
      </c>
      <c r="D16" s="24">
        <v>-109</v>
      </c>
      <c r="E16" s="24">
        <v>94</v>
      </c>
      <c r="F16" s="24">
        <v>14</v>
      </c>
      <c r="G16" s="24">
        <v>136</v>
      </c>
    </row>
    <row r="17" spans="1:7" x14ac:dyDescent="0.4">
      <c r="A17" s="22" t="s">
        <v>734</v>
      </c>
      <c r="B17" s="22"/>
      <c r="C17" s="24">
        <v>44</v>
      </c>
      <c r="D17" s="24">
        <v>-147</v>
      </c>
      <c r="E17" s="24">
        <v>43</v>
      </c>
      <c r="F17" s="24">
        <v>-136</v>
      </c>
      <c r="G17" s="24">
        <v>139</v>
      </c>
    </row>
    <row r="18" spans="1:7" x14ac:dyDescent="0.4">
      <c r="A18" s="22" t="s">
        <v>734</v>
      </c>
      <c r="B18" s="22"/>
      <c r="C18" s="24" t="s">
        <v>155</v>
      </c>
      <c r="D18" s="24" t="s">
        <v>155</v>
      </c>
      <c r="E18" s="24" t="s">
        <v>155</v>
      </c>
      <c r="F18" s="24" t="s">
        <v>155</v>
      </c>
      <c r="G18" s="24" t="s">
        <v>155</v>
      </c>
    </row>
    <row r="19" spans="1:7" x14ac:dyDescent="0.4">
      <c r="A19" s="22" t="s">
        <v>733</v>
      </c>
      <c r="B19" s="22"/>
      <c r="C19" s="24" t="s">
        <v>155</v>
      </c>
      <c r="D19" s="24" t="s">
        <v>155</v>
      </c>
      <c r="E19" s="24" t="s">
        <v>155</v>
      </c>
      <c r="F19" s="24" t="s">
        <v>155</v>
      </c>
      <c r="G19" s="24" t="s">
        <v>155</v>
      </c>
    </row>
    <row r="20" spans="1:7" x14ac:dyDescent="0.4">
      <c r="A20" s="22" t="s">
        <v>732</v>
      </c>
      <c r="B20" s="22"/>
      <c r="C20" s="24">
        <v>21</v>
      </c>
      <c r="D20" s="24">
        <v>88</v>
      </c>
      <c r="E20" s="24">
        <v>67</v>
      </c>
      <c r="F20" s="24">
        <v>34</v>
      </c>
      <c r="G20" s="24" t="s">
        <v>155</v>
      </c>
    </row>
    <row r="21" spans="1:7" x14ac:dyDescent="0.4">
      <c r="A21" s="22" t="s">
        <v>732</v>
      </c>
      <c r="B21" s="22"/>
      <c r="C21" s="24" t="s">
        <v>155</v>
      </c>
      <c r="D21" s="24" t="s">
        <v>155</v>
      </c>
      <c r="E21" s="24" t="s">
        <v>155</v>
      </c>
      <c r="F21" s="24" t="s">
        <v>155</v>
      </c>
      <c r="G21" s="24">
        <v>109</v>
      </c>
    </row>
    <row r="22" spans="1:7" x14ac:dyDescent="0.4">
      <c r="A22" s="22" t="s">
        <v>731</v>
      </c>
      <c r="B22" s="22"/>
      <c r="C22" s="24">
        <v>43</v>
      </c>
      <c r="D22" s="24">
        <v>-343</v>
      </c>
      <c r="E22" s="24">
        <v>97</v>
      </c>
      <c r="F22" s="24">
        <v>-250</v>
      </c>
      <c r="G22" s="24" t="s">
        <v>155</v>
      </c>
    </row>
    <row r="23" spans="1:7" x14ac:dyDescent="0.4">
      <c r="A23" s="22" t="s">
        <v>731</v>
      </c>
      <c r="B23" s="22"/>
      <c r="C23" s="24" t="s">
        <v>155</v>
      </c>
      <c r="D23" s="24" t="s">
        <v>155</v>
      </c>
      <c r="E23" s="24" t="s">
        <v>155</v>
      </c>
      <c r="F23" s="24" t="s">
        <v>155</v>
      </c>
      <c r="G23" s="24">
        <v>-237</v>
      </c>
    </row>
    <row r="24" spans="1:7" x14ac:dyDescent="0.4">
      <c r="A24" s="22" t="s">
        <v>728</v>
      </c>
      <c r="B24" s="22"/>
      <c r="C24" s="24">
        <v>923</v>
      </c>
      <c r="D24" s="24">
        <v>929</v>
      </c>
      <c r="E24" s="24">
        <v>1055</v>
      </c>
      <c r="F24" s="24">
        <v>1291</v>
      </c>
      <c r="G24" s="24">
        <v>676</v>
      </c>
    </row>
    <row r="25" spans="1:7" x14ac:dyDescent="0.4">
      <c r="A25" s="22" t="s">
        <v>730</v>
      </c>
      <c r="B25" s="22"/>
      <c r="C25" s="24">
        <v>290</v>
      </c>
      <c r="D25" s="24">
        <v>70</v>
      </c>
      <c r="E25" s="24" t="s">
        <v>155</v>
      </c>
      <c r="F25" s="24" t="s">
        <v>155</v>
      </c>
      <c r="G25" s="24" t="s">
        <v>155</v>
      </c>
    </row>
    <row r="26" spans="1:7" x14ac:dyDescent="0.4">
      <c r="A26" s="22" t="s">
        <v>729</v>
      </c>
      <c r="B26" s="22"/>
      <c r="C26" s="24" t="s">
        <v>155</v>
      </c>
      <c r="D26" s="24" t="s">
        <v>155</v>
      </c>
      <c r="E26" s="24" t="s">
        <v>155</v>
      </c>
      <c r="F26" s="24" t="s">
        <v>155</v>
      </c>
      <c r="G26" s="24" t="s">
        <v>155</v>
      </c>
    </row>
    <row r="27" spans="1:7" x14ac:dyDescent="0.4">
      <c r="A27" s="22" t="s">
        <v>728</v>
      </c>
      <c r="B27" s="22"/>
      <c r="C27" s="24" t="s">
        <v>155</v>
      </c>
      <c r="D27" s="24" t="s">
        <v>155</v>
      </c>
      <c r="E27" s="24" t="s">
        <v>155</v>
      </c>
      <c r="F27" s="24" t="s">
        <v>155</v>
      </c>
      <c r="G27" s="24" t="s">
        <v>155</v>
      </c>
    </row>
    <row r="28" spans="1:7" x14ac:dyDescent="0.4">
      <c r="A28" s="22" t="s">
        <v>727</v>
      </c>
      <c r="B28" s="22"/>
      <c r="C28" s="24">
        <v>1858</v>
      </c>
      <c r="D28" s="24">
        <v>-468</v>
      </c>
      <c r="E28" s="24">
        <v>397</v>
      </c>
      <c r="F28" s="24">
        <v>-160</v>
      </c>
      <c r="G28" s="24" t="s">
        <v>155</v>
      </c>
    </row>
    <row r="29" spans="1:7" x14ac:dyDescent="0.4">
      <c r="A29" s="22" t="s">
        <v>727</v>
      </c>
      <c r="B29" s="22"/>
      <c r="C29" s="24" t="s">
        <v>155</v>
      </c>
      <c r="D29" s="24" t="s">
        <v>155</v>
      </c>
      <c r="E29" s="24" t="s">
        <v>155</v>
      </c>
      <c r="F29" s="24" t="s">
        <v>155</v>
      </c>
      <c r="G29" s="24">
        <v>-2175</v>
      </c>
    </row>
    <row r="30" spans="1:7" x14ac:dyDescent="0.4">
      <c r="A30" s="22" t="s">
        <v>726</v>
      </c>
      <c r="B30" s="22"/>
      <c r="C30" s="24">
        <v>2384</v>
      </c>
      <c r="D30" s="24">
        <v>679</v>
      </c>
      <c r="E30" s="24">
        <v>1256</v>
      </c>
      <c r="F30" s="24">
        <v>-194</v>
      </c>
      <c r="G30" s="24" t="s">
        <v>155</v>
      </c>
    </row>
    <row r="31" spans="1:7" x14ac:dyDescent="0.4">
      <c r="A31" s="22" t="s">
        <v>726</v>
      </c>
      <c r="B31" s="22"/>
      <c r="C31" s="24" t="s">
        <v>155</v>
      </c>
      <c r="D31" s="24" t="s">
        <v>155</v>
      </c>
      <c r="E31" s="24" t="s">
        <v>155</v>
      </c>
      <c r="F31" s="24" t="s">
        <v>155</v>
      </c>
      <c r="G31" s="24">
        <v>1841</v>
      </c>
    </row>
    <row r="32" spans="1:7" x14ac:dyDescent="0.4">
      <c r="A32" s="22" t="s">
        <v>725</v>
      </c>
      <c r="B32" s="22"/>
      <c r="C32" s="24" t="s">
        <v>155</v>
      </c>
      <c r="D32" s="24" t="s">
        <v>155</v>
      </c>
      <c r="E32" s="24" t="s">
        <v>155</v>
      </c>
      <c r="F32" s="24" t="s">
        <v>155</v>
      </c>
      <c r="G32" s="24" t="s">
        <v>155</v>
      </c>
    </row>
    <row r="33" spans="1:7" x14ac:dyDescent="0.4">
      <c r="A33" s="22" t="s">
        <v>724</v>
      </c>
      <c r="B33" s="22"/>
      <c r="C33" s="24" t="s">
        <v>155</v>
      </c>
      <c r="D33" s="24" t="s">
        <v>155</v>
      </c>
      <c r="E33" s="24" t="s">
        <v>155</v>
      </c>
      <c r="F33" s="24" t="s">
        <v>155</v>
      </c>
      <c r="G33" s="24" t="s">
        <v>155</v>
      </c>
    </row>
    <row r="34" spans="1:7" x14ac:dyDescent="0.4">
      <c r="A34" s="22" t="s">
        <v>723</v>
      </c>
      <c r="B34" s="22"/>
      <c r="C34" s="24">
        <v>6664</v>
      </c>
      <c r="D34" s="24">
        <v>8367</v>
      </c>
      <c r="E34" s="24">
        <v>10295</v>
      </c>
      <c r="F34" s="24">
        <v>12297</v>
      </c>
      <c r="G34" s="24">
        <v>13764</v>
      </c>
    </row>
    <row r="35" spans="1:7" x14ac:dyDescent="0.4">
      <c r="A35" s="22" t="s">
        <v>722</v>
      </c>
      <c r="B35" s="22"/>
      <c r="C35" s="24" t="s">
        <v>155</v>
      </c>
      <c r="D35" s="24" t="s">
        <v>155</v>
      </c>
      <c r="E35" s="24" t="s">
        <v>155</v>
      </c>
      <c r="F35" s="24" t="s">
        <v>155</v>
      </c>
      <c r="G35" s="24">
        <v>-199</v>
      </c>
    </row>
    <row r="36" spans="1:7" x14ac:dyDescent="0.4">
      <c r="A36" s="22" t="s">
        <v>722</v>
      </c>
      <c r="B36" s="22"/>
      <c r="C36" s="24">
        <v>402</v>
      </c>
      <c r="D36" s="24">
        <v>-147</v>
      </c>
      <c r="E36" s="24">
        <v>666</v>
      </c>
      <c r="F36" s="24">
        <v>-24</v>
      </c>
      <c r="G36" s="24" t="s">
        <v>155</v>
      </c>
    </row>
    <row r="37" spans="1:7" x14ac:dyDescent="0.4">
      <c r="A37" s="22" t="s">
        <v>721</v>
      </c>
      <c r="B37" s="22"/>
      <c r="C37" s="24" t="s">
        <v>155</v>
      </c>
      <c r="D37" s="24" t="s">
        <v>155</v>
      </c>
      <c r="E37" s="24" t="s">
        <v>155</v>
      </c>
      <c r="F37" s="24" t="s">
        <v>155</v>
      </c>
      <c r="G37" s="24" t="s">
        <v>155</v>
      </c>
    </row>
    <row r="38" spans="1:7" x14ac:dyDescent="0.4">
      <c r="A38" s="22" t="s">
        <v>720</v>
      </c>
      <c r="B38" s="22"/>
      <c r="C38" s="24">
        <v>10440</v>
      </c>
      <c r="D38" s="24">
        <v>15227</v>
      </c>
      <c r="E38" s="24">
        <v>18849</v>
      </c>
      <c r="F38" s="24">
        <v>20755</v>
      </c>
      <c r="G38" s="24" t="s">
        <v>155</v>
      </c>
    </row>
    <row r="39" spans="1:7" x14ac:dyDescent="0.4">
      <c r="A39" s="22" t="s">
        <v>720</v>
      </c>
      <c r="B39" s="22"/>
      <c r="C39" s="24" t="s">
        <v>155</v>
      </c>
      <c r="D39" s="24" t="s">
        <v>155</v>
      </c>
      <c r="E39" s="24" t="s">
        <v>155</v>
      </c>
      <c r="F39" s="24" t="s">
        <v>155</v>
      </c>
      <c r="G39" s="24">
        <v>19950</v>
      </c>
    </row>
    <row r="40" spans="1:7" x14ac:dyDescent="0.4">
      <c r="A40" s="22" t="s">
        <v>719</v>
      </c>
      <c r="B40" s="22"/>
      <c r="C40" s="24">
        <v>8081</v>
      </c>
      <c r="D40" s="24">
        <v>-7510</v>
      </c>
      <c r="E40" s="24">
        <v>9351</v>
      </c>
      <c r="F40" s="24">
        <v>-11014</v>
      </c>
      <c r="G40" s="24" t="s">
        <v>155</v>
      </c>
    </row>
    <row r="41" spans="1:7" x14ac:dyDescent="0.4">
      <c r="A41" s="22" t="s">
        <v>719</v>
      </c>
      <c r="B41" s="22"/>
      <c r="C41" s="24" t="s">
        <v>155</v>
      </c>
      <c r="D41" s="24" t="s">
        <v>155</v>
      </c>
      <c r="E41" s="24" t="s">
        <v>155</v>
      </c>
      <c r="F41" s="24" t="s">
        <v>155</v>
      </c>
      <c r="G41" s="24">
        <v>-14067</v>
      </c>
    </row>
    <row r="42" spans="1:7" x14ac:dyDescent="0.4">
      <c r="A42" s="22" t="s">
        <v>718</v>
      </c>
      <c r="B42" s="22"/>
      <c r="C42" s="24">
        <v>101</v>
      </c>
      <c r="D42" s="24">
        <v>-712</v>
      </c>
      <c r="E42" s="24">
        <v>264</v>
      </c>
      <c r="F42" s="24">
        <v>104</v>
      </c>
      <c r="G42" s="24" t="s">
        <v>155</v>
      </c>
    </row>
    <row r="43" spans="1:7" x14ac:dyDescent="0.4">
      <c r="A43" s="22" t="s">
        <v>718</v>
      </c>
      <c r="B43" s="22"/>
      <c r="C43" s="24" t="s">
        <v>155</v>
      </c>
      <c r="D43" s="24" t="s">
        <v>155</v>
      </c>
      <c r="E43" s="24" t="s">
        <v>155</v>
      </c>
      <c r="F43" s="24" t="s">
        <v>155</v>
      </c>
      <c r="G43" s="24">
        <v>94</v>
      </c>
    </row>
    <row r="44" spans="1:7" x14ac:dyDescent="0.4">
      <c r="A44" s="22" t="s">
        <v>717</v>
      </c>
      <c r="B44" s="22"/>
      <c r="C44" s="24">
        <v>-290</v>
      </c>
      <c r="D44" s="24">
        <v>70</v>
      </c>
      <c r="E44" s="24">
        <v>476</v>
      </c>
      <c r="F44" s="24">
        <v>295</v>
      </c>
      <c r="G44" s="24">
        <v>28</v>
      </c>
    </row>
    <row r="45" spans="1:7" x14ac:dyDescent="0.4">
      <c r="A45" s="22" t="s">
        <v>716</v>
      </c>
      <c r="B45" s="21"/>
      <c r="C45" s="21"/>
      <c r="D45" s="21"/>
      <c r="E45" s="21"/>
      <c r="F45" s="21"/>
      <c r="G45" s="21"/>
    </row>
    <row r="46" spans="1:7" x14ac:dyDescent="0.4">
      <c r="A46" s="22" t="s">
        <v>715</v>
      </c>
      <c r="B46" s="22"/>
      <c r="C46" s="24" t="s">
        <v>155</v>
      </c>
      <c r="D46" s="24" t="s">
        <v>155</v>
      </c>
      <c r="E46" s="24" t="s">
        <v>155</v>
      </c>
      <c r="F46" s="24" t="s">
        <v>155</v>
      </c>
      <c r="G46" s="24" t="s">
        <v>155</v>
      </c>
    </row>
    <row r="47" spans="1:7" x14ac:dyDescent="0.4">
      <c r="A47" s="22" t="s">
        <v>714</v>
      </c>
      <c r="B47" s="22"/>
      <c r="C47" s="24">
        <v>736</v>
      </c>
      <c r="D47" s="24">
        <v>-705</v>
      </c>
      <c r="E47" s="24">
        <v>970</v>
      </c>
      <c r="F47" s="24">
        <v>-1059</v>
      </c>
      <c r="G47" s="24" t="s">
        <v>155</v>
      </c>
    </row>
    <row r="48" spans="1:7" x14ac:dyDescent="0.4">
      <c r="A48" s="22" t="s">
        <v>714</v>
      </c>
      <c r="B48" s="22"/>
      <c r="C48" s="24" t="s">
        <v>155</v>
      </c>
      <c r="D48" s="24" t="s">
        <v>155</v>
      </c>
      <c r="E48" s="24" t="s">
        <v>155</v>
      </c>
      <c r="F48" s="24" t="s">
        <v>155</v>
      </c>
      <c r="G48" s="24">
        <v>-1257</v>
      </c>
    </row>
    <row r="49" spans="1:7" x14ac:dyDescent="0.4">
      <c r="A49" s="22" t="s">
        <v>713</v>
      </c>
      <c r="B49" s="22"/>
      <c r="C49" s="24" t="s">
        <v>155</v>
      </c>
      <c r="D49" s="24" t="s">
        <v>155</v>
      </c>
      <c r="E49" s="24" t="s">
        <v>155</v>
      </c>
      <c r="F49" s="24" t="s">
        <v>155</v>
      </c>
      <c r="G49" s="24" t="s">
        <v>155</v>
      </c>
    </row>
    <row r="50" spans="1:7" x14ac:dyDescent="0.4">
      <c r="A50" s="22" t="s">
        <v>712</v>
      </c>
      <c r="B50" s="22"/>
      <c r="C50" s="24" t="s">
        <v>155</v>
      </c>
      <c r="D50" s="24" t="s">
        <v>155</v>
      </c>
      <c r="E50" s="24" t="s">
        <v>155</v>
      </c>
      <c r="F50" s="24" t="s">
        <v>155</v>
      </c>
      <c r="G50" s="24" t="s">
        <v>155</v>
      </c>
    </row>
    <row r="51" spans="1:7" x14ac:dyDescent="0.4">
      <c r="A51" s="22" t="s">
        <v>711</v>
      </c>
      <c r="B51" s="22"/>
      <c r="C51" s="24">
        <v>267</v>
      </c>
      <c r="D51" s="24">
        <v>-71</v>
      </c>
      <c r="E51" s="24">
        <v>86</v>
      </c>
      <c r="F51" s="24">
        <v>-121</v>
      </c>
      <c r="G51" s="24" t="s">
        <v>155</v>
      </c>
    </row>
    <row r="52" spans="1:7" x14ac:dyDescent="0.4">
      <c r="A52" s="22" t="s">
        <v>711</v>
      </c>
      <c r="B52" s="22"/>
      <c r="C52" s="24" t="s">
        <v>155</v>
      </c>
      <c r="D52" s="24" t="s">
        <v>155</v>
      </c>
      <c r="E52" s="24" t="s">
        <v>155</v>
      </c>
      <c r="F52" s="24" t="s">
        <v>155</v>
      </c>
      <c r="G52" s="24">
        <v>-231</v>
      </c>
    </row>
    <row r="53" spans="1:7" x14ac:dyDescent="0.4">
      <c r="A53" s="22" t="s">
        <v>710</v>
      </c>
      <c r="B53" s="22"/>
      <c r="C53" s="24">
        <v>77</v>
      </c>
      <c r="D53" s="24">
        <v>-75</v>
      </c>
      <c r="E53" s="24">
        <v>1948</v>
      </c>
      <c r="F53" s="24">
        <v>0</v>
      </c>
      <c r="G53" s="24" t="s">
        <v>155</v>
      </c>
    </row>
    <row r="54" spans="1:7" x14ac:dyDescent="0.4">
      <c r="A54" s="22" t="s">
        <v>710</v>
      </c>
      <c r="B54" s="22"/>
      <c r="C54" s="24" t="s">
        <v>155</v>
      </c>
      <c r="D54" s="24" t="s">
        <v>155</v>
      </c>
      <c r="E54" s="24" t="s">
        <v>155</v>
      </c>
      <c r="F54" s="24" t="s">
        <v>155</v>
      </c>
      <c r="G54" s="24">
        <v>-915</v>
      </c>
    </row>
    <row r="55" spans="1:7" x14ac:dyDescent="0.4">
      <c r="A55" s="22" t="s">
        <v>709</v>
      </c>
      <c r="B55" s="22"/>
      <c r="C55" s="24" t="s">
        <v>155</v>
      </c>
      <c r="D55" s="24" t="s">
        <v>155</v>
      </c>
      <c r="E55" s="24" t="s">
        <v>155</v>
      </c>
      <c r="F55" s="24" t="s">
        <v>155</v>
      </c>
      <c r="G55" s="24" t="s">
        <v>155</v>
      </c>
    </row>
    <row r="56" spans="1:7" x14ac:dyDescent="0.4">
      <c r="A56" s="22" t="s">
        <v>707</v>
      </c>
      <c r="B56" s="22"/>
      <c r="C56" s="24">
        <v>72</v>
      </c>
      <c r="D56" s="24">
        <v>109</v>
      </c>
      <c r="E56" s="24">
        <v>128</v>
      </c>
      <c r="F56" s="24">
        <v>-25</v>
      </c>
      <c r="G56" s="24" t="s">
        <v>155</v>
      </c>
    </row>
    <row r="57" spans="1:7" x14ac:dyDescent="0.4">
      <c r="A57" s="22" t="s">
        <v>708</v>
      </c>
      <c r="B57" s="22"/>
      <c r="C57" s="24" t="s">
        <v>155</v>
      </c>
      <c r="D57" s="24" t="s">
        <v>155</v>
      </c>
      <c r="E57" s="24" t="s">
        <v>155</v>
      </c>
      <c r="F57" s="24">
        <v>402</v>
      </c>
      <c r="G57" s="24" t="s">
        <v>155</v>
      </c>
    </row>
    <row r="58" spans="1:7" x14ac:dyDescent="0.4">
      <c r="A58" s="22" t="s">
        <v>707</v>
      </c>
      <c r="B58" s="22"/>
      <c r="C58" s="24" t="s">
        <v>155</v>
      </c>
      <c r="D58" s="24" t="s">
        <v>155</v>
      </c>
      <c r="E58" s="24" t="s">
        <v>155</v>
      </c>
      <c r="F58" s="24" t="s">
        <v>155</v>
      </c>
      <c r="G58" s="24">
        <v>-93</v>
      </c>
    </row>
    <row r="59" spans="1:7" x14ac:dyDescent="0.4">
      <c r="A59" s="22" t="s">
        <v>706</v>
      </c>
      <c r="B59" s="22"/>
      <c r="C59" s="24">
        <v>4510</v>
      </c>
      <c r="D59" s="24">
        <v>5701</v>
      </c>
      <c r="E59" s="24">
        <v>4585</v>
      </c>
      <c r="F59" s="24">
        <v>3160</v>
      </c>
      <c r="G59" s="24">
        <v>5013</v>
      </c>
    </row>
    <row r="60" spans="1:7" x14ac:dyDescent="0.4">
      <c r="A60" s="22" t="s">
        <v>705</v>
      </c>
      <c r="B60" s="22"/>
      <c r="C60" s="24">
        <v>2075</v>
      </c>
      <c r="D60" s="24">
        <v>-5111</v>
      </c>
      <c r="E60" s="24">
        <v>5997</v>
      </c>
      <c r="F60" s="24">
        <v>-4363</v>
      </c>
      <c r="G60" s="24">
        <v>4443</v>
      </c>
    </row>
    <row r="61" spans="1:7" x14ac:dyDescent="0.4">
      <c r="A61" s="17" t="s">
        <v>704</v>
      </c>
      <c r="B61" s="17"/>
      <c r="C61" s="16">
        <v>1427</v>
      </c>
      <c r="D61" s="16">
        <v>-152</v>
      </c>
      <c r="E61" s="16">
        <v>4288</v>
      </c>
      <c r="F61" s="16">
        <v>-2006</v>
      </c>
      <c r="G61" s="16" t="s">
        <v>155</v>
      </c>
    </row>
    <row r="62" spans="1:7" x14ac:dyDescent="0.4">
      <c r="A62" s="17" t="s">
        <v>704</v>
      </c>
      <c r="B62" s="17"/>
      <c r="C62" s="16" t="s">
        <v>155</v>
      </c>
      <c r="D62" s="16" t="s">
        <v>155</v>
      </c>
      <c r="E62" s="16" t="s">
        <v>155</v>
      </c>
      <c r="F62" s="16" t="s">
        <v>155</v>
      </c>
      <c r="G62" s="16">
        <v>-1926</v>
      </c>
    </row>
    <row r="63" spans="1:7" x14ac:dyDescent="0.4">
      <c r="A63" s="22" t="s">
        <v>703</v>
      </c>
      <c r="B63" s="21"/>
      <c r="C63" s="21"/>
      <c r="D63" s="21"/>
      <c r="E63" s="21"/>
      <c r="F63" s="21"/>
      <c r="G63" s="21"/>
    </row>
    <row r="64" spans="1:7" x14ac:dyDescent="0.4">
      <c r="A64" s="22" t="s">
        <v>702</v>
      </c>
      <c r="B64" s="22"/>
      <c r="C64" s="24">
        <v>2664</v>
      </c>
      <c r="D64" s="24">
        <v>-2798</v>
      </c>
      <c r="E64" s="24">
        <v>3203</v>
      </c>
      <c r="F64" s="24">
        <v>-3751</v>
      </c>
      <c r="G64" s="24" t="s">
        <v>155</v>
      </c>
    </row>
    <row r="65" spans="1:7" x14ac:dyDescent="0.4">
      <c r="A65" s="22" t="s">
        <v>702</v>
      </c>
      <c r="B65" s="22"/>
      <c r="C65" s="24" t="s">
        <v>155</v>
      </c>
      <c r="D65" s="24" t="s">
        <v>155</v>
      </c>
      <c r="E65" s="24" t="s">
        <v>155</v>
      </c>
      <c r="F65" s="24" t="s">
        <v>155</v>
      </c>
      <c r="G65" s="24">
        <v>-4217</v>
      </c>
    </row>
    <row r="66" spans="1:7" x14ac:dyDescent="0.4">
      <c r="A66" s="22" t="s">
        <v>701</v>
      </c>
      <c r="B66" s="22"/>
      <c r="C66" s="24">
        <v>7212</v>
      </c>
      <c r="D66" s="24">
        <v>0</v>
      </c>
      <c r="E66" s="24">
        <v>3218</v>
      </c>
      <c r="F66" s="24">
        <v>0</v>
      </c>
      <c r="G66" s="24">
        <v>0</v>
      </c>
    </row>
    <row r="67" spans="1:7" x14ac:dyDescent="0.4">
      <c r="A67" s="22" t="s">
        <v>700</v>
      </c>
      <c r="B67" s="22"/>
      <c r="C67" s="24">
        <v>0</v>
      </c>
      <c r="D67" s="24">
        <v>-3000</v>
      </c>
      <c r="E67" s="24">
        <v>1000</v>
      </c>
      <c r="F67" s="24">
        <v>-2250</v>
      </c>
      <c r="G67" s="24" t="s">
        <v>155</v>
      </c>
    </row>
    <row r="68" spans="1:7" x14ac:dyDescent="0.4">
      <c r="A68" s="22" t="s">
        <v>700</v>
      </c>
      <c r="B68" s="22"/>
      <c r="C68" s="24" t="s">
        <v>155</v>
      </c>
      <c r="D68" s="24" t="s">
        <v>155</v>
      </c>
      <c r="E68" s="24" t="s">
        <v>155</v>
      </c>
      <c r="F68" s="24" t="s">
        <v>155</v>
      </c>
      <c r="G68" s="24">
        <v>0</v>
      </c>
    </row>
    <row r="69" spans="1:7" x14ac:dyDescent="0.4">
      <c r="A69" s="22" t="s">
        <v>699</v>
      </c>
      <c r="B69" s="22"/>
      <c r="C69" s="24" t="s">
        <v>155</v>
      </c>
      <c r="D69" s="24" t="s">
        <v>155</v>
      </c>
      <c r="E69" s="24" t="s">
        <v>155</v>
      </c>
      <c r="F69" s="24" t="s">
        <v>155</v>
      </c>
      <c r="G69" s="24" t="s">
        <v>155</v>
      </c>
    </row>
    <row r="70" spans="1:7" x14ac:dyDescent="0.4">
      <c r="A70" s="22" t="s">
        <v>698</v>
      </c>
      <c r="B70" s="22"/>
      <c r="C70" s="24">
        <v>8114</v>
      </c>
      <c r="D70" s="24">
        <v>-8676</v>
      </c>
      <c r="E70" s="24">
        <v>11589</v>
      </c>
      <c r="F70" s="24">
        <v>-12101</v>
      </c>
      <c r="G70" s="24" t="s">
        <v>155</v>
      </c>
    </row>
    <row r="71" spans="1:7" x14ac:dyDescent="0.4">
      <c r="A71" s="22" t="s">
        <v>698</v>
      </c>
      <c r="B71" s="22"/>
      <c r="C71" s="24" t="s">
        <v>155</v>
      </c>
      <c r="D71" s="24" t="s">
        <v>155</v>
      </c>
      <c r="E71" s="24" t="s">
        <v>155</v>
      </c>
      <c r="F71" s="24" t="s">
        <v>155</v>
      </c>
      <c r="G71" s="24">
        <v>-16713</v>
      </c>
    </row>
    <row r="72" spans="1:7" x14ac:dyDescent="0.4">
      <c r="A72" s="22" t="s">
        <v>697</v>
      </c>
      <c r="B72" s="22"/>
      <c r="C72" s="24">
        <v>440</v>
      </c>
      <c r="D72" s="24">
        <v>-37</v>
      </c>
      <c r="E72" s="24">
        <v>1287</v>
      </c>
      <c r="F72" s="24">
        <v>636</v>
      </c>
      <c r="G72" s="24" t="s">
        <v>155</v>
      </c>
    </row>
    <row r="73" spans="1:7" x14ac:dyDescent="0.4">
      <c r="A73" s="22" t="s">
        <v>697</v>
      </c>
      <c r="B73" s="22"/>
      <c r="C73" s="24" t="s">
        <v>155</v>
      </c>
      <c r="D73" s="24" t="s">
        <v>155</v>
      </c>
      <c r="E73" s="24" t="s">
        <v>155</v>
      </c>
      <c r="F73" s="24" t="s">
        <v>155</v>
      </c>
      <c r="G73" s="24">
        <v>382</v>
      </c>
    </row>
    <row r="74" spans="1:7" x14ac:dyDescent="0.4">
      <c r="A74" s="22" t="s">
        <v>696</v>
      </c>
      <c r="B74" s="22"/>
      <c r="C74" s="24" t="s">
        <v>155</v>
      </c>
      <c r="D74" s="24" t="s">
        <v>155</v>
      </c>
      <c r="E74" s="24" t="s">
        <v>155</v>
      </c>
      <c r="F74" s="24" t="s">
        <v>155</v>
      </c>
      <c r="G74" s="24" t="s">
        <v>155</v>
      </c>
    </row>
    <row r="75" spans="1:7" x14ac:dyDescent="0.4">
      <c r="A75" s="22" t="s">
        <v>695</v>
      </c>
      <c r="B75" s="22"/>
      <c r="C75" s="24" t="s">
        <v>155</v>
      </c>
      <c r="D75" s="24" t="s">
        <v>155</v>
      </c>
      <c r="E75" s="24" t="s">
        <v>155</v>
      </c>
      <c r="F75" s="24" t="s">
        <v>155</v>
      </c>
      <c r="G75" s="24" t="s">
        <v>155</v>
      </c>
    </row>
    <row r="76" spans="1:7" x14ac:dyDescent="0.4">
      <c r="A76" s="22" t="s">
        <v>695</v>
      </c>
      <c r="B76" s="22"/>
      <c r="C76" s="24">
        <v>160</v>
      </c>
      <c r="D76" s="24">
        <v>-144</v>
      </c>
      <c r="E76" s="24">
        <v>120</v>
      </c>
      <c r="F76" s="24">
        <v>-130</v>
      </c>
      <c r="G76" s="24">
        <v>170</v>
      </c>
    </row>
    <row r="77" spans="1:7" x14ac:dyDescent="0.4">
      <c r="A77" s="22" t="s">
        <v>694</v>
      </c>
      <c r="B77" s="22"/>
      <c r="C77" s="24">
        <v>333</v>
      </c>
      <c r="D77" s="24">
        <v>0</v>
      </c>
      <c r="E77" s="24">
        <v>0</v>
      </c>
      <c r="F77" s="24" t="s">
        <v>155</v>
      </c>
      <c r="G77" s="24" t="s">
        <v>155</v>
      </c>
    </row>
    <row r="78" spans="1:7" x14ac:dyDescent="0.4">
      <c r="A78" s="22" t="s">
        <v>693</v>
      </c>
      <c r="B78" s="22"/>
      <c r="C78" s="24">
        <v>99</v>
      </c>
      <c r="D78" s="24">
        <v>0</v>
      </c>
      <c r="E78" s="24">
        <v>198</v>
      </c>
      <c r="F78" s="24">
        <v>200</v>
      </c>
      <c r="G78" s="24" t="s">
        <v>155</v>
      </c>
    </row>
    <row r="79" spans="1:7" x14ac:dyDescent="0.4">
      <c r="A79" s="22" t="s">
        <v>692</v>
      </c>
      <c r="B79" s="22"/>
      <c r="C79" s="24" t="s">
        <v>155</v>
      </c>
      <c r="D79" s="24">
        <v>0</v>
      </c>
      <c r="E79" s="24" t="s">
        <v>155</v>
      </c>
      <c r="F79" s="24" t="s">
        <v>155</v>
      </c>
      <c r="G79" s="24">
        <v>208</v>
      </c>
    </row>
    <row r="80" spans="1:7" x14ac:dyDescent="0.4">
      <c r="A80" s="22" t="s">
        <v>691</v>
      </c>
      <c r="B80" s="22"/>
      <c r="C80" s="24">
        <v>2671</v>
      </c>
      <c r="D80" s="24">
        <v>3012</v>
      </c>
      <c r="E80" s="24">
        <v>3741</v>
      </c>
      <c r="F80" s="24">
        <v>3433</v>
      </c>
      <c r="G80" s="24" t="s">
        <v>155</v>
      </c>
    </row>
    <row r="81" spans="1:7" x14ac:dyDescent="0.4">
      <c r="A81" s="22" t="s">
        <v>691</v>
      </c>
      <c r="B81" s="22"/>
      <c r="C81" s="24" t="s">
        <v>155</v>
      </c>
      <c r="D81" s="24" t="s">
        <v>155</v>
      </c>
      <c r="E81" s="24" t="s">
        <v>155</v>
      </c>
      <c r="F81" s="24" t="s">
        <v>155</v>
      </c>
      <c r="G81" s="24">
        <v>5775</v>
      </c>
    </row>
    <row r="82" spans="1:7" x14ac:dyDescent="0.4">
      <c r="A82" s="22" t="s">
        <v>690</v>
      </c>
      <c r="B82" s="22"/>
      <c r="C82" s="24">
        <v>537</v>
      </c>
      <c r="D82" s="24">
        <v>643</v>
      </c>
      <c r="E82" s="24">
        <v>607</v>
      </c>
      <c r="F82" s="24">
        <v>617</v>
      </c>
      <c r="G82" s="24" t="s">
        <v>155</v>
      </c>
    </row>
    <row r="83" spans="1:7" x14ac:dyDescent="0.4">
      <c r="A83" s="22" t="s">
        <v>690</v>
      </c>
      <c r="B83" s="22"/>
      <c r="C83" s="24" t="s">
        <v>155</v>
      </c>
      <c r="D83" s="24" t="s">
        <v>155</v>
      </c>
      <c r="E83" s="24" t="s">
        <v>155</v>
      </c>
      <c r="F83" s="24" t="s">
        <v>155</v>
      </c>
      <c r="G83" s="24">
        <v>583</v>
      </c>
    </row>
    <row r="84" spans="1:7" x14ac:dyDescent="0.4">
      <c r="A84" s="22" t="s">
        <v>689</v>
      </c>
      <c r="B84" s="22"/>
      <c r="C84" s="24">
        <v>190</v>
      </c>
      <c r="D84" s="24">
        <v>208</v>
      </c>
      <c r="E84" s="24">
        <v>196</v>
      </c>
      <c r="F84" s="24">
        <v>260</v>
      </c>
      <c r="G84" s="24">
        <v>335</v>
      </c>
    </row>
    <row r="85" spans="1:7" x14ac:dyDescent="0.4">
      <c r="A85" s="22" t="s">
        <v>688</v>
      </c>
      <c r="B85" s="22"/>
      <c r="C85" s="24">
        <v>8339</v>
      </c>
      <c r="D85" s="24">
        <v>628</v>
      </c>
      <c r="E85" s="24">
        <v>578</v>
      </c>
      <c r="F85" s="24">
        <v>1613</v>
      </c>
      <c r="G85" s="24" t="s">
        <v>155</v>
      </c>
    </row>
    <row r="86" spans="1:7" x14ac:dyDescent="0.4">
      <c r="A86" s="22" t="s">
        <v>688</v>
      </c>
      <c r="B86" s="22"/>
      <c r="C86" s="24" t="s">
        <v>155</v>
      </c>
      <c r="D86" s="24" t="s">
        <v>155</v>
      </c>
      <c r="E86" s="24" t="s">
        <v>155</v>
      </c>
      <c r="F86" s="24" t="s">
        <v>155</v>
      </c>
      <c r="G86" s="24">
        <v>-2227</v>
      </c>
    </row>
    <row r="87" spans="1:7" x14ac:dyDescent="0.4">
      <c r="A87" s="22" t="s">
        <v>687</v>
      </c>
      <c r="B87" s="22"/>
      <c r="C87" s="24" t="s">
        <v>155</v>
      </c>
      <c r="D87" s="24" t="s">
        <v>155</v>
      </c>
      <c r="E87" s="24" t="s">
        <v>155</v>
      </c>
      <c r="F87" s="24" t="s">
        <v>155</v>
      </c>
      <c r="G87" s="24" t="s">
        <v>155</v>
      </c>
    </row>
    <row r="88" spans="1:7" x14ac:dyDescent="0.4">
      <c r="A88" s="22" t="s">
        <v>686</v>
      </c>
      <c r="B88" s="22"/>
      <c r="C88" s="24">
        <v>19171</v>
      </c>
      <c r="D88" s="24">
        <v>19799</v>
      </c>
      <c r="E88" s="24">
        <v>20377</v>
      </c>
      <c r="F88" s="24">
        <v>21990</v>
      </c>
      <c r="G88" s="24" t="s">
        <v>155</v>
      </c>
    </row>
    <row r="89" spans="1:7" x14ac:dyDescent="0.4">
      <c r="A89" s="22" t="s">
        <v>686</v>
      </c>
      <c r="B89" s="22"/>
      <c r="C89" s="24" t="s">
        <v>155</v>
      </c>
      <c r="D89" s="24" t="s">
        <v>155</v>
      </c>
      <c r="E89" s="24" t="s">
        <v>155</v>
      </c>
      <c r="F89" s="24" t="s">
        <v>155</v>
      </c>
      <c r="G89" s="24">
        <v>19763</v>
      </c>
    </row>
    <row r="90" spans="1:7" x14ac:dyDescent="0.4">
      <c r="A90" s="22" t="s">
        <v>685</v>
      </c>
      <c r="B90" s="22"/>
      <c r="C90" s="24">
        <v>10832</v>
      </c>
      <c r="D90" s="24">
        <v>19171</v>
      </c>
      <c r="E90" s="24">
        <v>19799</v>
      </c>
      <c r="F90" s="24">
        <v>20377</v>
      </c>
      <c r="G90" s="24" t="s">
        <v>155</v>
      </c>
    </row>
    <row r="91" spans="1:7" x14ac:dyDescent="0.4">
      <c r="A91" s="22" t="s">
        <v>685</v>
      </c>
      <c r="B91" s="22"/>
      <c r="C91" s="24" t="s">
        <v>155</v>
      </c>
      <c r="D91" s="24" t="s">
        <v>155</v>
      </c>
      <c r="E91" s="24" t="s">
        <v>155</v>
      </c>
      <c r="F91" s="24" t="s">
        <v>155</v>
      </c>
      <c r="G91" s="24">
        <v>21990</v>
      </c>
    </row>
    <row r="92" spans="1:7" x14ac:dyDescent="0.4">
      <c r="A92" s="22" t="s">
        <v>684</v>
      </c>
      <c r="B92" s="22"/>
      <c r="C92" s="24" t="s">
        <v>155</v>
      </c>
      <c r="D92" s="24" t="s">
        <v>155</v>
      </c>
      <c r="E92" s="24" t="s">
        <v>155</v>
      </c>
      <c r="F92" s="24" t="s">
        <v>155</v>
      </c>
      <c r="G92" s="24" t="s">
        <v>155</v>
      </c>
    </row>
    <row r="93" spans="1:7" x14ac:dyDescent="0.4">
      <c r="A93" s="22" t="s">
        <v>683</v>
      </c>
      <c r="B93" s="22"/>
      <c r="C93" s="24" t="s">
        <v>155</v>
      </c>
      <c r="D93" s="24" t="s">
        <v>155</v>
      </c>
      <c r="E93" s="24" t="s">
        <v>155</v>
      </c>
      <c r="F93" s="24" t="s">
        <v>155</v>
      </c>
      <c r="G93" s="24" t="s">
        <v>155</v>
      </c>
    </row>
    <row r="94" spans="1:7" x14ac:dyDescent="0.4">
      <c r="A94" s="22" t="s">
        <v>682</v>
      </c>
      <c r="B94" s="22"/>
      <c r="C94" s="24" t="s">
        <v>155</v>
      </c>
      <c r="D94" s="24" t="s">
        <v>155</v>
      </c>
      <c r="E94" s="24" t="s">
        <v>155</v>
      </c>
      <c r="F94" s="24" t="s">
        <v>155</v>
      </c>
      <c r="G94" s="24" t="s">
        <v>155</v>
      </c>
    </row>
    <row r="95" spans="1:7" x14ac:dyDescent="0.4">
      <c r="A95" s="17" t="s">
        <v>681</v>
      </c>
      <c r="B95" s="17"/>
      <c r="C95" s="16">
        <v>3968</v>
      </c>
      <c r="D95" s="16">
        <v>14410</v>
      </c>
      <c r="E95" s="16">
        <v>12696</v>
      </c>
      <c r="F95" s="16">
        <v>-17772</v>
      </c>
      <c r="G95" s="16" t="s">
        <v>155</v>
      </c>
    </row>
    <row r="96" spans="1:7" x14ac:dyDescent="0.4">
      <c r="A96" s="17" t="s">
        <v>681</v>
      </c>
      <c r="B96" s="17"/>
      <c r="C96" s="16" t="s">
        <v>155</v>
      </c>
      <c r="D96" s="16" t="s">
        <v>155</v>
      </c>
      <c r="E96" s="16" t="s">
        <v>155</v>
      </c>
      <c r="F96" s="16" t="s">
        <v>155</v>
      </c>
      <c r="G96" s="16">
        <v>-20633</v>
      </c>
    </row>
    <row r="97" spans="1:7" x14ac:dyDescent="0.4">
      <c r="A97" s="22" t="s">
        <v>610</v>
      </c>
      <c r="B97" s="21"/>
      <c r="C97" s="21"/>
      <c r="D97" s="21"/>
      <c r="E97" s="21"/>
      <c r="F97" s="21"/>
      <c r="G97" s="21"/>
    </row>
    <row r="98" spans="1:7" x14ac:dyDescent="0.4">
      <c r="A98" s="22" t="s">
        <v>680</v>
      </c>
      <c r="B98" s="22"/>
      <c r="C98" s="24" t="s">
        <v>155</v>
      </c>
      <c r="D98" s="24" t="s">
        <v>155</v>
      </c>
      <c r="E98" s="24">
        <v>17879</v>
      </c>
      <c r="F98" s="24">
        <v>19696</v>
      </c>
      <c r="G98" s="24">
        <v>18693</v>
      </c>
    </row>
    <row r="99" spans="1:7" x14ac:dyDescent="0.4">
      <c r="A99" s="25" t="s">
        <v>153</v>
      </c>
      <c r="B99" s="25"/>
      <c r="C99" s="25"/>
      <c r="D99" s="25"/>
      <c r="E99" s="25"/>
      <c r="F99" s="25"/>
      <c r="G99" s="25"/>
    </row>
  </sheetData>
  <phoneticPr fontId="3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C34C-4794-441E-952C-5EF59DD7373A}">
  <dimension ref="A1:G25"/>
  <sheetViews>
    <sheetView workbookViewId="0">
      <selection activeCell="D13" sqref="D13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769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17" t="s">
        <v>768</v>
      </c>
      <c r="B6" s="19"/>
      <c r="C6" s="19"/>
      <c r="D6" s="19"/>
      <c r="E6" s="19"/>
      <c r="F6" s="19"/>
      <c r="G6" s="19"/>
    </row>
    <row r="7" spans="1:7" x14ac:dyDescent="0.4">
      <c r="A7" s="22" t="s">
        <v>767</v>
      </c>
      <c r="B7" s="22" t="s">
        <v>766</v>
      </c>
      <c r="C7" s="24">
        <v>36.012300000000003</v>
      </c>
      <c r="D7" s="24">
        <v>37.514699999999998</v>
      </c>
      <c r="E7" s="24">
        <v>44.143099999999997</v>
      </c>
      <c r="F7" s="24">
        <v>49.1464</v>
      </c>
      <c r="G7" s="24">
        <v>52.549199999999999</v>
      </c>
    </row>
    <row r="8" spans="1:7" x14ac:dyDescent="0.4">
      <c r="A8" s="22" t="s">
        <v>765</v>
      </c>
      <c r="B8" s="22" t="s">
        <v>764</v>
      </c>
      <c r="C8" s="24">
        <v>14.158300000000001</v>
      </c>
      <c r="D8" s="24">
        <v>15.0304</v>
      </c>
      <c r="E8" s="24">
        <v>17.763999999999999</v>
      </c>
      <c r="F8" s="24">
        <v>19.628399999999999</v>
      </c>
      <c r="G8" s="24">
        <v>21.342600000000001</v>
      </c>
    </row>
    <row r="9" spans="1:7" x14ac:dyDescent="0.4">
      <c r="A9" s="22" t="s">
        <v>763</v>
      </c>
      <c r="B9" s="22" t="s">
        <v>762</v>
      </c>
      <c r="C9" s="24">
        <v>20.072299999999998</v>
      </c>
      <c r="D9" s="24">
        <v>21.165299999999998</v>
      </c>
      <c r="E9" s="24">
        <v>26.171399999999998</v>
      </c>
      <c r="F9" s="24">
        <v>30.104900000000001</v>
      </c>
      <c r="G9" s="24">
        <v>33.640599999999999</v>
      </c>
    </row>
    <row r="10" spans="1:7" x14ac:dyDescent="0.4">
      <c r="A10" s="22" t="s">
        <v>761</v>
      </c>
      <c r="B10" s="22" t="s">
        <v>760</v>
      </c>
      <c r="C10" s="24">
        <v>18.255400000000002</v>
      </c>
      <c r="D10" s="24">
        <v>18.607600000000001</v>
      </c>
      <c r="E10" s="24">
        <v>24.332100000000001</v>
      </c>
      <c r="F10" s="24">
        <v>27.371200000000002</v>
      </c>
      <c r="G10" s="24">
        <v>30.4956</v>
      </c>
    </row>
    <row r="11" spans="1:7" x14ac:dyDescent="0.4">
      <c r="A11" s="22"/>
      <c r="B11" s="21"/>
      <c r="C11" s="21"/>
      <c r="D11" s="21"/>
      <c r="E11" s="21"/>
      <c r="F11" s="21"/>
      <c r="G11" s="21"/>
    </row>
    <row r="12" spans="1:7" x14ac:dyDescent="0.4">
      <c r="A12" s="17" t="s">
        <v>759</v>
      </c>
      <c r="B12" s="19"/>
      <c r="C12" s="19"/>
      <c r="D12" s="19"/>
      <c r="E12" s="19"/>
      <c r="F12" s="19"/>
      <c r="G12" s="19"/>
    </row>
    <row r="13" spans="1:7" x14ac:dyDescent="0.4">
      <c r="A13" s="22" t="s">
        <v>758</v>
      </c>
      <c r="B13" s="22" t="s">
        <v>757</v>
      </c>
      <c r="C13" s="24">
        <v>68.488500000000002</v>
      </c>
      <c r="D13" s="24">
        <v>69.359099999999998</v>
      </c>
      <c r="E13" s="24">
        <v>67.522999999999996</v>
      </c>
      <c r="F13" s="24">
        <v>67.595600000000005</v>
      </c>
      <c r="G13" s="24">
        <v>69.053100000000001</v>
      </c>
    </row>
    <row r="14" spans="1:7" x14ac:dyDescent="0.4">
      <c r="A14" s="22" t="s">
        <v>135</v>
      </c>
      <c r="B14" s="22" t="s">
        <v>136</v>
      </c>
      <c r="C14" s="24">
        <v>64.455699999999993</v>
      </c>
      <c r="D14" s="24">
        <v>65.563199999999995</v>
      </c>
      <c r="E14" s="24">
        <v>64.186300000000003</v>
      </c>
      <c r="F14" s="24">
        <v>64.312600000000003</v>
      </c>
      <c r="G14" s="24">
        <v>65.676699999999997</v>
      </c>
    </row>
    <row r="15" spans="1:7" x14ac:dyDescent="0.4">
      <c r="A15" s="22" t="s">
        <v>756</v>
      </c>
      <c r="B15" s="22" t="s">
        <v>755</v>
      </c>
      <c r="C15" s="24">
        <v>-81.343900000000005</v>
      </c>
      <c r="D15" s="24">
        <v>76.2727</v>
      </c>
      <c r="E15" s="24">
        <v>57.809800000000003</v>
      </c>
      <c r="F15" s="24">
        <v>65.420299999999997</v>
      </c>
      <c r="G15" s="24">
        <v>79.2851</v>
      </c>
    </row>
    <row r="16" spans="1:7" x14ac:dyDescent="0.4">
      <c r="A16" s="22" t="s">
        <v>754</v>
      </c>
      <c r="B16" s="22" t="s">
        <v>753</v>
      </c>
      <c r="C16" s="24">
        <v>63.123699999999999</v>
      </c>
      <c r="D16" s="24">
        <v>66.637600000000006</v>
      </c>
      <c r="E16" s="24">
        <v>61.8765</v>
      </c>
      <c r="F16" s="24">
        <v>64.425899999999999</v>
      </c>
      <c r="G16" s="24">
        <v>66.5702</v>
      </c>
    </row>
    <row r="17" spans="1:7" x14ac:dyDescent="0.4">
      <c r="A17" s="22" t="s">
        <v>752</v>
      </c>
      <c r="B17" s="22" t="s">
        <v>751</v>
      </c>
      <c r="C17" s="24">
        <v>49.739100000000001</v>
      </c>
      <c r="D17" s="24">
        <v>51.072400000000002</v>
      </c>
      <c r="E17" s="24">
        <v>51.0304</v>
      </c>
      <c r="F17" s="24">
        <v>52.898699999999998</v>
      </c>
      <c r="G17" s="24">
        <v>54.954599999999999</v>
      </c>
    </row>
    <row r="18" spans="1:7" x14ac:dyDescent="0.4">
      <c r="A18" s="22" t="s">
        <v>750</v>
      </c>
      <c r="B18" s="22" t="s">
        <v>138</v>
      </c>
      <c r="C18" s="24">
        <v>49.739100000000001</v>
      </c>
      <c r="D18" s="24">
        <v>51.072400000000002</v>
      </c>
      <c r="E18" s="24">
        <v>51.0304</v>
      </c>
      <c r="F18" s="24">
        <v>52.898699999999998</v>
      </c>
      <c r="G18" s="24">
        <v>54.954599999999999</v>
      </c>
    </row>
    <row r="19" spans="1:7" x14ac:dyDescent="0.4">
      <c r="A19" s="22" t="s">
        <v>749</v>
      </c>
      <c r="B19" s="22" t="s">
        <v>748</v>
      </c>
      <c r="C19" s="24">
        <v>49.739100000000001</v>
      </c>
      <c r="D19" s="24">
        <v>51.072400000000002</v>
      </c>
      <c r="E19" s="24">
        <v>51.0304</v>
      </c>
      <c r="F19" s="24">
        <v>52.898699999999998</v>
      </c>
      <c r="G19" s="24">
        <v>54.954599999999999</v>
      </c>
    </row>
    <row r="20" spans="1:7" x14ac:dyDescent="0.4">
      <c r="A20" s="22"/>
      <c r="B20" s="21"/>
      <c r="C20" s="21"/>
      <c r="D20" s="21"/>
      <c r="E20" s="21"/>
      <c r="F20" s="21"/>
      <c r="G20" s="21"/>
    </row>
    <row r="21" spans="1:7" x14ac:dyDescent="0.4">
      <c r="A21" s="17" t="s">
        <v>747</v>
      </c>
      <c r="B21" s="19"/>
      <c r="C21" s="19"/>
      <c r="D21" s="19"/>
      <c r="E21" s="19"/>
      <c r="F21" s="19"/>
      <c r="G21" s="19"/>
    </row>
    <row r="22" spans="1:7" x14ac:dyDescent="0.4">
      <c r="A22" s="22" t="s">
        <v>746</v>
      </c>
      <c r="B22" s="22" t="s">
        <v>745</v>
      </c>
      <c r="C22" s="24">
        <v>21.203800000000001</v>
      </c>
      <c r="D22" s="24">
        <v>23.358000000000001</v>
      </c>
      <c r="E22" s="24">
        <v>17.528700000000001</v>
      </c>
      <c r="F22" s="24">
        <v>17.892299999999999</v>
      </c>
      <c r="G22" s="24">
        <v>17.448599999999999</v>
      </c>
    </row>
    <row r="23" spans="1:7" x14ac:dyDescent="0.4">
      <c r="A23" s="22" t="s">
        <v>744</v>
      </c>
      <c r="B23" s="22" t="s">
        <v>743</v>
      </c>
      <c r="C23" s="24">
        <v>21.927700000000002</v>
      </c>
      <c r="D23" s="24">
        <v>21.1023</v>
      </c>
      <c r="E23" s="24">
        <v>17.385300000000001</v>
      </c>
      <c r="F23" s="24">
        <v>17.5167</v>
      </c>
      <c r="G23" s="24">
        <v>17.0779</v>
      </c>
    </row>
    <row r="24" spans="1:7" x14ac:dyDescent="0.4">
      <c r="A24" s="22" t="s">
        <v>742</v>
      </c>
      <c r="B24" s="22" t="s">
        <v>741</v>
      </c>
      <c r="C24" s="24">
        <v>28.1157</v>
      </c>
      <c r="D24" s="24">
        <v>29.598199999999999</v>
      </c>
      <c r="E24" s="24">
        <v>36.468699999999998</v>
      </c>
      <c r="F24" s="24">
        <v>40.537599999999998</v>
      </c>
      <c r="G24" s="24">
        <v>43.5749</v>
      </c>
    </row>
    <row r="25" spans="1:7" x14ac:dyDescent="0.4">
      <c r="A25" s="25" t="s">
        <v>153</v>
      </c>
      <c r="B25" s="25"/>
      <c r="C25" s="25" t="s">
        <v>154</v>
      </c>
      <c r="D25" s="25"/>
      <c r="E25" s="25"/>
      <c r="F25" s="25"/>
      <c r="G25" s="25"/>
    </row>
  </sheetData>
  <phoneticPr fontId="3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61FB-DE1A-4CCE-AD31-121F6FA935A1}">
  <dimension ref="A1:G93"/>
  <sheetViews>
    <sheetView workbookViewId="0">
      <selection activeCell="E12" sqref="E12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871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17" t="s">
        <v>870</v>
      </c>
      <c r="B6" s="19"/>
      <c r="C6" s="19"/>
      <c r="D6" s="19"/>
      <c r="E6" s="19"/>
      <c r="F6" s="19"/>
      <c r="G6" s="19"/>
    </row>
    <row r="7" spans="1:7" x14ac:dyDescent="0.4">
      <c r="A7" s="22" t="s">
        <v>19</v>
      </c>
      <c r="B7" s="22" t="s">
        <v>869</v>
      </c>
      <c r="C7" s="24">
        <v>-4.9222999999999999</v>
      </c>
      <c r="D7" s="24">
        <v>10.3406</v>
      </c>
      <c r="E7" s="24">
        <v>21.593</v>
      </c>
      <c r="F7" s="24">
        <v>11.4057</v>
      </c>
      <c r="G7" s="24">
        <v>10.0236</v>
      </c>
    </row>
    <row r="8" spans="1:7" x14ac:dyDescent="0.4">
      <c r="A8" s="22" t="s">
        <v>128</v>
      </c>
      <c r="B8" s="22" t="s">
        <v>868</v>
      </c>
      <c r="C8" s="24">
        <v>-4.4389000000000003</v>
      </c>
      <c r="D8" s="24">
        <v>11.7431</v>
      </c>
      <c r="E8" s="24">
        <v>18.374300000000002</v>
      </c>
      <c r="F8" s="24">
        <v>11.525399999999999</v>
      </c>
      <c r="G8" s="24">
        <v>12.395799999999999</v>
      </c>
    </row>
    <row r="9" spans="1:7" x14ac:dyDescent="0.4">
      <c r="A9" s="22" t="s">
        <v>814</v>
      </c>
      <c r="B9" s="22" t="s">
        <v>867</v>
      </c>
      <c r="C9" s="24">
        <v>-6.1329000000000002</v>
      </c>
      <c r="D9" s="24">
        <v>12.2363</v>
      </c>
      <c r="E9" s="24">
        <v>19.0395</v>
      </c>
      <c r="F9" s="24">
        <v>11.6249</v>
      </c>
      <c r="G9" s="24">
        <v>12.357100000000001</v>
      </c>
    </row>
    <row r="10" spans="1:7" x14ac:dyDescent="0.4">
      <c r="A10" s="22" t="s">
        <v>812</v>
      </c>
      <c r="B10" s="22" t="s">
        <v>866</v>
      </c>
      <c r="C10" s="24">
        <v>-10.0497</v>
      </c>
      <c r="D10" s="24">
        <v>13.298400000000001</v>
      </c>
      <c r="E10" s="24">
        <v>21.492999999999999</v>
      </c>
      <c r="F10" s="24">
        <v>15.484400000000001</v>
      </c>
      <c r="G10" s="24">
        <v>14.299799999999999</v>
      </c>
    </row>
    <row r="11" spans="1:7" x14ac:dyDescent="0.4">
      <c r="A11" s="22" t="s">
        <v>810</v>
      </c>
      <c r="B11" s="22" t="s">
        <v>865</v>
      </c>
      <c r="C11" s="24">
        <v>-8.2354000000000003</v>
      </c>
      <c r="D11" s="24">
        <v>14.9679</v>
      </c>
      <c r="E11" s="24">
        <v>38.954700000000003</v>
      </c>
      <c r="F11" s="24">
        <v>18.309200000000001</v>
      </c>
      <c r="G11" s="24">
        <v>17.4544</v>
      </c>
    </row>
    <row r="12" spans="1:7" x14ac:dyDescent="0.4">
      <c r="A12" s="22" t="s">
        <v>808</v>
      </c>
      <c r="B12" s="22" t="s">
        <v>864</v>
      </c>
      <c r="C12" s="24">
        <v>-8.2354000000000003</v>
      </c>
      <c r="D12" s="24">
        <v>14.9679</v>
      </c>
      <c r="E12" s="24">
        <v>38.954700000000003</v>
      </c>
      <c r="F12" s="24">
        <v>18.309200000000001</v>
      </c>
      <c r="G12" s="24">
        <v>17.4544</v>
      </c>
    </row>
    <row r="13" spans="1:7" x14ac:dyDescent="0.4">
      <c r="A13" s="22" t="s">
        <v>806</v>
      </c>
      <c r="B13" s="22" t="s">
        <v>863</v>
      </c>
      <c r="C13" s="24">
        <v>-7.1487999999999996</v>
      </c>
      <c r="D13" s="24">
        <v>17.191500000000001</v>
      </c>
      <c r="E13" s="24">
        <v>41.365400000000001</v>
      </c>
      <c r="F13" s="24">
        <v>16.598199999999999</v>
      </c>
      <c r="G13" s="24">
        <v>14.9947</v>
      </c>
    </row>
    <row r="14" spans="1:7" x14ac:dyDescent="0.4">
      <c r="A14" s="22" t="s">
        <v>804</v>
      </c>
      <c r="B14" s="22" t="s">
        <v>862</v>
      </c>
      <c r="C14" s="24">
        <v>16.1905</v>
      </c>
      <c r="D14" s="24">
        <v>9.4261999999999997</v>
      </c>
      <c r="E14" s="24">
        <v>17.977499999999999</v>
      </c>
      <c r="F14" s="24">
        <v>18.7302</v>
      </c>
      <c r="G14" s="24">
        <v>11.229900000000001</v>
      </c>
    </row>
    <row r="15" spans="1:7" x14ac:dyDescent="0.4">
      <c r="A15" s="22"/>
      <c r="B15" s="21"/>
      <c r="C15" s="21"/>
      <c r="D15" s="21"/>
      <c r="E15" s="21"/>
      <c r="F15" s="21"/>
      <c r="G15" s="21"/>
    </row>
    <row r="16" spans="1:7" x14ac:dyDescent="0.4">
      <c r="A16" s="22" t="s">
        <v>802</v>
      </c>
      <c r="B16" s="22" t="s">
        <v>861</v>
      </c>
      <c r="C16" s="24">
        <v>4.9287000000000001</v>
      </c>
      <c r="D16" s="24">
        <v>21.631599999999999</v>
      </c>
      <c r="E16" s="24">
        <v>2.6423000000000001</v>
      </c>
      <c r="F16" s="24">
        <v>13.415800000000001</v>
      </c>
      <c r="G16" s="24">
        <v>11.7852</v>
      </c>
    </row>
    <row r="17" spans="1:7" x14ac:dyDescent="0.4">
      <c r="A17" s="22" t="s">
        <v>800</v>
      </c>
      <c r="B17" s="22" t="s">
        <v>860</v>
      </c>
      <c r="C17" s="24">
        <v>1.5584</v>
      </c>
      <c r="D17" s="24">
        <v>18.0124</v>
      </c>
      <c r="E17" s="24">
        <v>14.644</v>
      </c>
      <c r="F17" s="24">
        <v>5.6711</v>
      </c>
      <c r="G17" s="24">
        <v>20.035799999999998</v>
      </c>
    </row>
    <row r="18" spans="1:7" x14ac:dyDescent="0.4">
      <c r="A18" s="22" t="s">
        <v>268</v>
      </c>
      <c r="B18" s="22" t="s">
        <v>859</v>
      </c>
      <c r="C18" s="24">
        <v>11.4986</v>
      </c>
      <c r="D18" s="24">
        <v>2.4432</v>
      </c>
      <c r="E18" s="24">
        <v>3.1425000000000001</v>
      </c>
      <c r="F18" s="24">
        <v>5.8455000000000004</v>
      </c>
      <c r="G18" s="24">
        <v>4.4332000000000003</v>
      </c>
    </row>
    <row r="19" spans="1:7" x14ac:dyDescent="0.4">
      <c r="A19" s="22" t="s">
        <v>797</v>
      </c>
      <c r="B19" s="22" t="s">
        <v>858</v>
      </c>
      <c r="C19" s="24">
        <v>4.1847000000000003</v>
      </c>
      <c r="D19" s="24">
        <v>17.867000000000001</v>
      </c>
      <c r="E19" s="24">
        <v>-1.2926</v>
      </c>
      <c r="F19" s="24">
        <v>14.047599999999999</v>
      </c>
      <c r="G19" s="24">
        <v>8.6638999999999999</v>
      </c>
    </row>
    <row r="20" spans="1:7" x14ac:dyDescent="0.4">
      <c r="A20" s="22" t="s">
        <v>795</v>
      </c>
      <c r="B20" s="22" t="s">
        <v>857</v>
      </c>
      <c r="C20" s="24">
        <v>43.082799999999999</v>
      </c>
      <c r="D20" s="24">
        <v>8.1233000000000004</v>
      </c>
      <c r="E20" s="24">
        <v>-7.9143999999999997</v>
      </c>
      <c r="F20" s="24">
        <v>18.1297</v>
      </c>
      <c r="G20" s="24">
        <v>-51.349600000000002</v>
      </c>
    </row>
    <row r="21" spans="1:7" x14ac:dyDescent="0.4">
      <c r="A21" s="22" t="s">
        <v>793</v>
      </c>
      <c r="B21" s="22" t="s">
        <v>856</v>
      </c>
      <c r="C21" s="24">
        <v>5.1281999999999996</v>
      </c>
      <c r="D21" s="24">
        <v>4.8780000000000001</v>
      </c>
      <c r="E21" s="24">
        <v>23.255800000000001</v>
      </c>
      <c r="F21" s="24">
        <v>8.6791999999999998</v>
      </c>
      <c r="G21" s="24">
        <v>9.7222000000000008</v>
      </c>
    </row>
    <row r="22" spans="1:7" x14ac:dyDescent="0.4">
      <c r="A22" s="22" t="s">
        <v>791</v>
      </c>
      <c r="B22" s="22" t="s">
        <v>855</v>
      </c>
      <c r="C22" s="24">
        <v>11.538500000000001</v>
      </c>
      <c r="D22" s="24">
        <v>52.873600000000003</v>
      </c>
      <c r="E22" s="24">
        <v>27.819500000000001</v>
      </c>
      <c r="F22" s="24">
        <v>10.2941</v>
      </c>
      <c r="G22" s="24">
        <v>27.7333</v>
      </c>
    </row>
    <row r="23" spans="1:7" x14ac:dyDescent="0.4">
      <c r="A23" s="22" t="s">
        <v>789</v>
      </c>
      <c r="B23" s="22" t="s">
        <v>854</v>
      </c>
      <c r="C23" s="24" t="s">
        <v>155</v>
      </c>
      <c r="D23" s="24">
        <v>-64.531700000000001</v>
      </c>
      <c r="E23" s="24">
        <v>113.0672</v>
      </c>
      <c r="F23" s="24">
        <v>-95.485500000000002</v>
      </c>
      <c r="G23" s="24">
        <v>41.509399999999999</v>
      </c>
    </row>
    <row r="24" spans="1:7" x14ac:dyDescent="0.4">
      <c r="A24" s="22" t="s">
        <v>787</v>
      </c>
      <c r="B24" s="22" t="s">
        <v>853</v>
      </c>
      <c r="C24" s="24">
        <v>47.629899999999999</v>
      </c>
      <c r="D24" s="24">
        <v>-12.7384</v>
      </c>
      <c r="E24" s="24">
        <v>6.5843999999999996</v>
      </c>
      <c r="F24" s="24">
        <v>-8.6591000000000005</v>
      </c>
      <c r="G24" s="24">
        <v>3.2887</v>
      </c>
    </row>
    <row r="25" spans="1:7" x14ac:dyDescent="0.4">
      <c r="A25" s="22" t="s">
        <v>191</v>
      </c>
      <c r="B25" s="22" t="s">
        <v>852</v>
      </c>
      <c r="C25" s="24">
        <v>4.3997000000000002</v>
      </c>
      <c r="D25" s="24">
        <v>3.8083</v>
      </c>
      <c r="E25" s="24">
        <v>-5.3419999999999996</v>
      </c>
      <c r="F25" s="24">
        <v>8.8587000000000007</v>
      </c>
      <c r="G25" s="24">
        <v>1.0429999999999999</v>
      </c>
    </row>
    <row r="26" spans="1:7" x14ac:dyDescent="0.4">
      <c r="A26" s="22" t="s">
        <v>784</v>
      </c>
      <c r="B26" s="22" t="s">
        <v>851</v>
      </c>
      <c r="C26" s="24">
        <v>18.466100000000001</v>
      </c>
      <c r="D26" s="24">
        <v>-2.9011</v>
      </c>
      <c r="E26" s="24">
        <v>-0.99590000000000001</v>
      </c>
      <c r="F26" s="24">
        <v>1.9863</v>
      </c>
      <c r="G26" s="24">
        <v>1.8321000000000001</v>
      </c>
    </row>
    <row r="27" spans="1:7" x14ac:dyDescent="0.4">
      <c r="A27" s="22" t="s">
        <v>782</v>
      </c>
      <c r="B27" s="22" t="s">
        <v>850</v>
      </c>
      <c r="C27" s="24">
        <v>8.4313000000000002</v>
      </c>
      <c r="D27" s="24">
        <v>11.2776</v>
      </c>
      <c r="E27" s="24">
        <v>-1.4863999999999999</v>
      </c>
      <c r="F27" s="24">
        <v>13.8293</v>
      </c>
      <c r="G27" s="24">
        <v>5.4584999999999999</v>
      </c>
    </row>
    <row r="28" spans="1:7" x14ac:dyDescent="0.4">
      <c r="A28" s="22"/>
      <c r="B28" s="21"/>
      <c r="C28" s="21"/>
      <c r="D28" s="21"/>
      <c r="E28" s="21"/>
      <c r="F28" s="21"/>
      <c r="G28" s="21"/>
    </row>
    <row r="29" spans="1:7" x14ac:dyDescent="0.4">
      <c r="A29" s="22" t="s">
        <v>780</v>
      </c>
      <c r="B29" s="22" t="s">
        <v>849</v>
      </c>
      <c r="C29" s="24">
        <v>-18.3354</v>
      </c>
      <c r="D29" s="24">
        <v>45.852499999999999</v>
      </c>
      <c r="E29" s="24">
        <v>23.7867</v>
      </c>
      <c r="F29" s="24">
        <v>10.1119</v>
      </c>
      <c r="G29" s="24">
        <v>-3.8786</v>
      </c>
    </row>
    <row r="30" spans="1:7" x14ac:dyDescent="0.4">
      <c r="A30" s="22" t="s">
        <v>778</v>
      </c>
      <c r="B30" s="22" t="s">
        <v>848</v>
      </c>
      <c r="C30" s="24">
        <v>-2.6455000000000002</v>
      </c>
      <c r="D30" s="24">
        <v>-4.2119999999999997</v>
      </c>
      <c r="E30" s="24">
        <v>37.588700000000003</v>
      </c>
      <c r="F30" s="24">
        <v>9.1753</v>
      </c>
      <c r="G30" s="24">
        <v>18.696899999999999</v>
      </c>
    </row>
    <row r="31" spans="1:7" x14ac:dyDescent="0.4">
      <c r="A31" s="22" t="s">
        <v>776</v>
      </c>
      <c r="B31" s="22" t="s">
        <v>847</v>
      </c>
      <c r="C31" s="24" t="s">
        <v>155</v>
      </c>
      <c r="D31" s="24">
        <v>-92.469099999999997</v>
      </c>
      <c r="E31" s="24">
        <v>-7.9618000000000002</v>
      </c>
      <c r="F31" s="24">
        <v>179.06569999999999</v>
      </c>
      <c r="G31" s="24" t="s">
        <v>155</v>
      </c>
    </row>
    <row r="32" spans="1:7" x14ac:dyDescent="0.4">
      <c r="A32" s="22" t="s">
        <v>339</v>
      </c>
      <c r="B32" s="22" t="s">
        <v>846</v>
      </c>
      <c r="C32" s="24">
        <v>-19.3216</v>
      </c>
      <c r="D32" s="24">
        <v>49.6496</v>
      </c>
      <c r="E32" s="24">
        <v>23.116700000000002</v>
      </c>
      <c r="F32" s="24">
        <v>10.162800000000001</v>
      </c>
      <c r="G32" s="24">
        <v>-5.0923999999999996</v>
      </c>
    </row>
    <row r="33" spans="1:7" x14ac:dyDescent="0.4">
      <c r="A33" s="22" t="s">
        <v>773</v>
      </c>
      <c r="B33" s="22" t="s">
        <v>845</v>
      </c>
      <c r="C33" s="24">
        <v>-17.931999999999999</v>
      </c>
      <c r="D33" s="24">
        <v>44.01</v>
      </c>
      <c r="E33" s="24">
        <v>23.511399999999998</v>
      </c>
      <c r="F33" s="24">
        <v>10.320399999999999</v>
      </c>
      <c r="G33" s="24">
        <v>-3.7804000000000002</v>
      </c>
    </row>
    <row r="34" spans="1:7" x14ac:dyDescent="0.4">
      <c r="A34" s="22" t="s">
        <v>771</v>
      </c>
      <c r="B34" s="22" t="s">
        <v>844</v>
      </c>
      <c r="C34" s="24">
        <v>-18.859500000000001</v>
      </c>
      <c r="D34" s="24">
        <v>47.520299999999999</v>
      </c>
      <c r="E34" s="24">
        <v>22.846</v>
      </c>
      <c r="F34" s="24">
        <v>10.381</v>
      </c>
      <c r="G34" s="24">
        <v>-4.9573999999999998</v>
      </c>
    </row>
    <row r="35" spans="1:7" x14ac:dyDescent="0.4">
      <c r="A35" s="22"/>
      <c r="B35" s="21"/>
      <c r="C35" s="21"/>
      <c r="D35" s="21"/>
      <c r="E35" s="21"/>
      <c r="F35" s="21"/>
      <c r="G35" s="21"/>
    </row>
    <row r="36" spans="1:7" x14ac:dyDescent="0.4">
      <c r="A36" s="17" t="s">
        <v>843</v>
      </c>
      <c r="B36" s="19"/>
      <c r="C36" s="19"/>
      <c r="D36" s="19"/>
      <c r="E36" s="19"/>
      <c r="F36" s="19"/>
      <c r="G36" s="19"/>
    </row>
    <row r="37" spans="1:7" x14ac:dyDescent="0.4">
      <c r="A37" s="22" t="s">
        <v>19</v>
      </c>
      <c r="B37" s="22" t="s">
        <v>842</v>
      </c>
      <c r="C37" s="24">
        <v>9.4955999999999996</v>
      </c>
      <c r="D37" s="24">
        <v>9.8322000000000003</v>
      </c>
      <c r="E37" s="24">
        <v>9.8089999999999993</v>
      </c>
      <c r="F37" s="24">
        <v>9.6410999999999998</v>
      </c>
      <c r="G37" s="24">
        <v>9.3511000000000006</v>
      </c>
    </row>
    <row r="38" spans="1:7" x14ac:dyDescent="0.4">
      <c r="A38" s="22" t="s">
        <v>128</v>
      </c>
      <c r="B38" s="22" t="s">
        <v>841</v>
      </c>
      <c r="C38" s="24">
        <v>9.3765999999999998</v>
      </c>
      <c r="D38" s="24">
        <v>14.799899999999999</v>
      </c>
      <c r="E38" s="24">
        <v>9.2780000000000005</v>
      </c>
      <c r="F38" s="24">
        <v>10.222799999999999</v>
      </c>
      <c r="G38" s="24">
        <v>9.6418999999999997</v>
      </c>
    </row>
    <row r="39" spans="1:7" x14ac:dyDescent="0.4">
      <c r="A39" s="22" t="s">
        <v>814</v>
      </c>
      <c r="B39" s="22" t="s">
        <v>840</v>
      </c>
      <c r="C39" s="24">
        <v>9.2101000000000006</v>
      </c>
      <c r="D39" s="24">
        <v>14.9252</v>
      </c>
      <c r="E39" s="24">
        <v>9.1488999999999994</v>
      </c>
      <c r="F39" s="24">
        <v>10.144600000000001</v>
      </c>
      <c r="G39" s="24">
        <v>9.4812999999999992</v>
      </c>
    </row>
    <row r="40" spans="1:7" x14ac:dyDescent="0.4">
      <c r="A40" s="22" t="s">
        <v>812</v>
      </c>
      <c r="B40" s="22" t="s">
        <v>839</v>
      </c>
      <c r="C40" s="24">
        <v>11.4194</v>
      </c>
      <c r="D40" s="24">
        <v>15.4938</v>
      </c>
      <c r="E40" s="24">
        <v>17.4267</v>
      </c>
      <c r="F40" s="24">
        <v>10.891400000000001</v>
      </c>
      <c r="G40" s="24">
        <v>10.3238</v>
      </c>
    </row>
    <row r="41" spans="1:7" x14ac:dyDescent="0.4">
      <c r="A41" s="22" t="s">
        <v>810</v>
      </c>
      <c r="B41" s="22" t="s">
        <v>838</v>
      </c>
      <c r="C41" s="24">
        <v>13.539400000000001</v>
      </c>
      <c r="D41" s="24">
        <v>17.634899999999998</v>
      </c>
      <c r="E41" s="24">
        <v>22.638500000000001</v>
      </c>
      <c r="F41" s="24">
        <v>15.771599999999999</v>
      </c>
      <c r="G41" s="24">
        <v>15.292899999999999</v>
      </c>
    </row>
    <row r="42" spans="1:7" x14ac:dyDescent="0.4">
      <c r="A42" s="22" t="s">
        <v>808</v>
      </c>
      <c r="B42" s="22" t="s">
        <v>837</v>
      </c>
      <c r="C42" s="24">
        <v>13.539400000000001</v>
      </c>
      <c r="D42" s="24">
        <v>17.634899999999998</v>
      </c>
      <c r="E42" s="24">
        <v>22.638500000000001</v>
      </c>
      <c r="F42" s="24">
        <v>15.771599999999999</v>
      </c>
      <c r="G42" s="24">
        <v>15.292899999999999</v>
      </c>
    </row>
    <row r="43" spans="1:7" x14ac:dyDescent="0.4">
      <c r="A43" s="22" t="s">
        <v>806</v>
      </c>
      <c r="B43" s="22" t="s">
        <v>836</v>
      </c>
      <c r="C43" s="24">
        <v>14.598599999999999</v>
      </c>
      <c r="D43" s="24">
        <v>15.2445</v>
      </c>
      <c r="E43" s="24">
        <v>19.210999999999999</v>
      </c>
      <c r="F43" s="24">
        <v>16.048100000000002</v>
      </c>
      <c r="G43" s="24">
        <v>15.5791</v>
      </c>
    </row>
    <row r="44" spans="1:7" x14ac:dyDescent="0.4">
      <c r="A44" s="22" t="s">
        <v>804</v>
      </c>
      <c r="B44" s="22" t="s">
        <v>835</v>
      </c>
      <c r="C44" s="24">
        <v>20.510200000000001</v>
      </c>
      <c r="D44" s="24">
        <v>18.9758</v>
      </c>
      <c r="E44" s="24">
        <v>26.047699999999999</v>
      </c>
      <c r="F44" s="24">
        <v>16.271100000000001</v>
      </c>
      <c r="G44" s="24">
        <v>14.6502</v>
      </c>
    </row>
    <row r="45" spans="1:7" x14ac:dyDescent="0.4">
      <c r="A45" s="22"/>
      <c r="B45" s="21"/>
      <c r="C45" s="21"/>
      <c r="D45" s="21"/>
      <c r="E45" s="21"/>
      <c r="F45" s="21"/>
      <c r="G45" s="21"/>
    </row>
    <row r="46" spans="1:7" x14ac:dyDescent="0.4">
      <c r="A46" s="22" t="s">
        <v>802</v>
      </c>
      <c r="B46" s="22" t="s">
        <v>834</v>
      </c>
      <c r="C46" s="24">
        <v>13.8201</v>
      </c>
      <c r="D46" s="24">
        <v>13.583399999999999</v>
      </c>
      <c r="E46" s="24">
        <v>12.2796</v>
      </c>
      <c r="F46" s="24">
        <v>13.655799999999999</v>
      </c>
      <c r="G46" s="24">
        <v>10.679</v>
      </c>
    </row>
    <row r="47" spans="1:7" x14ac:dyDescent="0.4">
      <c r="A47" s="22" t="s">
        <v>800</v>
      </c>
      <c r="B47" s="22" t="s">
        <v>833</v>
      </c>
      <c r="C47" s="24">
        <v>7.7096</v>
      </c>
      <c r="D47" s="24">
        <v>8.4808000000000003</v>
      </c>
      <c r="E47" s="24">
        <v>10.4482</v>
      </c>
      <c r="F47" s="24">
        <v>9.6205999999999996</v>
      </c>
      <c r="G47" s="24">
        <v>11.751200000000001</v>
      </c>
    </row>
    <row r="48" spans="1:7" x14ac:dyDescent="0.4">
      <c r="A48" s="22" t="s">
        <v>268</v>
      </c>
      <c r="B48" s="22" t="s">
        <v>832</v>
      </c>
      <c r="C48" s="24">
        <v>14.997199999999999</v>
      </c>
      <c r="D48" s="24">
        <v>5.2988</v>
      </c>
      <c r="E48" s="24">
        <v>4.694</v>
      </c>
      <c r="F48" s="24">
        <v>5.5057999999999998</v>
      </c>
      <c r="G48" s="24">
        <v>5.4241999999999999</v>
      </c>
    </row>
    <row r="49" spans="1:7" x14ac:dyDescent="0.4">
      <c r="A49" s="22" t="s">
        <v>797</v>
      </c>
      <c r="B49" s="22" t="s">
        <v>831</v>
      </c>
      <c r="C49" s="24">
        <v>14.9336</v>
      </c>
      <c r="D49" s="24">
        <v>15.224</v>
      </c>
      <c r="E49" s="24">
        <v>12.006500000000001</v>
      </c>
      <c r="F49" s="24">
        <v>13.327199999999999</v>
      </c>
      <c r="G49" s="24">
        <v>8.4785000000000004</v>
      </c>
    </row>
    <row r="50" spans="1:7" x14ac:dyDescent="0.4">
      <c r="A50" s="22" t="s">
        <v>795</v>
      </c>
      <c r="B50" s="22" t="s">
        <v>830</v>
      </c>
      <c r="C50" s="24">
        <v>18.9405</v>
      </c>
      <c r="D50" s="24">
        <v>17.776299999999999</v>
      </c>
      <c r="E50" s="24">
        <v>5.1833</v>
      </c>
      <c r="F50" s="24">
        <v>13.866099999999999</v>
      </c>
      <c r="G50" s="24">
        <v>-3.9209000000000001</v>
      </c>
    </row>
    <row r="51" spans="1:7" x14ac:dyDescent="0.4">
      <c r="A51" s="22" t="s">
        <v>793</v>
      </c>
      <c r="B51" s="22" t="s">
        <v>829</v>
      </c>
      <c r="C51" s="24" t="s">
        <v>155</v>
      </c>
      <c r="D51" s="24" t="s">
        <v>155</v>
      </c>
      <c r="E51" s="24" t="s">
        <v>155</v>
      </c>
      <c r="F51" s="24">
        <v>11.1191</v>
      </c>
      <c r="G51" s="24">
        <v>10.1363</v>
      </c>
    </row>
    <row r="52" spans="1:7" x14ac:dyDescent="0.4">
      <c r="A52" s="22" t="s">
        <v>791</v>
      </c>
      <c r="B52" s="22" t="s">
        <v>828</v>
      </c>
      <c r="C52" s="24">
        <v>6.4999000000000002</v>
      </c>
      <c r="D52" s="24">
        <v>5.5545999999999998</v>
      </c>
      <c r="E52" s="24">
        <v>13.690799999999999</v>
      </c>
      <c r="F52" s="24">
        <v>15.4293</v>
      </c>
      <c r="G52" s="24">
        <v>25.153300000000002</v>
      </c>
    </row>
    <row r="53" spans="1:7" x14ac:dyDescent="0.4">
      <c r="A53" s="22" t="s">
        <v>789</v>
      </c>
      <c r="B53" s="22" t="s">
        <v>827</v>
      </c>
      <c r="C53" s="24" t="s">
        <v>155</v>
      </c>
      <c r="D53" s="24" t="s">
        <v>155</v>
      </c>
      <c r="E53" s="24">
        <v>6.0673000000000004</v>
      </c>
      <c r="F53" s="24" t="s">
        <v>155</v>
      </c>
      <c r="G53" s="24" t="s">
        <v>155</v>
      </c>
    </row>
    <row r="54" spans="1:7" x14ac:dyDescent="0.4">
      <c r="A54" s="22" t="s">
        <v>787</v>
      </c>
      <c r="B54" s="22" t="s">
        <v>826</v>
      </c>
      <c r="C54" s="24" t="s">
        <v>155</v>
      </c>
      <c r="D54" s="24">
        <v>6.2949000000000002</v>
      </c>
      <c r="E54" s="24">
        <v>4.5742000000000003</v>
      </c>
      <c r="F54" s="24">
        <v>4.7579000000000002</v>
      </c>
      <c r="G54" s="24">
        <v>5.3129999999999997</v>
      </c>
    </row>
    <row r="55" spans="1:7" x14ac:dyDescent="0.4">
      <c r="A55" s="22" t="s">
        <v>191</v>
      </c>
      <c r="B55" s="22" t="s">
        <v>825</v>
      </c>
      <c r="C55" s="24">
        <v>3.9441999999999999</v>
      </c>
      <c r="D55" s="24">
        <v>2.6930999999999998</v>
      </c>
      <c r="E55" s="24">
        <v>1.6657999999999999</v>
      </c>
      <c r="F55" s="24">
        <v>2.6373000000000002</v>
      </c>
      <c r="G55" s="24">
        <v>2.4451999999999998</v>
      </c>
    </row>
    <row r="56" spans="1:7" x14ac:dyDescent="0.4">
      <c r="A56" s="22" t="s">
        <v>824</v>
      </c>
      <c r="B56" s="22" t="s">
        <v>823</v>
      </c>
      <c r="C56" s="24">
        <v>15.3368</v>
      </c>
      <c r="D56" s="24">
        <v>3.9209000000000001</v>
      </c>
      <c r="E56" s="24">
        <v>2.7488000000000001</v>
      </c>
      <c r="F56" s="24">
        <v>3.3531</v>
      </c>
      <c r="G56" s="24">
        <v>3.4136000000000002</v>
      </c>
    </row>
    <row r="57" spans="1:7" x14ac:dyDescent="0.4">
      <c r="A57" s="22" t="s">
        <v>782</v>
      </c>
      <c r="B57" s="22" t="s">
        <v>822</v>
      </c>
      <c r="C57" s="24">
        <v>3.5649000000000002</v>
      </c>
      <c r="D57" s="24">
        <v>6.9757999999999996</v>
      </c>
      <c r="E57" s="24">
        <v>6.0491999999999999</v>
      </c>
      <c r="F57" s="24">
        <v>7.2855999999999996</v>
      </c>
      <c r="G57" s="24">
        <v>7.3689999999999998</v>
      </c>
    </row>
    <row r="58" spans="1:7" x14ac:dyDescent="0.4">
      <c r="A58" s="22"/>
      <c r="B58" s="21"/>
      <c r="C58" s="21"/>
      <c r="D58" s="21"/>
      <c r="E58" s="21"/>
      <c r="F58" s="21"/>
      <c r="G58" s="21"/>
    </row>
    <row r="59" spans="1:7" x14ac:dyDescent="0.4">
      <c r="A59" s="22" t="s">
        <v>780</v>
      </c>
      <c r="B59" s="22" t="s">
        <v>821</v>
      </c>
      <c r="C59" s="24">
        <v>9.6585000000000001</v>
      </c>
      <c r="D59" s="24">
        <v>22.261399999999998</v>
      </c>
      <c r="E59" s="24">
        <v>15.404999999999999</v>
      </c>
      <c r="F59" s="24">
        <v>9.9084000000000003</v>
      </c>
      <c r="G59" s="24">
        <v>9.3087999999999997</v>
      </c>
    </row>
    <row r="60" spans="1:7" x14ac:dyDescent="0.4">
      <c r="A60" s="22" t="s">
        <v>339</v>
      </c>
      <c r="B60" s="22" t="s">
        <v>820</v>
      </c>
      <c r="C60" s="24">
        <v>9.4795999999999996</v>
      </c>
      <c r="D60" s="24">
        <v>23.517900000000001</v>
      </c>
      <c r="E60" s="24">
        <v>16.031199999999998</v>
      </c>
      <c r="F60" s="24">
        <v>10.012</v>
      </c>
      <c r="G60" s="24">
        <v>9.2187000000000001</v>
      </c>
    </row>
    <row r="61" spans="1:7" x14ac:dyDescent="0.4">
      <c r="A61" s="22" t="s">
        <v>773</v>
      </c>
      <c r="B61" s="22" t="s">
        <v>819</v>
      </c>
      <c r="C61" s="24">
        <v>10.4925</v>
      </c>
      <c r="D61" s="24">
        <v>21.524999999999999</v>
      </c>
      <c r="E61" s="24">
        <v>15.1477</v>
      </c>
      <c r="F61" s="24">
        <v>9.6410999999999998</v>
      </c>
      <c r="G61" s="24">
        <v>9.1537000000000006</v>
      </c>
    </row>
    <row r="62" spans="1:7" x14ac:dyDescent="0.4">
      <c r="A62" s="22" t="s">
        <v>771</v>
      </c>
      <c r="B62" s="22" t="s">
        <v>818</v>
      </c>
      <c r="C62" s="24">
        <v>10.3744</v>
      </c>
      <c r="D62" s="24">
        <v>22.666499999999999</v>
      </c>
      <c r="E62" s="24">
        <v>15.7363</v>
      </c>
      <c r="F62" s="24">
        <v>9.7264999999999997</v>
      </c>
      <c r="G62" s="24">
        <v>9.0568000000000008</v>
      </c>
    </row>
    <row r="63" spans="1:7" x14ac:dyDescent="0.4">
      <c r="A63" s="22"/>
      <c r="B63" s="21"/>
      <c r="C63" s="21"/>
      <c r="D63" s="21"/>
      <c r="E63" s="21"/>
      <c r="F63" s="21"/>
      <c r="G63" s="21"/>
    </row>
    <row r="64" spans="1:7" x14ac:dyDescent="0.4">
      <c r="A64" s="17" t="s">
        <v>817</v>
      </c>
      <c r="B64" s="19"/>
      <c r="C64" s="19"/>
      <c r="D64" s="19"/>
      <c r="E64" s="19"/>
      <c r="F64" s="19"/>
      <c r="G64" s="19"/>
    </row>
    <row r="65" spans="1:7" x14ac:dyDescent="0.4">
      <c r="A65" s="22" t="s">
        <v>19</v>
      </c>
      <c r="B65" s="22" t="s">
        <v>816</v>
      </c>
      <c r="C65" s="24">
        <v>-4.9222999999999999</v>
      </c>
      <c r="D65" s="24">
        <v>10.3406</v>
      </c>
      <c r="E65" s="24">
        <v>21.593</v>
      </c>
      <c r="F65" s="24">
        <v>11.4057</v>
      </c>
      <c r="G65" s="24">
        <v>10.0236</v>
      </c>
    </row>
    <row r="66" spans="1:7" x14ac:dyDescent="0.4">
      <c r="A66" s="22" t="s">
        <v>128</v>
      </c>
      <c r="B66" s="22" t="s">
        <v>815</v>
      </c>
      <c r="C66" s="24">
        <v>-4.4389000000000003</v>
      </c>
      <c r="D66" s="24">
        <v>11.7431</v>
      </c>
      <c r="E66" s="24">
        <v>18.374300000000002</v>
      </c>
      <c r="F66" s="24">
        <v>11.525399999999999</v>
      </c>
      <c r="G66" s="24">
        <v>12.395799999999999</v>
      </c>
    </row>
    <row r="67" spans="1:7" x14ac:dyDescent="0.4">
      <c r="A67" s="22" t="s">
        <v>814</v>
      </c>
      <c r="B67" s="22" t="s">
        <v>813</v>
      </c>
      <c r="C67" s="24">
        <v>-6.1329000000000002</v>
      </c>
      <c r="D67" s="24">
        <v>12.2363</v>
      </c>
      <c r="E67" s="24">
        <v>19.0395</v>
      </c>
      <c r="F67" s="24">
        <v>11.6249</v>
      </c>
      <c r="G67" s="24">
        <v>12.357100000000001</v>
      </c>
    </row>
    <row r="68" spans="1:7" x14ac:dyDescent="0.4">
      <c r="A68" s="22" t="s">
        <v>812</v>
      </c>
      <c r="B68" s="22" t="s">
        <v>811</v>
      </c>
      <c r="C68" s="24">
        <v>-10.0497</v>
      </c>
      <c r="D68" s="24">
        <v>13.298400000000001</v>
      </c>
      <c r="E68" s="24">
        <v>21.492999999999999</v>
      </c>
      <c r="F68" s="24">
        <v>15.484400000000001</v>
      </c>
      <c r="G68" s="24">
        <v>14.299799999999999</v>
      </c>
    </row>
    <row r="69" spans="1:7" x14ac:dyDescent="0.4">
      <c r="A69" s="22" t="s">
        <v>810</v>
      </c>
      <c r="B69" s="22" t="s">
        <v>809</v>
      </c>
      <c r="C69" s="24">
        <v>-8.2354000000000003</v>
      </c>
      <c r="D69" s="24">
        <v>14.9679</v>
      </c>
      <c r="E69" s="24">
        <v>38.954700000000003</v>
      </c>
      <c r="F69" s="24">
        <v>18.309200000000001</v>
      </c>
      <c r="G69" s="24">
        <v>17.4544</v>
      </c>
    </row>
    <row r="70" spans="1:7" x14ac:dyDescent="0.4">
      <c r="A70" s="22" t="s">
        <v>808</v>
      </c>
      <c r="B70" s="22" t="s">
        <v>807</v>
      </c>
      <c r="C70" s="24">
        <v>-8.2354000000000003</v>
      </c>
      <c r="D70" s="24">
        <v>14.9679</v>
      </c>
      <c r="E70" s="24">
        <v>38.954700000000003</v>
      </c>
      <c r="F70" s="24">
        <v>18.309200000000001</v>
      </c>
      <c r="G70" s="24">
        <v>17.4544</v>
      </c>
    </row>
    <row r="71" spans="1:7" x14ac:dyDescent="0.4">
      <c r="A71" s="22" t="s">
        <v>806</v>
      </c>
      <c r="B71" s="22" t="s">
        <v>805</v>
      </c>
      <c r="C71" s="24">
        <v>-7.1487999999999996</v>
      </c>
      <c r="D71" s="24">
        <v>17.191500000000001</v>
      </c>
      <c r="E71" s="24">
        <v>41.365400000000001</v>
      </c>
      <c r="F71" s="24">
        <v>16.598199999999999</v>
      </c>
      <c r="G71" s="24">
        <v>14.9947</v>
      </c>
    </row>
    <row r="72" spans="1:7" x14ac:dyDescent="0.4">
      <c r="A72" s="22" t="s">
        <v>804</v>
      </c>
      <c r="B72" s="22" t="s">
        <v>803</v>
      </c>
      <c r="C72" s="24">
        <v>16.1905</v>
      </c>
      <c r="D72" s="24">
        <v>9.4261999999999997</v>
      </c>
      <c r="E72" s="24">
        <v>17.977499999999999</v>
      </c>
      <c r="F72" s="24">
        <v>18.7302</v>
      </c>
      <c r="G72" s="24">
        <v>11.229900000000001</v>
      </c>
    </row>
    <row r="73" spans="1:7" x14ac:dyDescent="0.4">
      <c r="A73" s="22"/>
      <c r="B73" s="21"/>
      <c r="C73" s="21"/>
      <c r="D73" s="21"/>
      <c r="E73" s="21"/>
      <c r="F73" s="21"/>
      <c r="G73" s="21"/>
    </row>
    <row r="74" spans="1:7" x14ac:dyDescent="0.4">
      <c r="A74" s="22" t="s">
        <v>802</v>
      </c>
      <c r="B74" s="22" t="s">
        <v>801</v>
      </c>
      <c r="C74" s="24">
        <v>4.9287000000000001</v>
      </c>
      <c r="D74" s="24">
        <v>21.631599999999999</v>
      </c>
      <c r="E74" s="24">
        <v>2.6423000000000001</v>
      </c>
      <c r="F74" s="24">
        <v>13.415800000000001</v>
      </c>
      <c r="G74" s="24">
        <v>11.7852</v>
      </c>
    </row>
    <row r="75" spans="1:7" x14ac:dyDescent="0.4">
      <c r="A75" s="22" t="s">
        <v>800</v>
      </c>
      <c r="B75" s="22" t="s">
        <v>799</v>
      </c>
      <c r="C75" s="24">
        <v>1.5584</v>
      </c>
      <c r="D75" s="24">
        <v>18.0124</v>
      </c>
      <c r="E75" s="24">
        <v>14.644</v>
      </c>
      <c r="F75" s="24">
        <v>5.6711</v>
      </c>
      <c r="G75" s="24">
        <v>20.035799999999998</v>
      </c>
    </row>
    <row r="76" spans="1:7" x14ac:dyDescent="0.4">
      <c r="A76" s="22" t="s">
        <v>268</v>
      </c>
      <c r="B76" s="22" t="s">
        <v>798</v>
      </c>
      <c r="C76" s="24">
        <v>11.4986</v>
      </c>
      <c r="D76" s="24">
        <v>2.4432</v>
      </c>
      <c r="E76" s="24">
        <v>3.1425000000000001</v>
      </c>
      <c r="F76" s="24">
        <v>5.8455000000000004</v>
      </c>
      <c r="G76" s="24">
        <v>4.4332000000000003</v>
      </c>
    </row>
    <row r="77" spans="1:7" x14ac:dyDescent="0.4">
      <c r="A77" s="22" t="s">
        <v>797</v>
      </c>
      <c r="B77" s="22" t="s">
        <v>796</v>
      </c>
      <c r="C77" s="24">
        <v>4.1847000000000003</v>
      </c>
      <c r="D77" s="24">
        <v>17.867000000000001</v>
      </c>
      <c r="E77" s="24">
        <v>-1.2926</v>
      </c>
      <c r="F77" s="24">
        <v>14.047599999999999</v>
      </c>
      <c r="G77" s="24">
        <v>8.6638999999999999</v>
      </c>
    </row>
    <row r="78" spans="1:7" x14ac:dyDescent="0.4">
      <c r="A78" s="22" t="s">
        <v>795</v>
      </c>
      <c r="B78" s="22" t="s">
        <v>794</v>
      </c>
      <c r="C78" s="24">
        <v>43.082799999999999</v>
      </c>
      <c r="D78" s="24">
        <v>8.1233000000000004</v>
      </c>
      <c r="E78" s="24">
        <v>-7.9143999999999997</v>
      </c>
      <c r="F78" s="24">
        <v>18.1297</v>
      </c>
      <c r="G78" s="24">
        <v>-51.349600000000002</v>
      </c>
    </row>
    <row r="79" spans="1:7" x14ac:dyDescent="0.4">
      <c r="A79" s="22" t="s">
        <v>793</v>
      </c>
      <c r="B79" s="22" t="s">
        <v>792</v>
      </c>
      <c r="C79" s="24">
        <v>5.1281999999999996</v>
      </c>
      <c r="D79" s="24">
        <v>4.8780000000000001</v>
      </c>
      <c r="E79" s="24">
        <v>23.255800000000001</v>
      </c>
      <c r="F79" s="24">
        <v>8.6791999999999998</v>
      </c>
      <c r="G79" s="24">
        <v>9.7222000000000008</v>
      </c>
    </row>
    <row r="80" spans="1:7" x14ac:dyDescent="0.4">
      <c r="A80" s="22" t="s">
        <v>791</v>
      </c>
      <c r="B80" s="22" t="s">
        <v>790</v>
      </c>
      <c r="C80" s="24">
        <v>11.538500000000001</v>
      </c>
      <c r="D80" s="24">
        <v>52.873600000000003</v>
      </c>
      <c r="E80" s="24">
        <v>27.819500000000001</v>
      </c>
      <c r="F80" s="24">
        <v>10.2941</v>
      </c>
      <c r="G80" s="24">
        <v>27.7333</v>
      </c>
    </row>
    <row r="81" spans="1:7" x14ac:dyDescent="0.4">
      <c r="A81" s="22" t="s">
        <v>789</v>
      </c>
      <c r="B81" s="22" t="s">
        <v>788</v>
      </c>
      <c r="C81" s="24" t="s">
        <v>155</v>
      </c>
      <c r="D81" s="24">
        <v>-64.531700000000001</v>
      </c>
      <c r="E81" s="24">
        <v>113.0672</v>
      </c>
      <c r="F81" s="24">
        <v>-95.485500000000002</v>
      </c>
      <c r="G81" s="24">
        <v>41.509399999999999</v>
      </c>
    </row>
    <row r="82" spans="1:7" x14ac:dyDescent="0.4">
      <c r="A82" s="22" t="s">
        <v>787</v>
      </c>
      <c r="B82" s="22" t="s">
        <v>786</v>
      </c>
      <c r="C82" s="24">
        <v>47.629899999999999</v>
      </c>
      <c r="D82" s="24">
        <v>-12.7384</v>
      </c>
      <c r="E82" s="24">
        <v>6.5843999999999996</v>
      </c>
      <c r="F82" s="24">
        <v>-8.6591000000000005</v>
      </c>
      <c r="G82" s="24">
        <v>3.2887</v>
      </c>
    </row>
    <row r="83" spans="1:7" x14ac:dyDescent="0.4">
      <c r="A83" s="22" t="s">
        <v>191</v>
      </c>
      <c r="B83" s="22" t="s">
        <v>785</v>
      </c>
      <c r="C83" s="24">
        <v>4.3997000000000002</v>
      </c>
      <c r="D83" s="24">
        <v>3.8083</v>
      </c>
      <c r="E83" s="24">
        <v>-5.3419999999999996</v>
      </c>
      <c r="F83" s="24">
        <v>8.8587000000000007</v>
      </c>
      <c r="G83" s="24">
        <v>1.0429999999999999</v>
      </c>
    </row>
    <row r="84" spans="1:7" x14ac:dyDescent="0.4">
      <c r="A84" s="22" t="s">
        <v>784</v>
      </c>
      <c r="B84" s="22" t="s">
        <v>783</v>
      </c>
      <c r="C84" s="24">
        <v>18.466100000000001</v>
      </c>
      <c r="D84" s="24">
        <v>-2.9011</v>
      </c>
      <c r="E84" s="24">
        <v>-0.99590000000000001</v>
      </c>
      <c r="F84" s="24">
        <v>1.9863</v>
      </c>
      <c r="G84" s="24">
        <v>1.8321000000000001</v>
      </c>
    </row>
    <row r="85" spans="1:7" x14ac:dyDescent="0.4">
      <c r="A85" s="22" t="s">
        <v>782</v>
      </c>
      <c r="B85" s="22" t="s">
        <v>781</v>
      </c>
      <c r="C85" s="24">
        <v>8.4313000000000002</v>
      </c>
      <c r="D85" s="24">
        <v>11.2776</v>
      </c>
      <c r="E85" s="24">
        <v>-1.4863999999999999</v>
      </c>
      <c r="F85" s="24">
        <v>13.8293</v>
      </c>
      <c r="G85" s="24">
        <v>5.4584999999999999</v>
      </c>
    </row>
    <row r="86" spans="1:7" x14ac:dyDescent="0.4">
      <c r="A86" s="22"/>
      <c r="B86" s="21"/>
      <c r="C86" s="21"/>
      <c r="D86" s="21"/>
      <c r="E86" s="21"/>
      <c r="F86" s="21"/>
      <c r="G86" s="21"/>
    </row>
    <row r="87" spans="1:7" x14ac:dyDescent="0.4">
      <c r="A87" s="22" t="s">
        <v>780</v>
      </c>
      <c r="B87" s="22" t="s">
        <v>779</v>
      </c>
      <c r="C87" s="24">
        <v>-18.3354</v>
      </c>
      <c r="D87" s="24">
        <v>45.852499999999999</v>
      </c>
      <c r="E87" s="24">
        <v>23.7867</v>
      </c>
      <c r="F87" s="24">
        <v>10.1119</v>
      </c>
      <c r="G87" s="24">
        <v>-3.8786</v>
      </c>
    </row>
    <row r="88" spans="1:7" x14ac:dyDescent="0.4">
      <c r="A88" s="22" t="s">
        <v>778</v>
      </c>
      <c r="B88" s="22" t="s">
        <v>777</v>
      </c>
      <c r="C88" s="24">
        <v>-2.6455000000000002</v>
      </c>
      <c r="D88" s="24">
        <v>-4.2119999999999997</v>
      </c>
      <c r="E88" s="24">
        <v>37.588700000000003</v>
      </c>
      <c r="F88" s="24">
        <v>9.1753</v>
      </c>
      <c r="G88" s="24">
        <v>18.696899999999999</v>
      </c>
    </row>
    <row r="89" spans="1:7" x14ac:dyDescent="0.4">
      <c r="A89" s="22" t="s">
        <v>776</v>
      </c>
      <c r="B89" s="22" t="s">
        <v>775</v>
      </c>
      <c r="C89" s="24" t="s">
        <v>155</v>
      </c>
      <c r="D89" s="24">
        <v>-92.469099999999997</v>
      </c>
      <c r="E89" s="24">
        <v>-7.9618000000000002</v>
      </c>
      <c r="F89" s="24">
        <v>179.06569999999999</v>
      </c>
      <c r="G89" s="24">
        <v>-238.06569999999999</v>
      </c>
    </row>
    <row r="90" spans="1:7" x14ac:dyDescent="0.4">
      <c r="A90" s="22" t="s">
        <v>339</v>
      </c>
      <c r="B90" s="22" t="s">
        <v>774</v>
      </c>
      <c r="C90" s="24">
        <v>-19.3216</v>
      </c>
      <c r="D90" s="24">
        <v>49.6496</v>
      </c>
      <c r="E90" s="24">
        <v>23.116700000000002</v>
      </c>
      <c r="F90" s="24">
        <v>10.162800000000001</v>
      </c>
      <c r="G90" s="24">
        <v>-5.0923999999999996</v>
      </c>
    </row>
    <row r="91" spans="1:7" x14ac:dyDescent="0.4">
      <c r="A91" s="22" t="s">
        <v>773</v>
      </c>
      <c r="B91" s="22" t="s">
        <v>772</v>
      </c>
      <c r="C91" s="24">
        <v>-17.931999999999999</v>
      </c>
      <c r="D91" s="24">
        <v>44.01</v>
      </c>
      <c r="E91" s="24">
        <v>23.511399999999998</v>
      </c>
      <c r="F91" s="24">
        <v>10.320399999999999</v>
      </c>
      <c r="G91" s="24">
        <v>-3.7804000000000002</v>
      </c>
    </row>
    <row r="92" spans="1:7" x14ac:dyDescent="0.4">
      <c r="A92" s="22" t="s">
        <v>771</v>
      </c>
      <c r="B92" s="22" t="s">
        <v>770</v>
      </c>
      <c r="C92" s="24">
        <v>-18.859500000000001</v>
      </c>
      <c r="D92" s="24">
        <v>47.520299999999999</v>
      </c>
      <c r="E92" s="24">
        <v>22.846</v>
      </c>
      <c r="F92" s="24">
        <v>10.381</v>
      </c>
      <c r="G92" s="24">
        <v>-4.9573999999999998</v>
      </c>
    </row>
    <row r="93" spans="1:7" x14ac:dyDescent="0.4">
      <c r="A93" s="25" t="s">
        <v>153</v>
      </c>
      <c r="B93" s="25"/>
      <c r="C93" s="25" t="s">
        <v>154</v>
      </c>
      <c r="D93" s="25"/>
      <c r="E93" s="25"/>
      <c r="F93" s="25"/>
      <c r="G93" s="25"/>
    </row>
  </sheetData>
  <phoneticPr fontId="3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716D-7861-4257-AA46-964195B0DE81}">
  <dimension ref="A1:G29"/>
  <sheetViews>
    <sheetView workbookViewId="0"/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906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22" t="s">
        <v>905</v>
      </c>
      <c r="B6" s="22" t="s">
        <v>904</v>
      </c>
      <c r="C6" s="24">
        <v>1.3812</v>
      </c>
      <c r="D6" s="24">
        <v>1.381</v>
      </c>
      <c r="E6" s="24">
        <v>1.0814999999999999</v>
      </c>
      <c r="F6" s="24">
        <v>1.1131</v>
      </c>
      <c r="G6" s="24">
        <v>0.57230000000000003</v>
      </c>
    </row>
    <row r="7" spans="1:7" x14ac:dyDescent="0.4">
      <c r="A7" s="22" t="s">
        <v>167</v>
      </c>
      <c r="B7" s="22" t="s">
        <v>166</v>
      </c>
      <c r="C7" s="24">
        <v>1.9052</v>
      </c>
      <c r="D7" s="24">
        <v>2.0594999999999999</v>
      </c>
      <c r="E7" s="24">
        <v>1.7636000000000001</v>
      </c>
      <c r="F7" s="24">
        <v>1.8543000000000001</v>
      </c>
      <c r="G7" s="24">
        <v>1.2834000000000001</v>
      </c>
    </row>
    <row r="8" spans="1:7" x14ac:dyDescent="0.4">
      <c r="A8" s="22" t="s">
        <v>903</v>
      </c>
      <c r="B8" s="22" t="s">
        <v>902</v>
      </c>
      <c r="C8" s="24">
        <v>1.4926999999999999</v>
      </c>
      <c r="D8" s="24">
        <v>1.5278</v>
      </c>
      <c r="E8" s="24">
        <v>1.1994</v>
      </c>
      <c r="F8" s="24">
        <v>1.2398</v>
      </c>
      <c r="G8" s="24">
        <v>0.66890000000000005</v>
      </c>
    </row>
    <row r="9" spans="1:7" x14ac:dyDescent="0.4">
      <c r="A9" s="22" t="s">
        <v>901</v>
      </c>
      <c r="B9" s="22" t="s">
        <v>900</v>
      </c>
      <c r="C9" s="24">
        <v>0.79390000000000005</v>
      </c>
      <c r="D9" s="24">
        <v>1.091</v>
      </c>
      <c r="E9" s="24">
        <v>1.2346999999999999</v>
      </c>
      <c r="F9" s="24">
        <v>1.1789000000000001</v>
      </c>
      <c r="G9" s="24">
        <v>0.89459999999999995</v>
      </c>
    </row>
    <row r="10" spans="1:7" x14ac:dyDescent="0.4">
      <c r="A10" s="22" t="s">
        <v>899</v>
      </c>
      <c r="B10" s="22" t="s">
        <v>898</v>
      </c>
      <c r="C10" s="24">
        <v>38.463200000000001</v>
      </c>
      <c r="D10" s="24">
        <v>41.629300000000001</v>
      </c>
      <c r="E10" s="24">
        <v>38.896599999999999</v>
      </c>
      <c r="F10" s="24">
        <v>40.923099999999998</v>
      </c>
      <c r="G10" s="24">
        <v>40.319099999999999</v>
      </c>
    </row>
    <row r="11" spans="1:7" x14ac:dyDescent="0.4">
      <c r="A11" s="22"/>
      <c r="B11" s="21"/>
      <c r="C11" s="21"/>
      <c r="D11" s="21"/>
      <c r="E11" s="21"/>
      <c r="F11" s="21"/>
      <c r="G11" s="21"/>
    </row>
    <row r="12" spans="1:7" x14ac:dyDescent="0.4">
      <c r="A12" s="22" t="s">
        <v>897</v>
      </c>
      <c r="B12" s="22" t="s">
        <v>896</v>
      </c>
      <c r="C12" s="24">
        <v>59.624400000000001</v>
      </c>
      <c r="D12" s="24">
        <v>54.401600000000002</v>
      </c>
      <c r="E12" s="24">
        <v>57.957900000000002</v>
      </c>
      <c r="F12" s="24">
        <v>53.894599999999997</v>
      </c>
      <c r="G12" s="24">
        <v>54.988900000000001</v>
      </c>
    </row>
    <row r="13" spans="1:7" x14ac:dyDescent="0.4">
      <c r="A13" s="22" t="s">
        <v>895</v>
      </c>
      <c r="B13" s="22" t="s">
        <v>894</v>
      </c>
      <c r="C13" s="24">
        <v>35.447499999999998</v>
      </c>
      <c r="D13" s="24">
        <v>34.577300000000001</v>
      </c>
      <c r="E13" s="24">
        <v>35.220599999999997</v>
      </c>
      <c r="F13" s="24">
        <v>34.958300000000001</v>
      </c>
      <c r="G13" s="24">
        <v>35.3917</v>
      </c>
    </row>
    <row r="14" spans="1:7" x14ac:dyDescent="0.4">
      <c r="A14" s="22" t="s">
        <v>893</v>
      </c>
      <c r="B14" s="22" t="s">
        <v>892</v>
      </c>
      <c r="C14" s="24">
        <v>26.681000000000001</v>
      </c>
      <c r="D14" s="24">
        <v>24.668299999999999</v>
      </c>
      <c r="E14" s="24">
        <v>24.119</v>
      </c>
      <c r="F14" s="24">
        <v>23.066600000000001</v>
      </c>
      <c r="G14" s="24">
        <v>22.770900000000001</v>
      </c>
    </row>
    <row r="15" spans="1:7" x14ac:dyDescent="0.4">
      <c r="A15" s="22"/>
      <c r="B15" s="21"/>
      <c r="C15" s="21"/>
      <c r="D15" s="21"/>
      <c r="E15" s="21"/>
      <c r="F15" s="21"/>
      <c r="G15" s="21"/>
    </row>
    <row r="16" spans="1:7" x14ac:dyDescent="0.4">
      <c r="A16" s="22" t="s">
        <v>891</v>
      </c>
      <c r="B16" s="22" t="s">
        <v>890</v>
      </c>
      <c r="C16" s="24">
        <v>68.204899999999995</v>
      </c>
      <c r="D16" s="24">
        <v>57.333300000000001</v>
      </c>
      <c r="E16" s="24">
        <v>64.556899999999999</v>
      </c>
      <c r="F16" s="24">
        <v>54.168300000000002</v>
      </c>
      <c r="G16" s="24">
        <v>55.372199999999999</v>
      </c>
    </row>
    <row r="17" spans="1:7" x14ac:dyDescent="0.4">
      <c r="A17" s="22" t="s">
        <v>889</v>
      </c>
      <c r="B17" s="22" t="s">
        <v>888</v>
      </c>
      <c r="C17" s="24">
        <v>40.548699999999997</v>
      </c>
      <c r="D17" s="24">
        <v>36.440600000000003</v>
      </c>
      <c r="E17" s="24">
        <v>39.230800000000002</v>
      </c>
      <c r="F17" s="24">
        <v>35.135800000000003</v>
      </c>
      <c r="G17" s="24">
        <v>35.638399999999997</v>
      </c>
    </row>
    <row r="18" spans="1:7" x14ac:dyDescent="0.4">
      <c r="A18" s="22" t="s">
        <v>887</v>
      </c>
      <c r="B18" s="22" t="s">
        <v>886</v>
      </c>
      <c r="C18" s="24">
        <v>30.520600000000002</v>
      </c>
      <c r="D18" s="24">
        <v>25.997599999999998</v>
      </c>
      <c r="E18" s="24">
        <v>26.865200000000002</v>
      </c>
      <c r="F18" s="24">
        <v>23.183700000000002</v>
      </c>
      <c r="G18" s="24">
        <v>22.929600000000001</v>
      </c>
    </row>
    <row r="19" spans="1:7" x14ac:dyDescent="0.4">
      <c r="A19" s="22"/>
      <c r="B19" s="21"/>
      <c r="C19" s="21"/>
      <c r="D19" s="21"/>
      <c r="E19" s="21"/>
      <c r="F19" s="21"/>
      <c r="G19" s="21"/>
    </row>
    <row r="20" spans="1:7" x14ac:dyDescent="0.4">
      <c r="A20" s="22" t="s">
        <v>885</v>
      </c>
      <c r="B20" s="22" t="s">
        <v>884</v>
      </c>
      <c r="C20" s="24">
        <v>23.350999999999999</v>
      </c>
      <c r="D20" s="24">
        <v>33.608499999999999</v>
      </c>
      <c r="E20" s="24">
        <v>37.758400000000002</v>
      </c>
      <c r="F20" s="24">
        <v>40.093899999999998</v>
      </c>
      <c r="G20" s="24">
        <v>36.027700000000003</v>
      </c>
    </row>
    <row r="21" spans="1:7" x14ac:dyDescent="0.4">
      <c r="A21" s="22" t="s">
        <v>883</v>
      </c>
      <c r="B21" s="22" t="s">
        <v>882</v>
      </c>
      <c r="C21" s="24">
        <v>14.184799999999999</v>
      </c>
      <c r="D21" s="24">
        <v>21.598600000000001</v>
      </c>
      <c r="E21" s="24">
        <v>19.431999999999999</v>
      </c>
      <c r="F21" s="24">
        <v>19.598700000000001</v>
      </c>
      <c r="G21" s="24">
        <v>15.8711</v>
      </c>
    </row>
    <row r="22" spans="1:7" x14ac:dyDescent="0.4">
      <c r="A22" s="22" t="s">
        <v>881</v>
      </c>
      <c r="B22" s="22" t="s">
        <v>880</v>
      </c>
      <c r="C22" s="24">
        <v>8.7019000000000002</v>
      </c>
      <c r="D22" s="24">
        <v>9.4003999999999994</v>
      </c>
      <c r="E22" s="24">
        <v>7.6006</v>
      </c>
      <c r="F22" s="24">
        <v>8.7071000000000005</v>
      </c>
      <c r="G22" s="24">
        <v>9.0578000000000003</v>
      </c>
    </row>
    <row r="23" spans="1:7" x14ac:dyDescent="0.4">
      <c r="A23" s="22"/>
      <c r="B23" s="21"/>
      <c r="C23" s="21"/>
      <c r="D23" s="21"/>
      <c r="E23" s="21"/>
      <c r="F23" s="21"/>
      <c r="G23" s="21"/>
    </row>
    <row r="24" spans="1:7" x14ac:dyDescent="0.4">
      <c r="A24" s="22" t="s">
        <v>879</v>
      </c>
      <c r="B24" s="22" t="s">
        <v>878</v>
      </c>
      <c r="C24" s="24">
        <v>5000</v>
      </c>
      <c r="D24" s="24">
        <v>5000</v>
      </c>
      <c r="E24" s="24">
        <v>5000</v>
      </c>
      <c r="F24" s="24">
        <v>7000</v>
      </c>
      <c r="G24" s="24">
        <v>7000</v>
      </c>
    </row>
    <row r="25" spans="1:7" x14ac:dyDescent="0.4">
      <c r="A25" s="22" t="s">
        <v>877</v>
      </c>
      <c r="B25" s="22" t="s">
        <v>876</v>
      </c>
      <c r="C25" s="24">
        <v>5000</v>
      </c>
      <c r="D25" s="24">
        <v>5000</v>
      </c>
      <c r="E25" s="24">
        <v>5000</v>
      </c>
      <c r="F25" s="24">
        <v>7000</v>
      </c>
      <c r="G25" s="24">
        <v>7000</v>
      </c>
    </row>
    <row r="26" spans="1:7" x14ac:dyDescent="0.4">
      <c r="A26" s="22" t="s">
        <v>875</v>
      </c>
      <c r="B26" s="22" t="s">
        <v>874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</row>
    <row r="27" spans="1:7" x14ac:dyDescent="0.4">
      <c r="A27" s="22"/>
      <c r="B27" s="21"/>
      <c r="C27" s="21"/>
      <c r="D27" s="21"/>
      <c r="E27" s="21"/>
      <c r="F27" s="21"/>
      <c r="G27" s="21"/>
    </row>
    <row r="28" spans="1:7" x14ac:dyDescent="0.4">
      <c r="A28" s="22" t="s">
        <v>873</v>
      </c>
      <c r="B28" s="22" t="s">
        <v>872</v>
      </c>
      <c r="C28" s="24">
        <v>0</v>
      </c>
      <c r="D28" s="24" t="s">
        <v>155</v>
      </c>
      <c r="E28" s="24">
        <v>0</v>
      </c>
      <c r="F28" s="24">
        <v>0</v>
      </c>
      <c r="G28" s="24">
        <v>0</v>
      </c>
    </row>
    <row r="29" spans="1:7" x14ac:dyDescent="0.4">
      <c r="A29" s="25" t="s">
        <v>153</v>
      </c>
      <c r="B29" s="25"/>
      <c r="C29" s="25" t="s">
        <v>154</v>
      </c>
      <c r="D29" s="25"/>
      <c r="E29" s="25"/>
      <c r="F29" s="25"/>
      <c r="G29" s="25"/>
    </row>
  </sheetData>
  <phoneticPr fontId="3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D427-3E79-4165-B884-BE50B4E0E48D}">
  <dimension ref="A1:G44"/>
  <sheetViews>
    <sheetView topLeftCell="A15" zoomScale="88" workbookViewId="0">
      <selection activeCell="C61" sqref="C61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951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4</v>
      </c>
      <c r="D4" s="9" t="s">
        <v>5</v>
      </c>
      <c r="E4" s="9" t="s">
        <v>6</v>
      </c>
      <c r="F4" s="9" t="s">
        <v>8</v>
      </c>
      <c r="G4" s="9" t="s">
        <v>9</v>
      </c>
    </row>
    <row r="5" spans="1:7" x14ac:dyDescent="0.4">
      <c r="A5" s="10" t="s">
        <v>10</v>
      </c>
      <c r="B5" s="10"/>
      <c r="C5" s="11" t="s">
        <v>13</v>
      </c>
      <c r="D5" s="11" t="s">
        <v>14</v>
      </c>
      <c r="E5" s="11" t="s">
        <v>15</v>
      </c>
      <c r="F5" s="11" t="s">
        <v>17</v>
      </c>
      <c r="G5" s="11" t="s">
        <v>18</v>
      </c>
    </row>
    <row r="6" spans="1:7" x14ac:dyDescent="0.4">
      <c r="A6" s="17" t="s">
        <v>950</v>
      </c>
      <c r="B6" s="19"/>
      <c r="C6" s="19"/>
      <c r="D6" s="19"/>
      <c r="E6" s="19"/>
      <c r="F6" s="19"/>
      <c r="G6" s="19"/>
    </row>
    <row r="7" spans="1:7" x14ac:dyDescent="0.4">
      <c r="A7" s="22" t="s">
        <v>932</v>
      </c>
      <c r="B7" s="22" t="s">
        <v>931</v>
      </c>
      <c r="C7" s="24">
        <v>18849</v>
      </c>
      <c r="D7" s="24">
        <v>20755</v>
      </c>
      <c r="E7" s="24">
        <v>19950</v>
      </c>
      <c r="F7" s="24">
        <v>20884.964</v>
      </c>
      <c r="G7" s="24">
        <v>26321.797999999999</v>
      </c>
    </row>
    <row r="8" spans="1:7" x14ac:dyDescent="0.4">
      <c r="A8" s="22" t="s">
        <v>930</v>
      </c>
      <c r="B8" s="22" t="s">
        <v>929</v>
      </c>
      <c r="C8" s="24">
        <v>-970</v>
      </c>
      <c r="D8" s="24">
        <v>-1059</v>
      </c>
      <c r="E8" s="24">
        <v>-1257</v>
      </c>
      <c r="F8" s="24"/>
      <c r="G8" s="24"/>
    </row>
    <row r="9" spans="1:7" x14ac:dyDescent="0.4">
      <c r="A9" s="17" t="s">
        <v>339</v>
      </c>
      <c r="B9" s="17" t="s">
        <v>949</v>
      </c>
      <c r="C9" s="16">
        <v>17879</v>
      </c>
      <c r="D9" s="16">
        <v>19696</v>
      </c>
      <c r="E9" s="16">
        <v>18693</v>
      </c>
      <c r="F9" s="16">
        <v>19531.131000000001</v>
      </c>
      <c r="G9" s="16">
        <v>24870.172999999999</v>
      </c>
    </row>
    <row r="10" spans="1:7" x14ac:dyDescent="0.4">
      <c r="A10" s="12" t="s">
        <v>937</v>
      </c>
      <c r="B10" s="12" t="s">
        <v>936</v>
      </c>
      <c r="C10" s="14">
        <v>335758.5</v>
      </c>
      <c r="D10" s="14">
        <v>425288.49</v>
      </c>
      <c r="E10" s="14">
        <v>496009.8</v>
      </c>
      <c r="F10" s="14"/>
      <c r="G10" s="14"/>
    </row>
    <row r="11" spans="1:7" x14ac:dyDescent="0.4">
      <c r="A11" s="17" t="s">
        <v>948</v>
      </c>
      <c r="B11" s="17" t="s">
        <v>947</v>
      </c>
      <c r="C11" s="16">
        <v>6.0957999999999997</v>
      </c>
      <c r="D11" s="16">
        <v>5.2923999999999998</v>
      </c>
      <c r="E11" s="16">
        <v>4.1940999999999997</v>
      </c>
      <c r="F11" s="16"/>
      <c r="G11" s="16"/>
    </row>
    <row r="12" spans="1:7" x14ac:dyDescent="0.4">
      <c r="A12" s="17"/>
      <c r="B12" s="19"/>
      <c r="C12" s="19"/>
      <c r="D12" s="19"/>
      <c r="E12" s="19"/>
      <c r="F12" s="19"/>
      <c r="G12" s="19"/>
    </row>
    <row r="13" spans="1:7" x14ac:dyDescent="0.4">
      <c r="A13" s="22" t="s">
        <v>946</v>
      </c>
      <c r="B13" s="22" t="s">
        <v>921</v>
      </c>
      <c r="C13" s="24">
        <v>-3203</v>
      </c>
      <c r="D13" s="24">
        <v>-3751</v>
      </c>
      <c r="E13" s="24">
        <v>-4217</v>
      </c>
      <c r="F13" s="24"/>
      <c r="G13" s="24"/>
    </row>
    <row r="14" spans="1:7" x14ac:dyDescent="0.4">
      <c r="A14" s="22" t="s">
        <v>945</v>
      </c>
      <c r="B14" s="22" t="s">
        <v>919</v>
      </c>
      <c r="C14" s="24">
        <v>-11393</v>
      </c>
      <c r="D14" s="24">
        <v>-11841</v>
      </c>
      <c r="E14" s="24">
        <v>-16378</v>
      </c>
      <c r="F14" s="24"/>
      <c r="G14" s="24"/>
    </row>
    <row r="15" spans="1:7" x14ac:dyDescent="0.4">
      <c r="A15" s="22" t="s">
        <v>944</v>
      </c>
      <c r="B15" s="22" t="s">
        <v>917</v>
      </c>
      <c r="C15" s="24">
        <v>0</v>
      </c>
      <c r="D15" s="24">
        <v>0</v>
      </c>
      <c r="E15" s="24">
        <v>0</v>
      </c>
      <c r="F15" s="24"/>
      <c r="G15" s="24"/>
    </row>
    <row r="16" spans="1:7" x14ac:dyDescent="0.4">
      <c r="A16" s="22" t="s">
        <v>943</v>
      </c>
      <c r="B16" s="22" t="s">
        <v>915</v>
      </c>
      <c r="C16" s="24">
        <v>2218</v>
      </c>
      <c r="D16" s="24">
        <v>-2250</v>
      </c>
      <c r="E16" s="24">
        <v>0</v>
      </c>
      <c r="F16" s="24"/>
      <c r="G16" s="24"/>
    </row>
    <row r="17" spans="1:7" x14ac:dyDescent="0.4">
      <c r="A17" s="22" t="s">
        <v>942</v>
      </c>
      <c r="B17" s="22" t="s">
        <v>913</v>
      </c>
      <c r="C17" s="24">
        <v>-1605</v>
      </c>
      <c r="D17" s="24">
        <v>706</v>
      </c>
      <c r="E17" s="24">
        <v>344</v>
      </c>
      <c r="F17" s="24"/>
      <c r="G17" s="24"/>
    </row>
    <row r="18" spans="1:7" x14ac:dyDescent="0.4">
      <c r="A18" s="17" t="s">
        <v>912</v>
      </c>
      <c r="B18" s="17" t="s">
        <v>911</v>
      </c>
      <c r="C18" s="16">
        <v>-13983</v>
      </c>
      <c r="D18" s="16">
        <v>-17136</v>
      </c>
      <c r="E18" s="16">
        <v>-20251</v>
      </c>
      <c r="F18" s="16"/>
      <c r="G18" s="16"/>
    </row>
    <row r="19" spans="1:7" x14ac:dyDescent="0.4">
      <c r="A19" s="12" t="s">
        <v>937</v>
      </c>
      <c r="B19" s="12" t="s">
        <v>936</v>
      </c>
      <c r="C19" s="14">
        <v>335758.5</v>
      </c>
      <c r="D19" s="14">
        <v>425288.49</v>
      </c>
      <c r="E19" s="14">
        <v>496009.8</v>
      </c>
      <c r="F19" s="14"/>
      <c r="G19" s="14"/>
    </row>
    <row r="20" spans="1:7" x14ac:dyDescent="0.4">
      <c r="A20" s="17" t="s">
        <v>941</v>
      </c>
      <c r="B20" s="17" t="s">
        <v>940</v>
      </c>
      <c r="C20" s="16">
        <v>4.1646000000000001</v>
      </c>
      <c r="D20" s="16">
        <v>4.0293000000000001</v>
      </c>
      <c r="E20" s="16">
        <v>4.0827999999999998</v>
      </c>
      <c r="F20" s="16"/>
      <c r="G20" s="16"/>
    </row>
    <row r="21" spans="1:7" x14ac:dyDescent="0.4">
      <c r="A21" s="17"/>
      <c r="B21" s="19"/>
      <c r="C21" s="19"/>
      <c r="D21" s="19"/>
      <c r="E21" s="19"/>
      <c r="F21" s="19"/>
      <c r="G21" s="19"/>
    </row>
    <row r="22" spans="1:7" x14ac:dyDescent="0.4">
      <c r="A22" s="22" t="s">
        <v>922</v>
      </c>
      <c r="B22" s="22" t="s">
        <v>921</v>
      </c>
      <c r="C22" s="24">
        <v>-3203</v>
      </c>
      <c r="D22" s="24">
        <v>-3751</v>
      </c>
      <c r="E22" s="24">
        <v>-4217</v>
      </c>
      <c r="F22" s="24"/>
      <c r="G22" s="24"/>
    </row>
    <row r="23" spans="1:7" x14ac:dyDescent="0.4">
      <c r="A23" s="22" t="s">
        <v>920</v>
      </c>
      <c r="B23" s="22" t="s">
        <v>919</v>
      </c>
      <c r="C23" s="24">
        <v>-11393</v>
      </c>
      <c r="D23" s="24">
        <v>-11841</v>
      </c>
      <c r="E23" s="24">
        <v>-16378</v>
      </c>
      <c r="F23" s="24"/>
      <c r="G23" s="24"/>
    </row>
    <row r="24" spans="1:7" x14ac:dyDescent="0.4">
      <c r="A24" s="17" t="s">
        <v>939</v>
      </c>
      <c r="B24" s="17" t="s">
        <v>938</v>
      </c>
      <c r="C24" s="16">
        <v>14596</v>
      </c>
      <c r="D24" s="16">
        <v>15592</v>
      </c>
      <c r="E24" s="16">
        <v>20595</v>
      </c>
      <c r="F24" s="16"/>
      <c r="G24" s="16"/>
    </row>
    <row r="25" spans="1:7" x14ac:dyDescent="0.4">
      <c r="A25" s="12" t="s">
        <v>937</v>
      </c>
      <c r="B25" s="12" t="s">
        <v>936</v>
      </c>
      <c r="C25" s="14">
        <v>335758.5</v>
      </c>
      <c r="D25" s="14">
        <v>425288.49</v>
      </c>
      <c r="E25" s="14">
        <v>496009.8</v>
      </c>
      <c r="F25" s="14"/>
      <c r="G25" s="14"/>
    </row>
    <row r="26" spans="1:7" x14ac:dyDescent="0.4">
      <c r="A26" s="17" t="s">
        <v>935</v>
      </c>
      <c r="B26" s="17" t="s">
        <v>934</v>
      </c>
      <c r="C26" s="16">
        <v>4.3472</v>
      </c>
      <c r="D26" s="16">
        <v>3.6661999999999999</v>
      </c>
      <c r="E26" s="16">
        <v>4.1520999999999999</v>
      </c>
      <c r="F26" s="16"/>
      <c r="G26" s="16"/>
    </row>
    <row r="27" spans="1:7" x14ac:dyDescent="0.4">
      <c r="A27" s="17"/>
      <c r="B27" s="19"/>
      <c r="C27" s="19"/>
      <c r="D27" s="19"/>
      <c r="E27" s="19"/>
      <c r="F27" s="19"/>
      <c r="G27" s="19"/>
    </row>
    <row r="28" spans="1:7" x14ac:dyDescent="0.4">
      <c r="A28" s="17" t="s">
        <v>933</v>
      </c>
      <c r="B28" s="19"/>
      <c r="C28" s="19"/>
      <c r="D28" s="19"/>
      <c r="E28" s="19"/>
      <c r="F28" s="19"/>
      <c r="G28" s="19"/>
    </row>
    <row r="29" spans="1:7" x14ac:dyDescent="0.4">
      <c r="A29" s="22" t="s">
        <v>932</v>
      </c>
      <c r="B29" s="22" t="s">
        <v>931</v>
      </c>
      <c r="C29" s="24">
        <v>18849</v>
      </c>
      <c r="D29" s="24">
        <v>20755</v>
      </c>
      <c r="E29" s="24">
        <v>19950</v>
      </c>
      <c r="F29" s="24">
        <v>20884.964</v>
      </c>
      <c r="G29" s="24">
        <v>26321.797999999999</v>
      </c>
    </row>
    <row r="30" spans="1:7" x14ac:dyDescent="0.4">
      <c r="A30" s="22" t="s">
        <v>930</v>
      </c>
      <c r="B30" s="22" t="s">
        <v>929</v>
      </c>
      <c r="C30" s="24">
        <v>-970</v>
      </c>
      <c r="D30" s="24">
        <v>-1059</v>
      </c>
      <c r="E30" s="24">
        <v>-1257</v>
      </c>
      <c r="F30" s="24"/>
      <c r="G30" s="24"/>
    </row>
    <row r="31" spans="1:7" x14ac:dyDescent="0.4">
      <c r="A31" s="22" t="s">
        <v>928</v>
      </c>
      <c r="B31" s="22" t="s">
        <v>927</v>
      </c>
      <c r="C31" s="24">
        <v>443.69569999999999</v>
      </c>
      <c r="D31" s="24">
        <v>528.77369999999996</v>
      </c>
      <c r="E31" s="24">
        <v>529.15470000000005</v>
      </c>
      <c r="F31" s="24"/>
      <c r="G31" s="24"/>
    </row>
    <row r="32" spans="1:7" x14ac:dyDescent="0.4">
      <c r="A32" s="17" t="s">
        <v>926</v>
      </c>
      <c r="B32" s="17" t="s">
        <v>925</v>
      </c>
      <c r="C32" s="16">
        <v>18322.6957</v>
      </c>
      <c r="D32" s="16">
        <v>20224.773700000002</v>
      </c>
      <c r="E32" s="16">
        <v>19222.154699999999</v>
      </c>
      <c r="F32" s="16"/>
      <c r="G32" s="16"/>
    </row>
    <row r="33" spans="1:7" x14ac:dyDescent="0.4">
      <c r="A33" s="12" t="s">
        <v>910</v>
      </c>
      <c r="B33" s="12" t="s">
        <v>909</v>
      </c>
      <c r="C33" s="14">
        <v>335728.5</v>
      </c>
      <c r="D33" s="14">
        <v>421215.49</v>
      </c>
      <c r="E33" s="14">
        <v>496436.8</v>
      </c>
      <c r="F33" s="14"/>
      <c r="G33" s="14"/>
    </row>
    <row r="34" spans="1:7" x14ac:dyDescent="0.4">
      <c r="A34" s="17" t="s">
        <v>924</v>
      </c>
      <c r="B34" s="17" t="s">
        <v>923</v>
      </c>
      <c r="C34" s="16">
        <v>5.4604999999999997</v>
      </c>
      <c r="D34" s="16">
        <v>4.8040000000000003</v>
      </c>
      <c r="E34" s="16">
        <v>3.8759999999999999</v>
      </c>
      <c r="F34" s="16"/>
      <c r="G34" s="16"/>
    </row>
    <row r="35" spans="1:7" x14ac:dyDescent="0.4">
      <c r="A35" s="17"/>
      <c r="B35" s="19"/>
      <c r="C35" s="19"/>
      <c r="D35" s="19"/>
      <c r="E35" s="19"/>
      <c r="F35" s="19"/>
      <c r="G35" s="19"/>
    </row>
    <row r="36" spans="1:7" x14ac:dyDescent="0.4">
      <c r="A36" s="22" t="s">
        <v>922</v>
      </c>
      <c r="B36" s="22" t="s">
        <v>921</v>
      </c>
      <c r="C36" s="24">
        <v>-3203</v>
      </c>
      <c r="D36" s="24">
        <v>-3751</v>
      </c>
      <c r="E36" s="24">
        <v>-4217</v>
      </c>
      <c r="F36" s="24"/>
      <c r="G36" s="24"/>
    </row>
    <row r="37" spans="1:7" x14ac:dyDescent="0.4">
      <c r="A37" s="22" t="s">
        <v>920</v>
      </c>
      <c r="B37" s="22" t="s">
        <v>919</v>
      </c>
      <c r="C37" s="24">
        <v>-11393</v>
      </c>
      <c r="D37" s="24">
        <v>-11841</v>
      </c>
      <c r="E37" s="24">
        <v>-16378</v>
      </c>
      <c r="F37" s="24"/>
      <c r="G37" s="24"/>
    </row>
    <row r="38" spans="1:7" x14ac:dyDescent="0.4">
      <c r="A38" s="22" t="s">
        <v>918</v>
      </c>
      <c r="B38" s="22" t="s">
        <v>917</v>
      </c>
      <c r="C38" s="24">
        <v>0</v>
      </c>
      <c r="D38" s="24">
        <v>0</v>
      </c>
      <c r="E38" s="24">
        <v>0</v>
      </c>
      <c r="F38" s="24"/>
      <c r="G38" s="24"/>
    </row>
    <row r="39" spans="1:7" x14ac:dyDescent="0.4">
      <c r="A39" s="22" t="s">
        <v>916</v>
      </c>
      <c r="B39" s="22" t="s">
        <v>915</v>
      </c>
      <c r="C39" s="24">
        <v>2218</v>
      </c>
      <c r="D39" s="24">
        <v>-2250</v>
      </c>
      <c r="E39" s="24">
        <v>0</v>
      </c>
      <c r="F39" s="24"/>
      <c r="G39" s="24"/>
    </row>
    <row r="40" spans="1:7" x14ac:dyDescent="0.4">
      <c r="A40" s="22" t="s">
        <v>914</v>
      </c>
      <c r="B40" s="22" t="s">
        <v>913</v>
      </c>
      <c r="C40" s="24">
        <v>-1605</v>
      </c>
      <c r="D40" s="24">
        <v>706</v>
      </c>
      <c r="E40" s="24">
        <v>344</v>
      </c>
      <c r="F40" s="24"/>
      <c r="G40" s="24"/>
    </row>
    <row r="41" spans="1:7" x14ac:dyDescent="0.4">
      <c r="A41" s="17" t="s">
        <v>912</v>
      </c>
      <c r="B41" s="17" t="s">
        <v>911</v>
      </c>
      <c r="C41" s="16">
        <v>-13983</v>
      </c>
      <c r="D41" s="16">
        <v>-17136</v>
      </c>
      <c r="E41" s="16">
        <v>-20251</v>
      </c>
      <c r="F41" s="16"/>
      <c r="G41" s="16"/>
    </row>
    <row r="42" spans="1:7" x14ac:dyDescent="0.4">
      <c r="A42" s="12" t="s">
        <v>910</v>
      </c>
      <c r="B42" s="12" t="s">
        <v>909</v>
      </c>
      <c r="C42" s="14">
        <v>335728.5</v>
      </c>
      <c r="D42" s="14">
        <v>421215.49</v>
      </c>
      <c r="E42" s="14">
        <v>496436.8</v>
      </c>
      <c r="F42" s="14"/>
      <c r="G42" s="14"/>
    </row>
    <row r="43" spans="1:7" x14ac:dyDescent="0.4">
      <c r="A43" s="17" t="s">
        <v>908</v>
      </c>
      <c r="B43" s="17" t="s">
        <v>907</v>
      </c>
      <c r="C43" s="16">
        <v>4.165</v>
      </c>
      <c r="D43" s="16">
        <v>4.0682</v>
      </c>
      <c r="E43" s="16">
        <v>4.0792999999999999</v>
      </c>
      <c r="F43" s="16"/>
      <c r="G43" s="16"/>
    </row>
    <row r="44" spans="1:7" x14ac:dyDescent="0.4">
      <c r="A44" s="25" t="s">
        <v>153</v>
      </c>
      <c r="B44" s="25"/>
      <c r="C44" s="25" t="s">
        <v>154</v>
      </c>
      <c r="D44" s="25"/>
      <c r="E44" s="25"/>
      <c r="F44" s="25"/>
      <c r="G44" s="25"/>
    </row>
  </sheetData>
  <phoneticPr fontId="3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5533-15A6-4AC6-AB80-F67F5329F456}">
  <dimension ref="A1:K150"/>
  <sheetViews>
    <sheetView topLeftCell="A14" workbookViewId="0">
      <selection activeCell="E14" sqref="E14"/>
    </sheetView>
  </sheetViews>
  <sheetFormatPr defaultRowHeight="17.399999999999999" x14ac:dyDescent="0.4"/>
  <cols>
    <col min="1" max="1" width="34.19921875" customWidth="1"/>
    <col min="2" max="4" width="0" hidden="1" customWidth="1"/>
    <col min="5" max="11" width="19" customWidth="1"/>
  </cols>
  <sheetData>
    <row r="1" spans="1:11" ht="21" x14ac:dyDescent="0.4">
      <c r="A1" s="6" t="s">
        <v>1022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4">
      <c r="A2" s="1" t="s">
        <v>1021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4">
      <c r="A3" s="8" t="s">
        <v>1020</v>
      </c>
      <c r="B3" s="8"/>
      <c r="C3" s="8"/>
      <c r="D3" s="8"/>
      <c r="E3" s="8" t="s">
        <v>1019</v>
      </c>
      <c r="F3" s="8" t="s">
        <v>1018</v>
      </c>
      <c r="G3" s="8" t="s">
        <v>1017</v>
      </c>
      <c r="H3" s="8" t="s">
        <v>1016</v>
      </c>
      <c r="I3" s="8" t="s">
        <v>1015</v>
      </c>
      <c r="J3" s="8" t="s">
        <v>1014</v>
      </c>
      <c r="K3" s="8" t="s">
        <v>1013</v>
      </c>
    </row>
    <row r="4" spans="1:11" x14ac:dyDescent="0.4">
      <c r="A4" s="10" t="s">
        <v>1012</v>
      </c>
      <c r="B4" s="10" t="s">
        <v>1011</v>
      </c>
      <c r="C4" s="10" t="s">
        <v>1010</v>
      </c>
      <c r="D4" s="10" t="s">
        <v>1009</v>
      </c>
      <c r="E4" s="2">
        <v>44104</v>
      </c>
      <c r="F4" s="2">
        <v>44469</v>
      </c>
      <c r="G4" s="2">
        <v>44834</v>
      </c>
      <c r="H4" s="2">
        <v>45199</v>
      </c>
      <c r="I4" s="2">
        <v>45565</v>
      </c>
      <c r="J4" s="2">
        <v>45930</v>
      </c>
      <c r="K4" s="2">
        <v>46295</v>
      </c>
    </row>
    <row r="5" spans="1:11" x14ac:dyDescent="0.4">
      <c r="A5" s="22" t="s">
        <v>1008</v>
      </c>
      <c r="B5" s="3" t="s">
        <v>20</v>
      </c>
      <c r="C5" s="3" t="s">
        <v>1007</v>
      </c>
      <c r="D5" s="3"/>
      <c r="E5" s="4">
        <v>21846</v>
      </c>
      <c r="F5" s="4">
        <v>24105</v>
      </c>
      <c r="G5" s="4">
        <v>29310</v>
      </c>
      <c r="H5" s="4">
        <v>32653</v>
      </c>
      <c r="I5" s="4">
        <v>35926</v>
      </c>
      <c r="J5" s="4" t="s">
        <v>953</v>
      </c>
      <c r="K5" s="4" t="s">
        <v>953</v>
      </c>
    </row>
    <row r="6" spans="1:11" x14ac:dyDescent="0.4">
      <c r="A6" s="22" t="s">
        <v>966</v>
      </c>
      <c r="B6" s="3" t="s">
        <v>20</v>
      </c>
      <c r="C6" s="3" t="s">
        <v>1007</v>
      </c>
      <c r="D6" s="3" t="s">
        <v>965</v>
      </c>
      <c r="E6" s="4">
        <v>9804</v>
      </c>
      <c r="F6" s="4">
        <v>11475</v>
      </c>
      <c r="G6" s="4">
        <v>13361</v>
      </c>
      <c r="H6" s="4">
        <v>14826</v>
      </c>
      <c r="I6" s="4">
        <v>16114</v>
      </c>
      <c r="J6" s="4" t="s">
        <v>953</v>
      </c>
      <c r="K6" s="4" t="s">
        <v>953</v>
      </c>
    </row>
    <row r="7" spans="1:11" x14ac:dyDescent="0.4">
      <c r="A7" s="22" t="s">
        <v>957</v>
      </c>
      <c r="B7" s="3" t="s">
        <v>20</v>
      </c>
      <c r="C7" s="3" t="s">
        <v>1007</v>
      </c>
      <c r="D7" s="3" t="s">
        <v>965</v>
      </c>
      <c r="E7" s="4">
        <v>44.877780829442457</v>
      </c>
      <c r="F7" s="4">
        <v>47.604231487243311</v>
      </c>
      <c r="G7" s="4">
        <v>45.585124530876833</v>
      </c>
      <c r="H7" s="4">
        <v>45.4047101338315</v>
      </c>
      <c r="I7" s="4">
        <v>44.853309580804989</v>
      </c>
      <c r="J7" s="4" t="s">
        <v>953</v>
      </c>
      <c r="K7" s="4" t="s">
        <v>953</v>
      </c>
    </row>
    <row r="8" spans="1:11" x14ac:dyDescent="0.4">
      <c r="A8" s="22" t="s">
        <v>964</v>
      </c>
      <c r="B8" s="3" t="s">
        <v>20</v>
      </c>
      <c r="C8" s="3" t="s">
        <v>1007</v>
      </c>
      <c r="D8" s="3" t="s">
        <v>963</v>
      </c>
      <c r="E8" s="4">
        <v>10975</v>
      </c>
      <c r="F8" s="4">
        <v>12792</v>
      </c>
      <c r="G8" s="4">
        <v>14438</v>
      </c>
      <c r="H8" s="4">
        <v>16007</v>
      </c>
      <c r="I8" s="4">
        <v>17714</v>
      </c>
      <c r="J8" s="4" t="s">
        <v>953</v>
      </c>
      <c r="K8" s="4" t="s">
        <v>953</v>
      </c>
    </row>
    <row r="9" spans="1:11" x14ac:dyDescent="0.4">
      <c r="A9" s="22" t="s">
        <v>957</v>
      </c>
      <c r="B9" s="3" t="s">
        <v>20</v>
      </c>
      <c r="C9" s="3" t="s">
        <v>1007</v>
      </c>
      <c r="D9" s="3" t="s">
        <v>963</v>
      </c>
      <c r="E9" s="4">
        <v>50.2380298452806</v>
      </c>
      <c r="F9" s="4">
        <v>53.067828251400122</v>
      </c>
      <c r="G9" s="4">
        <v>49.259638348686458</v>
      </c>
      <c r="H9" s="4">
        <v>49.021529415367652</v>
      </c>
      <c r="I9" s="4">
        <v>49.306908645549186</v>
      </c>
      <c r="J9" s="4" t="s">
        <v>953</v>
      </c>
      <c r="K9" s="4" t="s">
        <v>953</v>
      </c>
    </row>
    <row r="10" spans="1:11" x14ac:dyDescent="0.4">
      <c r="A10" s="22" t="s">
        <v>962</v>
      </c>
      <c r="B10" s="3" t="s">
        <v>20</v>
      </c>
      <c r="C10" s="3" t="s">
        <v>1007</v>
      </c>
      <c r="D10" s="3" t="s">
        <v>961</v>
      </c>
      <c r="E10" s="4">
        <v>6299</v>
      </c>
      <c r="F10" s="4">
        <v>6530</v>
      </c>
      <c r="G10" s="4">
        <v>9815</v>
      </c>
      <c r="H10" s="4">
        <v>11638</v>
      </c>
      <c r="I10" s="4">
        <v>12665</v>
      </c>
      <c r="J10" s="4" t="s">
        <v>953</v>
      </c>
      <c r="K10" s="4" t="s">
        <v>953</v>
      </c>
    </row>
    <row r="11" spans="1:11" x14ac:dyDescent="0.4">
      <c r="A11" s="22" t="s">
        <v>957</v>
      </c>
      <c r="B11" s="3" t="s">
        <v>20</v>
      </c>
      <c r="C11" s="3" t="s">
        <v>1007</v>
      </c>
      <c r="D11" s="3" t="s">
        <v>961</v>
      </c>
      <c r="E11" s="4">
        <v>28.833653758125056</v>
      </c>
      <c r="F11" s="4">
        <v>27.089815390997718</v>
      </c>
      <c r="G11" s="4">
        <v>33.486864551347665</v>
      </c>
      <c r="H11" s="4">
        <v>35.641441827703424</v>
      </c>
      <c r="I11" s="4">
        <v>35.253020096865782</v>
      </c>
      <c r="J11" s="4" t="s">
        <v>953</v>
      </c>
      <c r="K11" s="4" t="s">
        <v>953</v>
      </c>
    </row>
    <row r="12" spans="1:11" x14ac:dyDescent="0.4">
      <c r="A12" s="22" t="s">
        <v>960</v>
      </c>
      <c r="B12" s="3" t="s">
        <v>20</v>
      </c>
      <c r="C12" s="3" t="s">
        <v>1007</v>
      </c>
      <c r="D12" s="3" t="s">
        <v>959</v>
      </c>
      <c r="E12" s="4">
        <v>1432</v>
      </c>
      <c r="F12" s="4">
        <v>1675</v>
      </c>
      <c r="G12" s="4">
        <v>1991</v>
      </c>
      <c r="H12" s="4">
        <v>2479</v>
      </c>
      <c r="I12" s="4">
        <v>3197</v>
      </c>
      <c r="J12" s="4" t="s">
        <v>953</v>
      </c>
      <c r="K12" s="4" t="s">
        <v>953</v>
      </c>
    </row>
    <row r="13" spans="1:11" x14ac:dyDescent="0.4">
      <c r="A13" s="22" t="s">
        <v>957</v>
      </c>
      <c r="B13" s="3" t="s">
        <v>20</v>
      </c>
      <c r="C13" s="3" t="s">
        <v>1007</v>
      </c>
      <c r="D13" s="3" t="s">
        <v>959</v>
      </c>
      <c r="E13" s="4">
        <v>6.5549757392657693</v>
      </c>
      <c r="F13" s="4">
        <v>6.9487658162207007</v>
      </c>
      <c r="G13" s="4">
        <v>6.7929034459228932</v>
      </c>
      <c r="H13" s="4">
        <v>7.5919517349095029</v>
      </c>
      <c r="I13" s="4">
        <v>8.8988476312419973</v>
      </c>
      <c r="J13" s="4" t="s">
        <v>953</v>
      </c>
      <c r="K13" s="4" t="s">
        <v>953</v>
      </c>
    </row>
    <row r="14" spans="1:11" x14ac:dyDescent="0.4">
      <c r="A14" s="22" t="s">
        <v>958</v>
      </c>
      <c r="B14" s="3" t="s">
        <v>20</v>
      </c>
      <c r="C14" s="3" t="s">
        <v>1007</v>
      </c>
      <c r="D14" s="3" t="s">
        <v>954</v>
      </c>
      <c r="E14" s="4">
        <v>-6664</v>
      </c>
      <c r="F14" s="4">
        <v>-8367</v>
      </c>
      <c r="G14" s="4">
        <v>-10295</v>
      </c>
      <c r="H14" s="4">
        <v>-12297</v>
      </c>
      <c r="I14" s="4">
        <v>-13764</v>
      </c>
      <c r="J14" s="4" t="s">
        <v>953</v>
      </c>
      <c r="K14" s="4" t="s">
        <v>953</v>
      </c>
    </row>
    <row r="15" spans="1:11" x14ac:dyDescent="0.4">
      <c r="A15" s="22" t="s">
        <v>957</v>
      </c>
      <c r="B15" s="3" t="s">
        <v>20</v>
      </c>
      <c r="C15" s="3" t="s">
        <v>1007</v>
      </c>
      <c r="D15" s="3" t="s">
        <v>954</v>
      </c>
      <c r="E15" s="4">
        <v>-30.504440172113888</v>
      </c>
      <c r="F15" s="4">
        <v>-34.710640945861854</v>
      </c>
      <c r="G15" s="4">
        <v>-35.124530876833845</v>
      </c>
      <c r="H15" s="4">
        <v>-37.659633111812084</v>
      </c>
      <c r="I15" s="4">
        <v>-38.312085954461949</v>
      </c>
      <c r="J15" s="4" t="s">
        <v>953</v>
      </c>
      <c r="K15" s="4" t="s">
        <v>953</v>
      </c>
    </row>
    <row r="16" spans="1:11" x14ac:dyDescent="0.4">
      <c r="A16" s="22" t="s">
        <v>968</v>
      </c>
      <c r="B16" s="3"/>
      <c r="C16" s="3"/>
      <c r="D16" s="3"/>
      <c r="E16" s="4"/>
      <c r="F16" s="4"/>
      <c r="G16" s="4"/>
      <c r="H16" s="4"/>
      <c r="I16" s="4"/>
      <c r="J16" s="4"/>
      <c r="K16" s="4"/>
    </row>
    <row r="17" spans="1:11" x14ac:dyDescent="0.4">
      <c r="A17" s="22" t="s">
        <v>1006</v>
      </c>
      <c r="B17" s="3" t="s">
        <v>1005</v>
      </c>
      <c r="C17" s="3" t="s">
        <v>1004</v>
      </c>
      <c r="D17" s="3"/>
      <c r="E17" s="4" t="s">
        <v>953</v>
      </c>
      <c r="F17" s="4" t="s">
        <v>953</v>
      </c>
      <c r="G17" s="4" t="s">
        <v>953</v>
      </c>
      <c r="H17" s="4" t="s">
        <v>953</v>
      </c>
      <c r="I17" s="4" t="s">
        <v>953</v>
      </c>
      <c r="J17" s="4" t="s">
        <v>953</v>
      </c>
      <c r="K17" s="4" t="s">
        <v>953</v>
      </c>
    </row>
    <row r="18" spans="1:11" x14ac:dyDescent="0.4">
      <c r="A18" s="22" t="s">
        <v>966</v>
      </c>
      <c r="B18" s="3" t="s">
        <v>1005</v>
      </c>
      <c r="C18" s="3" t="s">
        <v>1004</v>
      </c>
      <c r="D18" s="3" t="s">
        <v>965</v>
      </c>
      <c r="E18" s="4" t="s">
        <v>953</v>
      </c>
      <c r="F18" s="4" t="s">
        <v>953</v>
      </c>
      <c r="G18" s="4" t="s">
        <v>953</v>
      </c>
      <c r="H18" s="4" t="s">
        <v>953</v>
      </c>
      <c r="I18" s="4" t="s">
        <v>953</v>
      </c>
      <c r="J18" s="4" t="s">
        <v>953</v>
      </c>
      <c r="K18" s="4" t="s">
        <v>953</v>
      </c>
    </row>
    <row r="19" spans="1:11" x14ac:dyDescent="0.4">
      <c r="A19" s="22" t="s">
        <v>957</v>
      </c>
      <c r="B19" s="3" t="s">
        <v>1005</v>
      </c>
      <c r="C19" s="3" t="s">
        <v>1004</v>
      </c>
      <c r="D19" s="3" t="s">
        <v>965</v>
      </c>
      <c r="E19" s="4" t="s">
        <v>953</v>
      </c>
      <c r="F19" s="4" t="s">
        <v>953</v>
      </c>
      <c r="G19" s="4" t="s">
        <v>953</v>
      </c>
      <c r="H19" s="4" t="s">
        <v>953</v>
      </c>
      <c r="I19" s="4" t="s">
        <v>953</v>
      </c>
      <c r="J19" s="4" t="s">
        <v>953</v>
      </c>
      <c r="K19" s="4" t="s">
        <v>953</v>
      </c>
    </row>
    <row r="20" spans="1:11" x14ac:dyDescent="0.4">
      <c r="A20" s="22" t="s">
        <v>964</v>
      </c>
      <c r="B20" s="3" t="s">
        <v>1005</v>
      </c>
      <c r="C20" s="3" t="s">
        <v>1004</v>
      </c>
      <c r="D20" s="3" t="s">
        <v>963</v>
      </c>
      <c r="E20" s="4" t="s">
        <v>953</v>
      </c>
      <c r="F20" s="4" t="s">
        <v>953</v>
      </c>
      <c r="G20" s="4" t="s">
        <v>953</v>
      </c>
      <c r="H20" s="4" t="s">
        <v>953</v>
      </c>
      <c r="I20" s="4" t="s">
        <v>953</v>
      </c>
      <c r="J20" s="4" t="s">
        <v>953</v>
      </c>
      <c r="K20" s="4" t="s">
        <v>953</v>
      </c>
    </row>
    <row r="21" spans="1:11" x14ac:dyDescent="0.4">
      <c r="A21" s="22" t="s">
        <v>957</v>
      </c>
      <c r="B21" s="3" t="s">
        <v>1005</v>
      </c>
      <c r="C21" s="3" t="s">
        <v>1004</v>
      </c>
      <c r="D21" s="3" t="s">
        <v>963</v>
      </c>
      <c r="E21" s="4" t="s">
        <v>953</v>
      </c>
      <c r="F21" s="4" t="s">
        <v>953</v>
      </c>
      <c r="G21" s="4" t="s">
        <v>953</v>
      </c>
      <c r="H21" s="4" t="s">
        <v>953</v>
      </c>
      <c r="I21" s="4" t="s">
        <v>953</v>
      </c>
      <c r="J21" s="4" t="s">
        <v>953</v>
      </c>
      <c r="K21" s="4" t="s">
        <v>953</v>
      </c>
    </row>
    <row r="22" spans="1:11" x14ac:dyDescent="0.4">
      <c r="A22" s="22" t="s">
        <v>962</v>
      </c>
      <c r="B22" s="3" t="s">
        <v>1005</v>
      </c>
      <c r="C22" s="3" t="s">
        <v>1004</v>
      </c>
      <c r="D22" s="3" t="s">
        <v>961</v>
      </c>
      <c r="E22" s="4" t="s">
        <v>953</v>
      </c>
      <c r="F22" s="4" t="s">
        <v>953</v>
      </c>
      <c r="G22" s="4" t="s">
        <v>953</v>
      </c>
      <c r="H22" s="4" t="s">
        <v>953</v>
      </c>
      <c r="I22" s="4" t="s">
        <v>953</v>
      </c>
      <c r="J22" s="4" t="s">
        <v>953</v>
      </c>
      <c r="K22" s="4" t="s">
        <v>953</v>
      </c>
    </row>
    <row r="23" spans="1:11" x14ac:dyDescent="0.4">
      <c r="A23" s="22" t="s">
        <v>957</v>
      </c>
      <c r="B23" s="3" t="s">
        <v>1005</v>
      </c>
      <c r="C23" s="3" t="s">
        <v>1004</v>
      </c>
      <c r="D23" s="3" t="s">
        <v>961</v>
      </c>
      <c r="E23" s="4" t="s">
        <v>953</v>
      </c>
      <c r="F23" s="4" t="s">
        <v>953</v>
      </c>
      <c r="G23" s="4" t="s">
        <v>953</v>
      </c>
      <c r="H23" s="4" t="s">
        <v>953</v>
      </c>
      <c r="I23" s="4" t="s">
        <v>953</v>
      </c>
      <c r="J23" s="4" t="s">
        <v>953</v>
      </c>
      <c r="K23" s="4" t="s">
        <v>953</v>
      </c>
    </row>
    <row r="24" spans="1:11" x14ac:dyDescent="0.4">
      <c r="A24" s="22" t="s">
        <v>960</v>
      </c>
      <c r="B24" s="3" t="s">
        <v>1005</v>
      </c>
      <c r="C24" s="3" t="s">
        <v>1004</v>
      </c>
      <c r="D24" s="3" t="s">
        <v>959</v>
      </c>
      <c r="E24" s="4" t="s">
        <v>953</v>
      </c>
      <c r="F24" s="4" t="s">
        <v>953</v>
      </c>
      <c r="G24" s="4" t="s">
        <v>953</v>
      </c>
      <c r="H24" s="4" t="s">
        <v>953</v>
      </c>
      <c r="I24" s="4" t="s">
        <v>953</v>
      </c>
      <c r="J24" s="4" t="s">
        <v>953</v>
      </c>
      <c r="K24" s="4" t="s">
        <v>953</v>
      </c>
    </row>
    <row r="25" spans="1:11" x14ac:dyDescent="0.4">
      <c r="A25" s="22" t="s">
        <v>957</v>
      </c>
      <c r="B25" s="3" t="s">
        <v>1005</v>
      </c>
      <c r="C25" s="3" t="s">
        <v>1004</v>
      </c>
      <c r="D25" s="3" t="s">
        <v>959</v>
      </c>
      <c r="E25" s="4" t="s">
        <v>953</v>
      </c>
      <c r="F25" s="4" t="s">
        <v>953</v>
      </c>
      <c r="G25" s="4" t="s">
        <v>953</v>
      </c>
      <c r="H25" s="4" t="s">
        <v>953</v>
      </c>
      <c r="I25" s="4" t="s">
        <v>953</v>
      </c>
      <c r="J25" s="4" t="s">
        <v>953</v>
      </c>
      <c r="K25" s="4" t="s">
        <v>953</v>
      </c>
    </row>
    <row r="26" spans="1:11" x14ac:dyDescent="0.4">
      <c r="A26" s="22" t="s">
        <v>968</v>
      </c>
      <c r="B26" s="3"/>
      <c r="C26" s="3"/>
      <c r="D26" s="3"/>
      <c r="E26" s="4"/>
      <c r="F26" s="4"/>
      <c r="G26" s="4"/>
      <c r="H26" s="4"/>
      <c r="I26" s="4"/>
      <c r="J26" s="4"/>
      <c r="K26" s="4"/>
    </row>
    <row r="27" spans="1:11" x14ac:dyDescent="0.4">
      <c r="A27" s="22" t="s">
        <v>1003</v>
      </c>
      <c r="B27" s="3" t="s">
        <v>1002</v>
      </c>
      <c r="C27" s="3" t="s">
        <v>1001</v>
      </c>
      <c r="D27" s="3"/>
      <c r="E27" s="4">
        <v>11347000</v>
      </c>
      <c r="F27" s="4">
        <v>12994000</v>
      </c>
      <c r="G27" s="4">
        <v>14100000</v>
      </c>
      <c r="H27" s="4">
        <v>14812000</v>
      </c>
      <c r="I27" s="4">
        <v>15683000</v>
      </c>
      <c r="J27" s="4">
        <v>15646930.922431618</v>
      </c>
      <c r="K27" s="4">
        <v>17783523.182253823</v>
      </c>
    </row>
    <row r="28" spans="1:11" x14ac:dyDescent="0.4">
      <c r="A28" s="22" t="s">
        <v>981</v>
      </c>
      <c r="B28" s="3" t="s">
        <v>1002</v>
      </c>
      <c r="C28" s="3" t="s">
        <v>1001</v>
      </c>
      <c r="D28" s="3" t="s">
        <v>980</v>
      </c>
      <c r="E28" s="4">
        <v>4677000</v>
      </c>
      <c r="F28" s="4">
        <v>5186000</v>
      </c>
      <c r="G28" s="4">
        <v>6028000</v>
      </c>
      <c r="H28" s="4">
        <v>6430000</v>
      </c>
      <c r="I28" s="4">
        <v>6768000</v>
      </c>
      <c r="J28" s="4">
        <v>6512282.6812930014</v>
      </c>
      <c r="K28" s="4">
        <v>7571001.0321092596</v>
      </c>
    </row>
    <row r="29" spans="1:11" x14ac:dyDescent="0.4">
      <c r="A29" s="22" t="s">
        <v>957</v>
      </c>
      <c r="B29" s="3" t="s">
        <v>1002</v>
      </c>
      <c r="C29" s="3" t="s">
        <v>1001</v>
      </c>
      <c r="D29" s="3" t="s">
        <v>980</v>
      </c>
      <c r="E29" s="4">
        <v>41.217943068652509</v>
      </c>
      <c r="F29" s="4">
        <v>39.910728028320761</v>
      </c>
      <c r="G29" s="4">
        <v>42.751773049645394</v>
      </c>
      <c r="H29" s="4">
        <v>43.410748042128006</v>
      </c>
      <c r="I29" s="4">
        <v>43.155008608046927</v>
      </c>
      <c r="J29" s="4">
        <v>41.620191931421637</v>
      </c>
      <c r="K29" s="4">
        <v>42.573122066522572</v>
      </c>
    </row>
    <row r="30" spans="1:11" x14ac:dyDescent="0.4">
      <c r="A30" s="22" t="s">
        <v>975</v>
      </c>
      <c r="B30" s="3" t="s">
        <v>1002</v>
      </c>
      <c r="C30" s="3" t="s">
        <v>1001</v>
      </c>
      <c r="D30" s="3" t="s">
        <v>979</v>
      </c>
      <c r="E30" s="4">
        <v>2000000</v>
      </c>
      <c r="F30" s="4">
        <v>2293000</v>
      </c>
      <c r="G30" s="4">
        <v>2815000</v>
      </c>
      <c r="H30" s="4">
        <v>3030000</v>
      </c>
      <c r="I30" s="4">
        <v>3201000</v>
      </c>
      <c r="J30" s="4">
        <v>3095496.0191708901</v>
      </c>
      <c r="K30" s="4">
        <v>3575366.6104282252</v>
      </c>
    </row>
    <row r="31" spans="1:11" x14ac:dyDescent="0.4">
      <c r="A31" s="22" t="s">
        <v>972</v>
      </c>
      <c r="B31" s="3" t="s">
        <v>1002</v>
      </c>
      <c r="C31" s="3" t="s">
        <v>1001</v>
      </c>
      <c r="D31" s="3" t="s">
        <v>979</v>
      </c>
      <c r="E31" s="4">
        <v>17.62580417731559</v>
      </c>
      <c r="F31" s="4">
        <v>17.646606125904263</v>
      </c>
      <c r="G31" s="4">
        <v>19.964539007092199</v>
      </c>
      <c r="H31" s="4">
        <v>20.45638671347556</v>
      </c>
      <c r="I31" s="4">
        <v>20.410635720206592</v>
      </c>
      <c r="J31" s="4">
        <v>19.783406947449048</v>
      </c>
      <c r="K31" s="4">
        <v>20.104939689319174</v>
      </c>
    </row>
    <row r="32" spans="1:11" x14ac:dyDescent="0.4">
      <c r="A32" s="22" t="s">
        <v>973</v>
      </c>
      <c r="B32" s="3" t="s">
        <v>1002</v>
      </c>
      <c r="C32" s="3" t="s">
        <v>1001</v>
      </c>
      <c r="D32" s="3" t="s">
        <v>978</v>
      </c>
      <c r="E32" s="4">
        <v>2677000</v>
      </c>
      <c r="F32" s="4">
        <v>2893000</v>
      </c>
      <c r="G32" s="4">
        <v>3213000</v>
      </c>
      <c r="H32" s="4">
        <v>3400000</v>
      </c>
      <c r="I32" s="4">
        <v>3567000</v>
      </c>
      <c r="J32" s="4">
        <v>3362297.1080996469</v>
      </c>
      <c r="K32" s="4">
        <v>4007159.3686112836</v>
      </c>
    </row>
    <row r="33" spans="1:11" x14ac:dyDescent="0.4">
      <c r="A33" s="22" t="s">
        <v>972</v>
      </c>
      <c r="B33" s="3" t="s">
        <v>1002</v>
      </c>
      <c r="C33" s="3" t="s">
        <v>1001</v>
      </c>
      <c r="D33" s="3" t="s">
        <v>978</v>
      </c>
      <c r="E33" s="4">
        <v>23.592138891336916</v>
      </c>
      <c r="F33" s="4">
        <v>22.264121902416498</v>
      </c>
      <c r="G33" s="4">
        <v>22.787234042553191</v>
      </c>
      <c r="H33" s="4">
        <v>22.954361328652443</v>
      </c>
      <c r="I33" s="4">
        <v>22.744372887840338</v>
      </c>
      <c r="J33" s="4">
        <v>21.488540626707948</v>
      </c>
      <c r="K33" s="4">
        <v>22.532989259462532</v>
      </c>
    </row>
    <row r="34" spans="1:11" x14ac:dyDescent="0.4">
      <c r="A34" s="22" t="s">
        <v>977</v>
      </c>
      <c r="B34" s="3" t="s">
        <v>1002</v>
      </c>
      <c r="C34" s="3" t="s">
        <v>1001</v>
      </c>
      <c r="D34" s="3" t="s">
        <v>976</v>
      </c>
      <c r="E34" s="4">
        <v>6670000</v>
      </c>
      <c r="F34" s="4">
        <v>7808000</v>
      </c>
      <c r="G34" s="4">
        <v>8072000</v>
      </c>
      <c r="H34" s="4">
        <v>8382000</v>
      </c>
      <c r="I34" s="4">
        <v>8915000</v>
      </c>
      <c r="J34" s="4">
        <v>8493020.3268475104</v>
      </c>
      <c r="K34" s="4">
        <v>10112856.912948105</v>
      </c>
    </row>
    <row r="35" spans="1:11" x14ac:dyDescent="0.4">
      <c r="A35" s="22" t="s">
        <v>957</v>
      </c>
      <c r="B35" s="3" t="s">
        <v>1002</v>
      </c>
      <c r="C35" s="3" t="s">
        <v>1001</v>
      </c>
      <c r="D35" s="3" t="s">
        <v>976</v>
      </c>
      <c r="E35" s="4">
        <v>58.782056931347491</v>
      </c>
      <c r="F35" s="4">
        <v>60.089271971679239</v>
      </c>
      <c r="G35" s="4">
        <v>57.248226950354606</v>
      </c>
      <c r="H35" s="4">
        <v>56.589251957871994</v>
      </c>
      <c r="I35" s="4">
        <v>56.844991391953073</v>
      </c>
      <c r="J35" s="4">
        <v>54.279145021799899</v>
      </c>
      <c r="K35" s="4">
        <v>56.866442095342073</v>
      </c>
    </row>
    <row r="36" spans="1:11" x14ac:dyDescent="0.4">
      <c r="A36" s="22" t="s">
        <v>975</v>
      </c>
      <c r="B36" s="3" t="s">
        <v>1002</v>
      </c>
      <c r="C36" s="3" t="s">
        <v>1001</v>
      </c>
      <c r="D36" s="3" t="s">
        <v>974</v>
      </c>
      <c r="E36" s="4">
        <v>2674000</v>
      </c>
      <c r="F36" s="4">
        <v>3309000</v>
      </c>
      <c r="G36" s="4">
        <v>3492000</v>
      </c>
      <c r="H36" s="4">
        <v>3711000</v>
      </c>
      <c r="I36" s="4">
        <v>3866000</v>
      </c>
      <c r="J36" s="4">
        <v>3810282.1097845789</v>
      </c>
      <c r="K36" s="4">
        <v>4362643.8823041152</v>
      </c>
    </row>
    <row r="37" spans="1:11" x14ac:dyDescent="0.4">
      <c r="A37" s="22" t="s">
        <v>972</v>
      </c>
      <c r="B37" s="3" t="s">
        <v>1002</v>
      </c>
      <c r="C37" s="3" t="s">
        <v>1001</v>
      </c>
      <c r="D37" s="3" t="s">
        <v>974</v>
      </c>
      <c r="E37" s="4">
        <v>23.565700185070945</v>
      </c>
      <c r="F37" s="4">
        <v>25.465599507464983</v>
      </c>
      <c r="G37" s="4">
        <v>24.76595744680851</v>
      </c>
      <c r="H37" s="4">
        <v>25.05401026194977</v>
      </c>
      <c r="I37" s="4">
        <v>24.650895874513804</v>
      </c>
      <c r="J37" s="4">
        <v>24.351626070785013</v>
      </c>
      <c r="K37" s="4">
        <v>24.531943628906991</v>
      </c>
    </row>
    <row r="38" spans="1:11" x14ac:dyDescent="0.4">
      <c r="A38" s="22" t="s">
        <v>973</v>
      </c>
      <c r="B38" s="3" t="s">
        <v>1002</v>
      </c>
      <c r="C38" s="3" t="s">
        <v>1001</v>
      </c>
      <c r="D38" s="3" t="s">
        <v>969</v>
      </c>
      <c r="E38" s="4">
        <v>3996000</v>
      </c>
      <c r="F38" s="4">
        <v>4499000</v>
      </c>
      <c r="G38" s="4">
        <v>4580000</v>
      </c>
      <c r="H38" s="4">
        <v>4671000</v>
      </c>
      <c r="I38" s="4">
        <v>5049000</v>
      </c>
      <c r="J38" s="4">
        <v>4886247.7353245793</v>
      </c>
      <c r="K38" s="4">
        <v>5744761.0243710745</v>
      </c>
    </row>
    <row r="39" spans="1:11" x14ac:dyDescent="0.4">
      <c r="A39" s="22" t="s">
        <v>972</v>
      </c>
      <c r="B39" s="3" t="s">
        <v>1002</v>
      </c>
      <c r="C39" s="3" t="s">
        <v>1001</v>
      </c>
      <c r="D39" s="3" t="s">
        <v>969</v>
      </c>
      <c r="E39" s="4">
        <v>35.216356746276546</v>
      </c>
      <c r="F39" s="4">
        <v>34.623672464214252</v>
      </c>
      <c r="G39" s="4">
        <v>32.4822695035461</v>
      </c>
      <c r="H39" s="4">
        <v>31.535241695922224</v>
      </c>
      <c r="I39" s="4">
        <v>32.194095517439266</v>
      </c>
      <c r="J39" s="4">
        <v>31.228154323347841</v>
      </c>
      <c r="K39" s="4">
        <v>32.30384083905134</v>
      </c>
    </row>
    <row r="40" spans="1:11" x14ac:dyDescent="0.4">
      <c r="A40" s="22" t="s">
        <v>968</v>
      </c>
      <c r="B40" s="3"/>
      <c r="C40" s="3"/>
      <c r="D40" s="3"/>
      <c r="E40" s="4"/>
      <c r="F40" s="4"/>
      <c r="G40" s="4"/>
      <c r="H40" s="4"/>
      <c r="I40" s="4"/>
      <c r="J40" s="4"/>
      <c r="K40" s="4"/>
    </row>
    <row r="41" spans="1:11" x14ac:dyDescent="0.4">
      <c r="A41" s="22" t="s">
        <v>1000</v>
      </c>
      <c r="B41" s="3" t="s">
        <v>999</v>
      </c>
      <c r="C41" s="3" t="s">
        <v>998</v>
      </c>
      <c r="D41" s="3"/>
      <c r="E41" s="4">
        <v>-0.5</v>
      </c>
      <c r="F41" s="4">
        <v>13.2</v>
      </c>
      <c r="G41" s="4">
        <v>12.1</v>
      </c>
      <c r="H41" s="4">
        <v>7.4</v>
      </c>
      <c r="I41" s="4">
        <v>7.1</v>
      </c>
      <c r="J41" s="4" t="s">
        <v>953</v>
      </c>
      <c r="K41" s="4" t="s">
        <v>953</v>
      </c>
    </row>
    <row r="42" spans="1:11" x14ac:dyDescent="0.4">
      <c r="A42" s="22" t="s">
        <v>981</v>
      </c>
      <c r="B42" s="3" t="s">
        <v>999</v>
      </c>
      <c r="C42" s="3" t="s">
        <v>998</v>
      </c>
      <c r="D42" s="3" t="s">
        <v>980</v>
      </c>
      <c r="E42" s="4">
        <v>-6.8</v>
      </c>
      <c r="F42" s="4">
        <v>8.7000000000000011</v>
      </c>
      <c r="G42" s="4">
        <v>20</v>
      </c>
      <c r="H42" s="4">
        <v>10</v>
      </c>
      <c r="I42" s="4">
        <v>7.3</v>
      </c>
      <c r="J42" s="4" t="s">
        <v>953</v>
      </c>
      <c r="K42" s="4" t="s">
        <v>953</v>
      </c>
    </row>
    <row r="43" spans="1:11" x14ac:dyDescent="0.4">
      <c r="A43" s="22" t="s">
        <v>957</v>
      </c>
      <c r="B43" s="3" t="s">
        <v>999</v>
      </c>
      <c r="C43" s="3" t="s">
        <v>998</v>
      </c>
      <c r="D43" s="3" t="s">
        <v>980</v>
      </c>
      <c r="E43" s="4">
        <v>1360</v>
      </c>
      <c r="F43" s="4">
        <v>65.909090909090921</v>
      </c>
      <c r="G43" s="4">
        <v>165.28925619834712</v>
      </c>
      <c r="H43" s="4">
        <v>135.13513513513513</v>
      </c>
      <c r="I43" s="4">
        <v>102.8169014084507</v>
      </c>
      <c r="J43" s="4" t="s">
        <v>953</v>
      </c>
      <c r="K43" s="4" t="s">
        <v>953</v>
      </c>
    </row>
    <row r="44" spans="1:11" x14ac:dyDescent="0.4">
      <c r="A44" s="22" t="s">
        <v>975</v>
      </c>
      <c r="B44" s="3" t="s">
        <v>999</v>
      </c>
      <c r="C44" s="3" t="s">
        <v>998</v>
      </c>
      <c r="D44" s="3" t="s">
        <v>979</v>
      </c>
      <c r="E44" s="4">
        <v>-5.2</v>
      </c>
      <c r="F44" s="4">
        <v>14.6</v>
      </c>
      <c r="G44" s="4">
        <v>22.8</v>
      </c>
      <c r="H44" s="4">
        <v>7.6</v>
      </c>
      <c r="I44" s="4">
        <v>5.6</v>
      </c>
      <c r="J44" s="4" t="s">
        <v>953</v>
      </c>
      <c r="K44" s="4" t="s">
        <v>953</v>
      </c>
    </row>
    <row r="45" spans="1:11" x14ac:dyDescent="0.4">
      <c r="A45" s="22" t="s">
        <v>972</v>
      </c>
      <c r="B45" s="3" t="s">
        <v>999</v>
      </c>
      <c r="C45" s="3" t="s">
        <v>998</v>
      </c>
      <c r="D45" s="3" t="s">
        <v>979</v>
      </c>
      <c r="E45" s="4">
        <v>1040</v>
      </c>
      <c r="F45" s="4">
        <v>110.60606060606061</v>
      </c>
      <c r="G45" s="4">
        <v>188.4297520661157</v>
      </c>
      <c r="H45" s="4">
        <v>102.70270270270269</v>
      </c>
      <c r="I45" s="4">
        <v>78.873239436619727</v>
      </c>
      <c r="J45" s="4" t="s">
        <v>953</v>
      </c>
      <c r="K45" s="4" t="s">
        <v>953</v>
      </c>
    </row>
    <row r="46" spans="1:11" x14ac:dyDescent="0.4">
      <c r="A46" s="22" t="s">
        <v>973</v>
      </c>
      <c r="B46" s="3" t="s">
        <v>999</v>
      </c>
      <c r="C46" s="3" t="s">
        <v>998</v>
      </c>
      <c r="D46" s="3" t="s">
        <v>978</v>
      </c>
      <c r="E46" s="4">
        <v>-8</v>
      </c>
      <c r="F46" s="4">
        <v>4.3</v>
      </c>
      <c r="G46" s="4">
        <v>17.7</v>
      </c>
      <c r="H46" s="4">
        <v>12.4</v>
      </c>
      <c r="I46" s="4">
        <v>8.9</v>
      </c>
      <c r="J46" s="4" t="s">
        <v>953</v>
      </c>
      <c r="K46" s="4" t="s">
        <v>953</v>
      </c>
    </row>
    <row r="47" spans="1:11" x14ac:dyDescent="0.4">
      <c r="A47" s="22" t="s">
        <v>972</v>
      </c>
      <c r="B47" s="3" t="s">
        <v>999</v>
      </c>
      <c r="C47" s="3" t="s">
        <v>998</v>
      </c>
      <c r="D47" s="3" t="s">
        <v>978</v>
      </c>
      <c r="E47" s="4">
        <v>1600</v>
      </c>
      <c r="F47" s="4">
        <v>32.575757575757578</v>
      </c>
      <c r="G47" s="4">
        <v>146.28099173553719</v>
      </c>
      <c r="H47" s="4">
        <v>167.56756756756755</v>
      </c>
      <c r="I47" s="4">
        <v>125.35211267605635</v>
      </c>
      <c r="J47" s="4" t="s">
        <v>953</v>
      </c>
      <c r="K47" s="4" t="s">
        <v>953</v>
      </c>
    </row>
    <row r="48" spans="1:11" x14ac:dyDescent="0.4">
      <c r="A48" s="22" t="s">
        <v>977</v>
      </c>
      <c r="B48" s="3" t="s">
        <v>999</v>
      </c>
      <c r="C48" s="3" t="s">
        <v>998</v>
      </c>
      <c r="D48" s="3" t="s">
        <v>976</v>
      </c>
      <c r="E48" s="4">
        <v>4.5</v>
      </c>
      <c r="F48" s="4">
        <v>16.3</v>
      </c>
      <c r="G48" s="4">
        <v>6.8</v>
      </c>
      <c r="H48" s="4">
        <v>5.5</v>
      </c>
      <c r="I48" s="4">
        <v>6.9</v>
      </c>
      <c r="J48" s="4" t="s">
        <v>953</v>
      </c>
      <c r="K48" s="4" t="s">
        <v>953</v>
      </c>
    </row>
    <row r="49" spans="1:11" x14ac:dyDescent="0.4">
      <c r="A49" s="22" t="s">
        <v>957</v>
      </c>
      <c r="B49" s="3" t="s">
        <v>999</v>
      </c>
      <c r="C49" s="3" t="s">
        <v>998</v>
      </c>
      <c r="D49" s="3" t="s">
        <v>976</v>
      </c>
      <c r="E49" s="4">
        <v>-900</v>
      </c>
      <c r="F49" s="4">
        <v>123.48484848484848</v>
      </c>
      <c r="G49" s="4">
        <v>56.198347107438018</v>
      </c>
      <c r="H49" s="4">
        <v>74.324324324324323</v>
      </c>
      <c r="I49" s="4">
        <v>97.183098591549296</v>
      </c>
      <c r="J49" s="4" t="s">
        <v>953</v>
      </c>
      <c r="K49" s="4" t="s">
        <v>953</v>
      </c>
    </row>
    <row r="50" spans="1:11" x14ac:dyDescent="0.4">
      <c r="A50" s="22" t="s">
        <v>975</v>
      </c>
      <c r="B50" s="3" t="s">
        <v>999</v>
      </c>
      <c r="C50" s="3" t="s">
        <v>998</v>
      </c>
      <c r="D50" s="3" t="s">
        <v>974</v>
      </c>
      <c r="E50" s="4">
        <v>10.7</v>
      </c>
      <c r="F50" s="4">
        <v>23.7</v>
      </c>
      <c r="G50" s="4">
        <v>5.5</v>
      </c>
      <c r="H50" s="4">
        <v>6.3</v>
      </c>
      <c r="I50" s="4">
        <v>4.0999999999999996</v>
      </c>
      <c r="J50" s="4" t="s">
        <v>953</v>
      </c>
      <c r="K50" s="4" t="s">
        <v>953</v>
      </c>
    </row>
    <row r="51" spans="1:11" x14ac:dyDescent="0.4">
      <c r="A51" s="22" t="s">
        <v>972</v>
      </c>
      <c r="B51" s="3" t="s">
        <v>999</v>
      </c>
      <c r="C51" s="3" t="s">
        <v>998</v>
      </c>
      <c r="D51" s="3" t="s">
        <v>974</v>
      </c>
      <c r="E51" s="4">
        <v>-2140</v>
      </c>
      <c r="F51" s="4">
        <v>179.54545454545456</v>
      </c>
      <c r="G51" s="4">
        <v>45.454545454545453</v>
      </c>
      <c r="H51" s="4">
        <v>85.13513513513513</v>
      </c>
      <c r="I51" s="4">
        <v>57.746478873239433</v>
      </c>
      <c r="J51" s="4" t="s">
        <v>953</v>
      </c>
      <c r="K51" s="4" t="s">
        <v>953</v>
      </c>
    </row>
    <row r="52" spans="1:11" x14ac:dyDescent="0.4">
      <c r="A52" s="22" t="s">
        <v>973</v>
      </c>
      <c r="B52" s="3" t="s">
        <v>999</v>
      </c>
      <c r="C52" s="3" t="s">
        <v>998</v>
      </c>
      <c r="D52" s="3" t="s">
        <v>969</v>
      </c>
      <c r="E52" s="4">
        <v>0.7</v>
      </c>
      <c r="F52" s="4">
        <v>11.1</v>
      </c>
      <c r="G52" s="4">
        <v>7.8</v>
      </c>
      <c r="H52" s="4">
        <v>4.8</v>
      </c>
      <c r="I52" s="4">
        <v>9.1</v>
      </c>
      <c r="J52" s="4" t="s">
        <v>953</v>
      </c>
      <c r="K52" s="4" t="s">
        <v>953</v>
      </c>
    </row>
    <row r="53" spans="1:11" x14ac:dyDescent="0.4">
      <c r="A53" s="22" t="s">
        <v>972</v>
      </c>
      <c r="B53" s="3" t="s">
        <v>999</v>
      </c>
      <c r="C53" s="3" t="s">
        <v>998</v>
      </c>
      <c r="D53" s="3" t="s">
        <v>969</v>
      </c>
      <c r="E53" s="4">
        <v>-140</v>
      </c>
      <c r="F53" s="4">
        <v>84.090909090909093</v>
      </c>
      <c r="G53" s="4">
        <v>64.462809917355372</v>
      </c>
      <c r="H53" s="4">
        <v>64.864864864864856</v>
      </c>
      <c r="I53" s="4">
        <v>128.16901408450704</v>
      </c>
      <c r="J53" s="4" t="s">
        <v>953</v>
      </c>
      <c r="K53" s="4" t="s">
        <v>953</v>
      </c>
    </row>
    <row r="54" spans="1:11" x14ac:dyDescent="0.4">
      <c r="A54" s="22" t="s">
        <v>968</v>
      </c>
      <c r="B54" s="3"/>
      <c r="C54" s="3"/>
      <c r="D54" s="3"/>
      <c r="E54" s="4"/>
      <c r="F54" s="4"/>
      <c r="G54" s="4"/>
      <c r="H54" s="4"/>
      <c r="I54" s="4"/>
      <c r="J54" s="4"/>
      <c r="K54" s="4"/>
    </row>
    <row r="55" spans="1:11" x14ac:dyDescent="0.4">
      <c r="A55" s="22" t="s">
        <v>997</v>
      </c>
      <c r="B55" s="3" t="s">
        <v>996</v>
      </c>
      <c r="C55" s="3" t="s">
        <v>995</v>
      </c>
      <c r="D55" s="3"/>
      <c r="E55" s="4">
        <v>185514</v>
      </c>
      <c r="F55" s="4">
        <v>215401</v>
      </c>
      <c r="G55" s="4">
        <v>240809</v>
      </c>
      <c r="H55" s="4">
        <v>259073</v>
      </c>
      <c r="I55" s="4">
        <v>286434</v>
      </c>
      <c r="J55" s="4">
        <v>312165.07025109045</v>
      </c>
      <c r="K55" s="4">
        <v>341037.73397765961</v>
      </c>
    </row>
    <row r="56" spans="1:11" x14ac:dyDescent="0.4">
      <c r="A56" s="22" t="s">
        <v>981</v>
      </c>
      <c r="B56" s="3" t="s">
        <v>996</v>
      </c>
      <c r="C56" s="3" t="s">
        <v>995</v>
      </c>
      <c r="D56" s="3" t="s">
        <v>980</v>
      </c>
      <c r="E56" s="4">
        <v>65945</v>
      </c>
      <c r="F56" s="4">
        <v>73467</v>
      </c>
      <c r="G56" s="4">
        <v>85789</v>
      </c>
      <c r="H56" s="4">
        <v>93947</v>
      </c>
      <c r="I56" s="4">
        <v>103782</v>
      </c>
      <c r="J56" s="4">
        <v>113972.35280813194</v>
      </c>
      <c r="K56" s="4">
        <v>124630.56348031788</v>
      </c>
    </row>
    <row r="57" spans="1:11" x14ac:dyDescent="0.4">
      <c r="A57" s="22" t="s">
        <v>957</v>
      </c>
      <c r="B57" s="3" t="s">
        <v>996</v>
      </c>
      <c r="C57" s="3" t="s">
        <v>995</v>
      </c>
      <c r="D57" s="3" t="s">
        <v>980</v>
      </c>
      <c r="E57" s="4">
        <v>35.547182422889918</v>
      </c>
      <c r="F57" s="4">
        <v>34.107083996824528</v>
      </c>
      <c r="G57" s="4">
        <v>35.625329618079057</v>
      </c>
      <c r="H57" s="4">
        <v>36.262752197257143</v>
      </c>
      <c r="I57" s="4">
        <v>36.232430507551477</v>
      </c>
      <c r="J57" s="4">
        <v>36.510283715105629</v>
      </c>
      <c r="K57" s="4">
        <v>36.544508440958055</v>
      </c>
    </row>
    <row r="58" spans="1:11" x14ac:dyDescent="0.4">
      <c r="A58" s="22" t="s">
        <v>975</v>
      </c>
      <c r="B58" s="3" t="s">
        <v>996</v>
      </c>
      <c r="C58" s="3" t="s">
        <v>995</v>
      </c>
      <c r="D58" s="3" t="s">
        <v>979</v>
      </c>
      <c r="E58" s="4">
        <v>23466</v>
      </c>
      <c r="F58" s="4">
        <v>26043</v>
      </c>
      <c r="G58" s="4">
        <v>30628</v>
      </c>
      <c r="H58" s="4">
        <v>33021</v>
      </c>
      <c r="I58" s="4">
        <v>35326</v>
      </c>
      <c r="J58" s="4">
        <v>32862.886248859977</v>
      </c>
      <c r="K58" s="4">
        <v>39792.500380312951</v>
      </c>
    </row>
    <row r="59" spans="1:11" x14ac:dyDescent="0.4">
      <c r="A59" s="22" t="s">
        <v>972</v>
      </c>
      <c r="B59" s="3" t="s">
        <v>996</v>
      </c>
      <c r="C59" s="3" t="s">
        <v>995</v>
      </c>
      <c r="D59" s="3" t="s">
        <v>979</v>
      </c>
      <c r="E59" s="4">
        <v>12.649180115786409</v>
      </c>
      <c r="F59" s="4">
        <v>12.090473117580698</v>
      </c>
      <c r="G59" s="4">
        <v>12.718793732792379</v>
      </c>
      <c r="H59" s="4">
        <v>12.745828395857538</v>
      </c>
      <c r="I59" s="4">
        <v>12.333033089647179</v>
      </c>
      <c r="J59" s="4">
        <v>10.527406612926509</v>
      </c>
      <c r="K59" s="4">
        <v>11.668063799333021</v>
      </c>
    </row>
    <row r="60" spans="1:11" x14ac:dyDescent="0.4">
      <c r="A60" s="22" t="s">
        <v>973</v>
      </c>
      <c r="B60" s="3" t="s">
        <v>996</v>
      </c>
      <c r="C60" s="3" t="s">
        <v>995</v>
      </c>
      <c r="D60" s="3" t="s">
        <v>978</v>
      </c>
      <c r="E60" s="4">
        <v>42479</v>
      </c>
      <c r="F60" s="4">
        <v>47424</v>
      </c>
      <c r="G60" s="4">
        <v>55161</v>
      </c>
      <c r="H60" s="4">
        <v>60926</v>
      </c>
      <c r="I60" s="4">
        <v>68456</v>
      </c>
      <c r="J60" s="4">
        <v>66198.190321812319</v>
      </c>
      <c r="K60" s="4">
        <v>84014.966963261584</v>
      </c>
    </row>
    <row r="61" spans="1:11" x14ac:dyDescent="0.4">
      <c r="A61" s="22" t="s">
        <v>972</v>
      </c>
      <c r="B61" s="3" t="s">
        <v>996</v>
      </c>
      <c r="C61" s="3" t="s">
        <v>995</v>
      </c>
      <c r="D61" s="3" t="s">
        <v>978</v>
      </c>
      <c r="E61" s="4">
        <v>22.898002307103507</v>
      </c>
      <c r="F61" s="4">
        <v>22.016610879243828</v>
      </c>
      <c r="G61" s="4">
        <v>22.906535885286679</v>
      </c>
      <c r="H61" s="4">
        <v>23.516923801399606</v>
      </c>
      <c r="I61" s="4">
        <v>23.8993974179043</v>
      </c>
      <c r="J61" s="4">
        <v>21.206149127628436</v>
      </c>
      <c r="K61" s="4">
        <v>24.635094182500392</v>
      </c>
    </row>
    <row r="62" spans="1:11" x14ac:dyDescent="0.4">
      <c r="A62" s="22" t="s">
        <v>977</v>
      </c>
      <c r="B62" s="3" t="s">
        <v>996</v>
      </c>
      <c r="C62" s="3" t="s">
        <v>995</v>
      </c>
      <c r="D62" s="3" t="s">
        <v>976</v>
      </c>
      <c r="E62" s="4">
        <v>119568</v>
      </c>
      <c r="F62" s="4">
        <v>141934</v>
      </c>
      <c r="G62" s="4">
        <v>155020</v>
      </c>
      <c r="H62" s="4">
        <v>165127</v>
      </c>
      <c r="I62" s="4">
        <v>182652</v>
      </c>
      <c r="J62" s="4">
        <v>164139.45622222833</v>
      </c>
      <c r="K62" s="4">
        <v>214105.70572142064</v>
      </c>
    </row>
    <row r="63" spans="1:11" x14ac:dyDescent="0.4">
      <c r="A63" s="22" t="s">
        <v>957</v>
      </c>
      <c r="B63" s="3" t="s">
        <v>996</v>
      </c>
      <c r="C63" s="3" t="s">
        <v>995</v>
      </c>
      <c r="D63" s="3" t="s">
        <v>976</v>
      </c>
      <c r="E63" s="4">
        <v>64.452278534234608</v>
      </c>
      <c r="F63" s="4">
        <v>65.892916003175472</v>
      </c>
      <c r="G63" s="4">
        <v>64.374670381920936</v>
      </c>
      <c r="H63" s="4">
        <v>63.737633794335956</v>
      </c>
      <c r="I63" s="4">
        <v>63.767569492448523</v>
      </c>
      <c r="J63" s="4">
        <v>52.580980982338133</v>
      </c>
      <c r="K63" s="4">
        <v>62.78064987830529</v>
      </c>
    </row>
    <row r="64" spans="1:11" x14ac:dyDescent="0.4">
      <c r="A64" s="22" t="s">
        <v>975</v>
      </c>
      <c r="B64" s="3" t="s">
        <v>996</v>
      </c>
      <c r="C64" s="3" t="s">
        <v>995</v>
      </c>
      <c r="D64" s="3" t="s">
        <v>974</v>
      </c>
      <c r="E64" s="4">
        <v>48156</v>
      </c>
      <c r="F64" s="4">
        <v>55866</v>
      </c>
      <c r="G64" s="4">
        <v>59743</v>
      </c>
      <c r="H64" s="4">
        <v>64637</v>
      </c>
      <c r="I64" s="4">
        <v>68159</v>
      </c>
      <c r="J64" s="4">
        <v>62887.534222695016</v>
      </c>
      <c r="K64" s="4">
        <v>76746.763042299091</v>
      </c>
    </row>
    <row r="65" spans="1:11" x14ac:dyDescent="0.4">
      <c r="A65" s="22" t="s">
        <v>972</v>
      </c>
      <c r="B65" s="3" t="s">
        <v>996</v>
      </c>
      <c r="C65" s="3" t="s">
        <v>995</v>
      </c>
      <c r="D65" s="3" t="s">
        <v>974</v>
      </c>
      <c r="E65" s="4">
        <v>25.958148711148485</v>
      </c>
      <c r="F65" s="4">
        <v>25.935812739959424</v>
      </c>
      <c r="G65" s="4">
        <v>24.809288689376228</v>
      </c>
      <c r="H65" s="4">
        <v>24.949338603405216</v>
      </c>
      <c r="I65" s="4">
        <v>23.795708610011381</v>
      </c>
      <c r="J65" s="4">
        <v>20.145602508349615</v>
      </c>
      <c r="K65" s="4">
        <v>22.503891914589882</v>
      </c>
    </row>
    <row r="66" spans="1:11" x14ac:dyDescent="0.4">
      <c r="A66" s="22" t="s">
        <v>973</v>
      </c>
      <c r="B66" s="3" t="s">
        <v>996</v>
      </c>
      <c r="C66" s="3" t="s">
        <v>995</v>
      </c>
      <c r="D66" s="3" t="s">
        <v>969</v>
      </c>
      <c r="E66" s="4">
        <v>71412</v>
      </c>
      <c r="F66" s="4">
        <v>86068</v>
      </c>
      <c r="G66" s="4">
        <v>95277</v>
      </c>
      <c r="H66" s="4">
        <v>100490</v>
      </c>
      <c r="I66" s="4">
        <v>114493</v>
      </c>
      <c r="J66" s="4">
        <v>110768.50294397623</v>
      </c>
      <c r="K66" s="4">
        <v>140933.29563864804</v>
      </c>
    </row>
    <row r="67" spans="1:11" x14ac:dyDescent="0.4">
      <c r="A67" s="22" t="s">
        <v>972</v>
      </c>
      <c r="B67" s="3" t="s">
        <v>996</v>
      </c>
      <c r="C67" s="3" t="s">
        <v>995</v>
      </c>
      <c r="D67" s="3" t="s">
        <v>969</v>
      </c>
      <c r="E67" s="4">
        <v>38.494129823086126</v>
      </c>
      <c r="F67" s="4">
        <v>39.957103263216048</v>
      </c>
      <c r="G67" s="4">
        <v>39.565381692544712</v>
      </c>
      <c r="H67" s="4">
        <v>38.788295190930739</v>
      </c>
      <c r="I67" s="4">
        <v>39.971860882437142</v>
      </c>
      <c r="J67" s="4">
        <v>35.483951761444487</v>
      </c>
      <c r="K67" s="4">
        <v>41.324839335192209</v>
      </c>
    </row>
    <row r="68" spans="1:11" x14ac:dyDescent="0.4">
      <c r="A68" s="22" t="s">
        <v>968</v>
      </c>
      <c r="B68" s="3"/>
      <c r="C68" s="3"/>
      <c r="D68" s="3"/>
      <c r="E68" s="4"/>
      <c r="F68" s="4"/>
      <c r="G68" s="4"/>
      <c r="H68" s="4"/>
      <c r="I68" s="4"/>
      <c r="J68" s="4"/>
      <c r="K68" s="4"/>
    </row>
    <row r="69" spans="1:11" x14ac:dyDescent="0.4">
      <c r="A69" s="22" t="s">
        <v>994</v>
      </c>
      <c r="B69" s="3" t="s">
        <v>993</v>
      </c>
      <c r="C69" s="3" t="s">
        <v>992</v>
      </c>
      <c r="D69" s="3"/>
      <c r="E69" s="4">
        <v>2551000</v>
      </c>
      <c r="F69" s="4">
        <v>2587000</v>
      </c>
      <c r="G69" s="4">
        <v>2493000</v>
      </c>
      <c r="H69" s="4">
        <v>2474000</v>
      </c>
      <c r="I69" s="4">
        <v>2493000</v>
      </c>
      <c r="J69" s="4">
        <v>2348042.8525925577</v>
      </c>
      <c r="K69" s="4">
        <v>2612471.5277049714</v>
      </c>
    </row>
    <row r="70" spans="1:11" x14ac:dyDescent="0.4">
      <c r="A70" s="22" t="s">
        <v>981</v>
      </c>
      <c r="B70" s="3" t="s">
        <v>993</v>
      </c>
      <c r="C70" s="3" t="s">
        <v>992</v>
      </c>
      <c r="D70" s="3" t="s">
        <v>980</v>
      </c>
      <c r="E70" s="4">
        <v>207000</v>
      </c>
      <c r="F70" s="4">
        <v>197000</v>
      </c>
      <c r="G70" s="4">
        <v>212000</v>
      </c>
      <c r="H70" s="4">
        <v>224000</v>
      </c>
      <c r="I70" s="4">
        <v>227000</v>
      </c>
      <c r="J70" s="4">
        <v>195778.49761874546</v>
      </c>
      <c r="K70" s="4">
        <v>236344.5863734585</v>
      </c>
    </row>
    <row r="71" spans="1:11" x14ac:dyDescent="0.4">
      <c r="A71" s="22" t="s">
        <v>957</v>
      </c>
      <c r="B71" s="3" t="s">
        <v>993</v>
      </c>
      <c r="C71" s="3" t="s">
        <v>992</v>
      </c>
      <c r="D71" s="3" t="s">
        <v>980</v>
      </c>
      <c r="E71" s="4">
        <v>8.114464915719326</v>
      </c>
      <c r="F71" s="4">
        <v>7.614998067259374</v>
      </c>
      <c r="G71" s="4">
        <v>8.5038106698756515</v>
      </c>
      <c r="H71" s="4">
        <v>9.0541632983023437</v>
      </c>
      <c r="I71" s="4">
        <v>9.1054953870838347</v>
      </c>
      <c r="J71" s="4">
        <v>8.3379439775802844</v>
      </c>
      <c r="K71" s="4">
        <v>9.0467813282192875</v>
      </c>
    </row>
    <row r="72" spans="1:11" x14ac:dyDescent="0.4">
      <c r="A72" s="22" t="s">
        <v>975</v>
      </c>
      <c r="B72" s="3" t="s">
        <v>993</v>
      </c>
      <c r="C72" s="3" t="s">
        <v>992</v>
      </c>
      <c r="D72" s="3" t="s">
        <v>979</v>
      </c>
      <c r="E72" s="4">
        <v>43000</v>
      </c>
      <c r="F72" s="4">
        <v>34000</v>
      </c>
      <c r="G72" s="4">
        <v>44000</v>
      </c>
      <c r="H72" s="4">
        <v>47000</v>
      </c>
      <c r="I72" s="4">
        <v>49000</v>
      </c>
      <c r="J72" s="4">
        <v>46733.057869511402</v>
      </c>
      <c r="K72" s="4">
        <v>54957.080740177262</v>
      </c>
    </row>
    <row r="73" spans="1:11" x14ac:dyDescent="0.4">
      <c r="A73" s="22" t="s">
        <v>972</v>
      </c>
      <c r="B73" s="3" t="s">
        <v>993</v>
      </c>
      <c r="C73" s="3" t="s">
        <v>992</v>
      </c>
      <c r="D73" s="3" t="s">
        <v>979</v>
      </c>
      <c r="E73" s="4">
        <v>1.6856134849078792</v>
      </c>
      <c r="F73" s="4">
        <v>1.3142636258214149</v>
      </c>
      <c r="G73" s="4">
        <v>1.7649418371440031</v>
      </c>
      <c r="H73" s="4">
        <v>1.8997574777687956</v>
      </c>
      <c r="I73" s="4">
        <v>1.9655034095467308</v>
      </c>
      <c r="J73" s="4">
        <v>1.9902983379503387</v>
      </c>
      <c r="K73" s="4">
        <v>2.10364324194019</v>
      </c>
    </row>
    <row r="74" spans="1:11" x14ac:dyDescent="0.4">
      <c r="A74" s="22" t="s">
        <v>973</v>
      </c>
      <c r="B74" s="3" t="s">
        <v>993</v>
      </c>
      <c r="C74" s="3" t="s">
        <v>992</v>
      </c>
      <c r="D74" s="3" t="s">
        <v>978</v>
      </c>
      <c r="E74" s="4">
        <v>164000</v>
      </c>
      <c r="F74" s="4">
        <v>163000</v>
      </c>
      <c r="G74" s="4">
        <v>168000</v>
      </c>
      <c r="H74" s="4">
        <v>177000</v>
      </c>
      <c r="I74" s="4">
        <v>178000</v>
      </c>
      <c r="J74" s="4">
        <v>149245.43974923406</v>
      </c>
      <c r="K74" s="4">
        <v>181387.50563328122</v>
      </c>
    </row>
    <row r="75" spans="1:11" x14ac:dyDescent="0.4">
      <c r="A75" s="22" t="s">
        <v>972</v>
      </c>
      <c r="B75" s="3" t="s">
        <v>993</v>
      </c>
      <c r="C75" s="3" t="s">
        <v>992</v>
      </c>
      <c r="D75" s="3" t="s">
        <v>978</v>
      </c>
      <c r="E75" s="4">
        <v>6.4288514308114468</v>
      </c>
      <c r="F75" s="4">
        <v>6.3007344414379594</v>
      </c>
      <c r="G75" s="4">
        <v>6.7388688327316491</v>
      </c>
      <c r="H75" s="4">
        <v>7.1544058205335492</v>
      </c>
      <c r="I75" s="4">
        <v>7.1399919775371039</v>
      </c>
      <c r="J75" s="4">
        <v>6.3561633717394406</v>
      </c>
      <c r="K75" s="4">
        <v>6.9431380862790961</v>
      </c>
    </row>
    <row r="76" spans="1:11" x14ac:dyDescent="0.4">
      <c r="A76" s="22" t="s">
        <v>977</v>
      </c>
      <c r="B76" s="3" t="s">
        <v>993</v>
      </c>
      <c r="C76" s="3" t="s">
        <v>992</v>
      </c>
      <c r="D76" s="3" t="s">
        <v>976</v>
      </c>
      <c r="E76" s="4">
        <v>2344000</v>
      </c>
      <c r="F76" s="4">
        <v>2391000</v>
      </c>
      <c r="G76" s="4">
        <v>2281000</v>
      </c>
      <c r="H76" s="4">
        <v>2250000</v>
      </c>
      <c r="I76" s="4">
        <v>2266000</v>
      </c>
      <c r="J76" s="4">
        <v>2036289.0076574231</v>
      </c>
      <c r="K76" s="4">
        <v>2320779.8456873219</v>
      </c>
    </row>
    <row r="77" spans="1:11" x14ac:dyDescent="0.4">
      <c r="A77" s="22" t="s">
        <v>957</v>
      </c>
      <c r="B77" s="3" t="s">
        <v>993</v>
      </c>
      <c r="C77" s="3" t="s">
        <v>992</v>
      </c>
      <c r="D77" s="3" t="s">
        <v>976</v>
      </c>
      <c r="E77" s="4">
        <v>91.885535084280676</v>
      </c>
      <c r="F77" s="4">
        <v>92.423656745264779</v>
      </c>
      <c r="G77" s="4">
        <v>91.496189330124352</v>
      </c>
      <c r="H77" s="4">
        <v>90.945836701697658</v>
      </c>
      <c r="I77" s="4">
        <v>90.894504612916165</v>
      </c>
      <c r="J77" s="4">
        <v>86.722821323685977</v>
      </c>
      <c r="K77" s="4">
        <v>88.834646466983799</v>
      </c>
    </row>
    <row r="78" spans="1:11" x14ac:dyDescent="0.4">
      <c r="A78" s="22" t="s">
        <v>975</v>
      </c>
      <c r="B78" s="3" t="s">
        <v>993</v>
      </c>
      <c r="C78" s="3" t="s">
        <v>992</v>
      </c>
      <c r="D78" s="3" t="s">
        <v>974</v>
      </c>
      <c r="E78" s="4">
        <v>548000</v>
      </c>
      <c r="F78" s="4">
        <v>614000</v>
      </c>
      <c r="G78" s="4">
        <v>563000</v>
      </c>
      <c r="H78" s="4">
        <v>560000</v>
      </c>
      <c r="I78" s="4">
        <v>551000</v>
      </c>
      <c r="J78" s="4">
        <v>463278.89992029767</v>
      </c>
      <c r="K78" s="4">
        <v>515806.0553453032</v>
      </c>
    </row>
    <row r="79" spans="1:11" x14ac:dyDescent="0.4">
      <c r="A79" s="22" t="s">
        <v>972</v>
      </c>
      <c r="B79" s="3" t="s">
        <v>993</v>
      </c>
      <c r="C79" s="3" t="s">
        <v>992</v>
      </c>
      <c r="D79" s="3" t="s">
        <v>974</v>
      </c>
      <c r="E79" s="4">
        <v>21.481771854174834</v>
      </c>
      <c r="F79" s="4">
        <v>23.734054889833786</v>
      </c>
      <c r="G79" s="4">
        <v>22.583233052547133</v>
      </c>
      <c r="H79" s="4">
        <v>22.635408245755862</v>
      </c>
      <c r="I79" s="4">
        <v>22.101885278780586</v>
      </c>
      <c r="J79" s="4">
        <v>19.730427807515309</v>
      </c>
      <c r="K79" s="4">
        <v>19.743987632984211</v>
      </c>
    </row>
    <row r="80" spans="1:11" x14ac:dyDescent="0.4">
      <c r="A80" s="22" t="s">
        <v>973</v>
      </c>
      <c r="B80" s="3" t="s">
        <v>993</v>
      </c>
      <c r="C80" s="3" t="s">
        <v>992</v>
      </c>
      <c r="D80" s="3" t="s">
        <v>969</v>
      </c>
      <c r="E80" s="4">
        <v>1796000</v>
      </c>
      <c r="F80" s="4">
        <v>1777000</v>
      </c>
      <c r="G80" s="4">
        <v>1718000</v>
      </c>
      <c r="H80" s="4">
        <v>1690000</v>
      </c>
      <c r="I80" s="4">
        <v>1715000</v>
      </c>
      <c r="J80" s="4">
        <v>1459610.1077371249</v>
      </c>
      <c r="K80" s="4">
        <v>1653845.8371780312</v>
      </c>
    </row>
    <row r="81" spans="1:11" x14ac:dyDescent="0.4">
      <c r="A81" s="22" t="s">
        <v>972</v>
      </c>
      <c r="B81" s="3" t="s">
        <v>993</v>
      </c>
      <c r="C81" s="3" t="s">
        <v>992</v>
      </c>
      <c r="D81" s="3" t="s">
        <v>969</v>
      </c>
      <c r="E81" s="4">
        <v>70.403763230105838</v>
      </c>
      <c r="F81" s="4">
        <v>68.689601855431007</v>
      </c>
      <c r="G81" s="4">
        <v>68.912956277577223</v>
      </c>
      <c r="H81" s="4">
        <v>68.310428455941789</v>
      </c>
      <c r="I81" s="4">
        <v>68.79261933413558</v>
      </c>
      <c r="J81" s="4">
        <v>62.16283941008647</v>
      </c>
      <c r="K81" s="4">
        <v>63.305793752742538</v>
      </c>
    </row>
    <row r="82" spans="1:11" x14ac:dyDescent="0.4">
      <c r="A82" s="22" t="s">
        <v>968</v>
      </c>
      <c r="B82" s="3"/>
      <c r="C82" s="3"/>
      <c r="D82" s="3"/>
      <c r="E82" s="4"/>
      <c r="F82" s="4"/>
      <c r="G82" s="4"/>
      <c r="H82" s="4"/>
      <c r="I82" s="4"/>
      <c r="J82" s="4"/>
      <c r="K82" s="4"/>
    </row>
    <row r="83" spans="1:11" x14ac:dyDescent="0.4">
      <c r="A83" s="22" t="s">
        <v>991</v>
      </c>
      <c r="B83" s="3" t="s">
        <v>990</v>
      </c>
      <c r="C83" s="3" t="s">
        <v>989</v>
      </c>
      <c r="D83" s="3"/>
      <c r="E83" s="4">
        <v>18586</v>
      </c>
      <c r="F83" s="4">
        <v>17506</v>
      </c>
      <c r="G83" s="4">
        <v>17378</v>
      </c>
      <c r="H83" s="4">
        <v>17217</v>
      </c>
      <c r="I83" s="4">
        <v>17057</v>
      </c>
      <c r="J83" s="4">
        <v>14558.423273913433</v>
      </c>
      <c r="K83" s="4">
        <v>16234.791308436534</v>
      </c>
    </row>
    <row r="84" spans="1:11" x14ac:dyDescent="0.4">
      <c r="A84" s="22" t="s">
        <v>981</v>
      </c>
      <c r="B84" s="3" t="s">
        <v>990</v>
      </c>
      <c r="C84" s="3" t="s">
        <v>989</v>
      </c>
      <c r="D84" s="3" t="s">
        <v>980</v>
      </c>
      <c r="E84" s="4">
        <v>731</v>
      </c>
      <c r="F84" s="4">
        <v>686</v>
      </c>
      <c r="G84" s="4">
        <v>759</v>
      </c>
      <c r="H84" s="4">
        <v>805</v>
      </c>
      <c r="I84" s="4">
        <v>784</v>
      </c>
      <c r="J84" s="4">
        <v>648.73082527752069</v>
      </c>
      <c r="K84" s="4">
        <v>774.4169846632833</v>
      </c>
    </row>
    <row r="85" spans="1:11" x14ac:dyDescent="0.4">
      <c r="A85" s="22" t="s">
        <v>957</v>
      </c>
      <c r="B85" s="3" t="s">
        <v>990</v>
      </c>
      <c r="C85" s="3" t="s">
        <v>989</v>
      </c>
      <c r="D85" s="3" t="s">
        <v>980</v>
      </c>
      <c r="E85" s="4">
        <v>3.9330679005703217</v>
      </c>
      <c r="F85" s="4">
        <v>3.9186564606420657</v>
      </c>
      <c r="G85" s="4">
        <v>4.3675912072735645</v>
      </c>
      <c r="H85" s="4">
        <v>4.6756113143985596</v>
      </c>
      <c r="I85" s="4">
        <v>4.5963534032948345</v>
      </c>
      <c r="J85" s="4">
        <v>4.4560514079842113</v>
      </c>
      <c r="K85" s="4">
        <v>4.7701074190023727</v>
      </c>
    </row>
    <row r="86" spans="1:11" x14ac:dyDescent="0.4">
      <c r="A86" s="22" t="s">
        <v>975</v>
      </c>
      <c r="B86" s="3" t="s">
        <v>990</v>
      </c>
      <c r="C86" s="3" t="s">
        <v>989</v>
      </c>
      <c r="D86" s="3" t="s">
        <v>979</v>
      </c>
      <c r="E86" s="4">
        <v>47</v>
      </c>
      <c r="F86" s="4">
        <v>44</v>
      </c>
      <c r="G86" s="4">
        <v>61</v>
      </c>
      <c r="H86" s="4">
        <v>63</v>
      </c>
      <c r="I86" s="4">
        <v>63</v>
      </c>
      <c r="J86" s="4">
        <v>50.953962053571431</v>
      </c>
      <c r="K86" s="4">
        <v>78.532525511031238</v>
      </c>
    </row>
    <row r="87" spans="1:11" x14ac:dyDescent="0.4">
      <c r="A87" s="22" t="s">
        <v>972</v>
      </c>
      <c r="B87" s="3" t="s">
        <v>990</v>
      </c>
      <c r="C87" s="3" t="s">
        <v>989</v>
      </c>
      <c r="D87" s="3" t="s">
        <v>979</v>
      </c>
      <c r="E87" s="4">
        <v>0.25287851070698375</v>
      </c>
      <c r="F87" s="4">
        <v>0.25134239689249399</v>
      </c>
      <c r="G87" s="4">
        <v>0.35101852917481874</v>
      </c>
      <c r="H87" s="4">
        <v>0.36591740721380034</v>
      </c>
      <c r="I87" s="4">
        <v>0.36934982705047781</v>
      </c>
      <c r="J87" s="4">
        <v>0.34999643227074934</v>
      </c>
      <c r="K87" s="4">
        <v>0.48372981222260131</v>
      </c>
    </row>
    <row r="88" spans="1:11" x14ac:dyDescent="0.4">
      <c r="A88" s="22" t="s">
        <v>973</v>
      </c>
      <c r="B88" s="3" t="s">
        <v>990</v>
      </c>
      <c r="C88" s="3" t="s">
        <v>989</v>
      </c>
      <c r="D88" s="3" t="s">
        <v>978</v>
      </c>
      <c r="E88" s="4">
        <v>684</v>
      </c>
      <c r="F88" s="4">
        <v>642</v>
      </c>
      <c r="G88" s="4">
        <v>698</v>
      </c>
      <c r="H88" s="4">
        <v>742</v>
      </c>
      <c r="I88" s="4">
        <v>721</v>
      </c>
      <c r="J88" s="4">
        <v>528.66088096221199</v>
      </c>
      <c r="K88" s="4">
        <v>679.3031341326996</v>
      </c>
    </row>
    <row r="89" spans="1:11" x14ac:dyDescent="0.4">
      <c r="A89" s="22" t="s">
        <v>972</v>
      </c>
      <c r="B89" s="3" t="s">
        <v>990</v>
      </c>
      <c r="C89" s="3" t="s">
        <v>989</v>
      </c>
      <c r="D89" s="3" t="s">
        <v>978</v>
      </c>
      <c r="E89" s="4">
        <v>3.680189389863338</v>
      </c>
      <c r="F89" s="4">
        <v>3.6673140637495716</v>
      </c>
      <c r="G89" s="4">
        <v>4.0165726780987452</v>
      </c>
      <c r="H89" s="4">
        <v>4.3096939071847595</v>
      </c>
      <c r="I89" s="4">
        <v>4.227003576244357</v>
      </c>
      <c r="J89" s="4">
        <v>3.6313058839929115</v>
      </c>
      <c r="K89" s="4">
        <v>4.1842430939022579</v>
      </c>
    </row>
    <row r="90" spans="1:11" x14ac:dyDescent="0.4">
      <c r="A90" s="22" t="s">
        <v>977</v>
      </c>
      <c r="B90" s="3" t="s">
        <v>990</v>
      </c>
      <c r="C90" s="3" t="s">
        <v>989</v>
      </c>
      <c r="D90" s="3" t="s">
        <v>976</v>
      </c>
      <c r="E90" s="4">
        <v>17855</v>
      </c>
      <c r="F90" s="4">
        <v>16820</v>
      </c>
      <c r="G90" s="4">
        <v>16619</v>
      </c>
      <c r="H90" s="4">
        <v>16412</v>
      </c>
      <c r="I90" s="4">
        <v>16273</v>
      </c>
      <c r="J90" s="4">
        <v>11976.050312408026</v>
      </c>
      <c r="K90" s="4">
        <v>15514.983942550618</v>
      </c>
    </row>
    <row r="91" spans="1:11" x14ac:dyDescent="0.4">
      <c r="A91" s="22" t="s">
        <v>957</v>
      </c>
      <c r="B91" s="3" t="s">
        <v>990</v>
      </c>
      <c r="C91" s="3" t="s">
        <v>989</v>
      </c>
      <c r="D91" s="3" t="s">
        <v>976</v>
      </c>
      <c r="E91" s="4">
        <v>96.066932099429678</v>
      </c>
      <c r="F91" s="4">
        <v>96.081343539357931</v>
      </c>
      <c r="G91" s="4">
        <v>95.632408792726437</v>
      </c>
      <c r="H91" s="4">
        <v>95.324388685601434</v>
      </c>
      <c r="I91" s="4">
        <v>95.403646596705158</v>
      </c>
      <c r="J91" s="4">
        <v>82.262001090924159</v>
      </c>
      <c r="K91" s="4">
        <v>95.566266592463919</v>
      </c>
    </row>
    <row r="92" spans="1:11" x14ac:dyDescent="0.4">
      <c r="A92" s="22" t="s">
        <v>975</v>
      </c>
      <c r="B92" s="3" t="s">
        <v>990</v>
      </c>
      <c r="C92" s="3" t="s">
        <v>989</v>
      </c>
      <c r="D92" s="3" t="s">
        <v>974</v>
      </c>
      <c r="E92" s="4">
        <v>3247</v>
      </c>
      <c r="F92" s="4">
        <v>3272</v>
      </c>
      <c r="G92" s="4">
        <v>3153</v>
      </c>
      <c r="H92" s="4">
        <v>3069</v>
      </c>
      <c r="I92" s="4">
        <v>2948</v>
      </c>
      <c r="J92" s="4">
        <v>2101.7030124313087</v>
      </c>
      <c r="K92" s="4">
        <v>2604.586662105185</v>
      </c>
    </row>
    <row r="93" spans="1:11" x14ac:dyDescent="0.4">
      <c r="A93" s="22" t="s">
        <v>972</v>
      </c>
      <c r="B93" s="3" t="s">
        <v>990</v>
      </c>
      <c r="C93" s="3" t="s">
        <v>989</v>
      </c>
      <c r="D93" s="3" t="s">
        <v>974</v>
      </c>
      <c r="E93" s="4">
        <v>17.470138814161196</v>
      </c>
      <c r="F93" s="4">
        <v>18.690734605278191</v>
      </c>
      <c r="G93" s="4">
        <v>18.143629876855794</v>
      </c>
      <c r="H93" s="4">
        <v>17.825405122843701</v>
      </c>
      <c r="I93" s="4">
        <v>17.283226827695373</v>
      </c>
      <c r="J93" s="4">
        <v>14.436336771422583</v>
      </c>
      <c r="K93" s="4">
        <v>16.043240794550229</v>
      </c>
    </row>
    <row r="94" spans="1:11" x14ac:dyDescent="0.4">
      <c r="A94" s="22" t="s">
        <v>973</v>
      </c>
      <c r="B94" s="3" t="s">
        <v>990</v>
      </c>
      <c r="C94" s="3" t="s">
        <v>989</v>
      </c>
      <c r="D94" s="3" t="s">
        <v>969</v>
      </c>
      <c r="E94" s="4">
        <v>14608</v>
      </c>
      <c r="F94" s="4">
        <v>13548</v>
      </c>
      <c r="G94" s="4">
        <v>13466</v>
      </c>
      <c r="H94" s="4">
        <v>13343</v>
      </c>
      <c r="I94" s="4">
        <v>13325</v>
      </c>
      <c r="J94" s="4">
        <v>9873.3472999767164</v>
      </c>
      <c r="K94" s="4">
        <v>12910.397280445433</v>
      </c>
    </row>
    <row r="95" spans="1:11" x14ac:dyDescent="0.4">
      <c r="A95" s="22" t="s">
        <v>972</v>
      </c>
      <c r="B95" s="3" t="s">
        <v>990</v>
      </c>
      <c r="C95" s="3" t="s">
        <v>989</v>
      </c>
      <c r="D95" s="3" t="s">
        <v>969</v>
      </c>
      <c r="E95" s="4">
        <v>78.596793285268475</v>
      </c>
      <c r="F95" s="4">
        <v>77.390608934079751</v>
      </c>
      <c r="G95" s="4">
        <v>77.48877891587064</v>
      </c>
      <c r="H95" s="4">
        <v>77.498983562757743</v>
      </c>
      <c r="I95" s="4">
        <v>78.120419769009786</v>
      </c>
      <c r="J95" s="4">
        <v>67.818795443791728</v>
      </c>
      <c r="K95" s="4">
        <v>79.523025797913675</v>
      </c>
    </row>
    <row r="96" spans="1:11" x14ac:dyDescent="0.4">
      <c r="A96" s="22" t="s">
        <v>968</v>
      </c>
      <c r="B96" s="3"/>
      <c r="C96" s="3"/>
      <c r="D96" s="3"/>
      <c r="E96" s="4"/>
      <c r="F96" s="4"/>
      <c r="G96" s="4"/>
      <c r="H96" s="4"/>
      <c r="I96" s="4"/>
      <c r="J96" s="4"/>
      <c r="K96" s="4"/>
    </row>
    <row r="97" spans="1:11" x14ac:dyDescent="0.4">
      <c r="A97" s="22" t="s">
        <v>988</v>
      </c>
      <c r="B97" s="3" t="s">
        <v>987</v>
      </c>
      <c r="C97" s="3" t="s">
        <v>986</v>
      </c>
      <c r="D97" s="3"/>
      <c r="E97" s="4">
        <v>8795000</v>
      </c>
      <c r="F97" s="4">
        <v>10407000</v>
      </c>
      <c r="G97" s="4">
        <v>11614000</v>
      </c>
      <c r="H97" s="4">
        <v>12338000</v>
      </c>
      <c r="I97" s="4">
        <v>13190000</v>
      </c>
      <c r="J97" s="4">
        <v>14121493.254448202</v>
      </c>
      <c r="K97" s="4">
        <v>15319715.580445534</v>
      </c>
    </row>
    <row r="98" spans="1:11" x14ac:dyDescent="0.4">
      <c r="A98" s="22" t="s">
        <v>981</v>
      </c>
      <c r="B98" s="3" t="s">
        <v>987</v>
      </c>
      <c r="C98" s="3" t="s">
        <v>986</v>
      </c>
      <c r="D98" s="3" t="s">
        <v>980</v>
      </c>
      <c r="E98" s="4">
        <v>4470000</v>
      </c>
      <c r="F98" s="4">
        <v>4990000</v>
      </c>
      <c r="G98" s="4">
        <v>5817000</v>
      </c>
      <c r="H98" s="4">
        <v>6206000</v>
      </c>
      <c r="I98" s="4">
        <v>6541000</v>
      </c>
      <c r="J98" s="4">
        <v>6897677.8837505206</v>
      </c>
      <c r="K98" s="4">
        <v>7443908.0436286908</v>
      </c>
    </row>
    <row r="99" spans="1:11" x14ac:dyDescent="0.4">
      <c r="A99" s="22" t="s">
        <v>957</v>
      </c>
      <c r="B99" s="3" t="s">
        <v>987</v>
      </c>
      <c r="C99" s="3" t="s">
        <v>986</v>
      </c>
      <c r="D99" s="3" t="s">
        <v>980</v>
      </c>
      <c r="E99" s="4">
        <v>50.824332006822061</v>
      </c>
      <c r="F99" s="4">
        <v>47.948496204477756</v>
      </c>
      <c r="G99" s="4">
        <v>50.08610297916308</v>
      </c>
      <c r="H99" s="4">
        <v>50.2998865294213</v>
      </c>
      <c r="I99" s="4">
        <v>49.590598938589842</v>
      </c>
      <c r="J99" s="4">
        <v>48.845244334042263</v>
      </c>
      <c r="K99" s="4">
        <v>48.590380183887227</v>
      </c>
    </row>
    <row r="100" spans="1:11" x14ac:dyDescent="0.4">
      <c r="A100" s="22" t="s">
        <v>975</v>
      </c>
      <c r="B100" s="3" t="s">
        <v>987</v>
      </c>
      <c r="C100" s="3" t="s">
        <v>986</v>
      </c>
      <c r="D100" s="3" t="s">
        <v>979</v>
      </c>
      <c r="E100" s="4">
        <v>1957000</v>
      </c>
      <c r="F100" s="4">
        <v>2259000</v>
      </c>
      <c r="G100" s="4">
        <v>2772000</v>
      </c>
      <c r="H100" s="4">
        <v>2983000</v>
      </c>
      <c r="I100" s="4">
        <v>3152000</v>
      </c>
      <c r="J100" s="4">
        <v>3147576.024322052</v>
      </c>
      <c r="K100" s="4">
        <v>3558080.6472983081</v>
      </c>
    </row>
    <row r="101" spans="1:11" x14ac:dyDescent="0.4">
      <c r="A101" s="22" t="s">
        <v>972</v>
      </c>
      <c r="B101" s="3" t="s">
        <v>987</v>
      </c>
      <c r="C101" s="3" t="s">
        <v>986</v>
      </c>
      <c r="D101" s="3" t="s">
        <v>979</v>
      </c>
      <c r="E101" s="4">
        <v>22.251279135872654</v>
      </c>
      <c r="F101" s="4">
        <v>21.706543672528106</v>
      </c>
      <c r="G101" s="4">
        <v>23.86774582400551</v>
      </c>
      <c r="H101" s="4">
        <v>24.177338304425351</v>
      </c>
      <c r="I101" s="4">
        <v>23.896891584533737</v>
      </c>
      <c r="J101" s="4">
        <v>22.289257712392288</v>
      </c>
      <c r="K101" s="4">
        <v>23.225500686448324</v>
      </c>
    </row>
    <row r="102" spans="1:11" x14ac:dyDescent="0.4">
      <c r="A102" s="22" t="s">
        <v>973</v>
      </c>
      <c r="B102" s="3" t="s">
        <v>987</v>
      </c>
      <c r="C102" s="3" t="s">
        <v>986</v>
      </c>
      <c r="D102" s="3" t="s">
        <v>978</v>
      </c>
      <c r="E102" s="4">
        <v>2513000</v>
      </c>
      <c r="F102" s="4">
        <v>2731000</v>
      </c>
      <c r="G102" s="4">
        <v>3045000</v>
      </c>
      <c r="H102" s="4">
        <v>3223000</v>
      </c>
      <c r="I102" s="4">
        <v>3389000</v>
      </c>
      <c r="J102" s="4">
        <v>3360220.7483173576</v>
      </c>
      <c r="K102" s="4">
        <v>3857565.0330339693</v>
      </c>
    </row>
    <row r="103" spans="1:11" x14ac:dyDescent="0.4">
      <c r="A103" s="22" t="s">
        <v>972</v>
      </c>
      <c r="B103" s="3" t="s">
        <v>987</v>
      </c>
      <c r="C103" s="3" t="s">
        <v>986</v>
      </c>
      <c r="D103" s="3" t="s">
        <v>978</v>
      </c>
      <c r="E103" s="4">
        <v>28.573052870949404</v>
      </c>
      <c r="F103" s="4">
        <v>26.24195253194965</v>
      </c>
      <c r="G103" s="4">
        <v>26.21835715515757</v>
      </c>
      <c r="H103" s="4">
        <v>26.122548224995949</v>
      </c>
      <c r="I103" s="4">
        <v>25.693707354056102</v>
      </c>
      <c r="J103" s="4">
        <v>23.795080929270028</v>
      </c>
      <c r="K103" s="4">
        <v>25.180395894280579</v>
      </c>
    </row>
    <row r="104" spans="1:11" x14ac:dyDescent="0.4">
      <c r="A104" s="22" t="s">
        <v>977</v>
      </c>
      <c r="B104" s="3" t="s">
        <v>987</v>
      </c>
      <c r="C104" s="3" t="s">
        <v>986</v>
      </c>
      <c r="D104" s="3" t="s">
        <v>976</v>
      </c>
      <c r="E104" s="4">
        <v>4325000</v>
      </c>
      <c r="F104" s="4">
        <v>5417000</v>
      </c>
      <c r="G104" s="4">
        <v>5790000</v>
      </c>
      <c r="H104" s="4">
        <v>6131000</v>
      </c>
      <c r="I104" s="4">
        <v>6649000</v>
      </c>
      <c r="J104" s="4">
        <v>6841327.5078057842</v>
      </c>
      <c r="K104" s="4">
        <v>7788258.5375727247</v>
      </c>
    </row>
    <row r="105" spans="1:11" x14ac:dyDescent="0.4">
      <c r="A105" s="22" t="s">
        <v>957</v>
      </c>
      <c r="B105" s="3" t="s">
        <v>987</v>
      </c>
      <c r="C105" s="3" t="s">
        <v>986</v>
      </c>
      <c r="D105" s="3" t="s">
        <v>976</v>
      </c>
      <c r="E105" s="4">
        <v>49.175667993177939</v>
      </c>
      <c r="F105" s="4">
        <v>52.051503795522244</v>
      </c>
      <c r="G105" s="4">
        <v>49.853624935422765</v>
      </c>
      <c r="H105" s="4">
        <v>49.692008429242989</v>
      </c>
      <c r="I105" s="4">
        <v>50.409401061410158</v>
      </c>
      <c r="J105" s="4">
        <v>48.446204551709144</v>
      </c>
      <c r="K105" s="4">
        <v>50.838140542986665</v>
      </c>
    </row>
    <row r="106" spans="1:11" x14ac:dyDescent="0.4">
      <c r="A106" s="22" t="s">
        <v>975</v>
      </c>
      <c r="B106" s="3" t="s">
        <v>987</v>
      </c>
      <c r="C106" s="3" t="s">
        <v>986</v>
      </c>
      <c r="D106" s="3" t="s">
        <v>974</v>
      </c>
      <c r="E106" s="4">
        <v>2126000</v>
      </c>
      <c r="F106" s="4">
        <v>2694000</v>
      </c>
      <c r="G106" s="4">
        <v>2928000</v>
      </c>
      <c r="H106" s="4">
        <v>3150000</v>
      </c>
      <c r="I106" s="4">
        <v>3316000</v>
      </c>
      <c r="J106" s="4">
        <v>3384047.160515286</v>
      </c>
      <c r="K106" s="4">
        <v>3828505.5577319884</v>
      </c>
    </row>
    <row r="107" spans="1:11" x14ac:dyDescent="0.4">
      <c r="A107" s="22" t="s">
        <v>972</v>
      </c>
      <c r="B107" s="3" t="s">
        <v>987</v>
      </c>
      <c r="C107" s="3" t="s">
        <v>986</v>
      </c>
      <c r="D107" s="3" t="s">
        <v>974</v>
      </c>
      <c r="E107" s="4">
        <v>24.172825469016487</v>
      </c>
      <c r="F107" s="4">
        <v>25.88642260017296</v>
      </c>
      <c r="G107" s="4">
        <v>25.210952298949543</v>
      </c>
      <c r="H107" s="4">
        <v>25.530880207489059</v>
      </c>
      <c r="I107" s="4">
        <v>25.140257771038666</v>
      </c>
      <c r="J107" s="4">
        <v>23.963805381908376</v>
      </c>
      <c r="K107" s="4">
        <v>24.990709113547695</v>
      </c>
    </row>
    <row r="108" spans="1:11" x14ac:dyDescent="0.4">
      <c r="A108" s="22" t="s">
        <v>973</v>
      </c>
      <c r="B108" s="3" t="s">
        <v>987</v>
      </c>
      <c r="C108" s="3" t="s">
        <v>986</v>
      </c>
      <c r="D108" s="3" t="s">
        <v>969</v>
      </c>
      <c r="E108" s="4">
        <v>2199000</v>
      </c>
      <c r="F108" s="4">
        <v>2723000</v>
      </c>
      <c r="G108" s="4">
        <v>2862000</v>
      </c>
      <c r="H108" s="4">
        <v>2981000</v>
      </c>
      <c r="I108" s="4">
        <v>3334000</v>
      </c>
      <c r="J108" s="4">
        <v>3433255.8163787466</v>
      </c>
      <c r="K108" s="4">
        <v>3983686.1214609621</v>
      </c>
    </row>
    <row r="109" spans="1:11" x14ac:dyDescent="0.4">
      <c r="A109" s="22" t="s">
        <v>972</v>
      </c>
      <c r="B109" s="3" t="s">
        <v>987</v>
      </c>
      <c r="C109" s="3" t="s">
        <v>986</v>
      </c>
      <c r="D109" s="3" t="s">
        <v>969</v>
      </c>
      <c r="E109" s="4">
        <v>25.002842524161455</v>
      </c>
      <c r="F109" s="4">
        <v>26.165081195349284</v>
      </c>
      <c r="G109" s="4">
        <v>24.642672636473222</v>
      </c>
      <c r="H109" s="4">
        <v>24.16112822175393</v>
      </c>
      <c r="I109" s="4">
        <v>25.27672479150872</v>
      </c>
      <c r="J109" s="4">
        <v>24.312271758493303</v>
      </c>
      <c r="K109" s="4">
        <v>26.003655880830046</v>
      </c>
    </row>
    <row r="110" spans="1:11" x14ac:dyDescent="0.4">
      <c r="A110" s="22" t="s">
        <v>968</v>
      </c>
      <c r="B110" s="3"/>
      <c r="C110" s="3"/>
      <c r="D110" s="3"/>
      <c r="E110" s="4"/>
      <c r="F110" s="4"/>
      <c r="G110" s="4"/>
      <c r="H110" s="4"/>
      <c r="I110" s="4"/>
      <c r="J110" s="4"/>
      <c r="K110" s="4"/>
    </row>
    <row r="111" spans="1:11" x14ac:dyDescent="0.4">
      <c r="A111" s="22" t="s">
        <v>985</v>
      </c>
      <c r="B111" s="3" t="s">
        <v>984</v>
      </c>
      <c r="C111" s="3" t="s">
        <v>983</v>
      </c>
      <c r="D111" s="3"/>
      <c r="E111" s="4">
        <v>987</v>
      </c>
      <c r="F111" s="4">
        <v>1003</v>
      </c>
      <c r="G111" s="4">
        <v>3614</v>
      </c>
      <c r="H111" s="4" t="s">
        <v>953</v>
      </c>
      <c r="I111" s="4" t="s">
        <v>953</v>
      </c>
      <c r="J111" s="4" t="s">
        <v>953</v>
      </c>
      <c r="K111" s="4" t="s">
        <v>953</v>
      </c>
    </row>
    <row r="112" spans="1:11" x14ac:dyDescent="0.4">
      <c r="A112" s="22" t="s">
        <v>981</v>
      </c>
      <c r="B112" s="3" t="s">
        <v>984</v>
      </c>
      <c r="C112" s="3" t="s">
        <v>983</v>
      </c>
      <c r="D112" s="3" t="s">
        <v>980</v>
      </c>
      <c r="E112" s="4">
        <v>987</v>
      </c>
      <c r="F112" s="4">
        <v>1003</v>
      </c>
      <c r="G112" s="4" t="s">
        <v>953</v>
      </c>
      <c r="H112" s="4" t="s">
        <v>953</v>
      </c>
      <c r="I112" s="4" t="s">
        <v>953</v>
      </c>
      <c r="J112" s="4" t="s">
        <v>953</v>
      </c>
      <c r="K112" s="4" t="s">
        <v>953</v>
      </c>
    </row>
    <row r="113" spans="1:11" x14ac:dyDescent="0.4">
      <c r="A113" s="22" t="s">
        <v>957</v>
      </c>
      <c r="B113" s="3" t="s">
        <v>984</v>
      </c>
      <c r="C113" s="3" t="s">
        <v>983</v>
      </c>
      <c r="D113" s="3" t="s">
        <v>980</v>
      </c>
      <c r="E113" s="4">
        <v>100</v>
      </c>
      <c r="F113" s="4">
        <v>100</v>
      </c>
      <c r="G113" s="4" t="s">
        <v>953</v>
      </c>
      <c r="H113" s="4" t="s">
        <v>953</v>
      </c>
      <c r="I113" s="4" t="s">
        <v>953</v>
      </c>
      <c r="J113" s="4" t="s">
        <v>953</v>
      </c>
      <c r="K113" s="4" t="s">
        <v>953</v>
      </c>
    </row>
    <row r="114" spans="1:11" x14ac:dyDescent="0.4">
      <c r="A114" s="22" t="s">
        <v>975</v>
      </c>
      <c r="B114" s="3" t="s">
        <v>984</v>
      </c>
      <c r="C114" s="3" t="s">
        <v>983</v>
      </c>
      <c r="D114" s="3" t="s">
        <v>979</v>
      </c>
      <c r="E114" s="4">
        <v>277</v>
      </c>
      <c r="F114" s="4">
        <v>279</v>
      </c>
      <c r="G114" s="4" t="s">
        <v>953</v>
      </c>
      <c r="H114" s="4" t="s">
        <v>953</v>
      </c>
      <c r="I114" s="4" t="s">
        <v>953</v>
      </c>
      <c r="J114" s="4" t="s">
        <v>953</v>
      </c>
      <c r="K114" s="4" t="s">
        <v>953</v>
      </c>
    </row>
    <row r="115" spans="1:11" x14ac:dyDescent="0.4">
      <c r="A115" s="22" t="s">
        <v>972</v>
      </c>
      <c r="B115" s="3" t="s">
        <v>984</v>
      </c>
      <c r="C115" s="3" t="s">
        <v>983</v>
      </c>
      <c r="D115" s="3" t="s">
        <v>979</v>
      </c>
      <c r="E115" s="4">
        <v>28.06484295845998</v>
      </c>
      <c r="F115" s="4">
        <v>27.81655034895314</v>
      </c>
      <c r="G115" s="4" t="s">
        <v>953</v>
      </c>
      <c r="H115" s="4" t="s">
        <v>953</v>
      </c>
      <c r="I115" s="4" t="s">
        <v>953</v>
      </c>
      <c r="J115" s="4" t="s">
        <v>953</v>
      </c>
      <c r="K115" s="4" t="s">
        <v>953</v>
      </c>
    </row>
    <row r="116" spans="1:11" x14ac:dyDescent="0.4">
      <c r="A116" s="22" t="s">
        <v>973</v>
      </c>
      <c r="B116" s="3" t="s">
        <v>984</v>
      </c>
      <c r="C116" s="3" t="s">
        <v>983</v>
      </c>
      <c r="D116" s="3" t="s">
        <v>978</v>
      </c>
      <c r="E116" s="4">
        <v>710</v>
      </c>
      <c r="F116" s="4">
        <v>724</v>
      </c>
      <c r="G116" s="4" t="s">
        <v>953</v>
      </c>
      <c r="H116" s="4" t="s">
        <v>953</v>
      </c>
      <c r="I116" s="4" t="s">
        <v>953</v>
      </c>
      <c r="J116" s="4" t="s">
        <v>953</v>
      </c>
      <c r="K116" s="4" t="s">
        <v>953</v>
      </c>
    </row>
    <row r="117" spans="1:11" x14ac:dyDescent="0.4">
      <c r="A117" s="22" t="s">
        <v>972</v>
      </c>
      <c r="B117" s="3" t="s">
        <v>984</v>
      </c>
      <c r="C117" s="3" t="s">
        <v>983</v>
      </c>
      <c r="D117" s="3" t="s">
        <v>978</v>
      </c>
      <c r="E117" s="4">
        <v>71.935157041540023</v>
      </c>
      <c r="F117" s="4">
        <v>72.183449651046857</v>
      </c>
      <c r="G117" s="4" t="s">
        <v>953</v>
      </c>
      <c r="H117" s="4" t="s">
        <v>953</v>
      </c>
      <c r="I117" s="4" t="s">
        <v>953</v>
      </c>
      <c r="J117" s="4" t="s">
        <v>953</v>
      </c>
      <c r="K117" s="4" t="s">
        <v>953</v>
      </c>
    </row>
    <row r="118" spans="1:11" x14ac:dyDescent="0.4">
      <c r="A118" s="22" t="s">
        <v>977</v>
      </c>
      <c r="B118" s="3" t="s">
        <v>984</v>
      </c>
      <c r="C118" s="3" t="s">
        <v>983</v>
      </c>
      <c r="D118" s="3" t="s">
        <v>976</v>
      </c>
      <c r="E118" s="4">
        <v>2143</v>
      </c>
      <c r="F118" s="4">
        <v>2445</v>
      </c>
      <c r="G118" s="4" t="s">
        <v>953</v>
      </c>
      <c r="H118" s="4" t="s">
        <v>953</v>
      </c>
      <c r="I118" s="4" t="s">
        <v>953</v>
      </c>
      <c r="J118" s="4" t="s">
        <v>953</v>
      </c>
      <c r="K118" s="4" t="s">
        <v>953</v>
      </c>
    </row>
    <row r="119" spans="1:11" x14ac:dyDescent="0.4">
      <c r="A119" s="22" t="s">
        <v>957</v>
      </c>
      <c r="B119" s="3" t="s">
        <v>984</v>
      </c>
      <c r="C119" s="3" t="s">
        <v>983</v>
      </c>
      <c r="D119" s="3" t="s">
        <v>976</v>
      </c>
      <c r="E119" s="4">
        <v>217.12259371833841</v>
      </c>
      <c r="F119" s="4">
        <v>243.76869391824528</v>
      </c>
      <c r="G119" s="4" t="s">
        <v>953</v>
      </c>
      <c r="H119" s="4" t="s">
        <v>953</v>
      </c>
      <c r="I119" s="4" t="s">
        <v>953</v>
      </c>
      <c r="J119" s="4" t="s">
        <v>953</v>
      </c>
      <c r="K119" s="4" t="s">
        <v>953</v>
      </c>
    </row>
    <row r="120" spans="1:11" x14ac:dyDescent="0.4">
      <c r="A120" s="22" t="s">
        <v>975</v>
      </c>
      <c r="B120" s="3" t="s">
        <v>984</v>
      </c>
      <c r="C120" s="3" t="s">
        <v>983</v>
      </c>
      <c r="D120" s="3" t="s">
        <v>974</v>
      </c>
      <c r="E120" s="4">
        <v>533</v>
      </c>
      <c r="F120" s="4">
        <v>690</v>
      </c>
      <c r="G120" s="4" t="s">
        <v>953</v>
      </c>
      <c r="H120" s="4" t="s">
        <v>953</v>
      </c>
      <c r="I120" s="4" t="s">
        <v>953</v>
      </c>
      <c r="J120" s="4" t="s">
        <v>953</v>
      </c>
      <c r="K120" s="4" t="s">
        <v>953</v>
      </c>
    </row>
    <row r="121" spans="1:11" x14ac:dyDescent="0.4">
      <c r="A121" s="22" t="s">
        <v>972</v>
      </c>
      <c r="B121" s="3" t="s">
        <v>984</v>
      </c>
      <c r="C121" s="3" t="s">
        <v>983</v>
      </c>
      <c r="D121" s="3" t="s">
        <v>974</v>
      </c>
      <c r="E121" s="4">
        <v>54.002026342451877</v>
      </c>
      <c r="F121" s="4">
        <v>68.793619142572282</v>
      </c>
      <c r="G121" s="4" t="s">
        <v>953</v>
      </c>
      <c r="H121" s="4" t="s">
        <v>953</v>
      </c>
      <c r="I121" s="4" t="s">
        <v>953</v>
      </c>
      <c r="J121" s="4" t="s">
        <v>953</v>
      </c>
      <c r="K121" s="4" t="s">
        <v>953</v>
      </c>
    </row>
    <row r="122" spans="1:11" x14ac:dyDescent="0.4">
      <c r="A122" s="22" t="s">
        <v>973</v>
      </c>
      <c r="B122" s="3" t="s">
        <v>984</v>
      </c>
      <c r="C122" s="3" t="s">
        <v>983</v>
      </c>
      <c r="D122" s="3" t="s">
        <v>969</v>
      </c>
      <c r="E122" s="4">
        <v>1610</v>
      </c>
      <c r="F122" s="4">
        <v>1755</v>
      </c>
      <c r="G122" s="4" t="s">
        <v>953</v>
      </c>
      <c r="H122" s="4" t="s">
        <v>953</v>
      </c>
      <c r="I122" s="4" t="s">
        <v>953</v>
      </c>
      <c r="J122" s="4" t="s">
        <v>953</v>
      </c>
      <c r="K122" s="4" t="s">
        <v>953</v>
      </c>
    </row>
    <row r="123" spans="1:11" x14ac:dyDescent="0.4">
      <c r="A123" s="22" t="s">
        <v>972</v>
      </c>
      <c r="B123" s="3" t="s">
        <v>984</v>
      </c>
      <c r="C123" s="3" t="s">
        <v>983</v>
      </c>
      <c r="D123" s="3" t="s">
        <v>969</v>
      </c>
      <c r="E123" s="4">
        <v>163.12056737588654</v>
      </c>
      <c r="F123" s="4">
        <v>174.97507477567299</v>
      </c>
      <c r="G123" s="4" t="s">
        <v>953</v>
      </c>
      <c r="H123" s="4" t="s">
        <v>953</v>
      </c>
      <c r="I123" s="4" t="s">
        <v>953</v>
      </c>
      <c r="J123" s="4" t="s">
        <v>953</v>
      </c>
      <c r="K123" s="4" t="s">
        <v>953</v>
      </c>
    </row>
    <row r="124" spans="1:11" x14ac:dyDescent="0.4">
      <c r="A124" s="22" t="s">
        <v>968</v>
      </c>
      <c r="B124" s="3"/>
      <c r="C124" s="3"/>
      <c r="D124" s="3"/>
      <c r="E124" s="4"/>
      <c r="F124" s="4"/>
      <c r="G124" s="4"/>
      <c r="H124" s="4"/>
      <c r="I124" s="4"/>
      <c r="J124" s="4"/>
      <c r="K124" s="4"/>
    </row>
    <row r="125" spans="1:11" x14ac:dyDescent="0.4">
      <c r="A125" s="22" t="s">
        <v>982</v>
      </c>
      <c r="B125" s="3" t="s">
        <v>971</v>
      </c>
      <c r="C125" s="3" t="s">
        <v>970</v>
      </c>
      <c r="D125" s="3"/>
      <c r="E125" s="4">
        <v>1141</v>
      </c>
      <c r="F125" s="4">
        <v>1181</v>
      </c>
      <c r="G125" s="4">
        <v>4053</v>
      </c>
      <c r="H125" s="4" t="s">
        <v>953</v>
      </c>
      <c r="I125" s="4" t="s">
        <v>953</v>
      </c>
      <c r="J125" s="4" t="s">
        <v>953</v>
      </c>
      <c r="K125" s="4" t="s">
        <v>953</v>
      </c>
    </row>
    <row r="126" spans="1:11" x14ac:dyDescent="0.4">
      <c r="A126" s="22" t="s">
        <v>981</v>
      </c>
      <c r="B126" s="3" t="s">
        <v>971</v>
      </c>
      <c r="C126" s="3" t="s">
        <v>970</v>
      </c>
      <c r="D126" s="3" t="s">
        <v>980</v>
      </c>
      <c r="E126" s="4">
        <v>1141</v>
      </c>
      <c r="F126" s="4">
        <v>1181</v>
      </c>
      <c r="G126" s="4" t="s">
        <v>953</v>
      </c>
      <c r="H126" s="4" t="s">
        <v>953</v>
      </c>
      <c r="I126" s="4" t="s">
        <v>953</v>
      </c>
      <c r="J126" s="4" t="s">
        <v>953</v>
      </c>
      <c r="K126" s="4" t="s">
        <v>953</v>
      </c>
    </row>
    <row r="127" spans="1:11" x14ac:dyDescent="0.4">
      <c r="A127" s="22" t="s">
        <v>957</v>
      </c>
      <c r="B127" s="3" t="s">
        <v>971</v>
      </c>
      <c r="C127" s="3" t="s">
        <v>970</v>
      </c>
      <c r="D127" s="3" t="s">
        <v>980</v>
      </c>
      <c r="E127" s="4">
        <v>100</v>
      </c>
      <c r="F127" s="4">
        <v>100</v>
      </c>
      <c r="G127" s="4" t="s">
        <v>953</v>
      </c>
      <c r="H127" s="4" t="s">
        <v>953</v>
      </c>
      <c r="I127" s="4" t="s">
        <v>953</v>
      </c>
      <c r="J127" s="4" t="s">
        <v>953</v>
      </c>
      <c r="K127" s="4" t="s">
        <v>953</v>
      </c>
    </row>
    <row r="128" spans="1:11" x14ac:dyDescent="0.4">
      <c r="A128" s="22" t="s">
        <v>975</v>
      </c>
      <c r="B128" s="3" t="s">
        <v>971</v>
      </c>
      <c r="C128" s="3" t="s">
        <v>970</v>
      </c>
      <c r="D128" s="3" t="s">
        <v>979</v>
      </c>
      <c r="E128" s="4">
        <v>343</v>
      </c>
      <c r="F128" s="4">
        <v>361</v>
      </c>
      <c r="G128" s="4" t="s">
        <v>953</v>
      </c>
      <c r="H128" s="4" t="s">
        <v>953</v>
      </c>
      <c r="I128" s="4" t="s">
        <v>953</v>
      </c>
      <c r="J128" s="4" t="s">
        <v>953</v>
      </c>
      <c r="K128" s="4" t="s">
        <v>953</v>
      </c>
    </row>
    <row r="129" spans="1:11" x14ac:dyDescent="0.4">
      <c r="A129" s="22" t="s">
        <v>972</v>
      </c>
      <c r="B129" s="3" t="s">
        <v>971</v>
      </c>
      <c r="C129" s="3" t="s">
        <v>970</v>
      </c>
      <c r="D129" s="3" t="s">
        <v>979</v>
      </c>
      <c r="E129" s="4">
        <v>30.061349693251532</v>
      </c>
      <c r="F129" s="4">
        <v>30.567315834038951</v>
      </c>
      <c r="G129" s="4" t="s">
        <v>953</v>
      </c>
      <c r="H129" s="4" t="s">
        <v>953</v>
      </c>
      <c r="I129" s="4" t="s">
        <v>953</v>
      </c>
      <c r="J129" s="4" t="s">
        <v>953</v>
      </c>
      <c r="K129" s="4" t="s">
        <v>953</v>
      </c>
    </row>
    <row r="130" spans="1:11" x14ac:dyDescent="0.4">
      <c r="A130" s="22" t="s">
        <v>973</v>
      </c>
      <c r="B130" s="3" t="s">
        <v>971</v>
      </c>
      <c r="C130" s="3" t="s">
        <v>970</v>
      </c>
      <c r="D130" s="3" t="s">
        <v>978</v>
      </c>
      <c r="E130" s="4">
        <v>798</v>
      </c>
      <c r="F130" s="4">
        <v>820</v>
      </c>
      <c r="G130" s="4" t="s">
        <v>953</v>
      </c>
      <c r="H130" s="4" t="s">
        <v>953</v>
      </c>
      <c r="I130" s="4" t="s">
        <v>953</v>
      </c>
      <c r="J130" s="4" t="s">
        <v>953</v>
      </c>
      <c r="K130" s="4" t="s">
        <v>953</v>
      </c>
    </row>
    <row r="131" spans="1:11" x14ac:dyDescent="0.4">
      <c r="A131" s="22" t="s">
        <v>972</v>
      </c>
      <c r="B131" s="3" t="s">
        <v>971</v>
      </c>
      <c r="C131" s="3" t="s">
        <v>970</v>
      </c>
      <c r="D131" s="3" t="s">
        <v>978</v>
      </c>
      <c r="E131" s="4">
        <v>69.938650306748471</v>
      </c>
      <c r="F131" s="4">
        <v>69.432684165961049</v>
      </c>
      <c r="G131" s="4" t="s">
        <v>953</v>
      </c>
      <c r="H131" s="4" t="s">
        <v>953</v>
      </c>
      <c r="I131" s="4" t="s">
        <v>953</v>
      </c>
      <c r="J131" s="4" t="s">
        <v>953</v>
      </c>
      <c r="K131" s="4" t="s">
        <v>953</v>
      </c>
    </row>
    <row r="132" spans="1:11" x14ac:dyDescent="0.4">
      <c r="A132" s="22" t="s">
        <v>977</v>
      </c>
      <c r="B132" s="3" t="s">
        <v>971</v>
      </c>
      <c r="C132" s="3" t="s">
        <v>970</v>
      </c>
      <c r="D132" s="3" t="s">
        <v>976</v>
      </c>
      <c r="E132" s="4">
        <v>2353</v>
      </c>
      <c r="F132" s="4">
        <v>2654</v>
      </c>
      <c r="G132" s="4" t="s">
        <v>953</v>
      </c>
      <c r="H132" s="4" t="s">
        <v>953</v>
      </c>
      <c r="I132" s="4" t="s">
        <v>953</v>
      </c>
      <c r="J132" s="4" t="s">
        <v>953</v>
      </c>
      <c r="K132" s="4" t="s">
        <v>953</v>
      </c>
    </row>
    <row r="133" spans="1:11" x14ac:dyDescent="0.4">
      <c r="A133" s="22" t="s">
        <v>957</v>
      </c>
      <c r="B133" s="3" t="s">
        <v>971</v>
      </c>
      <c r="C133" s="3" t="s">
        <v>970</v>
      </c>
      <c r="D133" s="3" t="s">
        <v>976</v>
      </c>
      <c r="E133" s="4">
        <v>206.22261174408413</v>
      </c>
      <c r="F133" s="4">
        <v>224.72480948348857</v>
      </c>
      <c r="G133" s="4" t="s">
        <v>953</v>
      </c>
      <c r="H133" s="4" t="s">
        <v>953</v>
      </c>
      <c r="I133" s="4" t="s">
        <v>953</v>
      </c>
      <c r="J133" s="4" t="s">
        <v>953</v>
      </c>
      <c r="K133" s="4" t="s">
        <v>953</v>
      </c>
    </row>
    <row r="134" spans="1:11" x14ac:dyDescent="0.4">
      <c r="A134" s="22" t="s">
        <v>975</v>
      </c>
      <c r="B134" s="3" t="s">
        <v>971</v>
      </c>
      <c r="C134" s="3" t="s">
        <v>970</v>
      </c>
      <c r="D134" s="3" t="s">
        <v>974</v>
      </c>
      <c r="E134" s="4">
        <v>656</v>
      </c>
      <c r="F134" s="4">
        <v>779</v>
      </c>
      <c r="G134" s="4" t="s">
        <v>953</v>
      </c>
      <c r="H134" s="4" t="s">
        <v>953</v>
      </c>
      <c r="I134" s="4" t="s">
        <v>953</v>
      </c>
      <c r="J134" s="4" t="s">
        <v>953</v>
      </c>
      <c r="K134" s="4" t="s">
        <v>953</v>
      </c>
    </row>
    <row r="135" spans="1:11" x14ac:dyDescent="0.4">
      <c r="A135" s="22" t="s">
        <v>972</v>
      </c>
      <c r="B135" s="3" t="s">
        <v>971</v>
      </c>
      <c r="C135" s="3" t="s">
        <v>970</v>
      </c>
      <c r="D135" s="3" t="s">
        <v>974</v>
      </c>
      <c r="E135" s="4">
        <v>57.49342681858019</v>
      </c>
      <c r="F135" s="4">
        <v>65.961049957662993</v>
      </c>
      <c r="G135" s="4" t="s">
        <v>953</v>
      </c>
      <c r="H135" s="4" t="s">
        <v>953</v>
      </c>
      <c r="I135" s="4" t="s">
        <v>953</v>
      </c>
      <c r="J135" s="4" t="s">
        <v>953</v>
      </c>
      <c r="K135" s="4" t="s">
        <v>953</v>
      </c>
    </row>
    <row r="136" spans="1:11" x14ac:dyDescent="0.4">
      <c r="A136" s="22" t="s">
        <v>973</v>
      </c>
      <c r="B136" s="3" t="s">
        <v>971</v>
      </c>
      <c r="C136" s="3" t="s">
        <v>970</v>
      </c>
      <c r="D136" s="3" t="s">
        <v>969</v>
      </c>
      <c r="E136" s="4">
        <v>1697</v>
      </c>
      <c r="F136" s="4">
        <v>1875</v>
      </c>
      <c r="G136" s="4" t="s">
        <v>953</v>
      </c>
      <c r="H136" s="4" t="s">
        <v>953</v>
      </c>
      <c r="I136" s="4" t="s">
        <v>953</v>
      </c>
      <c r="J136" s="4" t="s">
        <v>953</v>
      </c>
      <c r="K136" s="4" t="s">
        <v>953</v>
      </c>
    </row>
    <row r="137" spans="1:11" x14ac:dyDescent="0.4">
      <c r="A137" s="22" t="s">
        <v>972</v>
      </c>
      <c r="B137" s="3" t="s">
        <v>971</v>
      </c>
      <c r="C137" s="3" t="s">
        <v>970</v>
      </c>
      <c r="D137" s="3" t="s">
        <v>969</v>
      </c>
      <c r="E137" s="4">
        <v>148.72918492550394</v>
      </c>
      <c r="F137" s="4">
        <v>158.76375952582558</v>
      </c>
      <c r="G137" s="4" t="s">
        <v>953</v>
      </c>
      <c r="H137" s="4" t="s">
        <v>953</v>
      </c>
      <c r="I137" s="4" t="s">
        <v>953</v>
      </c>
      <c r="J137" s="4" t="s">
        <v>953</v>
      </c>
      <c r="K137" s="4" t="s">
        <v>953</v>
      </c>
    </row>
    <row r="138" spans="1:11" x14ac:dyDescent="0.4">
      <c r="A138" s="22" t="s">
        <v>968</v>
      </c>
      <c r="B138" s="3"/>
      <c r="C138" s="3"/>
      <c r="D138" s="3"/>
      <c r="E138" s="4"/>
      <c r="F138" s="4"/>
      <c r="G138" s="4"/>
      <c r="H138" s="4"/>
      <c r="I138" s="4"/>
      <c r="J138" s="4"/>
      <c r="K138" s="4"/>
    </row>
    <row r="139" spans="1:11" x14ac:dyDescent="0.4">
      <c r="A139" s="22" t="s">
        <v>967</v>
      </c>
      <c r="B139" s="3" t="s">
        <v>956</v>
      </c>
      <c r="C139" s="3" t="s">
        <v>955</v>
      </c>
      <c r="D139" s="3"/>
      <c r="E139" s="4">
        <v>28510</v>
      </c>
      <c r="F139" s="4">
        <v>32472</v>
      </c>
      <c r="G139" s="4">
        <v>39605</v>
      </c>
      <c r="H139" s="4">
        <v>44950</v>
      </c>
      <c r="I139" s="4">
        <v>49690</v>
      </c>
      <c r="J139" s="4">
        <v>55338.680583874528</v>
      </c>
      <c r="K139" s="4">
        <v>61379.117137192115</v>
      </c>
    </row>
    <row r="140" spans="1:11" x14ac:dyDescent="0.4">
      <c r="A140" s="22" t="s">
        <v>966</v>
      </c>
      <c r="B140" s="3" t="s">
        <v>956</v>
      </c>
      <c r="C140" s="3" t="s">
        <v>955</v>
      </c>
      <c r="D140" s="3" t="s">
        <v>965</v>
      </c>
      <c r="E140" s="4">
        <v>9804</v>
      </c>
      <c r="F140" s="4">
        <v>11475</v>
      </c>
      <c r="G140" s="4">
        <v>13361</v>
      </c>
      <c r="H140" s="4">
        <v>14826</v>
      </c>
      <c r="I140" s="4">
        <v>16114</v>
      </c>
      <c r="J140" s="4">
        <v>17441.082559297534</v>
      </c>
      <c r="K140" s="4">
        <v>19035.733181072676</v>
      </c>
    </row>
    <row r="141" spans="1:11" x14ac:dyDescent="0.4">
      <c r="A141" s="22" t="s">
        <v>957</v>
      </c>
      <c r="B141" s="3" t="s">
        <v>956</v>
      </c>
      <c r="C141" s="3" t="s">
        <v>955</v>
      </c>
      <c r="D141" s="3" t="s">
        <v>965</v>
      </c>
      <c r="E141" s="4">
        <v>34.387934058225184</v>
      </c>
      <c r="F141" s="4">
        <v>35.338137472283812</v>
      </c>
      <c r="G141" s="4">
        <v>33.735639439464713</v>
      </c>
      <c r="H141" s="4">
        <v>32.983314794215794</v>
      </c>
      <c r="I141" s="4">
        <v>32.429060173073054</v>
      </c>
      <c r="J141" s="4">
        <v>31.516983013107467</v>
      </c>
      <c r="K141" s="4">
        <v>31.013370782972935</v>
      </c>
    </row>
    <row r="142" spans="1:11" x14ac:dyDescent="0.4">
      <c r="A142" s="22" t="s">
        <v>964</v>
      </c>
      <c r="B142" s="3" t="s">
        <v>956</v>
      </c>
      <c r="C142" s="3" t="s">
        <v>955</v>
      </c>
      <c r="D142" s="3" t="s">
        <v>963</v>
      </c>
      <c r="E142" s="4">
        <v>10975</v>
      </c>
      <c r="F142" s="4">
        <v>12792</v>
      </c>
      <c r="G142" s="4">
        <v>14438</v>
      </c>
      <c r="H142" s="4">
        <v>16007</v>
      </c>
      <c r="I142" s="4">
        <v>17714</v>
      </c>
      <c r="J142" s="4">
        <v>19682.179842474477</v>
      </c>
      <c r="K142" s="4">
        <v>21741.203615262606</v>
      </c>
    </row>
    <row r="143" spans="1:11" x14ac:dyDescent="0.4">
      <c r="A143" s="22" t="s">
        <v>957</v>
      </c>
      <c r="B143" s="3" t="s">
        <v>956</v>
      </c>
      <c r="C143" s="3" t="s">
        <v>955</v>
      </c>
      <c r="D143" s="3" t="s">
        <v>963</v>
      </c>
      <c r="E143" s="4">
        <v>38.49526481936163</v>
      </c>
      <c r="F143" s="4">
        <v>39.393939393939391</v>
      </c>
      <c r="G143" s="4">
        <v>36.454993056432272</v>
      </c>
      <c r="H143" s="4">
        <v>35.610678531701893</v>
      </c>
      <c r="I143" s="4">
        <v>35.649023948480583</v>
      </c>
      <c r="J143" s="4">
        <v>35.56676746682281</v>
      </c>
      <c r="K143" s="4">
        <v>35.421173567334883</v>
      </c>
    </row>
    <row r="144" spans="1:11" x14ac:dyDescent="0.4">
      <c r="A144" s="22" t="s">
        <v>962</v>
      </c>
      <c r="B144" s="3" t="s">
        <v>956</v>
      </c>
      <c r="C144" s="3" t="s">
        <v>955</v>
      </c>
      <c r="D144" s="3" t="s">
        <v>961</v>
      </c>
      <c r="E144" s="4">
        <v>6299</v>
      </c>
      <c r="F144" s="4">
        <v>6530</v>
      </c>
      <c r="G144" s="4">
        <v>9815</v>
      </c>
      <c r="H144" s="4">
        <v>11638</v>
      </c>
      <c r="I144" s="4">
        <v>12665</v>
      </c>
      <c r="J144" s="4">
        <v>14250.691855213017</v>
      </c>
      <c r="K144" s="4">
        <v>15946.453984754933</v>
      </c>
    </row>
    <row r="145" spans="1:11" x14ac:dyDescent="0.4">
      <c r="A145" s="22" t="s">
        <v>957</v>
      </c>
      <c r="B145" s="3" t="s">
        <v>956</v>
      </c>
      <c r="C145" s="3" t="s">
        <v>955</v>
      </c>
      <c r="D145" s="3" t="s">
        <v>961</v>
      </c>
      <c r="E145" s="4">
        <v>22.09400210452473</v>
      </c>
      <c r="F145" s="4">
        <v>20.109632914510964</v>
      </c>
      <c r="G145" s="4">
        <v>24.782224466607751</v>
      </c>
      <c r="H145" s="4">
        <v>25.89098998887653</v>
      </c>
      <c r="I145" s="4">
        <v>25.488025759710204</v>
      </c>
      <c r="J145" s="4">
        <v>25.751773813280277</v>
      </c>
      <c r="K145" s="4">
        <v>25.980259620079032</v>
      </c>
    </row>
    <row r="146" spans="1:11" x14ac:dyDescent="0.4">
      <c r="A146" s="22" t="s">
        <v>960</v>
      </c>
      <c r="B146" s="3" t="s">
        <v>956</v>
      </c>
      <c r="C146" s="3" t="s">
        <v>955</v>
      </c>
      <c r="D146" s="3" t="s">
        <v>959</v>
      </c>
      <c r="E146" s="4">
        <v>1432</v>
      </c>
      <c r="F146" s="4">
        <v>1675</v>
      </c>
      <c r="G146" s="4">
        <v>1991</v>
      </c>
      <c r="H146" s="4">
        <v>2479</v>
      </c>
      <c r="I146" s="4">
        <v>3197</v>
      </c>
      <c r="J146" s="4">
        <v>3953.9583967017743</v>
      </c>
      <c r="K146" s="4">
        <v>4641.0993828043529</v>
      </c>
    </row>
    <row r="147" spans="1:11" x14ac:dyDescent="0.4">
      <c r="A147" s="22" t="s">
        <v>957</v>
      </c>
      <c r="B147" s="3" t="s">
        <v>956</v>
      </c>
      <c r="C147" s="3" t="s">
        <v>955</v>
      </c>
      <c r="D147" s="3" t="s">
        <v>959</v>
      </c>
      <c r="E147" s="4">
        <v>5.0227990178884605</v>
      </c>
      <c r="F147" s="4">
        <v>5.1582902192658286</v>
      </c>
      <c r="G147" s="4">
        <v>5.0271430374952661</v>
      </c>
      <c r="H147" s="4">
        <v>5.5150166852057838</v>
      </c>
      <c r="I147" s="4">
        <v>6.4338901187361639</v>
      </c>
      <c r="J147" s="4">
        <v>7.1450174723788811</v>
      </c>
      <c r="K147" s="4">
        <v>7.5613654924862406</v>
      </c>
    </row>
    <row r="148" spans="1:11" x14ac:dyDescent="0.4">
      <c r="A148" s="22" t="s">
        <v>958</v>
      </c>
      <c r="B148" s="3" t="s">
        <v>956</v>
      </c>
      <c r="C148" s="3" t="s">
        <v>955</v>
      </c>
      <c r="D148" s="3" t="s">
        <v>954</v>
      </c>
      <c r="E148" s="4" t="s">
        <v>953</v>
      </c>
      <c r="F148" s="4" t="s">
        <v>953</v>
      </c>
      <c r="G148" s="4" t="s">
        <v>953</v>
      </c>
      <c r="H148" s="4" t="s">
        <v>953</v>
      </c>
      <c r="I148" s="4" t="s">
        <v>953</v>
      </c>
      <c r="J148" s="4" t="s">
        <v>953</v>
      </c>
      <c r="K148" s="4" t="s">
        <v>953</v>
      </c>
    </row>
    <row r="149" spans="1:11" x14ac:dyDescent="0.4">
      <c r="A149" s="22" t="s">
        <v>957</v>
      </c>
      <c r="B149" s="3" t="s">
        <v>956</v>
      </c>
      <c r="C149" s="3" t="s">
        <v>955</v>
      </c>
      <c r="D149" s="3" t="s">
        <v>954</v>
      </c>
      <c r="E149" s="4" t="s">
        <v>953</v>
      </c>
      <c r="F149" s="4" t="s">
        <v>953</v>
      </c>
      <c r="G149" s="4" t="s">
        <v>953</v>
      </c>
      <c r="H149" s="4" t="s">
        <v>953</v>
      </c>
      <c r="I149" s="4" t="s">
        <v>953</v>
      </c>
      <c r="J149" s="4" t="s">
        <v>953</v>
      </c>
      <c r="K149" s="4" t="s">
        <v>953</v>
      </c>
    </row>
    <row r="150" spans="1:11" x14ac:dyDescent="0.4">
      <c r="A150" s="25" t="s">
        <v>952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</sheetData>
  <phoneticPr fontId="3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280-6EC0-4FAB-A6EF-31192C98E271}">
  <dimension ref="A1:K83"/>
  <sheetViews>
    <sheetView zoomScale="86" workbookViewId="0">
      <selection activeCell="H18" sqref="H18"/>
    </sheetView>
  </sheetViews>
  <sheetFormatPr defaultRowHeight="17.399999999999999" x14ac:dyDescent="0.4"/>
  <cols>
    <col min="1" max="1" width="34.19921875" customWidth="1"/>
    <col min="2" max="4" width="0" hidden="1" customWidth="1"/>
    <col min="5" max="11" width="19" customWidth="1"/>
  </cols>
  <sheetData>
    <row r="1" spans="1:11" ht="21" x14ac:dyDescent="0.4">
      <c r="A1" s="6" t="s">
        <v>1022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4">
      <c r="A2" s="1" t="s">
        <v>1021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4">
      <c r="A3" s="8" t="s">
        <v>1020</v>
      </c>
      <c r="B3" s="8"/>
      <c r="C3" s="8"/>
      <c r="D3" s="8"/>
      <c r="E3" s="8" t="s">
        <v>1019</v>
      </c>
      <c r="F3" s="8" t="s">
        <v>1018</v>
      </c>
      <c r="G3" s="8" t="s">
        <v>1017</v>
      </c>
      <c r="H3" s="8" t="s">
        <v>1016</v>
      </c>
      <c r="I3" s="8" t="s">
        <v>1015</v>
      </c>
      <c r="J3" s="8" t="s">
        <v>1014</v>
      </c>
      <c r="K3" s="8" t="s">
        <v>1013</v>
      </c>
    </row>
    <row r="4" spans="1:11" x14ac:dyDescent="0.4">
      <c r="A4" s="10" t="s">
        <v>1012</v>
      </c>
      <c r="B4" s="10" t="s">
        <v>1011</v>
      </c>
      <c r="C4" s="10" t="s">
        <v>1010</v>
      </c>
      <c r="D4" s="10" t="s">
        <v>1009</v>
      </c>
      <c r="E4" s="2">
        <v>44104</v>
      </c>
      <c r="F4" s="2">
        <v>44469</v>
      </c>
      <c r="G4" s="2">
        <v>44834</v>
      </c>
      <c r="H4" s="2">
        <v>45199</v>
      </c>
      <c r="I4" s="2">
        <v>45565</v>
      </c>
      <c r="J4" s="2">
        <v>45930</v>
      </c>
      <c r="K4" s="2">
        <v>46295</v>
      </c>
    </row>
    <row r="5" spans="1:11" x14ac:dyDescent="0.4">
      <c r="A5" s="22" t="s">
        <v>1050</v>
      </c>
      <c r="B5" s="3"/>
      <c r="C5" s="3"/>
      <c r="D5" s="3" t="s">
        <v>965</v>
      </c>
      <c r="E5" s="4"/>
      <c r="F5" s="4"/>
      <c r="G5" s="4"/>
      <c r="H5" s="4"/>
      <c r="I5" s="4"/>
      <c r="J5" s="4"/>
      <c r="K5" s="4"/>
    </row>
    <row r="6" spans="1:11" x14ac:dyDescent="0.4">
      <c r="A6" s="22" t="s">
        <v>1044</v>
      </c>
      <c r="B6" s="3" t="s">
        <v>20</v>
      </c>
      <c r="C6" s="3" t="s">
        <v>1007</v>
      </c>
      <c r="D6" s="3" t="s">
        <v>965</v>
      </c>
      <c r="E6" s="4">
        <v>9804</v>
      </c>
      <c r="F6" s="4">
        <v>11475</v>
      </c>
      <c r="G6" s="4">
        <v>13361</v>
      </c>
      <c r="H6" s="4">
        <v>14826</v>
      </c>
      <c r="I6" s="4">
        <v>16114</v>
      </c>
      <c r="J6" s="4" t="s">
        <v>953</v>
      </c>
      <c r="K6" s="4" t="s">
        <v>953</v>
      </c>
    </row>
    <row r="7" spans="1:11" x14ac:dyDescent="0.4">
      <c r="A7" s="22" t="s">
        <v>1046</v>
      </c>
      <c r="B7" s="3" t="s">
        <v>1005</v>
      </c>
      <c r="C7" s="3" t="s">
        <v>1004</v>
      </c>
      <c r="D7" s="3" t="s">
        <v>965</v>
      </c>
      <c r="E7" s="4" t="s">
        <v>953</v>
      </c>
      <c r="F7" s="4" t="s">
        <v>953</v>
      </c>
      <c r="G7" s="4" t="s">
        <v>953</v>
      </c>
      <c r="H7" s="4" t="s">
        <v>953</v>
      </c>
      <c r="I7" s="4" t="s">
        <v>953</v>
      </c>
      <c r="J7" s="4" t="s">
        <v>953</v>
      </c>
      <c r="K7" s="4" t="s">
        <v>953</v>
      </c>
    </row>
    <row r="8" spans="1:11" x14ac:dyDescent="0.4">
      <c r="A8" s="22" t="s">
        <v>1043</v>
      </c>
      <c r="B8" s="3" t="s">
        <v>956</v>
      </c>
      <c r="C8" s="3" t="s">
        <v>955</v>
      </c>
      <c r="D8" s="3" t="s">
        <v>965</v>
      </c>
      <c r="E8" s="4">
        <v>9804</v>
      </c>
      <c r="F8" s="4">
        <v>11475</v>
      </c>
      <c r="G8" s="4">
        <v>13361</v>
      </c>
      <c r="H8" s="4">
        <v>14826</v>
      </c>
      <c r="I8" s="4">
        <v>16114</v>
      </c>
      <c r="J8" s="4">
        <v>17441.082559297534</v>
      </c>
      <c r="K8" s="4">
        <v>19035.733181072676</v>
      </c>
    </row>
    <row r="9" spans="1:11" x14ac:dyDescent="0.4">
      <c r="A9" s="22" t="s">
        <v>1049</v>
      </c>
      <c r="B9" s="3"/>
      <c r="C9" s="3"/>
      <c r="D9" s="3" t="s">
        <v>963</v>
      </c>
      <c r="E9" s="4"/>
      <c r="F9" s="4"/>
      <c r="G9" s="4"/>
      <c r="H9" s="4"/>
      <c r="I9" s="4"/>
      <c r="J9" s="4"/>
      <c r="K9" s="4"/>
    </row>
    <row r="10" spans="1:11" x14ac:dyDescent="0.4">
      <c r="A10" s="22" t="s">
        <v>1044</v>
      </c>
      <c r="B10" s="3" t="s">
        <v>20</v>
      </c>
      <c r="C10" s="3" t="s">
        <v>1007</v>
      </c>
      <c r="D10" s="3" t="s">
        <v>963</v>
      </c>
      <c r="E10" s="4">
        <v>10975</v>
      </c>
      <c r="F10" s="4">
        <v>12792</v>
      </c>
      <c r="G10" s="4">
        <v>14438</v>
      </c>
      <c r="H10" s="4">
        <v>16007</v>
      </c>
      <c r="I10" s="4">
        <v>17714</v>
      </c>
      <c r="J10" s="4" t="s">
        <v>953</v>
      </c>
      <c r="K10" s="4" t="s">
        <v>953</v>
      </c>
    </row>
    <row r="11" spans="1:11" x14ac:dyDescent="0.4">
      <c r="A11" s="22" t="s">
        <v>1046</v>
      </c>
      <c r="B11" s="3" t="s">
        <v>1005</v>
      </c>
      <c r="C11" s="3" t="s">
        <v>1004</v>
      </c>
      <c r="D11" s="3" t="s">
        <v>963</v>
      </c>
      <c r="E11" s="4" t="s">
        <v>953</v>
      </c>
      <c r="F11" s="4" t="s">
        <v>953</v>
      </c>
      <c r="G11" s="4" t="s">
        <v>953</v>
      </c>
      <c r="H11" s="4" t="s">
        <v>953</v>
      </c>
      <c r="I11" s="4" t="s">
        <v>953</v>
      </c>
      <c r="J11" s="4" t="s">
        <v>953</v>
      </c>
      <c r="K11" s="4" t="s">
        <v>953</v>
      </c>
    </row>
    <row r="12" spans="1:11" x14ac:dyDescent="0.4">
      <c r="A12" s="22" t="s">
        <v>1043</v>
      </c>
      <c r="B12" s="3" t="s">
        <v>956</v>
      </c>
      <c r="C12" s="3" t="s">
        <v>955</v>
      </c>
      <c r="D12" s="3" t="s">
        <v>963</v>
      </c>
      <c r="E12" s="4">
        <v>10975</v>
      </c>
      <c r="F12" s="4">
        <v>12792</v>
      </c>
      <c r="G12" s="4">
        <v>14438</v>
      </c>
      <c r="H12" s="4">
        <v>16007</v>
      </c>
      <c r="I12" s="4">
        <v>17714</v>
      </c>
      <c r="J12" s="4">
        <v>19682.179842474477</v>
      </c>
      <c r="K12" s="4">
        <v>21741.203615262606</v>
      </c>
    </row>
    <row r="13" spans="1:11" x14ac:dyDescent="0.4">
      <c r="A13" s="22" t="s">
        <v>1048</v>
      </c>
      <c r="B13" s="3"/>
      <c r="C13" s="3"/>
      <c r="D13" s="3" t="s">
        <v>961</v>
      </c>
      <c r="E13" s="4"/>
      <c r="F13" s="4"/>
      <c r="G13" s="4"/>
      <c r="H13" s="4"/>
      <c r="I13" s="4"/>
      <c r="J13" s="4"/>
      <c r="K13" s="4"/>
    </row>
    <row r="14" spans="1:11" x14ac:dyDescent="0.4">
      <c r="A14" s="22" t="s">
        <v>1044</v>
      </c>
      <c r="B14" s="3" t="s">
        <v>20</v>
      </c>
      <c r="C14" s="3" t="s">
        <v>1007</v>
      </c>
      <c r="D14" s="3" t="s">
        <v>961</v>
      </c>
      <c r="E14" s="4">
        <v>6299</v>
      </c>
      <c r="F14" s="4">
        <v>6530</v>
      </c>
      <c r="G14" s="4">
        <v>9815</v>
      </c>
      <c r="H14" s="4">
        <v>11638</v>
      </c>
      <c r="I14" s="4">
        <v>12665</v>
      </c>
      <c r="J14" s="4" t="s">
        <v>953</v>
      </c>
      <c r="K14" s="4" t="s">
        <v>953</v>
      </c>
    </row>
    <row r="15" spans="1:11" x14ac:dyDescent="0.4">
      <c r="A15" s="22" t="s">
        <v>1046</v>
      </c>
      <c r="B15" s="3" t="s">
        <v>1005</v>
      </c>
      <c r="C15" s="3" t="s">
        <v>1004</v>
      </c>
      <c r="D15" s="3" t="s">
        <v>961</v>
      </c>
      <c r="E15" s="4" t="s">
        <v>953</v>
      </c>
      <c r="F15" s="89">
        <f>(F14-E14)/E14</f>
        <v>3.6672487696459755E-2</v>
      </c>
      <c r="G15" s="89">
        <f t="shared" ref="G15:I15" si="0">(G14-F14)/F14</f>
        <v>0.50306278713629404</v>
      </c>
      <c r="H15" s="89">
        <f t="shared" si="0"/>
        <v>0.18573611818644931</v>
      </c>
      <c r="I15" s="89">
        <f t="shared" si="0"/>
        <v>8.8245402990204502E-2</v>
      </c>
      <c r="J15" s="4" t="s">
        <v>953</v>
      </c>
      <c r="K15" s="4" t="s">
        <v>953</v>
      </c>
    </row>
    <row r="16" spans="1:11" x14ac:dyDescent="0.4">
      <c r="A16" s="22" t="s">
        <v>1043</v>
      </c>
      <c r="B16" s="3" t="s">
        <v>956</v>
      </c>
      <c r="C16" s="3" t="s">
        <v>955</v>
      </c>
      <c r="D16" s="3" t="s">
        <v>961</v>
      </c>
      <c r="E16" s="4">
        <v>6299</v>
      </c>
      <c r="F16" s="4">
        <v>6530</v>
      </c>
      <c r="G16" s="4">
        <v>9815</v>
      </c>
      <c r="H16" s="4">
        <v>11638</v>
      </c>
      <c r="I16" s="4">
        <v>12665</v>
      </c>
      <c r="J16" s="4">
        <v>14250.691855213017</v>
      </c>
      <c r="K16" s="4">
        <v>15946.453984754933</v>
      </c>
    </row>
    <row r="17" spans="1:11" x14ac:dyDescent="0.4">
      <c r="A17" s="22" t="s">
        <v>1047</v>
      </c>
      <c r="B17" s="3"/>
      <c r="C17" s="3"/>
      <c r="D17" s="3" t="s">
        <v>959</v>
      </c>
      <c r="E17" s="4"/>
      <c r="F17" s="4"/>
      <c r="G17" s="4"/>
      <c r="H17" s="4"/>
      <c r="I17" s="4"/>
      <c r="J17" s="4"/>
      <c r="K17" s="4"/>
    </row>
    <row r="18" spans="1:11" x14ac:dyDescent="0.4">
      <c r="A18" s="22" t="s">
        <v>1044</v>
      </c>
      <c r="B18" s="3" t="s">
        <v>20</v>
      </c>
      <c r="C18" s="3" t="s">
        <v>1007</v>
      </c>
      <c r="D18" s="3" t="s">
        <v>959</v>
      </c>
      <c r="E18" s="4">
        <v>1432</v>
      </c>
      <c r="F18" s="4">
        <v>1675</v>
      </c>
      <c r="G18" s="4">
        <v>1991</v>
      </c>
      <c r="H18" s="4">
        <v>2479</v>
      </c>
      <c r="I18" s="4">
        <v>3197</v>
      </c>
      <c r="J18" s="4" t="s">
        <v>953</v>
      </c>
      <c r="K18" s="4" t="s">
        <v>953</v>
      </c>
    </row>
    <row r="19" spans="1:11" x14ac:dyDescent="0.4">
      <c r="A19" s="22" t="s">
        <v>1046</v>
      </c>
      <c r="B19" s="3" t="s">
        <v>1005</v>
      </c>
      <c r="C19" s="3" t="s">
        <v>1004</v>
      </c>
      <c r="D19" s="3" t="s">
        <v>959</v>
      </c>
      <c r="E19" s="4" t="s">
        <v>953</v>
      </c>
      <c r="F19" s="4" t="s">
        <v>953</v>
      </c>
      <c r="G19" s="4" t="s">
        <v>953</v>
      </c>
      <c r="H19" s="4" t="s">
        <v>953</v>
      </c>
      <c r="I19" s="4" t="s">
        <v>953</v>
      </c>
      <c r="J19" s="4" t="s">
        <v>953</v>
      </c>
      <c r="K19" s="4" t="s">
        <v>953</v>
      </c>
    </row>
    <row r="20" spans="1:11" x14ac:dyDescent="0.4">
      <c r="A20" s="22" t="s">
        <v>1043</v>
      </c>
      <c r="B20" s="3" t="s">
        <v>956</v>
      </c>
      <c r="C20" s="3" t="s">
        <v>955</v>
      </c>
      <c r="D20" s="3" t="s">
        <v>959</v>
      </c>
      <c r="E20" s="4">
        <v>1432</v>
      </c>
      <c r="F20" s="4">
        <v>1675</v>
      </c>
      <c r="G20" s="4">
        <v>1991</v>
      </c>
      <c r="H20" s="4">
        <v>2479</v>
      </c>
      <c r="I20" s="4">
        <v>3197</v>
      </c>
      <c r="J20" s="4">
        <v>3953.9583967017743</v>
      </c>
      <c r="K20" s="4">
        <v>4641.0993828043529</v>
      </c>
    </row>
    <row r="21" spans="1:11" x14ac:dyDescent="0.4">
      <c r="A21" s="22" t="s">
        <v>1045</v>
      </c>
      <c r="B21" s="3"/>
      <c r="C21" s="3"/>
      <c r="D21" s="3" t="s">
        <v>954</v>
      </c>
      <c r="E21" s="4"/>
      <c r="F21" s="4"/>
      <c r="G21" s="4"/>
      <c r="H21" s="4"/>
      <c r="I21" s="4"/>
      <c r="J21" s="4"/>
      <c r="K21" s="4"/>
    </row>
    <row r="22" spans="1:11" x14ac:dyDescent="0.4">
      <c r="A22" s="22" t="s">
        <v>1044</v>
      </c>
      <c r="B22" s="3" t="s">
        <v>20</v>
      </c>
      <c r="C22" s="3" t="s">
        <v>1007</v>
      </c>
      <c r="D22" s="3" t="s">
        <v>954</v>
      </c>
      <c r="E22" s="4">
        <v>-6664</v>
      </c>
      <c r="F22" s="4">
        <v>-8367</v>
      </c>
      <c r="G22" s="4">
        <v>-10295</v>
      </c>
      <c r="H22" s="4">
        <v>-12297</v>
      </c>
      <c r="I22" s="4">
        <v>-13764</v>
      </c>
      <c r="J22" s="4" t="s">
        <v>953</v>
      </c>
      <c r="K22" s="4" t="s">
        <v>953</v>
      </c>
    </row>
    <row r="23" spans="1:11" x14ac:dyDescent="0.4">
      <c r="A23" s="22" t="s">
        <v>1043</v>
      </c>
      <c r="B23" s="3" t="s">
        <v>956</v>
      </c>
      <c r="C23" s="3" t="s">
        <v>955</v>
      </c>
      <c r="D23" s="3" t="s">
        <v>954</v>
      </c>
      <c r="E23" s="4" t="s">
        <v>953</v>
      </c>
      <c r="F23" s="4" t="s">
        <v>953</v>
      </c>
      <c r="G23" s="4" t="s">
        <v>953</v>
      </c>
      <c r="H23" s="4" t="s">
        <v>953</v>
      </c>
      <c r="I23" s="4" t="s">
        <v>953</v>
      </c>
      <c r="J23" s="4" t="s">
        <v>953</v>
      </c>
      <c r="K23" s="4" t="s">
        <v>953</v>
      </c>
    </row>
    <row r="24" spans="1:11" x14ac:dyDescent="0.4">
      <c r="A24" s="22" t="s">
        <v>1042</v>
      </c>
      <c r="B24" s="3"/>
      <c r="C24" s="3"/>
      <c r="D24" s="3" t="s">
        <v>980</v>
      </c>
      <c r="E24" s="4"/>
      <c r="F24" s="4"/>
      <c r="G24" s="4"/>
      <c r="H24" s="4"/>
      <c r="I24" s="4"/>
      <c r="J24" s="4"/>
      <c r="K24" s="4"/>
    </row>
    <row r="25" spans="1:11" x14ac:dyDescent="0.4">
      <c r="A25" s="22" t="s">
        <v>1040</v>
      </c>
      <c r="B25" s="3" t="s">
        <v>1002</v>
      </c>
      <c r="C25" s="3" t="s">
        <v>1001</v>
      </c>
      <c r="D25" s="3" t="s">
        <v>980</v>
      </c>
      <c r="E25" s="93">
        <v>4677000</v>
      </c>
      <c r="F25" s="93">
        <v>5186000</v>
      </c>
      <c r="G25" s="93">
        <v>6028000</v>
      </c>
      <c r="H25" s="93">
        <v>6430000</v>
      </c>
      <c r="I25" s="93">
        <v>6768000</v>
      </c>
      <c r="J25" s="93">
        <v>6512282.6812930014</v>
      </c>
      <c r="K25" s="93">
        <v>7571001.0321092596</v>
      </c>
    </row>
    <row r="26" spans="1:11" x14ac:dyDescent="0.4">
      <c r="A26" s="22" t="s">
        <v>1039</v>
      </c>
      <c r="B26" s="3" t="s">
        <v>999</v>
      </c>
      <c r="C26" s="3" t="s">
        <v>998</v>
      </c>
      <c r="D26" s="3" t="s">
        <v>980</v>
      </c>
      <c r="E26" s="93">
        <v>-6.8</v>
      </c>
      <c r="F26" s="93">
        <v>8.7000000000000011</v>
      </c>
      <c r="G26" s="93">
        <v>20</v>
      </c>
      <c r="H26" s="93">
        <v>10</v>
      </c>
      <c r="I26" s="93">
        <v>7.3</v>
      </c>
      <c r="J26" s="93" t="s">
        <v>953</v>
      </c>
      <c r="K26" s="93" t="s">
        <v>953</v>
      </c>
    </row>
    <row r="27" spans="1:11" x14ac:dyDescent="0.4">
      <c r="A27" s="22" t="s">
        <v>1038</v>
      </c>
      <c r="B27" s="3" t="s">
        <v>996</v>
      </c>
      <c r="C27" s="3" t="s">
        <v>995</v>
      </c>
      <c r="D27" s="3" t="s">
        <v>980</v>
      </c>
      <c r="E27" s="93">
        <v>65945</v>
      </c>
      <c r="F27" s="93">
        <v>73467</v>
      </c>
      <c r="G27" s="93">
        <v>85789</v>
      </c>
      <c r="H27" s="93">
        <v>93947</v>
      </c>
      <c r="I27" s="93">
        <v>103782</v>
      </c>
      <c r="J27" s="93">
        <v>113972.35280813194</v>
      </c>
      <c r="K27" s="93">
        <v>124630.56348031788</v>
      </c>
    </row>
    <row r="28" spans="1:11" x14ac:dyDescent="0.4">
      <c r="A28" s="22" t="s">
        <v>1037</v>
      </c>
      <c r="B28" s="3" t="s">
        <v>993</v>
      </c>
      <c r="C28" s="3" t="s">
        <v>992</v>
      </c>
      <c r="D28" s="3" t="s">
        <v>980</v>
      </c>
      <c r="E28" s="93">
        <v>207000</v>
      </c>
      <c r="F28" s="93">
        <v>197000</v>
      </c>
      <c r="G28" s="93">
        <v>212000</v>
      </c>
      <c r="H28" s="93">
        <v>224000</v>
      </c>
      <c r="I28" s="93">
        <v>227000</v>
      </c>
      <c r="J28" s="93">
        <v>195778.49761874546</v>
      </c>
      <c r="K28" s="93">
        <v>236344.5863734585</v>
      </c>
    </row>
    <row r="29" spans="1:11" x14ac:dyDescent="0.4">
      <c r="A29" s="22" t="s">
        <v>1036</v>
      </c>
      <c r="B29" s="3" t="s">
        <v>990</v>
      </c>
      <c r="C29" s="3" t="s">
        <v>989</v>
      </c>
      <c r="D29" s="3" t="s">
        <v>980</v>
      </c>
      <c r="E29" s="93">
        <v>731</v>
      </c>
      <c r="F29" s="93">
        <v>686</v>
      </c>
      <c r="G29" s="93">
        <v>759</v>
      </c>
      <c r="H29" s="93">
        <v>805</v>
      </c>
      <c r="I29" s="93">
        <v>784</v>
      </c>
      <c r="J29" s="93">
        <v>648.73082527752069</v>
      </c>
      <c r="K29" s="93">
        <v>774.4169846632833</v>
      </c>
    </row>
    <row r="30" spans="1:11" x14ac:dyDescent="0.4">
      <c r="A30" s="22" t="s">
        <v>1035</v>
      </c>
      <c r="B30" s="3" t="s">
        <v>987</v>
      </c>
      <c r="C30" s="3" t="s">
        <v>986</v>
      </c>
      <c r="D30" s="3" t="s">
        <v>980</v>
      </c>
      <c r="E30" s="93">
        <v>4470000</v>
      </c>
      <c r="F30" s="93">
        <v>4990000</v>
      </c>
      <c r="G30" s="93">
        <v>5817000</v>
      </c>
      <c r="H30" s="93">
        <v>6206000</v>
      </c>
      <c r="I30" s="93">
        <v>6541000</v>
      </c>
      <c r="J30" s="93">
        <v>6897677.8837505206</v>
      </c>
      <c r="K30" s="93">
        <v>7443908.0436286908</v>
      </c>
    </row>
    <row r="31" spans="1:11" x14ac:dyDescent="0.4">
      <c r="A31" s="22" t="s">
        <v>1034</v>
      </c>
      <c r="B31" s="3" t="s">
        <v>984</v>
      </c>
      <c r="C31" s="3" t="s">
        <v>983</v>
      </c>
      <c r="D31" s="3" t="s">
        <v>980</v>
      </c>
      <c r="E31" s="93">
        <v>987</v>
      </c>
      <c r="F31" s="93">
        <v>1003</v>
      </c>
      <c r="G31" s="93" t="s">
        <v>953</v>
      </c>
      <c r="H31" s="93" t="s">
        <v>953</v>
      </c>
      <c r="I31" s="93" t="s">
        <v>953</v>
      </c>
      <c r="J31" s="93" t="s">
        <v>953</v>
      </c>
      <c r="K31" s="93" t="s">
        <v>953</v>
      </c>
    </row>
    <row r="32" spans="1:11" x14ac:dyDescent="0.4">
      <c r="A32" s="22" t="s">
        <v>1033</v>
      </c>
      <c r="B32" s="3" t="s">
        <v>971</v>
      </c>
      <c r="C32" s="3" t="s">
        <v>970</v>
      </c>
      <c r="D32" s="3" t="s">
        <v>980</v>
      </c>
      <c r="E32" s="93">
        <v>1141</v>
      </c>
      <c r="F32" s="93">
        <v>1181</v>
      </c>
      <c r="G32" s="93" t="s">
        <v>953</v>
      </c>
      <c r="H32" s="93" t="s">
        <v>953</v>
      </c>
      <c r="I32" s="93" t="s">
        <v>953</v>
      </c>
      <c r="J32" s="93" t="s">
        <v>953</v>
      </c>
      <c r="K32" s="93" t="s">
        <v>953</v>
      </c>
    </row>
    <row r="33" spans="1:11" x14ac:dyDescent="0.4">
      <c r="A33" s="22" t="s">
        <v>1032</v>
      </c>
      <c r="B33" s="3"/>
      <c r="C33" s="3"/>
      <c r="D33" s="3" t="s">
        <v>979</v>
      </c>
      <c r="E33" s="93"/>
      <c r="F33" s="93"/>
      <c r="G33" s="93"/>
      <c r="H33" s="93"/>
      <c r="I33" s="93"/>
      <c r="J33" s="93"/>
      <c r="K33" s="93"/>
    </row>
    <row r="34" spans="1:11" x14ac:dyDescent="0.4">
      <c r="A34" s="22" t="s">
        <v>1030</v>
      </c>
      <c r="B34" s="3" t="s">
        <v>1002</v>
      </c>
      <c r="C34" s="3" t="s">
        <v>1001</v>
      </c>
      <c r="D34" s="3" t="s">
        <v>979</v>
      </c>
      <c r="E34" s="93">
        <v>2000000</v>
      </c>
      <c r="F34" s="93">
        <v>2293000</v>
      </c>
      <c r="G34" s="93">
        <v>2815000</v>
      </c>
      <c r="H34" s="93">
        <v>3030000</v>
      </c>
      <c r="I34" s="93">
        <v>3201000</v>
      </c>
      <c r="J34" s="93">
        <v>3095496.0191708901</v>
      </c>
      <c r="K34" s="93">
        <v>3575366.6104282252</v>
      </c>
    </row>
    <row r="35" spans="1:11" x14ac:dyDescent="0.4">
      <c r="A35" s="22" t="s">
        <v>1029</v>
      </c>
      <c r="B35" s="3" t="s">
        <v>999</v>
      </c>
      <c r="C35" s="3" t="s">
        <v>998</v>
      </c>
      <c r="D35" s="3" t="s">
        <v>979</v>
      </c>
      <c r="E35" s="93">
        <v>-5.2</v>
      </c>
      <c r="F35" s="93">
        <v>14.6</v>
      </c>
      <c r="G35" s="93">
        <v>22.8</v>
      </c>
      <c r="H35" s="93">
        <v>7.6</v>
      </c>
      <c r="I35" s="93">
        <v>5.6</v>
      </c>
      <c r="J35" s="93" t="s">
        <v>953</v>
      </c>
      <c r="K35" s="93" t="s">
        <v>953</v>
      </c>
    </row>
    <row r="36" spans="1:11" x14ac:dyDescent="0.4">
      <c r="A36" s="22" t="s">
        <v>1028</v>
      </c>
      <c r="B36" s="3" t="s">
        <v>996</v>
      </c>
      <c r="C36" s="3" t="s">
        <v>995</v>
      </c>
      <c r="D36" s="3" t="s">
        <v>979</v>
      </c>
      <c r="E36" s="93">
        <v>23466</v>
      </c>
      <c r="F36" s="93">
        <v>26043</v>
      </c>
      <c r="G36" s="93">
        <v>30628</v>
      </c>
      <c r="H36" s="93">
        <v>33021</v>
      </c>
      <c r="I36" s="93">
        <v>35326</v>
      </c>
      <c r="J36" s="93">
        <v>32862.886248859977</v>
      </c>
      <c r="K36" s="93">
        <v>39792.500380312951</v>
      </c>
    </row>
    <row r="37" spans="1:11" x14ac:dyDescent="0.4">
      <c r="A37" s="22" t="s">
        <v>1027</v>
      </c>
      <c r="B37" s="3" t="s">
        <v>993</v>
      </c>
      <c r="C37" s="3" t="s">
        <v>992</v>
      </c>
      <c r="D37" s="3" t="s">
        <v>979</v>
      </c>
      <c r="E37" s="93">
        <v>43000</v>
      </c>
      <c r="F37" s="93">
        <v>34000</v>
      </c>
      <c r="G37" s="93">
        <v>44000</v>
      </c>
      <c r="H37" s="93">
        <v>47000</v>
      </c>
      <c r="I37" s="93">
        <v>49000</v>
      </c>
      <c r="J37" s="93">
        <v>46733.057869511402</v>
      </c>
      <c r="K37" s="93">
        <v>54957.080740177262</v>
      </c>
    </row>
    <row r="38" spans="1:11" x14ac:dyDescent="0.4">
      <c r="A38" s="22" t="s">
        <v>1026</v>
      </c>
      <c r="B38" s="3" t="s">
        <v>990</v>
      </c>
      <c r="C38" s="3" t="s">
        <v>989</v>
      </c>
      <c r="D38" s="3" t="s">
        <v>979</v>
      </c>
      <c r="E38" s="93">
        <v>47</v>
      </c>
      <c r="F38" s="93">
        <v>44</v>
      </c>
      <c r="G38" s="93">
        <v>61</v>
      </c>
      <c r="H38" s="93">
        <v>63</v>
      </c>
      <c r="I38" s="93">
        <v>63</v>
      </c>
      <c r="J38" s="93">
        <v>50.953962053571431</v>
      </c>
      <c r="K38" s="93">
        <v>78.532525511031238</v>
      </c>
    </row>
    <row r="39" spans="1:11" x14ac:dyDescent="0.4">
      <c r="A39" s="22" t="s">
        <v>1025</v>
      </c>
      <c r="B39" s="3" t="s">
        <v>987</v>
      </c>
      <c r="C39" s="3" t="s">
        <v>986</v>
      </c>
      <c r="D39" s="3" t="s">
        <v>979</v>
      </c>
      <c r="E39" s="93">
        <v>1957000</v>
      </c>
      <c r="F39" s="93">
        <v>2259000</v>
      </c>
      <c r="G39" s="93">
        <v>2772000</v>
      </c>
      <c r="H39" s="93">
        <v>2983000</v>
      </c>
      <c r="I39" s="93">
        <v>3152000</v>
      </c>
      <c r="J39" s="93">
        <v>3147576.024322052</v>
      </c>
      <c r="K39" s="93">
        <v>3558080.6472983081</v>
      </c>
    </row>
    <row r="40" spans="1:11" x14ac:dyDescent="0.4">
      <c r="A40" s="22" t="s">
        <v>1024</v>
      </c>
      <c r="B40" s="3" t="s">
        <v>984</v>
      </c>
      <c r="C40" s="3" t="s">
        <v>983</v>
      </c>
      <c r="D40" s="3" t="s">
        <v>979</v>
      </c>
      <c r="E40" s="93">
        <v>277</v>
      </c>
      <c r="F40" s="93">
        <v>279</v>
      </c>
      <c r="G40" s="93" t="s">
        <v>953</v>
      </c>
      <c r="H40" s="93" t="s">
        <v>953</v>
      </c>
      <c r="I40" s="93" t="s">
        <v>953</v>
      </c>
      <c r="J40" s="93" t="s">
        <v>953</v>
      </c>
      <c r="K40" s="93" t="s">
        <v>953</v>
      </c>
    </row>
    <row r="41" spans="1:11" x14ac:dyDescent="0.4">
      <c r="A41" s="22" t="s">
        <v>1023</v>
      </c>
      <c r="B41" s="3" t="s">
        <v>971</v>
      </c>
      <c r="C41" s="3" t="s">
        <v>970</v>
      </c>
      <c r="D41" s="3" t="s">
        <v>979</v>
      </c>
      <c r="E41" s="93">
        <v>343</v>
      </c>
      <c r="F41" s="93">
        <v>361</v>
      </c>
      <c r="G41" s="93" t="s">
        <v>953</v>
      </c>
      <c r="H41" s="93" t="s">
        <v>953</v>
      </c>
      <c r="I41" s="93" t="s">
        <v>953</v>
      </c>
      <c r="J41" s="93" t="s">
        <v>953</v>
      </c>
      <c r="K41" s="93" t="s">
        <v>953</v>
      </c>
    </row>
    <row r="42" spans="1:11" x14ac:dyDescent="0.4">
      <c r="A42" s="22" t="s">
        <v>1031</v>
      </c>
      <c r="B42" s="3"/>
      <c r="C42" s="3"/>
      <c r="D42" s="3" t="s">
        <v>978</v>
      </c>
      <c r="E42" s="93"/>
      <c r="F42" s="93"/>
      <c r="G42" s="93"/>
      <c r="H42" s="93"/>
      <c r="I42" s="93"/>
      <c r="J42" s="93"/>
      <c r="K42" s="93"/>
    </row>
    <row r="43" spans="1:11" x14ac:dyDescent="0.4">
      <c r="A43" s="22" t="s">
        <v>1030</v>
      </c>
      <c r="B43" s="3" t="s">
        <v>1002</v>
      </c>
      <c r="C43" s="3" t="s">
        <v>1001</v>
      </c>
      <c r="D43" s="3" t="s">
        <v>978</v>
      </c>
      <c r="E43" s="93">
        <v>2677000</v>
      </c>
      <c r="F43" s="93">
        <v>2893000</v>
      </c>
      <c r="G43" s="93">
        <v>3213000</v>
      </c>
      <c r="H43" s="93">
        <v>3400000</v>
      </c>
      <c r="I43" s="93">
        <v>3567000</v>
      </c>
      <c r="J43" s="93">
        <v>3362297.1080996469</v>
      </c>
      <c r="K43" s="93">
        <v>4007159.3686112836</v>
      </c>
    </row>
    <row r="44" spans="1:11" x14ac:dyDescent="0.4">
      <c r="A44" s="22" t="s">
        <v>1029</v>
      </c>
      <c r="B44" s="3" t="s">
        <v>999</v>
      </c>
      <c r="C44" s="3" t="s">
        <v>998</v>
      </c>
      <c r="D44" s="3" t="s">
        <v>978</v>
      </c>
      <c r="E44" s="93">
        <v>-8</v>
      </c>
      <c r="F44" s="93">
        <v>4.3</v>
      </c>
      <c r="G44" s="93">
        <v>17.7</v>
      </c>
      <c r="H44" s="93">
        <v>12.4</v>
      </c>
      <c r="I44" s="93">
        <v>8.9</v>
      </c>
      <c r="J44" s="93" t="s">
        <v>953</v>
      </c>
      <c r="K44" s="93" t="s">
        <v>953</v>
      </c>
    </row>
    <row r="45" spans="1:11" x14ac:dyDescent="0.4">
      <c r="A45" s="22" t="s">
        <v>1028</v>
      </c>
      <c r="B45" s="3" t="s">
        <v>996</v>
      </c>
      <c r="C45" s="3" t="s">
        <v>995</v>
      </c>
      <c r="D45" s="3" t="s">
        <v>978</v>
      </c>
      <c r="E45" s="93">
        <v>42479</v>
      </c>
      <c r="F45" s="93">
        <v>47424</v>
      </c>
      <c r="G45" s="93">
        <v>55161</v>
      </c>
      <c r="H45" s="93">
        <v>60926</v>
      </c>
      <c r="I45" s="93">
        <v>68456</v>
      </c>
      <c r="J45" s="93">
        <v>66198.190321812319</v>
      </c>
      <c r="K45" s="93">
        <v>84014.966963261584</v>
      </c>
    </row>
    <row r="46" spans="1:11" x14ac:dyDescent="0.4">
      <c r="A46" s="22" t="s">
        <v>1027</v>
      </c>
      <c r="B46" s="3" t="s">
        <v>993</v>
      </c>
      <c r="C46" s="3" t="s">
        <v>992</v>
      </c>
      <c r="D46" s="3" t="s">
        <v>978</v>
      </c>
      <c r="E46" s="93">
        <v>164000</v>
      </c>
      <c r="F46" s="93">
        <v>163000</v>
      </c>
      <c r="G46" s="93">
        <v>168000</v>
      </c>
      <c r="H46" s="93">
        <v>177000</v>
      </c>
      <c r="I46" s="93">
        <v>178000</v>
      </c>
      <c r="J46" s="93">
        <v>149245.43974923406</v>
      </c>
      <c r="K46" s="93">
        <v>181387.50563328122</v>
      </c>
    </row>
    <row r="47" spans="1:11" x14ac:dyDescent="0.4">
      <c r="A47" s="22" t="s">
        <v>1026</v>
      </c>
      <c r="B47" s="3" t="s">
        <v>990</v>
      </c>
      <c r="C47" s="3" t="s">
        <v>989</v>
      </c>
      <c r="D47" s="3" t="s">
        <v>978</v>
      </c>
      <c r="E47" s="93">
        <v>684</v>
      </c>
      <c r="F47" s="93">
        <v>642</v>
      </c>
      <c r="G47" s="93">
        <v>698</v>
      </c>
      <c r="H47" s="93">
        <v>742</v>
      </c>
      <c r="I47" s="93">
        <v>721</v>
      </c>
      <c r="J47" s="93">
        <v>528.66088096221199</v>
      </c>
      <c r="K47" s="93">
        <v>679.3031341326996</v>
      </c>
    </row>
    <row r="48" spans="1:11" x14ac:dyDescent="0.4">
      <c r="A48" s="22" t="s">
        <v>1025</v>
      </c>
      <c r="B48" s="3" t="s">
        <v>987</v>
      </c>
      <c r="C48" s="3" t="s">
        <v>986</v>
      </c>
      <c r="D48" s="3" t="s">
        <v>978</v>
      </c>
      <c r="E48" s="93">
        <v>2513000</v>
      </c>
      <c r="F48" s="93">
        <v>2731000</v>
      </c>
      <c r="G48" s="93">
        <v>3045000</v>
      </c>
      <c r="H48" s="93">
        <v>3223000</v>
      </c>
      <c r="I48" s="93">
        <v>3389000</v>
      </c>
      <c r="J48" s="93">
        <v>3360220.7483173576</v>
      </c>
      <c r="K48" s="93">
        <v>3857565.0330339693</v>
      </c>
    </row>
    <row r="49" spans="1:11" x14ac:dyDescent="0.4">
      <c r="A49" s="22" t="s">
        <v>1024</v>
      </c>
      <c r="B49" s="3" t="s">
        <v>984</v>
      </c>
      <c r="C49" s="3" t="s">
        <v>983</v>
      </c>
      <c r="D49" s="3" t="s">
        <v>978</v>
      </c>
      <c r="E49" s="93">
        <v>710</v>
      </c>
      <c r="F49" s="93">
        <v>724</v>
      </c>
      <c r="G49" s="93" t="s">
        <v>953</v>
      </c>
      <c r="H49" s="93" t="s">
        <v>953</v>
      </c>
      <c r="I49" s="93" t="s">
        <v>953</v>
      </c>
      <c r="J49" s="93" t="s">
        <v>953</v>
      </c>
      <c r="K49" s="93" t="s">
        <v>953</v>
      </c>
    </row>
    <row r="50" spans="1:11" x14ac:dyDescent="0.4">
      <c r="A50" s="22" t="s">
        <v>1023</v>
      </c>
      <c r="B50" s="3" t="s">
        <v>971</v>
      </c>
      <c r="C50" s="3" t="s">
        <v>970</v>
      </c>
      <c r="D50" s="3" t="s">
        <v>978</v>
      </c>
      <c r="E50" s="93">
        <v>798</v>
      </c>
      <c r="F50" s="93">
        <v>820</v>
      </c>
      <c r="G50" s="93" t="s">
        <v>953</v>
      </c>
      <c r="H50" s="93" t="s">
        <v>953</v>
      </c>
      <c r="I50" s="93" t="s">
        <v>953</v>
      </c>
      <c r="J50" s="93" t="s">
        <v>953</v>
      </c>
      <c r="K50" s="93" t="s">
        <v>953</v>
      </c>
    </row>
    <row r="51" spans="1:11" x14ac:dyDescent="0.4">
      <c r="A51" s="22" t="s">
        <v>1041</v>
      </c>
      <c r="B51" s="3"/>
      <c r="C51" s="3"/>
      <c r="D51" s="3" t="s">
        <v>976</v>
      </c>
      <c r="E51" s="93"/>
      <c r="F51" s="93"/>
      <c r="G51" s="93"/>
      <c r="H51" s="93"/>
      <c r="I51" s="93"/>
      <c r="J51" s="93"/>
      <c r="K51" s="93"/>
    </row>
    <row r="52" spans="1:11" x14ac:dyDescent="0.4">
      <c r="A52" s="22" t="s">
        <v>1040</v>
      </c>
      <c r="B52" s="3" t="s">
        <v>1002</v>
      </c>
      <c r="C52" s="3" t="s">
        <v>1001</v>
      </c>
      <c r="D52" s="3" t="s">
        <v>976</v>
      </c>
      <c r="E52" s="93">
        <v>6670000</v>
      </c>
      <c r="F52" s="93">
        <v>7808000</v>
      </c>
      <c r="G52" s="93">
        <v>8072000</v>
      </c>
      <c r="H52" s="93">
        <v>8382000</v>
      </c>
      <c r="I52" s="93">
        <v>8915000</v>
      </c>
      <c r="J52" s="93">
        <v>8493020.3268475104</v>
      </c>
      <c r="K52" s="93">
        <v>10112856.912948105</v>
      </c>
    </row>
    <row r="53" spans="1:11" x14ac:dyDescent="0.4">
      <c r="A53" s="22" t="s">
        <v>1039</v>
      </c>
      <c r="B53" s="3" t="s">
        <v>999</v>
      </c>
      <c r="C53" s="3" t="s">
        <v>998</v>
      </c>
      <c r="D53" s="3" t="s">
        <v>976</v>
      </c>
      <c r="E53" s="93">
        <v>4.5</v>
      </c>
      <c r="F53" s="93">
        <v>16.3</v>
      </c>
      <c r="G53" s="93">
        <v>6.8</v>
      </c>
      <c r="H53" s="93">
        <v>5.5</v>
      </c>
      <c r="I53" s="93">
        <v>6.9</v>
      </c>
      <c r="J53" s="93" t="s">
        <v>953</v>
      </c>
      <c r="K53" s="93" t="s">
        <v>953</v>
      </c>
    </row>
    <row r="54" spans="1:11" x14ac:dyDescent="0.4">
      <c r="A54" s="22" t="s">
        <v>1038</v>
      </c>
      <c r="B54" s="3" t="s">
        <v>996</v>
      </c>
      <c r="C54" s="3" t="s">
        <v>995</v>
      </c>
      <c r="D54" s="3" t="s">
        <v>976</v>
      </c>
      <c r="E54" s="93">
        <v>119568</v>
      </c>
      <c r="F54" s="93">
        <v>141934</v>
      </c>
      <c r="G54" s="93">
        <v>155020</v>
      </c>
      <c r="H54" s="93">
        <v>165127</v>
      </c>
      <c r="I54" s="93">
        <v>182652</v>
      </c>
      <c r="J54" s="93">
        <v>164139.45622222833</v>
      </c>
      <c r="K54" s="93">
        <v>214105.70572142064</v>
      </c>
    </row>
    <row r="55" spans="1:11" x14ac:dyDescent="0.4">
      <c r="A55" s="22" t="s">
        <v>1037</v>
      </c>
      <c r="B55" s="3" t="s">
        <v>993</v>
      </c>
      <c r="C55" s="3" t="s">
        <v>992</v>
      </c>
      <c r="D55" s="3" t="s">
        <v>976</v>
      </c>
      <c r="E55" s="93">
        <v>2344000</v>
      </c>
      <c r="F55" s="93">
        <v>2391000</v>
      </c>
      <c r="G55" s="93">
        <v>2281000</v>
      </c>
      <c r="H55" s="93">
        <v>2250000</v>
      </c>
      <c r="I55" s="93">
        <v>2266000</v>
      </c>
      <c r="J55" s="93">
        <v>2036289.0076574231</v>
      </c>
      <c r="K55" s="93">
        <v>2320779.8456873219</v>
      </c>
    </row>
    <row r="56" spans="1:11" x14ac:dyDescent="0.4">
      <c r="A56" s="22" t="s">
        <v>1036</v>
      </c>
      <c r="B56" s="3" t="s">
        <v>990</v>
      </c>
      <c r="C56" s="3" t="s">
        <v>989</v>
      </c>
      <c r="D56" s="3" t="s">
        <v>976</v>
      </c>
      <c r="E56" s="93">
        <v>17855</v>
      </c>
      <c r="F56" s="93">
        <v>16820</v>
      </c>
      <c r="G56" s="93">
        <v>16619</v>
      </c>
      <c r="H56" s="93">
        <v>16412</v>
      </c>
      <c r="I56" s="93">
        <v>16273</v>
      </c>
      <c r="J56" s="93">
        <v>11976.050312408026</v>
      </c>
      <c r="K56" s="93">
        <v>15514.983942550618</v>
      </c>
    </row>
    <row r="57" spans="1:11" x14ac:dyDescent="0.4">
      <c r="A57" s="22" t="s">
        <v>1035</v>
      </c>
      <c r="B57" s="3" t="s">
        <v>987</v>
      </c>
      <c r="C57" s="3" t="s">
        <v>986</v>
      </c>
      <c r="D57" s="3" t="s">
        <v>976</v>
      </c>
      <c r="E57" s="93">
        <v>4325000</v>
      </c>
      <c r="F57" s="93">
        <v>5417000</v>
      </c>
      <c r="G57" s="93">
        <v>5790000</v>
      </c>
      <c r="H57" s="93">
        <v>6131000</v>
      </c>
      <c r="I57" s="93">
        <v>6649000</v>
      </c>
      <c r="J57" s="93">
        <v>6841327.5078057842</v>
      </c>
      <c r="K57" s="93">
        <v>7788258.5375727247</v>
      </c>
    </row>
    <row r="58" spans="1:11" x14ac:dyDescent="0.4">
      <c r="A58" s="22" t="s">
        <v>1034</v>
      </c>
      <c r="B58" s="3" t="s">
        <v>984</v>
      </c>
      <c r="C58" s="3" t="s">
        <v>983</v>
      </c>
      <c r="D58" s="3" t="s">
        <v>976</v>
      </c>
      <c r="E58" s="93">
        <v>2143</v>
      </c>
      <c r="F58" s="93">
        <v>2445</v>
      </c>
      <c r="G58" s="93" t="s">
        <v>953</v>
      </c>
      <c r="H58" s="93" t="s">
        <v>953</v>
      </c>
      <c r="I58" s="93" t="s">
        <v>953</v>
      </c>
      <c r="J58" s="93" t="s">
        <v>953</v>
      </c>
      <c r="K58" s="93" t="s">
        <v>953</v>
      </c>
    </row>
    <row r="59" spans="1:11" x14ac:dyDescent="0.4">
      <c r="A59" s="22" t="s">
        <v>1033</v>
      </c>
      <c r="B59" s="3" t="s">
        <v>971</v>
      </c>
      <c r="C59" s="3" t="s">
        <v>970</v>
      </c>
      <c r="D59" s="3" t="s">
        <v>976</v>
      </c>
      <c r="E59" s="93">
        <v>2353</v>
      </c>
      <c r="F59" s="93">
        <v>2654</v>
      </c>
      <c r="G59" s="93" t="s">
        <v>953</v>
      </c>
      <c r="H59" s="93" t="s">
        <v>953</v>
      </c>
      <c r="I59" s="93" t="s">
        <v>953</v>
      </c>
      <c r="J59" s="93" t="s">
        <v>953</v>
      </c>
      <c r="K59" s="93" t="s">
        <v>953</v>
      </c>
    </row>
    <row r="60" spans="1:11" x14ac:dyDescent="0.4">
      <c r="A60" s="22" t="s">
        <v>1032</v>
      </c>
      <c r="B60" s="3"/>
      <c r="C60" s="3"/>
      <c r="D60" s="3" t="s">
        <v>974</v>
      </c>
      <c r="E60" s="93"/>
      <c r="F60" s="93"/>
      <c r="G60" s="93"/>
      <c r="H60" s="93"/>
      <c r="I60" s="93"/>
      <c r="J60" s="93"/>
      <c r="K60" s="93"/>
    </row>
    <row r="61" spans="1:11" x14ac:dyDescent="0.4">
      <c r="A61" s="22" t="s">
        <v>1030</v>
      </c>
      <c r="B61" s="3" t="s">
        <v>1002</v>
      </c>
      <c r="C61" s="3" t="s">
        <v>1001</v>
      </c>
      <c r="D61" s="3" t="s">
        <v>974</v>
      </c>
      <c r="E61" s="93">
        <v>2674000</v>
      </c>
      <c r="F61" s="93">
        <v>3309000</v>
      </c>
      <c r="G61" s="93">
        <v>3492000</v>
      </c>
      <c r="H61" s="93">
        <v>3711000</v>
      </c>
      <c r="I61" s="93">
        <v>3866000</v>
      </c>
      <c r="J61" s="93">
        <v>3810282.1097845789</v>
      </c>
      <c r="K61" s="93">
        <v>4362643.8823041152</v>
      </c>
    </row>
    <row r="62" spans="1:11" x14ac:dyDescent="0.4">
      <c r="A62" s="22" t="s">
        <v>1029</v>
      </c>
      <c r="B62" s="3" t="s">
        <v>999</v>
      </c>
      <c r="C62" s="3" t="s">
        <v>998</v>
      </c>
      <c r="D62" s="3" t="s">
        <v>974</v>
      </c>
      <c r="E62" s="93">
        <v>10.7</v>
      </c>
      <c r="F62" s="93">
        <v>23.7</v>
      </c>
      <c r="G62" s="93">
        <v>5.5</v>
      </c>
      <c r="H62" s="93">
        <v>6.3</v>
      </c>
      <c r="I62" s="93">
        <v>4.0999999999999996</v>
      </c>
      <c r="J62" s="93" t="s">
        <v>953</v>
      </c>
      <c r="K62" s="93" t="s">
        <v>953</v>
      </c>
    </row>
    <row r="63" spans="1:11" x14ac:dyDescent="0.4">
      <c r="A63" s="22" t="s">
        <v>1028</v>
      </c>
      <c r="B63" s="3" t="s">
        <v>996</v>
      </c>
      <c r="C63" s="3" t="s">
        <v>995</v>
      </c>
      <c r="D63" s="3" t="s">
        <v>974</v>
      </c>
      <c r="E63" s="93">
        <v>48156</v>
      </c>
      <c r="F63" s="93">
        <v>55866</v>
      </c>
      <c r="G63" s="93">
        <v>59743</v>
      </c>
      <c r="H63" s="93">
        <v>64637</v>
      </c>
      <c r="I63" s="93">
        <v>68159</v>
      </c>
      <c r="J63" s="93">
        <v>62887.534222695016</v>
      </c>
      <c r="K63" s="93">
        <v>76746.763042299091</v>
      </c>
    </row>
    <row r="64" spans="1:11" x14ac:dyDescent="0.4">
      <c r="A64" s="22" t="s">
        <v>1027</v>
      </c>
      <c r="B64" s="3" t="s">
        <v>993</v>
      </c>
      <c r="C64" s="3" t="s">
        <v>992</v>
      </c>
      <c r="D64" s="3" t="s">
        <v>974</v>
      </c>
      <c r="E64" s="93">
        <v>548000</v>
      </c>
      <c r="F64" s="93">
        <v>614000</v>
      </c>
      <c r="G64" s="93">
        <v>563000</v>
      </c>
      <c r="H64" s="93">
        <v>560000</v>
      </c>
      <c r="I64" s="93">
        <v>551000</v>
      </c>
      <c r="J64" s="93">
        <v>463278.89992029767</v>
      </c>
      <c r="K64" s="93">
        <v>515806.0553453032</v>
      </c>
    </row>
    <row r="65" spans="1:11" x14ac:dyDescent="0.4">
      <c r="A65" s="22" t="s">
        <v>1026</v>
      </c>
      <c r="B65" s="3" t="s">
        <v>990</v>
      </c>
      <c r="C65" s="3" t="s">
        <v>989</v>
      </c>
      <c r="D65" s="3" t="s">
        <v>974</v>
      </c>
      <c r="E65" s="93">
        <v>3247</v>
      </c>
      <c r="F65" s="93">
        <v>3272</v>
      </c>
      <c r="G65" s="93">
        <v>3153</v>
      </c>
      <c r="H65" s="93">
        <v>3069</v>
      </c>
      <c r="I65" s="93">
        <v>2948</v>
      </c>
      <c r="J65" s="93">
        <v>2101.7030124313087</v>
      </c>
      <c r="K65" s="93">
        <v>2604.586662105185</v>
      </c>
    </row>
    <row r="66" spans="1:11" x14ac:dyDescent="0.4">
      <c r="A66" s="22" t="s">
        <v>1025</v>
      </c>
      <c r="B66" s="3" t="s">
        <v>987</v>
      </c>
      <c r="C66" s="3" t="s">
        <v>986</v>
      </c>
      <c r="D66" s="3" t="s">
        <v>974</v>
      </c>
      <c r="E66" s="93">
        <v>2126000</v>
      </c>
      <c r="F66" s="93">
        <v>2694000</v>
      </c>
      <c r="G66" s="93">
        <v>2928000</v>
      </c>
      <c r="H66" s="93">
        <v>3150000</v>
      </c>
      <c r="I66" s="93">
        <v>3316000</v>
      </c>
      <c r="J66" s="93">
        <v>3384047.160515286</v>
      </c>
      <c r="K66" s="93">
        <v>3828505.5577319884</v>
      </c>
    </row>
    <row r="67" spans="1:11" x14ac:dyDescent="0.4">
      <c r="A67" s="22" t="s">
        <v>1024</v>
      </c>
      <c r="B67" s="3" t="s">
        <v>984</v>
      </c>
      <c r="C67" s="3" t="s">
        <v>983</v>
      </c>
      <c r="D67" s="3" t="s">
        <v>974</v>
      </c>
      <c r="E67" s="93">
        <v>533</v>
      </c>
      <c r="F67" s="93">
        <v>690</v>
      </c>
      <c r="G67" s="93" t="s">
        <v>953</v>
      </c>
      <c r="H67" s="93" t="s">
        <v>953</v>
      </c>
      <c r="I67" s="93" t="s">
        <v>953</v>
      </c>
      <c r="J67" s="93" t="s">
        <v>953</v>
      </c>
      <c r="K67" s="93" t="s">
        <v>953</v>
      </c>
    </row>
    <row r="68" spans="1:11" x14ac:dyDescent="0.4">
      <c r="A68" s="22" t="s">
        <v>1023</v>
      </c>
      <c r="B68" s="3" t="s">
        <v>971</v>
      </c>
      <c r="C68" s="3" t="s">
        <v>970</v>
      </c>
      <c r="D68" s="3" t="s">
        <v>974</v>
      </c>
      <c r="E68" s="93">
        <v>656</v>
      </c>
      <c r="F68" s="93">
        <v>779</v>
      </c>
      <c r="G68" s="93" t="s">
        <v>953</v>
      </c>
      <c r="H68" s="93" t="s">
        <v>953</v>
      </c>
      <c r="I68" s="93" t="s">
        <v>953</v>
      </c>
      <c r="J68" s="93" t="s">
        <v>953</v>
      </c>
      <c r="K68" s="93" t="s">
        <v>953</v>
      </c>
    </row>
    <row r="69" spans="1:11" x14ac:dyDescent="0.4">
      <c r="A69" s="22" t="s">
        <v>1031</v>
      </c>
      <c r="B69" s="3"/>
      <c r="C69" s="3"/>
      <c r="D69" s="3" t="s">
        <v>969</v>
      </c>
      <c r="E69" s="93"/>
      <c r="F69" s="93"/>
      <c r="G69" s="93"/>
      <c r="H69" s="93"/>
      <c r="I69" s="93"/>
      <c r="J69" s="93"/>
      <c r="K69" s="93"/>
    </row>
    <row r="70" spans="1:11" x14ac:dyDescent="0.4">
      <c r="A70" s="22" t="s">
        <v>1030</v>
      </c>
      <c r="B70" s="3" t="s">
        <v>1002</v>
      </c>
      <c r="C70" s="3" t="s">
        <v>1001</v>
      </c>
      <c r="D70" s="3" t="s">
        <v>969</v>
      </c>
      <c r="E70" s="93">
        <v>3996000</v>
      </c>
      <c r="F70" s="93">
        <v>4499000</v>
      </c>
      <c r="G70" s="93">
        <v>4580000</v>
      </c>
      <c r="H70" s="93">
        <v>4671000</v>
      </c>
      <c r="I70" s="93">
        <v>5049000</v>
      </c>
      <c r="J70" s="93">
        <v>4886247.7353245793</v>
      </c>
      <c r="K70" s="93">
        <v>5744761.0243710745</v>
      </c>
    </row>
    <row r="71" spans="1:11" x14ac:dyDescent="0.4">
      <c r="A71" s="22" t="s">
        <v>1029</v>
      </c>
      <c r="B71" s="3" t="s">
        <v>999</v>
      </c>
      <c r="C71" s="3" t="s">
        <v>998</v>
      </c>
      <c r="D71" s="3" t="s">
        <v>969</v>
      </c>
      <c r="E71" s="93">
        <v>0.7</v>
      </c>
      <c r="F71" s="93">
        <v>11.1</v>
      </c>
      <c r="G71" s="93">
        <v>7.8</v>
      </c>
      <c r="H71" s="93">
        <v>4.8</v>
      </c>
      <c r="I71" s="93">
        <v>9.1</v>
      </c>
      <c r="J71" s="93" t="s">
        <v>953</v>
      </c>
      <c r="K71" s="93" t="s">
        <v>953</v>
      </c>
    </row>
    <row r="72" spans="1:11" x14ac:dyDescent="0.4">
      <c r="A72" s="22" t="s">
        <v>1028</v>
      </c>
      <c r="B72" s="3" t="s">
        <v>996</v>
      </c>
      <c r="C72" s="3" t="s">
        <v>995</v>
      </c>
      <c r="D72" s="3" t="s">
        <v>969</v>
      </c>
      <c r="E72" s="93">
        <v>71412</v>
      </c>
      <c r="F72" s="93">
        <v>86068</v>
      </c>
      <c r="G72" s="93">
        <v>95277</v>
      </c>
      <c r="H72" s="93">
        <v>100490</v>
      </c>
      <c r="I72" s="93">
        <v>114493</v>
      </c>
      <c r="J72" s="93">
        <v>110768.50294397623</v>
      </c>
      <c r="K72" s="93">
        <v>140933.29563864804</v>
      </c>
    </row>
    <row r="73" spans="1:11" x14ac:dyDescent="0.4">
      <c r="A73" s="22" t="s">
        <v>1027</v>
      </c>
      <c r="B73" s="3" t="s">
        <v>993</v>
      </c>
      <c r="C73" s="3" t="s">
        <v>992</v>
      </c>
      <c r="D73" s="3" t="s">
        <v>969</v>
      </c>
      <c r="E73" s="93">
        <v>1796000</v>
      </c>
      <c r="F73" s="93">
        <v>1777000</v>
      </c>
      <c r="G73" s="93">
        <v>1718000</v>
      </c>
      <c r="H73" s="93">
        <v>1690000</v>
      </c>
      <c r="I73" s="93">
        <v>1715000</v>
      </c>
      <c r="J73" s="93">
        <v>1459610.1077371249</v>
      </c>
      <c r="K73" s="93">
        <v>1653845.8371780312</v>
      </c>
    </row>
    <row r="74" spans="1:11" x14ac:dyDescent="0.4">
      <c r="A74" s="22" t="s">
        <v>1026</v>
      </c>
      <c r="B74" s="3" t="s">
        <v>990</v>
      </c>
      <c r="C74" s="3" t="s">
        <v>989</v>
      </c>
      <c r="D74" s="3" t="s">
        <v>969</v>
      </c>
      <c r="E74" s="4">
        <v>14608</v>
      </c>
      <c r="F74" s="4">
        <v>13548</v>
      </c>
      <c r="G74" s="4">
        <v>13466</v>
      </c>
      <c r="H74" s="4">
        <v>13343</v>
      </c>
      <c r="I74" s="4">
        <v>13325</v>
      </c>
      <c r="J74" s="4">
        <v>9873.3472999767164</v>
      </c>
      <c r="K74" s="4">
        <v>12910.397280445433</v>
      </c>
    </row>
    <row r="75" spans="1:11" x14ac:dyDescent="0.4">
      <c r="A75" s="22" t="s">
        <v>1025</v>
      </c>
      <c r="B75" s="3" t="s">
        <v>987</v>
      </c>
      <c r="C75" s="3" t="s">
        <v>986</v>
      </c>
      <c r="D75" s="3" t="s">
        <v>969</v>
      </c>
      <c r="E75" s="4">
        <v>2199000</v>
      </c>
      <c r="F75" s="4">
        <v>2723000</v>
      </c>
      <c r="G75" s="4">
        <v>2862000</v>
      </c>
      <c r="H75" s="4">
        <v>2981000</v>
      </c>
      <c r="I75" s="4">
        <v>3334000</v>
      </c>
      <c r="J75" s="4">
        <v>3433255.8163787466</v>
      </c>
      <c r="K75" s="4">
        <v>3983686.1214609621</v>
      </c>
    </row>
    <row r="76" spans="1:11" x14ac:dyDescent="0.4">
      <c r="A76" s="22" t="s">
        <v>1024</v>
      </c>
      <c r="B76" s="3" t="s">
        <v>984</v>
      </c>
      <c r="C76" s="3" t="s">
        <v>983</v>
      </c>
      <c r="D76" s="3" t="s">
        <v>969</v>
      </c>
      <c r="E76" s="4">
        <v>1610</v>
      </c>
      <c r="F76" s="4">
        <v>1755</v>
      </c>
      <c r="G76" s="4" t="s">
        <v>953</v>
      </c>
      <c r="H76" s="4" t="s">
        <v>953</v>
      </c>
      <c r="I76" s="4" t="s">
        <v>953</v>
      </c>
      <c r="J76" s="4" t="s">
        <v>953</v>
      </c>
      <c r="K76" s="4" t="s">
        <v>953</v>
      </c>
    </row>
    <row r="77" spans="1:11" x14ac:dyDescent="0.4">
      <c r="A77" s="22" t="s">
        <v>1023</v>
      </c>
      <c r="B77" s="3" t="s">
        <v>971</v>
      </c>
      <c r="C77" s="3" t="s">
        <v>970</v>
      </c>
      <c r="D77" s="3" t="s">
        <v>969</v>
      </c>
      <c r="E77" s="4">
        <v>1697</v>
      </c>
      <c r="F77" s="4">
        <v>1875</v>
      </c>
      <c r="G77" s="4" t="s">
        <v>953</v>
      </c>
      <c r="H77" s="4" t="s">
        <v>953</v>
      </c>
      <c r="I77" s="4" t="s">
        <v>953</v>
      </c>
      <c r="J77" s="4" t="s">
        <v>953</v>
      </c>
      <c r="K77" s="4" t="s">
        <v>953</v>
      </c>
    </row>
    <row r="78" spans="1:11" x14ac:dyDescent="0.4">
      <c r="A78" s="25" t="s">
        <v>952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80" spans="1:11" x14ac:dyDescent="0.4">
      <c r="E80" s="90"/>
      <c r="F80" s="90"/>
      <c r="G80" s="90"/>
      <c r="H80" s="90"/>
      <c r="I80" s="90"/>
    </row>
    <row r="82" spans="5:9" x14ac:dyDescent="0.4">
      <c r="E82" s="90"/>
      <c r="F82" s="90"/>
      <c r="G82" s="90"/>
      <c r="H82" s="90"/>
      <c r="I82" s="90"/>
    </row>
    <row r="83" spans="5:9" x14ac:dyDescent="0.4">
      <c r="F83" s="91"/>
      <c r="G83" s="91"/>
      <c r="H83" s="91"/>
      <c r="I83" s="91"/>
    </row>
  </sheetData>
  <phoneticPr fontId="3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B31E-B85A-4BDC-BE16-2C425A2DAB17}">
  <dimension ref="A1:L73"/>
  <sheetViews>
    <sheetView topLeftCell="A9" zoomScale="96" workbookViewId="0">
      <selection activeCell="H21" sqref="H21:L21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1088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17" t="s">
        <v>1087</v>
      </c>
      <c r="B6" s="19"/>
      <c r="C6" s="19"/>
      <c r="D6" s="19"/>
      <c r="E6" s="19"/>
      <c r="F6" s="19"/>
      <c r="G6" s="19"/>
    </row>
    <row r="7" spans="1:7" x14ac:dyDescent="0.4">
      <c r="A7" s="22" t="s">
        <v>1059</v>
      </c>
      <c r="B7" s="22" t="s">
        <v>971</v>
      </c>
      <c r="C7" s="24">
        <v>1141</v>
      </c>
      <c r="D7" s="24">
        <v>1181</v>
      </c>
      <c r="E7" s="24">
        <v>4053</v>
      </c>
      <c r="F7" s="24" t="s">
        <v>155</v>
      </c>
      <c r="G7" s="24" t="s">
        <v>155</v>
      </c>
    </row>
    <row r="8" spans="1:7" x14ac:dyDescent="0.4">
      <c r="A8" s="22"/>
      <c r="B8" s="21"/>
      <c r="C8" s="21"/>
      <c r="D8" s="21"/>
      <c r="E8" s="21"/>
      <c r="F8" s="21"/>
      <c r="G8" s="21"/>
    </row>
    <row r="9" spans="1:7" x14ac:dyDescent="0.4">
      <c r="A9" s="17" t="s">
        <v>1086</v>
      </c>
      <c r="B9" s="19"/>
      <c r="C9" s="19"/>
      <c r="D9" s="19"/>
      <c r="E9" s="19"/>
      <c r="F9" s="19"/>
      <c r="G9" s="19"/>
    </row>
    <row r="10" spans="1:7" x14ac:dyDescent="0.4">
      <c r="A10" s="22" t="s">
        <v>1085</v>
      </c>
      <c r="B10" s="22" t="s">
        <v>1084</v>
      </c>
      <c r="C10" s="24">
        <v>3130</v>
      </c>
      <c r="D10" s="24">
        <v>3448</v>
      </c>
      <c r="E10" s="24">
        <v>3614</v>
      </c>
      <c r="F10" s="24" t="s">
        <v>155</v>
      </c>
      <c r="G10" s="24" t="s">
        <v>155</v>
      </c>
    </row>
    <row r="11" spans="1:7" x14ac:dyDescent="0.4">
      <c r="A11" s="22"/>
      <c r="B11" s="21"/>
      <c r="C11" s="21"/>
      <c r="D11" s="21"/>
      <c r="E11" s="21"/>
      <c r="F11" s="21"/>
      <c r="G11" s="21"/>
    </row>
    <row r="12" spans="1:7" x14ac:dyDescent="0.4">
      <c r="A12" s="17" t="s">
        <v>1083</v>
      </c>
      <c r="B12" s="19"/>
      <c r="C12" s="19"/>
      <c r="D12" s="19"/>
      <c r="E12" s="19"/>
      <c r="F12" s="19"/>
      <c r="G12" s="19"/>
    </row>
    <row r="13" spans="1:7" x14ac:dyDescent="0.4">
      <c r="A13" s="22" t="s">
        <v>1082</v>
      </c>
      <c r="B13" s="22" t="s">
        <v>1081</v>
      </c>
      <c r="C13" s="24">
        <v>971</v>
      </c>
      <c r="D13" s="24">
        <v>1136</v>
      </c>
      <c r="E13" s="24">
        <v>1336</v>
      </c>
      <c r="F13" s="24">
        <v>1341</v>
      </c>
      <c r="G13" s="24">
        <v>1560</v>
      </c>
    </row>
    <row r="14" spans="1:7" x14ac:dyDescent="0.4">
      <c r="A14" s="22"/>
      <c r="B14" s="21"/>
      <c r="C14" s="21"/>
      <c r="D14" s="21"/>
      <c r="E14" s="21"/>
      <c r="F14" s="21"/>
      <c r="G14" s="21"/>
    </row>
    <row r="15" spans="1:7" x14ac:dyDescent="0.4">
      <c r="A15" s="17" t="s">
        <v>1080</v>
      </c>
      <c r="B15" s="19"/>
      <c r="C15" s="19"/>
      <c r="D15" s="19"/>
      <c r="E15" s="19"/>
      <c r="F15" s="19"/>
      <c r="G15" s="19"/>
    </row>
    <row r="16" spans="1:7" x14ac:dyDescent="0.4">
      <c r="A16" s="22"/>
      <c r="B16" s="21"/>
      <c r="C16" s="21"/>
      <c r="D16" s="21"/>
      <c r="E16" s="21"/>
      <c r="F16" s="21"/>
      <c r="G16" s="21"/>
    </row>
    <row r="17" spans="1:12" x14ac:dyDescent="0.4">
      <c r="A17" s="17" t="s">
        <v>1079</v>
      </c>
      <c r="B17" s="19"/>
      <c r="C17" s="19"/>
      <c r="D17" s="19"/>
      <c r="E17" s="19"/>
      <c r="F17" s="19"/>
      <c r="G17" s="19"/>
    </row>
    <row r="18" spans="1:12" x14ac:dyDescent="0.4">
      <c r="A18" s="22" t="s">
        <v>1078</v>
      </c>
      <c r="B18" s="22" t="s">
        <v>1077</v>
      </c>
      <c r="C18" s="24">
        <v>4678000</v>
      </c>
      <c r="D18" s="24">
        <v>5182000</v>
      </c>
      <c r="E18" s="24">
        <v>6028000</v>
      </c>
      <c r="F18" s="24">
        <v>6430000</v>
      </c>
      <c r="G18" s="24">
        <v>6768000</v>
      </c>
    </row>
    <row r="19" spans="1:12" x14ac:dyDescent="0.4">
      <c r="A19" s="22" t="s">
        <v>1076</v>
      </c>
      <c r="B19" s="22" t="s">
        <v>1075</v>
      </c>
      <c r="C19" s="24">
        <v>6669000</v>
      </c>
      <c r="D19" s="24">
        <v>7812000</v>
      </c>
      <c r="E19" s="24">
        <v>8072000</v>
      </c>
      <c r="F19" s="24">
        <v>8382000</v>
      </c>
      <c r="G19" s="24">
        <v>8915000</v>
      </c>
    </row>
    <row r="20" spans="1:12" x14ac:dyDescent="0.4">
      <c r="A20" s="22" t="s">
        <v>1074</v>
      </c>
      <c r="B20" s="22" t="s">
        <v>1002</v>
      </c>
      <c r="C20" s="24">
        <v>11347000</v>
      </c>
      <c r="D20" s="24">
        <v>12994000</v>
      </c>
      <c r="E20" s="24">
        <v>14100000</v>
      </c>
      <c r="F20" s="24">
        <v>14812000</v>
      </c>
      <c r="G20" s="24">
        <v>15683000</v>
      </c>
    </row>
    <row r="21" spans="1:12" x14ac:dyDescent="0.4">
      <c r="A21" s="22" t="s">
        <v>1073</v>
      </c>
      <c r="B21" s="22" t="s">
        <v>1072</v>
      </c>
      <c r="C21" s="92">
        <v>-16</v>
      </c>
      <c r="D21" s="92">
        <v>9</v>
      </c>
      <c r="E21" s="92">
        <v>38</v>
      </c>
      <c r="F21" s="92">
        <v>20</v>
      </c>
      <c r="G21" s="92">
        <v>15</v>
      </c>
      <c r="H21" s="98">
        <f>C21/100</f>
        <v>-0.16</v>
      </c>
      <c r="I21" s="98">
        <f t="shared" ref="I21:L21" si="0">D21/100</f>
        <v>0.09</v>
      </c>
      <c r="J21" s="98">
        <f t="shared" si="0"/>
        <v>0.38</v>
      </c>
      <c r="K21" s="98">
        <f t="shared" si="0"/>
        <v>0.2</v>
      </c>
      <c r="L21" s="98">
        <f t="shared" si="0"/>
        <v>0.15</v>
      </c>
    </row>
    <row r="22" spans="1:12" x14ac:dyDescent="0.4">
      <c r="A22" s="22" t="s">
        <v>1071</v>
      </c>
      <c r="B22" s="22" t="s">
        <v>999</v>
      </c>
      <c r="C22" s="24">
        <v>-0.5</v>
      </c>
      <c r="D22" s="24">
        <v>13.2</v>
      </c>
      <c r="E22" s="24">
        <v>12.1</v>
      </c>
      <c r="F22" s="24">
        <v>7.4</v>
      </c>
      <c r="G22" s="24">
        <v>7.1</v>
      </c>
    </row>
    <row r="23" spans="1:12" x14ac:dyDescent="0.4">
      <c r="A23" s="22" t="s">
        <v>1070</v>
      </c>
      <c r="B23" s="22" t="s">
        <v>990</v>
      </c>
      <c r="C23" s="24">
        <v>18586</v>
      </c>
      <c r="D23" s="24">
        <v>17561</v>
      </c>
      <c r="E23" s="24">
        <v>17378</v>
      </c>
      <c r="F23" s="24">
        <v>17217</v>
      </c>
      <c r="G23" s="24">
        <v>17057</v>
      </c>
    </row>
    <row r="24" spans="1:12" x14ac:dyDescent="0.4">
      <c r="A24" s="22" t="s">
        <v>1069</v>
      </c>
      <c r="B24" s="22" t="s">
        <v>996</v>
      </c>
      <c r="C24" s="24">
        <v>185514</v>
      </c>
      <c r="D24" s="24">
        <v>214890</v>
      </c>
      <c r="E24" s="24">
        <v>240809</v>
      </c>
      <c r="F24" s="24">
        <v>259073</v>
      </c>
      <c r="G24" s="24">
        <v>286434</v>
      </c>
    </row>
    <row r="25" spans="1:12" x14ac:dyDescent="0.4">
      <c r="A25" s="22" t="s">
        <v>1068</v>
      </c>
      <c r="B25" s="22" t="s">
        <v>1067</v>
      </c>
      <c r="C25" s="24">
        <v>204100</v>
      </c>
      <c r="D25" s="24">
        <v>232451</v>
      </c>
      <c r="E25" s="94">
        <v>258187</v>
      </c>
      <c r="F25" s="94">
        <v>276290</v>
      </c>
      <c r="G25" s="94">
        <v>303491</v>
      </c>
      <c r="H25" s="95"/>
      <c r="I25" s="95"/>
      <c r="J25" s="95"/>
      <c r="K25" s="95"/>
    </row>
    <row r="26" spans="1:12" x14ac:dyDescent="0.4">
      <c r="A26" s="22" t="s">
        <v>1066</v>
      </c>
      <c r="B26" s="22" t="s">
        <v>1065</v>
      </c>
      <c r="C26" s="24">
        <v>-16</v>
      </c>
      <c r="D26" s="24">
        <v>14</v>
      </c>
      <c r="E26" s="94">
        <v>28</v>
      </c>
      <c r="F26" s="94">
        <v>17</v>
      </c>
      <c r="G26" s="94">
        <v>15</v>
      </c>
      <c r="H26" s="95"/>
      <c r="I26" s="95"/>
      <c r="J26" s="95"/>
      <c r="K26" s="95"/>
    </row>
    <row r="27" spans="1:12" x14ac:dyDescent="0.4">
      <c r="A27" s="22" t="s">
        <v>1064</v>
      </c>
      <c r="B27" s="22" t="s">
        <v>984</v>
      </c>
      <c r="C27" s="24">
        <v>987</v>
      </c>
      <c r="D27" s="24">
        <v>1003</v>
      </c>
      <c r="E27" s="94">
        <v>3614</v>
      </c>
      <c r="F27" s="94" t="s">
        <v>155</v>
      </c>
      <c r="G27" s="94" t="s">
        <v>155</v>
      </c>
      <c r="H27" s="95"/>
      <c r="I27" s="95"/>
      <c r="J27" s="95"/>
      <c r="K27" s="95"/>
    </row>
    <row r="28" spans="1:12" x14ac:dyDescent="0.4">
      <c r="A28" s="22" t="s">
        <v>1063</v>
      </c>
      <c r="B28" s="22" t="s">
        <v>1062</v>
      </c>
      <c r="C28" s="24">
        <v>2143</v>
      </c>
      <c r="D28" s="24">
        <v>2445</v>
      </c>
      <c r="E28" s="94">
        <v>2571</v>
      </c>
      <c r="F28" s="94" t="s">
        <v>155</v>
      </c>
      <c r="G28" s="94" t="s">
        <v>155</v>
      </c>
      <c r="H28" s="95"/>
      <c r="I28" s="95"/>
      <c r="J28" s="95"/>
      <c r="K28" s="95"/>
    </row>
    <row r="29" spans="1:12" x14ac:dyDescent="0.4">
      <c r="A29" s="22" t="s">
        <v>1061</v>
      </c>
      <c r="B29" s="22" t="s">
        <v>1060</v>
      </c>
      <c r="C29" s="24">
        <v>-2035</v>
      </c>
      <c r="D29" s="24">
        <v>16</v>
      </c>
      <c r="E29" s="94">
        <v>2611</v>
      </c>
      <c r="F29" s="94" t="s">
        <v>155</v>
      </c>
      <c r="G29" s="94" t="s">
        <v>155</v>
      </c>
      <c r="H29" s="95"/>
      <c r="I29" s="95"/>
      <c r="J29" s="95"/>
      <c r="K29" s="95"/>
    </row>
    <row r="30" spans="1:12" x14ac:dyDescent="0.4">
      <c r="A30" s="22" t="s">
        <v>1059</v>
      </c>
      <c r="B30" s="22" t="s">
        <v>971</v>
      </c>
      <c r="C30" s="24">
        <v>1141</v>
      </c>
      <c r="D30" s="24">
        <v>1181</v>
      </c>
      <c r="E30" s="94">
        <v>4053</v>
      </c>
      <c r="F30" s="94" t="s">
        <v>155</v>
      </c>
      <c r="G30" s="94" t="s">
        <v>155</v>
      </c>
      <c r="H30" s="95"/>
      <c r="I30" s="95"/>
      <c r="J30" s="95"/>
      <c r="K30" s="95"/>
    </row>
    <row r="31" spans="1:12" x14ac:dyDescent="0.4">
      <c r="A31" s="22" t="s">
        <v>1058</v>
      </c>
      <c r="B31" s="22" t="s">
        <v>1057</v>
      </c>
      <c r="C31" s="24">
        <v>2353</v>
      </c>
      <c r="D31" s="24">
        <v>2654</v>
      </c>
      <c r="E31" s="94">
        <v>2818</v>
      </c>
      <c r="F31" s="94" t="s">
        <v>155</v>
      </c>
      <c r="G31" s="94" t="s">
        <v>155</v>
      </c>
      <c r="H31" s="95"/>
      <c r="I31" s="95"/>
      <c r="J31" s="95"/>
      <c r="K31" s="95"/>
    </row>
    <row r="32" spans="1:12" x14ac:dyDescent="0.4">
      <c r="A32" s="22" t="s">
        <v>1056</v>
      </c>
      <c r="B32" s="22" t="s">
        <v>1055</v>
      </c>
      <c r="C32" s="24">
        <v>3494</v>
      </c>
      <c r="D32" s="24">
        <v>3834</v>
      </c>
      <c r="E32" s="94">
        <v>4053</v>
      </c>
      <c r="F32" s="94" t="s">
        <v>155</v>
      </c>
      <c r="G32" s="94" t="s">
        <v>155</v>
      </c>
      <c r="H32" s="95"/>
      <c r="I32" s="95"/>
      <c r="J32" s="95"/>
      <c r="K32" s="95"/>
    </row>
    <row r="33" spans="1:11" x14ac:dyDescent="0.4">
      <c r="A33" s="22" t="s">
        <v>1054</v>
      </c>
      <c r="B33" s="22" t="s">
        <v>1053</v>
      </c>
      <c r="C33" s="24">
        <v>140839</v>
      </c>
      <c r="D33" s="24">
        <v>164733</v>
      </c>
      <c r="E33" s="94">
        <v>192530</v>
      </c>
      <c r="F33" s="94">
        <v>212579</v>
      </c>
      <c r="G33" s="94">
        <v>233758</v>
      </c>
      <c r="H33" s="95"/>
      <c r="I33" s="95"/>
      <c r="J33" s="95"/>
      <c r="K33" s="95"/>
    </row>
    <row r="34" spans="1:11" x14ac:dyDescent="0.4">
      <c r="A34" s="17"/>
      <c r="B34" s="19"/>
      <c r="C34" s="19"/>
      <c r="D34" s="19"/>
      <c r="E34" s="96"/>
      <c r="F34" s="96"/>
      <c r="G34" s="96"/>
      <c r="H34" s="95"/>
      <c r="I34" s="95"/>
      <c r="J34" s="95"/>
      <c r="K34" s="95"/>
    </row>
    <row r="35" spans="1:11" x14ac:dyDescent="0.4">
      <c r="A35" s="17" t="s">
        <v>1052</v>
      </c>
      <c r="B35" s="19"/>
      <c r="C35" s="19"/>
      <c r="D35" s="19"/>
      <c r="E35" s="96"/>
      <c r="F35" s="96"/>
      <c r="G35" s="96"/>
      <c r="H35" s="95"/>
      <c r="I35" s="95"/>
      <c r="J35" s="95"/>
      <c r="K35" s="95"/>
    </row>
    <row r="36" spans="1:11" x14ac:dyDescent="0.4">
      <c r="A36" s="17"/>
      <c r="B36" s="19"/>
      <c r="C36" s="19"/>
      <c r="D36" s="19"/>
      <c r="E36" s="96"/>
      <c r="F36" s="96"/>
      <c r="G36" s="96"/>
      <c r="H36" s="95"/>
      <c r="I36" s="95"/>
      <c r="J36" s="95"/>
      <c r="K36" s="95"/>
    </row>
    <row r="37" spans="1:11" x14ac:dyDescent="0.4">
      <c r="A37" s="17" t="s">
        <v>1051</v>
      </c>
      <c r="B37" s="19"/>
      <c r="C37" s="19"/>
      <c r="D37" s="19"/>
      <c r="E37" s="96"/>
      <c r="F37" s="96"/>
      <c r="G37" s="96"/>
      <c r="H37" s="95"/>
      <c r="I37" s="95"/>
      <c r="J37" s="95"/>
      <c r="K37" s="95"/>
    </row>
    <row r="38" spans="1:11" x14ac:dyDescent="0.4">
      <c r="A38" s="25" t="s">
        <v>153</v>
      </c>
      <c r="B38" s="25"/>
      <c r="C38" s="25"/>
      <c r="D38" s="25"/>
      <c r="E38" s="97"/>
      <c r="F38" s="97"/>
      <c r="G38" s="97"/>
      <c r="H38" s="95"/>
      <c r="I38" s="95"/>
      <c r="J38" s="95"/>
      <c r="K38" s="95"/>
    </row>
    <row r="39" spans="1:11" x14ac:dyDescent="0.4">
      <c r="E39" s="95"/>
      <c r="F39" s="95"/>
      <c r="G39" s="95"/>
      <c r="H39" s="95"/>
      <c r="I39" s="95"/>
      <c r="J39" s="95"/>
      <c r="K39" s="95"/>
    </row>
    <row r="40" spans="1:11" x14ac:dyDescent="0.4">
      <c r="E40" s="95"/>
      <c r="F40" s="95"/>
      <c r="G40" s="95"/>
      <c r="H40" s="95"/>
      <c r="I40" s="95"/>
      <c r="J40" s="95"/>
      <c r="K40" s="95"/>
    </row>
    <row r="41" spans="1:11" x14ac:dyDescent="0.4">
      <c r="E41" s="95"/>
      <c r="F41" s="95"/>
      <c r="G41" s="95"/>
      <c r="H41" s="95"/>
      <c r="I41" s="95"/>
      <c r="J41" s="95"/>
      <c r="K41" s="95"/>
    </row>
    <row r="42" spans="1:11" x14ac:dyDescent="0.4">
      <c r="E42" s="95"/>
      <c r="F42" s="95"/>
      <c r="G42" s="95"/>
      <c r="H42" s="95"/>
      <c r="I42" s="95"/>
      <c r="J42" s="95"/>
      <c r="K42" s="95"/>
    </row>
    <row r="43" spans="1:11" x14ac:dyDescent="0.4">
      <c r="E43" s="95"/>
      <c r="F43" s="95"/>
      <c r="G43" s="95"/>
      <c r="H43" s="95"/>
      <c r="I43" s="95"/>
      <c r="J43" s="95"/>
      <c r="K43" s="95"/>
    </row>
    <row r="44" spans="1:11" x14ac:dyDescent="0.4">
      <c r="E44" s="95"/>
      <c r="F44" s="95"/>
      <c r="G44" s="95"/>
      <c r="H44" s="95"/>
      <c r="I44" s="95"/>
      <c r="J44" s="95"/>
      <c r="K44" s="95"/>
    </row>
    <row r="45" spans="1:11" x14ac:dyDescent="0.4">
      <c r="E45" s="95"/>
      <c r="F45" s="95"/>
      <c r="G45" s="95"/>
      <c r="H45" s="95"/>
      <c r="I45" s="95"/>
      <c r="J45" s="95"/>
      <c r="K45" s="95"/>
    </row>
    <row r="46" spans="1:11" x14ac:dyDescent="0.4">
      <c r="E46" s="95"/>
      <c r="F46" s="95"/>
      <c r="G46" s="95"/>
      <c r="H46" s="95"/>
      <c r="I46" s="95"/>
      <c r="J46" s="95"/>
      <c r="K46" s="95"/>
    </row>
    <row r="47" spans="1:11" x14ac:dyDescent="0.4">
      <c r="E47" s="95"/>
      <c r="F47" s="95"/>
      <c r="G47" s="95"/>
      <c r="H47" s="95"/>
      <c r="I47" s="95"/>
      <c r="J47" s="95"/>
      <c r="K47" s="95"/>
    </row>
    <row r="48" spans="1:11" x14ac:dyDescent="0.4">
      <c r="E48" s="95"/>
      <c r="F48" s="95"/>
      <c r="G48" s="95"/>
      <c r="H48" s="95"/>
      <c r="I48" s="95"/>
      <c r="J48" s="95"/>
      <c r="K48" s="95"/>
    </row>
    <row r="49" spans="5:11" x14ac:dyDescent="0.4">
      <c r="E49" s="95"/>
      <c r="F49" s="95"/>
      <c r="G49" s="95"/>
      <c r="H49" s="95"/>
      <c r="I49" s="95"/>
      <c r="J49" s="95"/>
      <c r="K49" s="95"/>
    </row>
    <row r="50" spans="5:11" x14ac:dyDescent="0.4">
      <c r="E50" s="95"/>
      <c r="F50" s="95"/>
      <c r="G50" s="95"/>
      <c r="H50" s="95"/>
      <c r="I50" s="95"/>
      <c r="J50" s="95"/>
      <c r="K50" s="95"/>
    </row>
    <row r="51" spans="5:11" x14ac:dyDescent="0.4">
      <c r="E51" s="95"/>
      <c r="F51" s="95"/>
      <c r="G51" s="95"/>
      <c r="H51" s="95"/>
      <c r="I51" s="95"/>
      <c r="J51" s="95"/>
      <c r="K51" s="95"/>
    </row>
    <row r="52" spans="5:11" x14ac:dyDescent="0.4">
      <c r="E52" s="95"/>
      <c r="F52" s="95"/>
      <c r="G52" s="95"/>
      <c r="H52" s="95"/>
      <c r="I52" s="95"/>
      <c r="J52" s="95"/>
      <c r="K52" s="95"/>
    </row>
    <row r="53" spans="5:11" x14ac:dyDescent="0.4">
      <c r="E53" s="95"/>
      <c r="F53" s="95"/>
      <c r="G53" s="95"/>
      <c r="H53" s="95"/>
      <c r="I53" s="95"/>
      <c r="J53" s="95"/>
      <c r="K53" s="95"/>
    </row>
    <row r="54" spans="5:11" x14ac:dyDescent="0.4">
      <c r="E54" s="95"/>
      <c r="F54" s="95"/>
      <c r="G54" s="95"/>
      <c r="H54" s="95"/>
      <c r="I54" s="95"/>
      <c r="J54" s="95"/>
      <c r="K54" s="95"/>
    </row>
    <row r="55" spans="5:11" x14ac:dyDescent="0.4">
      <c r="E55" s="95"/>
      <c r="F55" s="95"/>
      <c r="G55" s="95"/>
      <c r="H55" s="95"/>
      <c r="I55" s="95"/>
      <c r="J55" s="95"/>
      <c r="K55" s="95"/>
    </row>
    <row r="56" spans="5:11" x14ac:dyDescent="0.4">
      <c r="E56" s="95"/>
      <c r="F56" s="95"/>
      <c r="G56" s="95"/>
      <c r="H56" s="95"/>
      <c r="I56" s="95"/>
      <c r="J56" s="95"/>
      <c r="K56" s="95"/>
    </row>
    <row r="57" spans="5:11" x14ac:dyDescent="0.4">
      <c r="E57" s="95"/>
      <c r="F57" s="95"/>
      <c r="G57" s="95"/>
      <c r="H57" s="95"/>
      <c r="I57" s="95"/>
      <c r="J57" s="95"/>
      <c r="K57" s="95"/>
    </row>
    <row r="58" spans="5:11" x14ac:dyDescent="0.4">
      <c r="E58" s="95"/>
      <c r="F58" s="95"/>
      <c r="G58" s="95"/>
      <c r="H58" s="95"/>
      <c r="I58" s="95"/>
      <c r="J58" s="95"/>
      <c r="K58" s="95"/>
    </row>
    <row r="59" spans="5:11" x14ac:dyDescent="0.4">
      <c r="E59" s="95"/>
      <c r="F59" s="95"/>
      <c r="G59" s="95"/>
      <c r="H59" s="95"/>
      <c r="I59" s="95"/>
      <c r="J59" s="95"/>
      <c r="K59" s="95"/>
    </row>
    <row r="60" spans="5:11" x14ac:dyDescent="0.4">
      <c r="E60" s="95"/>
      <c r="F60" s="95"/>
      <c r="G60" s="95"/>
      <c r="H60" s="95"/>
      <c r="I60" s="95"/>
      <c r="J60" s="95"/>
      <c r="K60" s="95"/>
    </row>
    <row r="61" spans="5:11" x14ac:dyDescent="0.4">
      <c r="E61" s="95"/>
      <c r="F61" s="95"/>
      <c r="G61" s="95"/>
      <c r="H61" s="95"/>
      <c r="I61" s="95"/>
      <c r="J61" s="95"/>
      <c r="K61" s="95"/>
    </row>
    <row r="62" spans="5:11" x14ac:dyDescent="0.4">
      <c r="E62" s="95"/>
      <c r="F62" s="95"/>
      <c r="G62" s="95"/>
      <c r="H62" s="95"/>
      <c r="I62" s="95"/>
      <c r="J62" s="95"/>
      <c r="K62" s="95"/>
    </row>
    <row r="63" spans="5:11" x14ac:dyDescent="0.4">
      <c r="E63" s="95"/>
      <c r="F63" s="95"/>
      <c r="G63" s="95"/>
      <c r="H63" s="95"/>
      <c r="I63" s="95"/>
      <c r="J63" s="95"/>
      <c r="K63" s="95"/>
    </row>
    <row r="64" spans="5:11" x14ac:dyDescent="0.4">
      <c r="E64" s="95"/>
      <c r="F64" s="95"/>
      <c r="G64" s="95"/>
      <c r="H64" s="95"/>
      <c r="I64" s="95"/>
      <c r="J64" s="95"/>
      <c r="K64" s="95"/>
    </row>
    <row r="65" spans="5:11" x14ac:dyDescent="0.4">
      <c r="E65" s="95"/>
      <c r="F65" s="95"/>
      <c r="G65" s="95"/>
      <c r="H65" s="95"/>
      <c r="I65" s="95"/>
      <c r="J65" s="95"/>
      <c r="K65" s="95"/>
    </row>
    <row r="66" spans="5:11" x14ac:dyDescent="0.4">
      <c r="E66" s="95"/>
      <c r="F66" s="95"/>
      <c r="G66" s="95"/>
      <c r="H66" s="95"/>
      <c r="I66" s="95"/>
      <c r="J66" s="95"/>
      <c r="K66" s="95"/>
    </row>
    <row r="67" spans="5:11" x14ac:dyDescent="0.4">
      <c r="E67" s="95"/>
      <c r="F67" s="95"/>
      <c r="G67" s="95"/>
      <c r="H67" s="95"/>
      <c r="I67" s="95"/>
      <c r="J67" s="95"/>
      <c r="K67" s="95"/>
    </row>
    <row r="68" spans="5:11" x14ac:dyDescent="0.4">
      <c r="E68" s="95"/>
      <c r="F68" s="95"/>
      <c r="G68" s="95"/>
      <c r="H68" s="95"/>
      <c r="I68" s="95"/>
      <c r="J68" s="95"/>
      <c r="K68" s="95"/>
    </row>
    <row r="69" spans="5:11" x14ac:dyDescent="0.4">
      <c r="E69" s="95"/>
      <c r="F69" s="95"/>
      <c r="G69" s="95"/>
      <c r="H69" s="95"/>
      <c r="I69" s="95"/>
      <c r="J69" s="95"/>
      <c r="K69" s="95"/>
    </row>
    <row r="70" spans="5:11" x14ac:dyDescent="0.4">
      <c r="E70" s="95"/>
      <c r="F70" s="95"/>
      <c r="G70" s="95"/>
      <c r="H70" s="95"/>
      <c r="I70" s="95"/>
      <c r="J70" s="95"/>
      <c r="K70" s="95"/>
    </row>
    <row r="71" spans="5:11" x14ac:dyDescent="0.4">
      <c r="E71" s="95"/>
      <c r="F71" s="95"/>
      <c r="G71" s="95"/>
      <c r="H71" s="95"/>
      <c r="I71" s="95"/>
      <c r="J71" s="95"/>
      <c r="K71" s="95"/>
    </row>
    <row r="72" spans="5:11" x14ac:dyDescent="0.4">
      <c r="E72" s="95"/>
      <c r="F72" s="95"/>
      <c r="G72" s="95"/>
      <c r="H72" s="95"/>
      <c r="I72" s="95"/>
      <c r="J72" s="95"/>
      <c r="K72" s="95"/>
    </row>
    <row r="73" spans="5:11" x14ac:dyDescent="0.4">
      <c r="E73" s="95"/>
      <c r="F73" s="95"/>
      <c r="G73" s="95"/>
      <c r="H73" s="95"/>
      <c r="I73" s="95"/>
      <c r="J73" s="95"/>
      <c r="K73" s="95"/>
    </row>
  </sheetData>
  <phoneticPr fontId="3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7CEF-BF7A-49FF-8BAA-036059EAFE94}">
  <dimension ref="A1:G17"/>
  <sheetViews>
    <sheetView workbookViewId="0">
      <selection activeCell="C9" sqref="C9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1109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22" t="s">
        <v>1108</v>
      </c>
      <c r="B6" s="22" t="s">
        <v>1107</v>
      </c>
      <c r="C6" s="24">
        <v>27.288799999999998</v>
      </c>
      <c r="D6" s="24">
        <v>30.806999999999999</v>
      </c>
      <c r="E6" s="24">
        <v>34.968400000000003</v>
      </c>
      <c r="F6" s="24">
        <v>32.608699999999999</v>
      </c>
      <c r="G6" s="24">
        <v>36.809699999999999</v>
      </c>
    </row>
    <row r="7" spans="1:7" x14ac:dyDescent="0.4">
      <c r="A7" s="22" t="s">
        <v>1106</v>
      </c>
      <c r="B7" s="22" t="s">
        <v>1105</v>
      </c>
      <c r="C7" s="24">
        <v>27.288799999999998</v>
      </c>
      <c r="D7" s="24">
        <v>30.806999999999999</v>
      </c>
      <c r="E7" s="24">
        <v>34.968400000000003</v>
      </c>
      <c r="F7" s="24">
        <v>32.608699999999999</v>
      </c>
      <c r="G7" s="24">
        <v>36.809699999999999</v>
      </c>
    </row>
    <row r="8" spans="1:7" x14ac:dyDescent="0.4">
      <c r="A8" s="22" t="s">
        <v>1104</v>
      </c>
      <c r="B8" s="22" t="s">
        <v>1103</v>
      </c>
      <c r="C8" s="24">
        <v>1.038</v>
      </c>
      <c r="D8" s="24">
        <v>1.0335000000000001</v>
      </c>
      <c r="E8" s="24">
        <v>1.0294000000000001</v>
      </c>
      <c r="F8" s="24">
        <v>1.0316000000000001</v>
      </c>
      <c r="G8" s="24">
        <v>1.0279</v>
      </c>
    </row>
    <row r="9" spans="1:7" x14ac:dyDescent="0.4">
      <c r="A9" s="22" t="s">
        <v>1102</v>
      </c>
      <c r="B9" s="22" t="s">
        <v>1101</v>
      </c>
      <c r="C9" s="24">
        <v>27.569800000000001</v>
      </c>
      <c r="D9" s="24">
        <v>31.2164</v>
      </c>
      <c r="E9" s="24">
        <v>34.9833</v>
      </c>
      <c r="F9" s="24">
        <v>32.628900000000002</v>
      </c>
      <c r="G9" s="24">
        <v>36.741</v>
      </c>
    </row>
    <row r="10" spans="1:7" x14ac:dyDescent="0.4">
      <c r="A10" s="22" t="s">
        <v>1100</v>
      </c>
      <c r="B10" s="22" t="s">
        <v>1099</v>
      </c>
      <c r="C10" s="24">
        <v>28.996099999999998</v>
      </c>
      <c r="D10" s="24">
        <v>32.590600000000002</v>
      </c>
      <c r="E10" s="24">
        <v>36.786200000000001</v>
      </c>
      <c r="F10" s="24">
        <v>34.273299999999999</v>
      </c>
      <c r="G10" s="24">
        <v>38.701999999999998</v>
      </c>
    </row>
    <row r="11" spans="1:7" x14ac:dyDescent="0.4">
      <c r="A11" s="22"/>
      <c r="B11" s="21"/>
      <c r="C11" s="21"/>
      <c r="D11" s="21"/>
      <c r="E11" s="21"/>
      <c r="F11" s="21"/>
      <c r="G11" s="21"/>
    </row>
    <row r="12" spans="1:7" x14ac:dyDescent="0.4">
      <c r="A12" s="22" t="s">
        <v>1098</v>
      </c>
      <c r="B12" s="22" t="s">
        <v>1097</v>
      </c>
      <c r="C12" s="24">
        <v>0.42270000000000002</v>
      </c>
      <c r="D12" s="24">
        <v>0.70660000000000001</v>
      </c>
      <c r="E12" s="24">
        <v>0.8206</v>
      </c>
      <c r="F12" s="24">
        <v>0.98919999999999997</v>
      </c>
      <c r="G12" s="24">
        <v>0.92059999999999997</v>
      </c>
    </row>
    <row r="13" spans="1:7" x14ac:dyDescent="0.4">
      <c r="A13" s="22" t="s">
        <v>1096</v>
      </c>
      <c r="B13" s="22" t="s">
        <v>1095</v>
      </c>
      <c r="C13" s="24">
        <v>0.39290000000000003</v>
      </c>
      <c r="D13" s="24">
        <v>0.67379999999999995</v>
      </c>
      <c r="E13" s="24">
        <v>0.77839999999999998</v>
      </c>
      <c r="F13" s="24">
        <v>0.93879999999999997</v>
      </c>
      <c r="G13" s="24">
        <v>0.86260000000000003</v>
      </c>
    </row>
    <row r="14" spans="1:7" x14ac:dyDescent="0.4">
      <c r="A14" s="22" t="s">
        <v>1094</v>
      </c>
      <c r="B14" s="22" t="s">
        <v>1093</v>
      </c>
      <c r="C14" s="24">
        <v>0.57020000000000004</v>
      </c>
      <c r="D14" s="24">
        <v>0.73329999999999995</v>
      </c>
      <c r="E14" s="24">
        <v>0.81899999999999995</v>
      </c>
      <c r="F14" s="24">
        <v>1.0008999999999999</v>
      </c>
      <c r="G14" s="24">
        <v>1.0888</v>
      </c>
    </row>
    <row r="15" spans="1:7" x14ac:dyDescent="0.4">
      <c r="A15" s="22" t="s">
        <v>1092</v>
      </c>
      <c r="B15" s="22" t="s">
        <v>1091</v>
      </c>
      <c r="C15" s="24">
        <v>1.6506000000000001</v>
      </c>
      <c r="D15" s="24">
        <v>1.2889999999999999</v>
      </c>
      <c r="E15" s="24">
        <v>1.1606000000000001</v>
      </c>
      <c r="F15" s="24">
        <v>0.9506</v>
      </c>
      <c r="G15" s="24">
        <v>0.87350000000000005</v>
      </c>
    </row>
    <row r="16" spans="1:7" x14ac:dyDescent="0.4">
      <c r="A16" s="22" t="s">
        <v>1090</v>
      </c>
      <c r="B16" s="22" t="s">
        <v>1089</v>
      </c>
      <c r="C16" s="24">
        <v>0.1721</v>
      </c>
      <c r="D16" s="24">
        <v>-5.5399999999999998E-2</v>
      </c>
      <c r="E16" s="24">
        <v>-1.5E-3</v>
      </c>
      <c r="F16" s="24">
        <v>-0.1845</v>
      </c>
      <c r="G16" s="24">
        <v>1.72E-2</v>
      </c>
    </row>
    <row r="17" spans="1:7" x14ac:dyDescent="0.4">
      <c r="A17" s="25" t="s">
        <v>153</v>
      </c>
      <c r="B17" s="25"/>
      <c r="C17" s="25"/>
      <c r="D17" s="25"/>
      <c r="E17" s="25"/>
      <c r="F17" s="25"/>
      <c r="G17" s="25"/>
    </row>
  </sheetData>
  <phoneticPr fontId="3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33AF-C7F1-4EF2-9B8B-044B99428728}">
  <dimension ref="A1:G18"/>
  <sheetViews>
    <sheetView workbookViewId="0">
      <selection activeCell="C12" sqref="C12"/>
    </sheetView>
  </sheetViews>
  <sheetFormatPr defaultRowHeight="17.399999999999999" x14ac:dyDescent="0.4"/>
  <cols>
    <col min="1" max="1" width="35.19921875" customWidth="1"/>
    <col min="2" max="2" width="0" hidden="1" customWidth="1"/>
    <col min="3" max="7" width="14.09765625" customWidth="1"/>
  </cols>
  <sheetData>
    <row r="1" spans="1:7" x14ac:dyDescent="0.4">
      <c r="A1" s="5"/>
      <c r="B1" s="5"/>
      <c r="C1" s="5"/>
      <c r="D1" s="5"/>
      <c r="E1" s="5"/>
      <c r="F1" s="5"/>
      <c r="G1" s="5"/>
    </row>
    <row r="2" spans="1:7" ht="21" x14ac:dyDescent="0.4">
      <c r="A2" s="6" t="s">
        <v>1131</v>
      </c>
      <c r="B2" s="6"/>
      <c r="C2" s="6"/>
      <c r="D2" s="6"/>
      <c r="E2" s="6"/>
      <c r="F2" s="6"/>
      <c r="G2" s="6"/>
    </row>
    <row r="3" spans="1:7" x14ac:dyDescent="0.4">
      <c r="A3" s="7"/>
      <c r="B3" s="7"/>
      <c r="C3" s="7"/>
      <c r="D3" s="7"/>
      <c r="E3" s="7"/>
      <c r="F3" s="7"/>
      <c r="G3" s="7"/>
    </row>
    <row r="4" spans="1:7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</row>
    <row r="6" spans="1:7" x14ac:dyDescent="0.4">
      <c r="A6" s="22" t="s">
        <v>149</v>
      </c>
      <c r="B6" s="22" t="s">
        <v>150</v>
      </c>
      <c r="C6" s="24">
        <v>687</v>
      </c>
      <c r="D6" s="24">
        <v>721</v>
      </c>
      <c r="E6" s="24">
        <v>771</v>
      </c>
      <c r="F6" s="24">
        <v>867</v>
      </c>
      <c r="G6" s="24">
        <v>955</v>
      </c>
    </row>
    <row r="7" spans="1:7" x14ac:dyDescent="0.4">
      <c r="A7" s="22" t="s">
        <v>1130</v>
      </c>
      <c r="B7" s="22" t="s">
        <v>1129</v>
      </c>
      <c r="C7" s="24">
        <v>3.1446999999999998</v>
      </c>
      <c r="D7" s="24">
        <v>2.9910999999999999</v>
      </c>
      <c r="E7" s="24">
        <v>2.6305000000000001</v>
      </c>
      <c r="F7" s="24">
        <v>2.6551999999999998</v>
      </c>
      <c r="G7" s="24">
        <v>2.6581999999999999</v>
      </c>
    </row>
    <row r="8" spans="1:7" x14ac:dyDescent="0.4">
      <c r="A8" s="22" t="s">
        <v>1128</v>
      </c>
      <c r="B8" s="22" t="s">
        <v>1127</v>
      </c>
      <c r="C8" s="24">
        <v>0.25290000000000001</v>
      </c>
      <c r="D8" s="24">
        <v>0.2417</v>
      </c>
      <c r="E8" s="24">
        <v>0.22239999999999999</v>
      </c>
      <c r="F8" s="24">
        <v>0.22770000000000001</v>
      </c>
      <c r="G8" s="24">
        <v>0.2218</v>
      </c>
    </row>
    <row r="9" spans="1:7" x14ac:dyDescent="0.4">
      <c r="A9" s="22" t="s">
        <v>1126</v>
      </c>
      <c r="B9" s="22" t="s">
        <v>1125</v>
      </c>
      <c r="C9" s="24">
        <v>5.4672000000000001</v>
      </c>
      <c r="D9" s="24">
        <v>5.9821999999999997</v>
      </c>
      <c r="E9" s="24">
        <v>6.6174999999999997</v>
      </c>
      <c r="F9" s="24">
        <v>5.9172000000000002</v>
      </c>
      <c r="G9" s="24">
        <v>5.7908999999999997</v>
      </c>
    </row>
    <row r="10" spans="1:7" x14ac:dyDescent="0.4">
      <c r="A10" s="22" t="s">
        <v>1124</v>
      </c>
      <c r="B10" s="22" t="s">
        <v>1123</v>
      </c>
      <c r="C10" s="24">
        <v>61.7791</v>
      </c>
      <c r="D10" s="24">
        <v>60.556800000000003</v>
      </c>
      <c r="E10" s="24">
        <v>60.442300000000003</v>
      </c>
      <c r="F10" s="24">
        <v>57.779499999999999</v>
      </c>
      <c r="G10" s="24">
        <v>53.815100000000001</v>
      </c>
    </row>
    <row r="11" spans="1:7" x14ac:dyDescent="0.4">
      <c r="A11" s="22" t="s">
        <v>1122</v>
      </c>
      <c r="B11" s="22" t="s">
        <v>1121</v>
      </c>
      <c r="C11" s="24">
        <v>-736</v>
      </c>
      <c r="D11" s="24">
        <v>-705</v>
      </c>
      <c r="E11" s="24">
        <v>-970</v>
      </c>
      <c r="F11" s="24">
        <v>-1059</v>
      </c>
      <c r="G11" s="24">
        <v>-1257</v>
      </c>
    </row>
    <row r="12" spans="1:7" x14ac:dyDescent="0.4">
      <c r="A12" s="22" t="s">
        <v>1120</v>
      </c>
      <c r="B12" s="22" t="s">
        <v>1119</v>
      </c>
      <c r="C12" s="24">
        <v>3.3690000000000002</v>
      </c>
      <c r="D12" s="24">
        <v>2.9247000000000001</v>
      </c>
      <c r="E12" s="24">
        <v>3.3094999999999999</v>
      </c>
      <c r="F12" s="24">
        <v>3.2431999999999999</v>
      </c>
      <c r="G12" s="24">
        <v>3.4988999999999999</v>
      </c>
    </row>
    <row r="13" spans="1:7" x14ac:dyDescent="0.4">
      <c r="A13" s="22" t="s">
        <v>1118</v>
      </c>
      <c r="B13" s="22" t="s">
        <v>1117</v>
      </c>
      <c r="C13" s="24">
        <v>0.95899999999999996</v>
      </c>
      <c r="D13" s="24">
        <v>0.86070000000000002</v>
      </c>
      <c r="E13" s="24">
        <v>1.1519999999999999</v>
      </c>
      <c r="F13" s="24">
        <v>1.2034</v>
      </c>
      <c r="G13" s="24">
        <v>1.3588</v>
      </c>
    </row>
    <row r="14" spans="1:7" x14ac:dyDescent="0.4">
      <c r="A14" s="22" t="s">
        <v>1116</v>
      </c>
      <c r="B14" s="22" t="s">
        <v>1115</v>
      </c>
      <c r="C14" s="24">
        <v>1.0712999999999999</v>
      </c>
      <c r="D14" s="24">
        <v>0.9778</v>
      </c>
      <c r="E14" s="24">
        <v>1.2581</v>
      </c>
      <c r="F14" s="24">
        <v>1.2215</v>
      </c>
      <c r="G14" s="24">
        <v>1.3162</v>
      </c>
    </row>
    <row r="15" spans="1:7" x14ac:dyDescent="0.4">
      <c r="A15" s="22" t="s">
        <v>1114</v>
      </c>
      <c r="B15" s="22" t="s">
        <v>1113</v>
      </c>
      <c r="C15" s="24">
        <v>1.2395</v>
      </c>
      <c r="D15" s="24">
        <v>1.2037</v>
      </c>
      <c r="E15" s="24">
        <v>1.1725000000000001</v>
      </c>
      <c r="F15" s="24">
        <v>1.1594</v>
      </c>
      <c r="G15" s="24">
        <v>1.169</v>
      </c>
    </row>
    <row r="16" spans="1:7" x14ac:dyDescent="0.4">
      <c r="A16" s="22" t="s">
        <v>1112</v>
      </c>
      <c r="B16" s="22" t="s">
        <v>848</v>
      </c>
      <c r="C16" s="24">
        <v>-2.6455000000000002</v>
      </c>
      <c r="D16" s="24">
        <v>-4.2119999999999997</v>
      </c>
      <c r="E16" s="24">
        <v>37.588700000000003</v>
      </c>
      <c r="F16" s="24">
        <v>9.1753</v>
      </c>
      <c r="G16" s="24">
        <v>18.696899999999999</v>
      </c>
    </row>
    <row r="17" spans="1:7" x14ac:dyDescent="0.4">
      <c r="A17" s="22" t="s">
        <v>1111</v>
      </c>
      <c r="B17" s="22" t="s">
        <v>1110</v>
      </c>
      <c r="C17" s="24">
        <v>6.4396000000000004</v>
      </c>
      <c r="D17" s="24">
        <v>6.8779000000000003</v>
      </c>
      <c r="E17" s="24">
        <v>7.3384999999999998</v>
      </c>
      <c r="F17" s="24">
        <v>6.1764999999999999</v>
      </c>
      <c r="G17" s="24">
        <v>5.7309000000000001</v>
      </c>
    </row>
    <row r="18" spans="1:7" x14ac:dyDescent="0.4">
      <c r="A18" s="25" t="s">
        <v>153</v>
      </c>
      <c r="B18" s="25"/>
      <c r="C18" s="25" t="s">
        <v>154</v>
      </c>
      <c r="D18" s="25"/>
      <c r="E18" s="25"/>
      <c r="F18" s="25"/>
      <c r="G18" s="25"/>
    </row>
  </sheetData>
  <phoneticPr fontId="3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7B44-130E-4E01-8BEF-2BF87C8FAAF8}">
  <dimension ref="A1:J38"/>
  <sheetViews>
    <sheetView topLeftCell="A18" workbookViewId="0">
      <selection activeCell="C14" sqref="C14"/>
    </sheetView>
  </sheetViews>
  <sheetFormatPr defaultRowHeight="17.399999999999999" x14ac:dyDescent="0.4"/>
  <cols>
    <col min="1" max="1" width="35.19921875" customWidth="1"/>
    <col min="2" max="2" width="0" hidden="1" customWidth="1"/>
    <col min="3" max="10" width="14.09765625" customWidth="1"/>
  </cols>
  <sheetData>
    <row r="1" spans="1:10" x14ac:dyDescent="0.4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4">
      <c r="A2" s="6" t="s">
        <v>1151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4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</row>
    <row r="5" spans="1:10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  <c r="I5" s="11" t="s">
        <v>17</v>
      </c>
      <c r="J5" s="11" t="s">
        <v>18</v>
      </c>
    </row>
    <row r="6" spans="1:10" x14ac:dyDescent="0.4">
      <c r="A6" s="22" t="s">
        <v>125</v>
      </c>
      <c r="B6" s="22" t="s">
        <v>126</v>
      </c>
      <c r="C6" s="21" t="s">
        <v>127</v>
      </c>
      <c r="D6" s="21" t="s">
        <v>127</v>
      </c>
      <c r="E6" s="21" t="s">
        <v>127</v>
      </c>
      <c r="F6" s="21" t="s">
        <v>127</v>
      </c>
      <c r="G6" s="21" t="s">
        <v>127</v>
      </c>
      <c r="H6" s="20"/>
      <c r="I6" s="21"/>
      <c r="J6" s="21"/>
    </row>
    <row r="7" spans="1:10" x14ac:dyDescent="0.4">
      <c r="A7" s="22" t="s">
        <v>163</v>
      </c>
      <c r="B7" s="22" t="s">
        <v>162</v>
      </c>
      <c r="C7" s="24">
        <v>20500</v>
      </c>
      <c r="D7" s="24">
        <v>21500</v>
      </c>
      <c r="E7" s="24">
        <v>26500</v>
      </c>
      <c r="F7" s="24">
        <v>28800</v>
      </c>
      <c r="G7" s="24">
        <v>31600</v>
      </c>
      <c r="H7" s="23"/>
      <c r="I7" s="24"/>
      <c r="J7" s="24"/>
    </row>
    <row r="8" spans="1:10" x14ac:dyDescent="0.4">
      <c r="A8" s="22"/>
      <c r="B8" s="21"/>
      <c r="C8" s="21"/>
      <c r="D8" s="21"/>
      <c r="E8" s="21"/>
      <c r="F8" s="21"/>
      <c r="G8" s="21"/>
      <c r="H8" s="20"/>
      <c r="I8" s="21"/>
      <c r="J8" s="21"/>
    </row>
    <row r="9" spans="1:10" x14ac:dyDescent="0.4">
      <c r="A9" s="22" t="s">
        <v>1150</v>
      </c>
      <c r="B9" s="22" t="s">
        <v>1149</v>
      </c>
      <c r="C9" s="24">
        <v>199.97</v>
      </c>
      <c r="D9" s="24">
        <v>222.75</v>
      </c>
      <c r="E9" s="24">
        <v>177.65</v>
      </c>
      <c r="F9" s="24">
        <v>230.01</v>
      </c>
      <c r="G9" s="24">
        <v>274.95</v>
      </c>
      <c r="H9" s="23">
        <v>357.04</v>
      </c>
      <c r="I9" s="24"/>
      <c r="J9" s="24"/>
    </row>
    <row r="10" spans="1:10" x14ac:dyDescent="0.4">
      <c r="A10" s="22" t="s">
        <v>187</v>
      </c>
      <c r="B10" s="22" t="s">
        <v>186</v>
      </c>
      <c r="C10" s="24">
        <v>1939</v>
      </c>
      <c r="D10" s="24">
        <v>1932</v>
      </c>
      <c r="E10" s="24">
        <v>1890</v>
      </c>
      <c r="F10" s="24">
        <v>1849</v>
      </c>
      <c r="G10" s="24">
        <v>1804</v>
      </c>
      <c r="H10" s="23">
        <v>1849</v>
      </c>
      <c r="I10" s="24"/>
      <c r="J10" s="24"/>
    </row>
    <row r="11" spans="1:10" x14ac:dyDescent="0.4">
      <c r="A11" s="22" t="s">
        <v>937</v>
      </c>
      <c r="B11" s="22" t="s">
        <v>936</v>
      </c>
      <c r="C11" s="24">
        <v>387741.83</v>
      </c>
      <c r="D11" s="24">
        <v>430353</v>
      </c>
      <c r="E11" s="24">
        <v>335758.5</v>
      </c>
      <c r="F11" s="24">
        <v>425288.49</v>
      </c>
      <c r="G11" s="24">
        <v>496009.8</v>
      </c>
      <c r="H11" s="23">
        <v>707698.13969782798</v>
      </c>
      <c r="I11" s="24"/>
      <c r="J11" s="24"/>
    </row>
    <row r="12" spans="1:10" x14ac:dyDescent="0.4">
      <c r="A12" s="22"/>
      <c r="B12" s="21"/>
      <c r="C12" s="21"/>
      <c r="D12" s="21"/>
      <c r="E12" s="21"/>
      <c r="F12" s="21"/>
      <c r="G12" s="21"/>
      <c r="H12" s="20"/>
      <c r="I12" s="21"/>
      <c r="J12" s="21"/>
    </row>
    <row r="13" spans="1:10" x14ac:dyDescent="0.4">
      <c r="A13" s="22" t="s">
        <v>768</v>
      </c>
      <c r="B13" s="22" t="s">
        <v>20</v>
      </c>
      <c r="C13" s="24">
        <v>21846</v>
      </c>
      <c r="D13" s="24">
        <v>24105</v>
      </c>
      <c r="E13" s="24">
        <v>29310</v>
      </c>
      <c r="F13" s="24">
        <v>32653</v>
      </c>
      <c r="G13" s="24">
        <v>35926</v>
      </c>
      <c r="H13" s="23">
        <v>37621</v>
      </c>
      <c r="I13" s="24">
        <v>39588.0952380952</v>
      </c>
      <c r="J13" s="24">
        <v>43840.951219512201</v>
      </c>
    </row>
    <row r="14" spans="1:10" x14ac:dyDescent="0.4">
      <c r="A14" s="22" t="s">
        <v>128</v>
      </c>
      <c r="B14" s="22" t="s">
        <v>128</v>
      </c>
      <c r="C14" s="24">
        <v>14962</v>
      </c>
      <c r="D14" s="24">
        <v>16719</v>
      </c>
      <c r="E14" s="24">
        <v>19791</v>
      </c>
      <c r="F14" s="24">
        <v>22072</v>
      </c>
      <c r="G14" s="24">
        <v>24808</v>
      </c>
      <c r="H14" s="23">
        <v>25081</v>
      </c>
      <c r="I14" s="24">
        <v>27639.345000000001</v>
      </c>
      <c r="J14" s="24">
        <v>31046.31</v>
      </c>
    </row>
    <row r="15" spans="1:10" x14ac:dyDescent="0.4">
      <c r="A15" s="22" t="s">
        <v>344</v>
      </c>
      <c r="B15" s="22" t="s">
        <v>130</v>
      </c>
      <c r="C15" s="24">
        <v>68.488500000000002</v>
      </c>
      <c r="D15" s="24">
        <v>69.359099999999998</v>
      </c>
      <c r="E15" s="24">
        <v>67.522999999999996</v>
      </c>
      <c r="F15" s="24">
        <v>67.595600000000005</v>
      </c>
      <c r="G15" s="24">
        <v>69.053100000000001</v>
      </c>
      <c r="H15" s="23">
        <v>66.6675526966322</v>
      </c>
      <c r="I15" s="24">
        <v>69.817315028672098</v>
      </c>
      <c r="J15" s="24">
        <v>70.815776783674195</v>
      </c>
    </row>
    <row r="16" spans="1:10" x14ac:dyDescent="0.4">
      <c r="A16" s="22" t="s">
        <v>1148</v>
      </c>
      <c r="B16" s="22" t="s">
        <v>97</v>
      </c>
      <c r="C16" s="24">
        <v>10866</v>
      </c>
      <c r="D16" s="24">
        <v>12311</v>
      </c>
      <c r="E16" s="24">
        <v>14957</v>
      </c>
      <c r="F16" s="24">
        <v>17273</v>
      </c>
      <c r="G16" s="24">
        <v>19743</v>
      </c>
      <c r="H16" s="23">
        <v>19886</v>
      </c>
      <c r="I16" s="24">
        <v>21144.2</v>
      </c>
      <c r="J16" s="24">
        <v>24351.933000000001</v>
      </c>
    </row>
    <row r="17" spans="1:10" x14ac:dyDescent="0.4">
      <c r="A17" s="22" t="s">
        <v>1147</v>
      </c>
      <c r="B17" s="22" t="s">
        <v>1146</v>
      </c>
      <c r="C17" s="24">
        <v>4.5045000000000002</v>
      </c>
      <c r="D17" s="24">
        <v>5.2789000000000001</v>
      </c>
      <c r="E17" s="24">
        <v>7.4625000000000004</v>
      </c>
      <c r="F17" s="24">
        <v>8.7012</v>
      </c>
      <c r="G17" s="24">
        <v>10.0059</v>
      </c>
      <c r="H17" s="23">
        <v>10.021652</v>
      </c>
      <c r="I17" s="24">
        <v>11.334</v>
      </c>
      <c r="J17" s="24">
        <v>12.813000000000001</v>
      </c>
    </row>
    <row r="18" spans="1:10" x14ac:dyDescent="0.4">
      <c r="A18" s="22" t="s">
        <v>1145</v>
      </c>
      <c r="B18" s="22" t="s">
        <v>1144</v>
      </c>
      <c r="C18" s="24">
        <v>44.3932</v>
      </c>
      <c r="D18" s="24">
        <v>42.196199999999997</v>
      </c>
      <c r="E18" s="24">
        <v>23.805499999999999</v>
      </c>
      <c r="F18" s="24">
        <v>26.4343</v>
      </c>
      <c r="G18" s="24">
        <v>27.4787</v>
      </c>
      <c r="H18" s="23">
        <v>35.626861573812597</v>
      </c>
      <c r="I18" s="24">
        <v>31.5016763719781</v>
      </c>
      <c r="J18" s="24">
        <v>27.865449153203802</v>
      </c>
    </row>
    <row r="19" spans="1:10" x14ac:dyDescent="0.4">
      <c r="A19" s="22"/>
      <c r="B19" s="21"/>
      <c r="C19" s="21"/>
      <c r="D19" s="21"/>
      <c r="E19" s="21"/>
      <c r="F19" s="21"/>
      <c r="G19" s="21"/>
      <c r="H19" s="20"/>
      <c r="I19" s="21"/>
      <c r="J19" s="21"/>
    </row>
    <row r="20" spans="1:10" x14ac:dyDescent="0.4">
      <c r="A20" s="22" t="s">
        <v>143</v>
      </c>
      <c r="B20" s="22" t="s">
        <v>144</v>
      </c>
      <c r="C20" s="24">
        <v>1.22</v>
      </c>
      <c r="D20" s="24">
        <v>1.335</v>
      </c>
      <c r="E20" s="24">
        <v>1.575</v>
      </c>
      <c r="F20" s="24">
        <v>1.87</v>
      </c>
      <c r="G20" s="24">
        <v>2.08</v>
      </c>
      <c r="H20" s="23">
        <v>2.2200000000000002</v>
      </c>
      <c r="I20" s="24">
        <v>2.3730000000000002</v>
      </c>
      <c r="J20" s="24">
        <v>2.63</v>
      </c>
    </row>
    <row r="21" spans="1:10" x14ac:dyDescent="0.4">
      <c r="A21" s="22" t="s">
        <v>1143</v>
      </c>
      <c r="B21" s="22" t="s">
        <v>743</v>
      </c>
      <c r="C21" s="24">
        <v>21.927700000000002</v>
      </c>
      <c r="D21" s="24">
        <v>21.1023</v>
      </c>
      <c r="E21" s="24">
        <v>17.385300000000001</v>
      </c>
      <c r="F21" s="24">
        <v>17.5167</v>
      </c>
      <c r="G21" s="24">
        <v>17.0779</v>
      </c>
      <c r="H21" s="23">
        <v>23.9119510596461</v>
      </c>
      <c r="I21" s="24">
        <v>20.937003705664399</v>
      </c>
      <c r="J21" s="24">
        <v>20.526028252555999</v>
      </c>
    </row>
    <row r="22" spans="1:10" x14ac:dyDescent="0.4">
      <c r="A22" s="22" t="s">
        <v>1142</v>
      </c>
      <c r="B22" s="22" t="s">
        <v>1141</v>
      </c>
      <c r="C22" s="24">
        <v>0.60009999999999997</v>
      </c>
      <c r="D22" s="24">
        <v>0.5746</v>
      </c>
      <c r="E22" s="24">
        <v>0.84440000000000004</v>
      </c>
      <c r="F22" s="24">
        <v>0.78259999999999996</v>
      </c>
      <c r="G22" s="24">
        <v>0.75649999999999995</v>
      </c>
      <c r="H22" s="23">
        <v>0.64120511895979904</v>
      </c>
      <c r="I22" s="24"/>
      <c r="J22" s="24"/>
    </row>
    <row r="23" spans="1:10" x14ac:dyDescent="0.4">
      <c r="A23" s="22"/>
      <c r="B23" s="21"/>
      <c r="C23" s="21"/>
      <c r="D23" s="21"/>
      <c r="E23" s="21"/>
      <c r="F23" s="21"/>
      <c r="G23" s="21"/>
      <c r="H23" s="20"/>
      <c r="I23" s="21"/>
      <c r="J23" s="21"/>
    </row>
    <row r="24" spans="1:10" x14ac:dyDescent="0.4">
      <c r="A24" s="22" t="s">
        <v>1140</v>
      </c>
      <c r="B24" s="22" t="s">
        <v>293</v>
      </c>
      <c r="C24" s="24">
        <v>2737</v>
      </c>
      <c r="D24" s="24">
        <v>3230</v>
      </c>
      <c r="E24" s="24">
        <v>3703</v>
      </c>
      <c r="F24" s="24">
        <v>3913</v>
      </c>
      <c r="G24" s="24">
        <v>4697</v>
      </c>
      <c r="H24" s="23">
        <v>4023</v>
      </c>
      <c r="I24" s="24"/>
      <c r="J24" s="24"/>
    </row>
    <row r="25" spans="1:10" x14ac:dyDescent="0.4">
      <c r="A25" s="22" t="s">
        <v>268</v>
      </c>
      <c r="B25" s="22" t="s">
        <v>267</v>
      </c>
      <c r="C25" s="24">
        <v>80919</v>
      </c>
      <c r="D25" s="24">
        <v>82896</v>
      </c>
      <c r="E25" s="24">
        <v>85501</v>
      </c>
      <c r="F25" s="24">
        <v>90499</v>
      </c>
      <c r="G25" s="24">
        <v>94511</v>
      </c>
      <c r="H25" s="23">
        <v>92853</v>
      </c>
      <c r="I25" s="24"/>
      <c r="J25" s="24"/>
    </row>
    <row r="26" spans="1:10" x14ac:dyDescent="0.4">
      <c r="A26" s="22" t="s">
        <v>1139</v>
      </c>
      <c r="B26" s="22" t="s">
        <v>210</v>
      </c>
      <c r="C26" s="24">
        <v>44709</v>
      </c>
      <c r="D26" s="24">
        <v>45307</v>
      </c>
      <c r="E26" s="24">
        <v>49920</v>
      </c>
      <c r="F26" s="24">
        <v>51766</v>
      </c>
      <c r="G26" s="24">
        <v>55374</v>
      </c>
      <c r="H26" s="23">
        <v>54823</v>
      </c>
      <c r="I26" s="24"/>
      <c r="J26" s="24"/>
    </row>
    <row r="27" spans="1:10" x14ac:dyDescent="0.4">
      <c r="A27" s="22" t="s">
        <v>191</v>
      </c>
      <c r="B27" s="22" t="s">
        <v>190</v>
      </c>
      <c r="C27" s="24">
        <v>36210</v>
      </c>
      <c r="D27" s="24">
        <v>37589</v>
      </c>
      <c r="E27" s="24">
        <v>35581</v>
      </c>
      <c r="F27" s="24">
        <v>38733</v>
      </c>
      <c r="G27" s="24">
        <v>39137</v>
      </c>
      <c r="H27" s="23">
        <v>38030</v>
      </c>
      <c r="I27" s="24"/>
      <c r="J27" s="24"/>
    </row>
    <row r="28" spans="1:10" x14ac:dyDescent="0.4">
      <c r="A28" s="22" t="s">
        <v>782</v>
      </c>
      <c r="B28" s="22" t="s">
        <v>1138</v>
      </c>
      <c r="C28" s="24">
        <v>16.051600000000001</v>
      </c>
      <c r="D28" s="24">
        <v>17.861799999999999</v>
      </c>
      <c r="E28" s="24">
        <v>17.596299999999999</v>
      </c>
      <c r="F28" s="24">
        <v>20.029699999999998</v>
      </c>
      <c r="G28" s="24">
        <v>21.123100000000001</v>
      </c>
      <c r="H28" s="23">
        <v>20.091941590048702</v>
      </c>
      <c r="I28" s="24">
        <v>19.25</v>
      </c>
      <c r="J28" s="24">
        <v>20.738</v>
      </c>
    </row>
    <row r="29" spans="1:10" x14ac:dyDescent="0.4">
      <c r="A29" s="22" t="s">
        <v>1137</v>
      </c>
      <c r="B29" s="22" t="s">
        <v>1136</v>
      </c>
      <c r="C29" s="24">
        <v>12.458</v>
      </c>
      <c r="D29" s="24">
        <v>12.470700000000001</v>
      </c>
      <c r="E29" s="24">
        <v>10.0959</v>
      </c>
      <c r="F29" s="24">
        <v>11.4834</v>
      </c>
      <c r="G29" s="24">
        <v>13.0166</v>
      </c>
      <c r="H29" s="23">
        <v>17.770308904429601</v>
      </c>
      <c r="I29" s="24">
        <v>18.547532467532498</v>
      </c>
      <c r="J29" s="24">
        <v>17.2167036358376</v>
      </c>
    </row>
    <row r="30" spans="1:10" x14ac:dyDescent="0.4">
      <c r="A30" s="22" t="s">
        <v>1135</v>
      </c>
      <c r="B30" s="22" t="s">
        <v>1134</v>
      </c>
      <c r="C30" s="24">
        <v>-6.4950999999999999</v>
      </c>
      <c r="D30" s="24">
        <v>-4.7168999999999999</v>
      </c>
      <c r="E30" s="24">
        <v>-5.0766999999999998</v>
      </c>
      <c r="F30" s="24">
        <v>-3.8214999999999999</v>
      </c>
      <c r="G30" s="24">
        <v>-4.2816000000000001</v>
      </c>
      <c r="H30" s="23">
        <v>-4.8128718226068097</v>
      </c>
      <c r="I30" s="24"/>
      <c r="J30" s="24"/>
    </row>
    <row r="31" spans="1:10" x14ac:dyDescent="0.4">
      <c r="A31" s="22" t="s">
        <v>881</v>
      </c>
      <c r="B31" s="22" t="s">
        <v>880</v>
      </c>
      <c r="C31" s="24">
        <v>8.7019000000000002</v>
      </c>
      <c r="D31" s="24">
        <v>9.4003999999999994</v>
      </c>
      <c r="E31" s="24">
        <v>7.6006</v>
      </c>
      <c r="F31" s="24">
        <v>8.7071000000000005</v>
      </c>
      <c r="G31" s="24">
        <v>9.0578000000000003</v>
      </c>
      <c r="H31" s="23">
        <v>10.706086158752401</v>
      </c>
      <c r="I31" s="24"/>
      <c r="J31" s="24"/>
    </row>
    <row r="32" spans="1:10" x14ac:dyDescent="0.4">
      <c r="A32" s="22"/>
      <c r="B32" s="21"/>
      <c r="C32" s="21"/>
      <c r="D32" s="21"/>
      <c r="E32" s="21"/>
      <c r="F32" s="21"/>
      <c r="G32" s="21"/>
      <c r="H32" s="20"/>
      <c r="I32" s="21"/>
      <c r="J32" s="21"/>
    </row>
    <row r="33" spans="1:10" x14ac:dyDescent="0.4">
      <c r="A33" s="22" t="s">
        <v>780</v>
      </c>
      <c r="B33" s="22" t="s">
        <v>408</v>
      </c>
      <c r="C33" s="24">
        <v>10440</v>
      </c>
      <c r="D33" s="24">
        <v>15227</v>
      </c>
      <c r="E33" s="24">
        <v>18849</v>
      </c>
      <c r="F33" s="24">
        <v>20755</v>
      </c>
      <c r="G33" s="24">
        <v>19950</v>
      </c>
      <c r="H33" s="23">
        <v>21889</v>
      </c>
      <c r="I33" s="24"/>
      <c r="J33" s="24"/>
    </row>
    <row r="34" spans="1:10" x14ac:dyDescent="0.4">
      <c r="A34" s="22" t="s">
        <v>1133</v>
      </c>
      <c r="B34" s="22" t="s">
        <v>1132</v>
      </c>
      <c r="C34" s="24">
        <v>5.3456000000000001</v>
      </c>
      <c r="D34" s="24">
        <v>7.8247999999999998</v>
      </c>
      <c r="E34" s="24">
        <v>11.416700000000001</v>
      </c>
      <c r="F34" s="24">
        <v>12.8276</v>
      </c>
      <c r="G34" s="24">
        <v>12.3072</v>
      </c>
      <c r="H34" s="23">
        <v>12.1593872017795</v>
      </c>
      <c r="I34" s="24">
        <v>12.884</v>
      </c>
      <c r="J34" s="24">
        <v>16.238</v>
      </c>
    </row>
    <row r="35" spans="1:10" x14ac:dyDescent="0.4">
      <c r="A35" s="22" t="s">
        <v>339</v>
      </c>
      <c r="B35" s="22" t="s">
        <v>338</v>
      </c>
      <c r="C35" s="24">
        <v>9704</v>
      </c>
      <c r="D35" s="24">
        <v>14522</v>
      </c>
      <c r="E35" s="24">
        <v>17879</v>
      </c>
      <c r="F35" s="24">
        <v>19696</v>
      </c>
      <c r="G35" s="24">
        <v>18693</v>
      </c>
      <c r="H35" s="23">
        <v>20508</v>
      </c>
      <c r="I35" s="24">
        <v>21323.866999999998</v>
      </c>
      <c r="J35" s="24">
        <v>24941.592000000001</v>
      </c>
    </row>
    <row r="36" spans="1:10" x14ac:dyDescent="0.4">
      <c r="A36" s="22" t="s">
        <v>333</v>
      </c>
      <c r="B36" s="22" t="s">
        <v>332</v>
      </c>
      <c r="C36" s="24">
        <v>4.9687999999999999</v>
      </c>
      <c r="D36" s="24">
        <v>7.4625000000000004</v>
      </c>
      <c r="E36" s="24">
        <v>10.8292</v>
      </c>
      <c r="F36" s="24">
        <v>12.1731</v>
      </c>
      <c r="G36" s="24">
        <v>11.5318</v>
      </c>
      <c r="H36" s="23">
        <v>11.396324811895401</v>
      </c>
      <c r="I36" s="24"/>
      <c r="J36" s="24"/>
    </row>
    <row r="37" spans="1:10" x14ac:dyDescent="0.4">
      <c r="A37" s="22" t="s">
        <v>350</v>
      </c>
      <c r="B37" s="22" t="s">
        <v>349</v>
      </c>
      <c r="C37" s="24">
        <v>8339</v>
      </c>
      <c r="D37" s="24">
        <v>628</v>
      </c>
      <c r="E37" s="24">
        <v>578</v>
      </c>
      <c r="F37" s="24">
        <v>1613</v>
      </c>
      <c r="G37" s="24">
        <v>-2227</v>
      </c>
      <c r="H37" s="23">
        <v>188</v>
      </c>
      <c r="I37" s="24"/>
      <c r="J37" s="24"/>
    </row>
    <row r="38" spans="1:10" x14ac:dyDescent="0.4">
      <c r="A38" s="25" t="s">
        <v>153</v>
      </c>
      <c r="B38" s="25"/>
      <c r="C38" s="25" t="s">
        <v>154</v>
      </c>
      <c r="D38" s="25"/>
      <c r="E38" s="25"/>
      <c r="F38" s="25"/>
      <c r="G38" s="25"/>
      <c r="H38" s="25"/>
      <c r="I38" s="25"/>
      <c r="J38" s="25"/>
    </row>
  </sheetData>
  <phoneticPr fontId="3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B657-42B0-40F2-8728-84BB37EC160E}">
  <dimension ref="A1:I17"/>
  <sheetViews>
    <sheetView workbookViewId="0">
      <selection activeCell="C9" sqref="C9"/>
    </sheetView>
  </sheetViews>
  <sheetFormatPr defaultRowHeight="17.399999999999999" x14ac:dyDescent="0.4"/>
  <cols>
    <col min="1" max="1" width="35.19921875" customWidth="1"/>
    <col min="2" max="2" width="0" hidden="1" customWidth="1"/>
    <col min="3" max="9" width="14.09765625" customWidth="1"/>
  </cols>
  <sheetData>
    <row r="1" spans="1:9" x14ac:dyDescent="0.4">
      <c r="A1" s="5"/>
      <c r="B1" s="5"/>
      <c r="C1" s="5"/>
      <c r="D1" s="5"/>
      <c r="E1" s="5"/>
      <c r="F1" s="5"/>
      <c r="G1" s="5"/>
      <c r="H1" s="5"/>
      <c r="I1" s="5"/>
    </row>
    <row r="2" spans="1:9" ht="21" x14ac:dyDescent="0.4">
      <c r="A2" s="6" t="s">
        <v>1162</v>
      </c>
      <c r="B2" s="6"/>
      <c r="C2" s="6"/>
      <c r="D2" s="6"/>
      <c r="E2" s="6"/>
      <c r="F2" s="6"/>
      <c r="G2" s="6"/>
      <c r="H2" s="6"/>
      <c r="I2" s="6"/>
    </row>
    <row r="3" spans="1:9" x14ac:dyDescent="0.4">
      <c r="A3" s="7"/>
      <c r="B3" s="7"/>
      <c r="C3" s="7"/>
      <c r="D3" s="7"/>
      <c r="E3" s="7"/>
      <c r="F3" s="7"/>
      <c r="G3" s="7"/>
      <c r="H3" s="7"/>
      <c r="I3" s="7"/>
    </row>
    <row r="4" spans="1:9" x14ac:dyDescent="0.4">
      <c r="A4" s="8" t="s">
        <v>1</v>
      </c>
      <c r="B4" s="8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8</v>
      </c>
      <c r="I4" s="9" t="s">
        <v>9</v>
      </c>
    </row>
    <row r="5" spans="1:9" x14ac:dyDescent="0.4">
      <c r="A5" s="10" t="s">
        <v>10</v>
      </c>
      <c r="B5" s="10"/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17</v>
      </c>
      <c r="I5" s="11" t="s">
        <v>18</v>
      </c>
    </row>
    <row r="6" spans="1:9" x14ac:dyDescent="0.4">
      <c r="A6" s="22" t="s">
        <v>143</v>
      </c>
      <c r="B6" s="22" t="s">
        <v>144</v>
      </c>
      <c r="C6" s="24">
        <v>1.22</v>
      </c>
      <c r="D6" s="24">
        <v>1.335</v>
      </c>
      <c r="E6" s="24">
        <v>1.575</v>
      </c>
      <c r="F6" s="24">
        <v>1.87</v>
      </c>
      <c r="G6" s="24">
        <v>2.08</v>
      </c>
      <c r="H6" s="24">
        <v>2.3730000000000002</v>
      </c>
      <c r="I6" s="24">
        <v>2.63</v>
      </c>
    </row>
    <row r="7" spans="1:9" x14ac:dyDescent="0.4">
      <c r="A7" s="22" t="s">
        <v>1161</v>
      </c>
      <c r="B7" s="22" t="s">
        <v>835</v>
      </c>
      <c r="C7" s="24">
        <v>20.510200000000001</v>
      </c>
      <c r="D7" s="24">
        <v>18.9758</v>
      </c>
      <c r="E7" s="24">
        <v>26.047699999999999</v>
      </c>
      <c r="F7" s="24">
        <v>16.271100000000001</v>
      </c>
      <c r="G7" s="24">
        <v>14.6502</v>
      </c>
      <c r="H7" s="24"/>
      <c r="I7" s="24"/>
    </row>
    <row r="8" spans="1:9" x14ac:dyDescent="0.4">
      <c r="A8" s="22" t="s">
        <v>1142</v>
      </c>
      <c r="B8" s="22" t="s">
        <v>1141</v>
      </c>
      <c r="C8" s="24">
        <v>0.60009999999999997</v>
      </c>
      <c r="D8" s="24">
        <v>0.5746</v>
      </c>
      <c r="E8" s="24">
        <v>0.84440000000000004</v>
      </c>
      <c r="F8" s="24">
        <v>0.78259999999999996</v>
      </c>
      <c r="G8" s="24">
        <v>0.75649999999999995</v>
      </c>
      <c r="H8" s="24"/>
      <c r="I8" s="24"/>
    </row>
    <row r="9" spans="1:9" x14ac:dyDescent="0.4">
      <c r="A9" s="22" t="s">
        <v>1143</v>
      </c>
      <c r="B9" s="22" t="s">
        <v>743</v>
      </c>
      <c r="C9" s="24">
        <v>21.927700000000002</v>
      </c>
      <c r="D9" s="24">
        <v>21.1023</v>
      </c>
      <c r="E9" s="24">
        <v>17.385300000000001</v>
      </c>
      <c r="F9" s="24">
        <v>17.5167</v>
      </c>
      <c r="G9" s="24">
        <v>17.0779</v>
      </c>
      <c r="H9" s="24">
        <v>20.937003705664399</v>
      </c>
      <c r="I9" s="24">
        <v>20.526028252555999</v>
      </c>
    </row>
    <row r="10" spans="1:9" x14ac:dyDescent="0.4">
      <c r="A10" s="22" t="s">
        <v>1160</v>
      </c>
      <c r="B10" s="22" t="s">
        <v>1159</v>
      </c>
      <c r="C10" s="24">
        <v>4.5603999999999996</v>
      </c>
      <c r="D10" s="24">
        <v>4.7388000000000003</v>
      </c>
      <c r="E10" s="24">
        <v>5.7519999999999998</v>
      </c>
      <c r="F10" s="24">
        <v>5.7088000000000001</v>
      </c>
      <c r="G10" s="24">
        <v>5.8555000000000001</v>
      </c>
      <c r="H10" s="24"/>
      <c r="I10" s="24"/>
    </row>
    <row r="11" spans="1:9" x14ac:dyDescent="0.4">
      <c r="A11" s="22" t="s">
        <v>946</v>
      </c>
      <c r="B11" s="22" t="s">
        <v>373</v>
      </c>
      <c r="C11" s="24">
        <v>-2664</v>
      </c>
      <c r="D11" s="24">
        <v>-2798</v>
      </c>
      <c r="E11" s="24">
        <v>-3203</v>
      </c>
      <c r="F11" s="24">
        <v>-3751</v>
      </c>
      <c r="G11" s="24">
        <v>-4217</v>
      </c>
      <c r="H11" s="24"/>
      <c r="I11" s="24"/>
    </row>
    <row r="12" spans="1:9" x14ac:dyDescent="0.4">
      <c r="A12" s="22" t="s">
        <v>1158</v>
      </c>
      <c r="B12" s="22" t="s">
        <v>99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/>
      <c r="I12" s="24"/>
    </row>
    <row r="13" spans="1:9" x14ac:dyDescent="0.4">
      <c r="A13" s="22" t="s">
        <v>145</v>
      </c>
      <c r="B13" s="22" t="s">
        <v>146</v>
      </c>
      <c r="C13" s="24">
        <v>2382.66</v>
      </c>
      <c r="D13" s="24">
        <v>2597.91</v>
      </c>
      <c r="E13" s="24">
        <v>2600.3249999999998</v>
      </c>
      <c r="F13" s="24">
        <v>3025.66</v>
      </c>
      <c r="G13" s="24">
        <v>3371.68</v>
      </c>
      <c r="H13" s="24"/>
      <c r="I13" s="24"/>
    </row>
    <row r="14" spans="1:9" x14ac:dyDescent="0.4">
      <c r="A14" s="22" t="s">
        <v>1157</v>
      </c>
      <c r="B14" s="22" t="s">
        <v>1156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/>
      <c r="I14" s="24"/>
    </row>
    <row r="15" spans="1:9" x14ac:dyDescent="0.4">
      <c r="A15" s="22" t="s">
        <v>1155</v>
      </c>
      <c r="B15" s="22" t="s">
        <v>1154</v>
      </c>
      <c r="C15" s="24">
        <v>2382.66</v>
      </c>
      <c r="D15" s="24">
        <v>2597.91</v>
      </c>
      <c r="E15" s="24">
        <v>2600.3249999999998</v>
      </c>
      <c r="F15" s="24">
        <v>3025.66</v>
      </c>
      <c r="G15" s="24">
        <v>3371.68</v>
      </c>
      <c r="H15" s="24"/>
      <c r="I15" s="24"/>
    </row>
    <row r="16" spans="1:9" x14ac:dyDescent="0.4">
      <c r="A16" s="22" t="s">
        <v>1153</v>
      </c>
      <c r="B16" s="22" t="s">
        <v>1152</v>
      </c>
      <c r="C16" s="24">
        <v>1.22</v>
      </c>
      <c r="D16" s="24">
        <v>1.335</v>
      </c>
      <c r="E16" s="24">
        <v>1.575</v>
      </c>
      <c r="F16" s="24">
        <v>1.87</v>
      </c>
      <c r="G16" s="24">
        <v>2.08</v>
      </c>
      <c r="H16" s="24"/>
      <c r="I16" s="24"/>
    </row>
    <row r="17" spans="1:9" x14ac:dyDescent="0.4">
      <c r="A17" s="25" t="s">
        <v>153</v>
      </c>
      <c r="B17" s="25"/>
      <c r="C17" s="25" t="s">
        <v>154</v>
      </c>
      <c r="D17" s="25"/>
      <c r="E17" s="25"/>
      <c r="F17" s="25"/>
      <c r="G17" s="25"/>
      <c r="H17" s="25"/>
      <c r="I17" s="25"/>
    </row>
  </sheetData>
  <phoneticPr fontId="3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327EC-236D-41E2-9105-FDE37BF6D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니 목을 찰거야 목차</vt:lpstr>
      <vt:lpstr>매출추정로직</vt:lpstr>
      <vt:lpstr>결제 정보 데이터</vt:lpstr>
      <vt:lpstr>IS BBG 조정</vt:lpstr>
      <vt:lpstr>IS BBG GAAP</vt:lpstr>
      <vt:lpstr>BS 표준화</vt:lpstr>
      <vt:lpstr>BS 공시기준</vt:lpstr>
      <vt:lpstr>CF 표준화</vt:lpstr>
      <vt:lpstr>CF 공시기준</vt:lpstr>
      <vt:lpstr>수익성 비율</vt:lpstr>
      <vt:lpstr>성장률</vt:lpstr>
      <vt:lpstr>유동성</vt:lpstr>
      <vt:lpstr>수익률 분석</vt:lpstr>
      <vt:lpstr>측정</vt:lpstr>
      <vt:lpstr>세분화</vt:lpstr>
      <vt:lpstr>신용카드 &amp; 직불카드</vt:lpstr>
      <vt:lpstr>고정비용</vt:lpstr>
      <vt:lpstr>CAPEX &amp; 감가상각비</vt:lpstr>
      <vt:lpstr>부가 - 개요</vt:lpstr>
      <vt:lpstr>배당주식분할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채현기</cp:lastModifiedBy>
  <dcterms:created xsi:type="dcterms:W3CDTF">2013-04-03T15:49:21Z</dcterms:created>
  <dcterms:modified xsi:type="dcterms:W3CDTF">2025-09-05T10:11:40Z</dcterms:modified>
</cp:coreProperties>
</file>