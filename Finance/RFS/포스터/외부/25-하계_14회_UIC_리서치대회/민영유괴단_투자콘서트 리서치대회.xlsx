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카카오톡 받은 파일\"/>
    </mc:Choice>
  </mc:AlternateContent>
  <xr:revisionPtr revIDLastSave="0" documentId="13_ncr:1_{9DF57532-4E6B-4496-A732-DDA5B1C2CE16}" xr6:coauthVersionLast="47" xr6:coauthVersionMax="47" xr10:uidLastSave="{00000000-0000-0000-0000-000000000000}"/>
  <bookViews>
    <workbookView xWindow="9720" yWindow="0" windowWidth="13320" windowHeight="12336" tabRatio="777" firstSheet="3" activeTab="4" xr2:uid="{7B484E92-3846-4587-8F63-CD64754E2F03}"/>
  </bookViews>
  <sheets>
    <sheet name="Estimate Logic - HRSG" sheetId="60" r:id="rId1"/>
    <sheet name="Estimate Logic - BOP" sheetId="61" r:id="rId2"/>
    <sheet name="Estimate Logic - 비용" sheetId="59" r:id="rId3"/>
    <sheet name="Valuation ▶" sheetId="19" r:id="rId4"/>
    <sheet name="EVEBITDA" sheetId="25" r:id="rId5"/>
    <sheet name="Estimate ▶" sheetId="21" r:id="rId6"/>
    <sheet name="Expected IS" sheetId="47" r:id="rId7"/>
    <sheet name="Case Summary" sheetId="33" r:id="rId8"/>
    <sheet name="요약 재무제표" sheetId="49" r:id="rId9"/>
    <sheet name="HRSG" sheetId="58" r:id="rId10"/>
    <sheet name="Boiler" sheetId="56" r:id="rId11"/>
    <sheet name="BOP" sheetId="57" r:id="rId12"/>
    <sheet name="비용 세부항목 추정" sheetId="48" r:id="rId13"/>
    <sheet name="기존수주 매출" sheetId="44" r:id="rId14"/>
    <sheet name="BOP 수주이력" sheetId="46" state="hidden" r:id="rId15"/>
    <sheet name="BOP 수주 시나리오" sheetId="45" r:id="rId16"/>
    <sheet name="수주내역" sheetId="41" state="hidden" r:id="rId17"/>
    <sheet name="HRSG 수주 시나리오" sheetId="43" r:id="rId18"/>
    <sheet name="재무분석" sheetId="32" state="hidden" r:id="rId19"/>
    <sheet name="Raw ▶" sheetId="54" state="hidden" r:id="rId20"/>
    <sheet name="BS (Yearly)" sheetId="50" state="hidden" r:id="rId21"/>
    <sheet name="IS (Yearly)" sheetId="52" state="hidden" r:id="rId22"/>
    <sheet name="CFS (Yearly)" sheetId="51" state="hidden" r:id="rId23"/>
    <sheet name="국내 HRSG 프로젝트" sheetId="36" state="hidden" r:id="rId24"/>
    <sheet name="CCPP 프로젝트 목록" sheetId="38" state="hidden" r:id="rId25"/>
    <sheet name="정부주도사업" sheetId="40" state="hidden" r:id="rId26"/>
    <sheet name="엑셀 단축키 모음" sheetId="31" state="hidden" r:id="rId27"/>
  </sheets>
  <definedNames>
    <definedName name="_MOD1" localSheetId="15">#REF!</definedName>
    <definedName name="_MOD1" localSheetId="4">#REF!</definedName>
    <definedName name="_MOD1" localSheetId="3">#REF!</definedName>
    <definedName name="_MOD1">#REF!</definedName>
    <definedName name="\a">#N/A</definedName>
    <definedName name="\b">#N/A</definedName>
    <definedName name="\I" localSheetId="15">#REF!</definedName>
    <definedName name="\I" localSheetId="4">#REF!</definedName>
    <definedName name="\I" localSheetId="3">#REF!</definedName>
    <definedName name="\I">#REF!</definedName>
    <definedName name="\P" localSheetId="15">#REF!</definedName>
    <definedName name="\P">#REF!</definedName>
    <definedName name="A_K___s__Global__I_T" localSheetId="15">#REF!</definedName>
    <definedName name="A_K___s__Global__I_T">#REF!</definedName>
    <definedName name="Acc_payable_growth_fore" localSheetId="15">#REF!</definedName>
    <definedName name="Acc_payable_growth_fore">#REF!</definedName>
    <definedName name="Acc_Rec_growth_fore" localSheetId="15">#REF!</definedName>
    <definedName name="Acc_Rec_growth_fore">#REF!</definedName>
    <definedName name="Accrued_compensation_growth_fore" localSheetId="15">#REF!</definedName>
    <definedName name="Accrued_compensation_growth_fore">#REF!</definedName>
    <definedName name="Accrued_expenses_growth_fore" localSheetId="15">#REF!</definedName>
    <definedName name="Accrued_expenses_growth_fore">#REF!</definedName>
    <definedName name="Accum_Cap_Expenses_growth_fore" localSheetId="15">#REF!</definedName>
    <definedName name="Accum_Cap_Expenses_growth_fore">#REF!</definedName>
    <definedName name="Accum_Goodwill_Amort_growth_fore" localSheetId="15">#REF!</definedName>
    <definedName name="Accum_Goodwill_Amort_growth_fore">#REF!</definedName>
    <definedName name="Adj_net_oper_fore" localSheetId="15">#REF!</definedName>
    <definedName name="Adj_net_oper_fore">#REF!</definedName>
    <definedName name="AveSize" localSheetId="15">#REF!</definedName>
    <definedName name="AveSize">#REF!</definedName>
    <definedName name="BS_C" localSheetId="15">#REF!</definedName>
    <definedName name="BS_C">#REF!</definedName>
    <definedName name="Case_Offset" localSheetId="15">#REF!</definedName>
    <definedName name="Case_Offset" localSheetId="16">#REF!</definedName>
    <definedName name="Case_Offset" localSheetId="18">#REF!</definedName>
    <definedName name="Case_Offset">#REF!</definedName>
    <definedName name="Cash_fore" localSheetId="15">#REF!</definedName>
    <definedName name="Cash_fore">#REF!</definedName>
    <definedName name="Cash_growth_fore" localSheetId="15">#REF!</definedName>
    <definedName name="Cash_growth_fore">#REF!</definedName>
    <definedName name="Cash_operating_taxes_fore" localSheetId="15">#REF!</definedName>
    <definedName name="Cash_operating_taxes_fore">#REF!</definedName>
    <definedName name="CDS" localSheetId="15">#REF!</definedName>
    <definedName name="CDS">#REF!</definedName>
    <definedName name="CE_C" localSheetId="15">#REF!</definedName>
    <definedName name="CE_C">#REF!</definedName>
    <definedName name="CF_C" localSheetId="15">#REF!</definedName>
    <definedName name="CF_C">#REF!</definedName>
    <definedName name="CFormats" localSheetId="15">#REF!</definedName>
    <definedName name="CFormats">#REF!</definedName>
    <definedName name="codeDestination" localSheetId="15">#REF!</definedName>
    <definedName name="codeDestination">#REF!</definedName>
    <definedName name="CODELK_Path" localSheetId="15">#REF!</definedName>
    <definedName name="CODELK_Path">#REF!</definedName>
    <definedName name="ColumnHeading" localSheetId="15">#REF!</definedName>
    <definedName name="ColumnHeading">#REF!</definedName>
    <definedName name="Com_Data_sum_035900" localSheetId="8">'요약 재무제표'!$B$5</definedName>
    <definedName name="Comdty" localSheetId="15">#REF!</definedName>
    <definedName name="Comdty">#REF!</definedName>
    <definedName name="Corp" localSheetId="15">#REF!</definedName>
    <definedName name="Corp">#REF!</definedName>
    <definedName name="CR3RT" localSheetId="15">#REF!</definedName>
    <definedName name="CR3RT">#REF!</definedName>
    <definedName name="CR3RTDK" localSheetId="15">#REF!</definedName>
    <definedName name="CR3RTDK">#REF!</definedName>
    <definedName name="CR5RTDK" localSheetId="15">#REF!</definedName>
    <definedName name="CR5RTDK">#REF!</definedName>
    <definedName name="CTopics" localSheetId="15">#REF!</definedName>
    <definedName name="CTopics">#REF!</definedName>
    <definedName name="Cur" localSheetId="15">#REF!</definedName>
    <definedName name="Cur">#REF!</definedName>
    <definedName name="Customer_deposits_growth_fore" localSheetId="15">#REF!</definedName>
    <definedName name="Customer_deposits_growth_fore">#REF!</definedName>
    <definedName name="d" localSheetId="15" hidden="1">{"t13&amp;t14Aug",#N/A,FALSE,"Aug00";"t9Aug",#N/A,FALSE,"Aug00";"t8Aug",#N/A,FALSE,"Aug00";"t7Aug",#N/A,FALSE,"Aug00";"t6Aug",#N/A,FALSE,"Aug00"}</definedName>
    <definedName name="d" localSheetId="14" hidden="1">{"t13&amp;t14Aug",#N/A,FALSE,"Aug00";"t9Aug",#N/A,FALSE,"Aug00";"t8Aug",#N/A,FALSE,"Aug00";"t7Aug",#N/A,FALSE,"Aug00";"t6Aug",#N/A,FALSE,"Aug00"}</definedName>
    <definedName name="d" localSheetId="5" hidden="1">{"t13&amp;t14Aug",#N/A,FALSE,"Aug00";"t9Aug",#N/A,FALSE,"Aug00";"t8Aug",#N/A,FALSE,"Aug00";"t7Aug",#N/A,FALSE,"Aug00";"t6Aug",#N/A,FALSE,"Aug00"}</definedName>
    <definedName name="d" localSheetId="4" hidden="1">{"t13&amp;t14Aug",#N/A,FALSE,"Aug00";"t9Aug",#N/A,FALSE,"Aug00";"t8Aug",#N/A,FALSE,"Aug00";"t7Aug",#N/A,FALSE,"Aug00";"t6Aug",#N/A,FALSE,"Aug00"}</definedName>
    <definedName name="d" localSheetId="19" hidden="1">{"t13&amp;t14Aug",#N/A,FALSE,"Aug00";"t9Aug",#N/A,FALSE,"Aug00";"t8Aug",#N/A,FALSE,"Aug00";"t7Aug",#N/A,FALSE,"Aug00";"t6Aug",#N/A,FALSE,"Aug00"}</definedName>
    <definedName name="d" localSheetId="3" hidden="1">{"t13&amp;t14Aug",#N/A,FALSE,"Aug00";"t9Aug",#N/A,FALSE,"Aug00";"t8Aug",#N/A,FALSE,"Aug00";"t7Aug",#N/A,FALSE,"Aug00";"t6Aug",#N/A,FALSE,"Aug00"}</definedName>
    <definedName name="d" hidden="1">{"t13&amp;t14Aug",#N/A,FALSE,"Aug00";"t9Aug",#N/A,FALSE,"Aug00";"t8Aug",#N/A,FALSE,"Aug00";"t7Aug",#N/A,FALSE,"Aug00";"t6Aug",#N/A,FALSE,"Aug00"}</definedName>
    <definedName name="_xlnm.Database" localSheetId="15">#REF!</definedName>
    <definedName name="_xlnm.Database">#REF!</definedName>
    <definedName name="Debt_Market_Cap_Ratio" localSheetId="15">#REF!</definedName>
    <definedName name="Debt_Market_Cap_Ratio">#REF!</definedName>
    <definedName name="Deferred_tax_asset_growth_fore" localSheetId="15">#REF!</definedName>
    <definedName name="Deferred_tax_asset_growth_fore">#REF!</definedName>
    <definedName name="Deferred_tax_liability_growth_fore" localSheetId="15">#REF!</definedName>
    <definedName name="Deferred_tax_liability_growth_fore">#REF!</definedName>
    <definedName name="Dep_margin_fore" localSheetId="15">#REF!</definedName>
    <definedName name="Dep_margin_fore">#REF!</definedName>
    <definedName name="Depreciation_fore" localSheetId="15">#REF!</definedName>
    <definedName name="Depreciation_fore">#REF!</definedName>
    <definedName name="DetailColumns" localSheetId="15">#REF!</definedName>
    <definedName name="DetailColumns">#REF!</definedName>
    <definedName name="DnA_fore" localSheetId="15">#REF!</definedName>
    <definedName name="DnA_fore">#REF!</definedName>
    <definedName name="DnA_growth_fore" localSheetId="15">#REF!</definedName>
    <definedName name="DnA_growth_fore">#REF!</definedName>
    <definedName name="DR" localSheetId="15">#REF!</definedName>
    <definedName name="DR">#REF!</definedName>
    <definedName name="DSDDE_Path" localSheetId="15">#REF!</definedName>
    <definedName name="DSDDE_Path">#REF!</definedName>
    <definedName name="e" hidden="1">{"t13&amp;t14Aug",#N/A,FALSE,"Aug00";"t9Aug",#N/A,FALSE,"Aug00";"t8Aug",#N/A,FALSE,"Aug00";"t7Aug",#N/A,FALSE,"Aug00";"t6Aug",#N/A,FALSE,"Aug00"}</definedName>
    <definedName name="EBIT_fore" localSheetId="15">#REF!</definedName>
    <definedName name="EBIT_fore">#REF!</definedName>
    <definedName name="EBIT_margin_fore" localSheetId="15">#REF!</definedName>
    <definedName name="EBIT_margin_fore">#REF!</definedName>
    <definedName name="EBITA_fore" localSheetId="15">#REF!</definedName>
    <definedName name="EBITA_fore">#REF!</definedName>
    <definedName name="EBITDA_fore" localSheetId="15">#REF!</definedName>
    <definedName name="EBITDA_fore">#REF!</definedName>
    <definedName name="EBITDA_margin_fore" localSheetId="15">#REF!</definedName>
    <definedName name="EBITDA_margin_fore">#REF!</definedName>
    <definedName name="Excel_Version" localSheetId="15">#REF!</definedName>
    <definedName name="Excel_Version">#REF!</definedName>
    <definedName name="Expl_forecast_1st_yr" localSheetId="15">#REF!</definedName>
    <definedName name="Expl_forecast_1st_yr">#REF!</definedName>
    <definedName name="Expl_forecast_2nd_yr" localSheetId="15">#REF!</definedName>
    <definedName name="Expl_forecast_2nd_yr">#REF!</definedName>
    <definedName name="Expl_forecast_3rd_yr" localSheetId="15">#REF!</definedName>
    <definedName name="Expl_forecast_3rd_yr">#REF!</definedName>
    <definedName name="ExtFiles" localSheetId="15">#REF!</definedName>
    <definedName name="ExtFiles">#REF!</definedName>
    <definedName name="FDP_0_1_aSrv" localSheetId="15" hidden="1">#REF!</definedName>
    <definedName name="FDP_0_1_aSrv" hidden="1">#REF!</definedName>
    <definedName name="FDP_100_1_aSrv" localSheetId="15" hidden="1">#REF!</definedName>
    <definedName name="FDP_100_1_aSrv" hidden="1">#REF!</definedName>
    <definedName name="FDP_101_1_aSrv" localSheetId="15" hidden="1">#REF!</definedName>
    <definedName name="FDP_101_1_aSrv" hidden="1">#REF!</definedName>
    <definedName name="FDP_102_1_aSrv" localSheetId="15" hidden="1">#REF!</definedName>
    <definedName name="FDP_102_1_aSrv" hidden="1">#REF!</definedName>
    <definedName name="FDP_103_1_aSrv" localSheetId="15" hidden="1">#REF!</definedName>
    <definedName name="FDP_103_1_aSrv" hidden="1">#REF!</definedName>
    <definedName name="FDP_104_1_aSrv" localSheetId="15" hidden="1">#REF!</definedName>
    <definedName name="FDP_104_1_aSrv" hidden="1">#REF!</definedName>
    <definedName name="FDP_12_1_aDrv" localSheetId="15" hidden="1">#REF!</definedName>
    <definedName name="FDP_12_1_aDrv" hidden="1">#REF!</definedName>
    <definedName name="FDP_13_1_aDrv" localSheetId="15" hidden="1">#REF!</definedName>
    <definedName name="FDP_13_1_aDrv" hidden="1">#REF!</definedName>
    <definedName name="FDP_14_1_aDrv" localSheetId="15" hidden="1">#REF!</definedName>
    <definedName name="FDP_14_1_aDrv" hidden="1">#REF!</definedName>
    <definedName name="FDP_15_1_aUrv" localSheetId="15" hidden="1">#REF!</definedName>
    <definedName name="FDP_15_1_aUrv" hidden="1">#REF!</definedName>
    <definedName name="FDP_17_1_aSrv" localSheetId="15" hidden="1">#REF!</definedName>
    <definedName name="FDP_17_1_aSrv" hidden="1">#REF!</definedName>
    <definedName name="FDP_19_1_aDrv" localSheetId="15" hidden="1">#REF!</definedName>
    <definedName name="FDP_19_1_aDrv" hidden="1">#REF!</definedName>
    <definedName name="FDP_2_1_aSrv" localSheetId="15" hidden="1">#REF!</definedName>
    <definedName name="FDP_2_1_aSrv" hidden="1">#REF!</definedName>
    <definedName name="FDP_20_1_aDrv" localSheetId="15" hidden="1">#REF!</definedName>
    <definedName name="FDP_20_1_aDrv" hidden="1">#REF!</definedName>
    <definedName name="FDP_21_1_aDrv" localSheetId="15" hidden="1">#REF!</definedName>
    <definedName name="FDP_21_1_aDrv" hidden="1">#REF!</definedName>
    <definedName name="FDP_22_1_aDrv" localSheetId="15" hidden="1">#REF!</definedName>
    <definedName name="FDP_22_1_aDrv" hidden="1">#REF!</definedName>
    <definedName name="FDP_23_1_aDrv" localSheetId="15" hidden="1">#REF!</definedName>
    <definedName name="FDP_23_1_aDrv" hidden="1">#REF!</definedName>
    <definedName name="FDP_24_1_aDrv" localSheetId="15" hidden="1">#REF!</definedName>
    <definedName name="FDP_24_1_aDrv" hidden="1">#REF!</definedName>
    <definedName name="FDP_25_1_aUrv" localSheetId="15" hidden="1">#REF!</definedName>
    <definedName name="FDP_25_1_aUrv" hidden="1">#REF!</definedName>
    <definedName name="FDP_26_1_aSrv" localSheetId="15" hidden="1">#REF!</definedName>
    <definedName name="FDP_26_1_aSrv" hidden="1">#REF!</definedName>
    <definedName name="FDP_27_1_aUrv" localSheetId="15" hidden="1">#REF!</definedName>
    <definedName name="FDP_27_1_aUrv" hidden="1">#REF!</definedName>
    <definedName name="FDP_28_1_aUrv" localSheetId="15" hidden="1">#REF!</definedName>
    <definedName name="FDP_28_1_aUrv" hidden="1">#REF!</definedName>
    <definedName name="FDP_29_1_aUrv" localSheetId="15" hidden="1">#REF!</definedName>
    <definedName name="FDP_29_1_aUrv" hidden="1">#REF!</definedName>
    <definedName name="FDP_30_1_aUrv" localSheetId="15" hidden="1">#REF!</definedName>
    <definedName name="FDP_30_1_aUrv" hidden="1">#REF!</definedName>
    <definedName name="FDP_31_1_aUrv" localSheetId="15" hidden="1">#REF!</definedName>
    <definedName name="FDP_31_1_aUrv" hidden="1">#REF!</definedName>
    <definedName name="FDP_32_1_aUrv" localSheetId="15" hidden="1">#REF!</definedName>
    <definedName name="FDP_32_1_aUrv" hidden="1">#REF!</definedName>
    <definedName name="FDP_33_1_aUrv" localSheetId="15" hidden="1">#REF!</definedName>
    <definedName name="FDP_33_1_aUrv" hidden="1">#REF!</definedName>
    <definedName name="FDP_34_1_aUrv" localSheetId="15" hidden="1">#REF!</definedName>
    <definedName name="FDP_34_1_aUrv" hidden="1">#REF!</definedName>
    <definedName name="FDP_35_1_aUrv" localSheetId="15" hidden="1">#REF!</definedName>
    <definedName name="FDP_35_1_aUrv" hidden="1">#REF!</definedName>
    <definedName name="FDP_36_1_aUrv" localSheetId="15" hidden="1">#REF!</definedName>
    <definedName name="FDP_36_1_aUrv" hidden="1">#REF!</definedName>
    <definedName name="FDP_37_1_aUrv" localSheetId="15" hidden="1">#REF!</definedName>
    <definedName name="FDP_37_1_aUrv" hidden="1">#REF!</definedName>
    <definedName name="FDP_38_1_aUrv" localSheetId="15" hidden="1">#REF!</definedName>
    <definedName name="FDP_38_1_aUrv" hidden="1">#REF!</definedName>
    <definedName name="FDP_39_1_aUrv" localSheetId="15" hidden="1">#REF!</definedName>
    <definedName name="FDP_39_1_aUrv" hidden="1">#REF!</definedName>
    <definedName name="FDP_4_1_aSrv" localSheetId="15" hidden="1">#REF!</definedName>
    <definedName name="FDP_4_1_aSrv" hidden="1">#REF!</definedName>
    <definedName name="FDP_40_1_aUrv" localSheetId="15" hidden="1">#REF!</definedName>
    <definedName name="FDP_40_1_aUrv" hidden="1">#REF!</definedName>
    <definedName name="FDP_50_1_aDrv" localSheetId="15" hidden="1">#REF!</definedName>
    <definedName name="FDP_50_1_aDrv" hidden="1">#REF!</definedName>
    <definedName name="FDP_51_1_aDrv" localSheetId="15" hidden="1">#REF!</definedName>
    <definedName name="FDP_51_1_aDrv" hidden="1">#REF!</definedName>
    <definedName name="FDP_52_1_aDrv" localSheetId="15" hidden="1">#REF!</definedName>
    <definedName name="FDP_52_1_aDrv" hidden="1">#REF!</definedName>
    <definedName name="FDP_53_1_aUrv" localSheetId="15" hidden="1">#REF!</definedName>
    <definedName name="FDP_53_1_aUrv" hidden="1">#REF!</definedName>
    <definedName name="FDP_54_1_aUrv" localSheetId="15" hidden="1">#REF!</definedName>
    <definedName name="FDP_54_1_aUrv" hidden="1">#REF!</definedName>
    <definedName name="FDP_57_1_aSrv" localSheetId="15" hidden="1">#REF!</definedName>
    <definedName name="FDP_57_1_aSrv" hidden="1">#REF!</definedName>
    <definedName name="FDP_59_1_aUrv" localSheetId="15" hidden="1">#REF!</definedName>
    <definedName name="FDP_59_1_aUrv" hidden="1">#REF!</definedName>
    <definedName name="FDP_60_1_aUrv" localSheetId="15" hidden="1">#REF!</definedName>
    <definedName name="FDP_60_1_aUrv" hidden="1">#REF!</definedName>
    <definedName name="FDP_61_1_aSrv" localSheetId="15" hidden="1">#REF!</definedName>
    <definedName name="FDP_61_1_aSrv" hidden="1">#REF!</definedName>
    <definedName name="FDP_62_1_aDrv" localSheetId="15" hidden="1">#REF!</definedName>
    <definedName name="FDP_62_1_aDrv" hidden="1">#REF!</definedName>
    <definedName name="FDP_63_1_aUrv" localSheetId="15" hidden="1">#REF!</definedName>
    <definedName name="FDP_63_1_aUrv" hidden="1">#REF!</definedName>
    <definedName name="FDP_64_1_aUrv" localSheetId="15" hidden="1">#REF!</definedName>
    <definedName name="FDP_64_1_aUrv" hidden="1">#REF!</definedName>
    <definedName name="FDP_65_1_aUrv" localSheetId="15" hidden="1">#REF!</definedName>
    <definedName name="FDP_65_1_aUrv" hidden="1">#REF!</definedName>
    <definedName name="FDP_66_1_aUrv" localSheetId="15" hidden="1">#REF!</definedName>
    <definedName name="FDP_66_1_aUrv" hidden="1">#REF!</definedName>
    <definedName name="FDP_67_1_aDrv" localSheetId="15" hidden="1">#REF!</definedName>
    <definedName name="FDP_67_1_aDrv" hidden="1">#REF!</definedName>
    <definedName name="FDP_68_1_aUrv" localSheetId="15" hidden="1">#REF!</definedName>
    <definedName name="FDP_68_1_aUrv" hidden="1">#REF!</definedName>
    <definedName name="FDP_69_1_aUrv" localSheetId="15" hidden="1">#REF!</definedName>
    <definedName name="FDP_69_1_aUrv" hidden="1">#REF!</definedName>
    <definedName name="FDP_70_1_aUrv" localSheetId="15" hidden="1">#REF!</definedName>
    <definedName name="FDP_70_1_aUrv" hidden="1">#REF!</definedName>
    <definedName name="FDP_71_1_aDrv" localSheetId="15" hidden="1">#REF!</definedName>
    <definedName name="FDP_71_1_aDrv" hidden="1">#REF!</definedName>
    <definedName name="FDP_72_1_aDrv" localSheetId="15" hidden="1">#REF!</definedName>
    <definedName name="FDP_72_1_aDrv" hidden="1">#REF!</definedName>
    <definedName name="FDP_73_1_aDrv" localSheetId="15" hidden="1">#REF!</definedName>
    <definedName name="FDP_73_1_aDrv" hidden="1">#REF!</definedName>
    <definedName name="FDP_74_1_aDrv" localSheetId="15" hidden="1">#REF!</definedName>
    <definedName name="FDP_74_1_aDrv" hidden="1">#REF!</definedName>
    <definedName name="FDP_75_1_aUrv" localSheetId="15" hidden="1">#REF!</definedName>
    <definedName name="FDP_75_1_aUrv" hidden="1">#REF!</definedName>
    <definedName name="FDP_76_1_aUrv" localSheetId="15" hidden="1">#REF!</definedName>
    <definedName name="FDP_76_1_aUrv" hidden="1">#REF!</definedName>
    <definedName name="FDP_77_1_aDrv" localSheetId="15" hidden="1">#REF!</definedName>
    <definedName name="FDP_77_1_aDrv" hidden="1">#REF!</definedName>
    <definedName name="FDP_78_1_aUrv" localSheetId="15" hidden="1">#REF!</definedName>
    <definedName name="FDP_78_1_aUrv" hidden="1">#REF!</definedName>
    <definedName name="FDP_79_1_aUrv" localSheetId="15" hidden="1">#REF!</definedName>
    <definedName name="FDP_79_1_aUrv" hidden="1">#REF!</definedName>
    <definedName name="FDP_80_1_aDrv" localSheetId="15" hidden="1">#REF!</definedName>
    <definedName name="FDP_80_1_aDrv" hidden="1">#REF!</definedName>
    <definedName name="FDP_81_1_aSrv" localSheetId="15" hidden="1">#REF!</definedName>
    <definedName name="FDP_81_1_aSrv" hidden="1">#REF!</definedName>
    <definedName name="FDP_82_1_aUrv" localSheetId="15" hidden="1">#REF!</definedName>
    <definedName name="FDP_82_1_aUrv" hidden="1">#REF!</definedName>
    <definedName name="FDP_83_1_aDrv" localSheetId="15" hidden="1">#REF!</definedName>
    <definedName name="FDP_83_1_aDrv" hidden="1">#REF!</definedName>
    <definedName name="FDP_84_1_aDrv" localSheetId="15" hidden="1">#REF!</definedName>
    <definedName name="FDP_84_1_aDrv" hidden="1">#REF!</definedName>
    <definedName name="FDP_85_1_aDrv" localSheetId="15" hidden="1">#REF!</definedName>
    <definedName name="FDP_85_1_aDrv" hidden="1">#REF!</definedName>
    <definedName name="FDP_86_1_aDrv" localSheetId="15" hidden="1">#REF!</definedName>
    <definedName name="FDP_86_1_aDrv" hidden="1">#REF!</definedName>
    <definedName name="FDP_87_1_aDrv" localSheetId="15" hidden="1">#REF!</definedName>
    <definedName name="FDP_87_1_aDrv" hidden="1">#REF!</definedName>
    <definedName name="FDP_88_1_aDrv" localSheetId="15" hidden="1">#REF!</definedName>
    <definedName name="FDP_88_1_aDrv" hidden="1">#REF!</definedName>
    <definedName name="FDP_89_1_aDrv" localSheetId="15" hidden="1">#REF!</definedName>
    <definedName name="FDP_89_1_aDrv" hidden="1">#REF!</definedName>
    <definedName name="FDP_90_1_aDrv" localSheetId="15" hidden="1">#REF!</definedName>
    <definedName name="FDP_90_1_aDrv" hidden="1">#REF!</definedName>
    <definedName name="FDP_91_1_aDrv" localSheetId="15" hidden="1">#REF!</definedName>
    <definedName name="FDP_91_1_aDrv" hidden="1">#REF!</definedName>
    <definedName name="FDP_92_1_aDrv" localSheetId="15" hidden="1">#REF!</definedName>
    <definedName name="FDP_92_1_aDrv" hidden="1">#REF!</definedName>
    <definedName name="FDP_93_1_aSrv" localSheetId="15" hidden="1">#REF!</definedName>
    <definedName name="FDP_93_1_aSrv" hidden="1">#REF!</definedName>
    <definedName name="FDP_94_1_aSrv" localSheetId="15" hidden="1">#REF!</definedName>
    <definedName name="FDP_94_1_aSrv" hidden="1">#REF!</definedName>
    <definedName name="FDP_95_1_aSrv" localSheetId="15" hidden="1">#REF!</definedName>
    <definedName name="FDP_95_1_aSrv" hidden="1">#REF!</definedName>
    <definedName name="FDP_96_1_aSrv" localSheetId="15" hidden="1">#REF!</definedName>
    <definedName name="FDP_96_1_aSrv" hidden="1">#REF!</definedName>
    <definedName name="FDP_97_1_aUrv" localSheetId="15" hidden="1">#REF!</definedName>
    <definedName name="FDP_97_1_aUrv" hidden="1">#REF!</definedName>
    <definedName name="FDP_98_1_aSrv" localSheetId="15" hidden="1">#REF!</definedName>
    <definedName name="FDP_98_1_aSrv" hidden="1">#REF!</definedName>
    <definedName name="FDP_99_1_aSrv" localSheetId="15" hidden="1">#REF!</definedName>
    <definedName name="FDP_99_1_aSrv" hidden="1">#REF!</definedName>
    <definedName name="Fixed_asset_turns_fore" localSheetId="15">#REF!</definedName>
    <definedName name="Fixed_asset_turns_fore">#REF!</definedName>
    <definedName name="Formats" localSheetId="15">#REF!</definedName>
    <definedName name="Formats">#REF!</definedName>
    <definedName name="FR_COM_ABBR">" "</definedName>
    <definedName name="FR_COM_ABBR_LINK">" "</definedName>
    <definedName name="FR_COM_AGG">0</definedName>
    <definedName name="FR_COM_NAME_LINK">" "</definedName>
    <definedName name="FR_COU_ABBR">" "</definedName>
    <definedName name="FR_COU_ABBR_LINK">" "</definedName>
    <definedName name="FR_COU_NAME_LINK">" "</definedName>
    <definedName name="FR_DATABOX_DOWNLOAD">"N"</definedName>
    <definedName name="FR_END_DATE">"'"</definedName>
    <definedName name="FR_LINKS_OVERRUN">TRUE</definedName>
    <definedName name="FR_RPT_AREA_LINK">" "</definedName>
    <definedName name="FR_RPT_FOOTER_LINK">" "</definedName>
    <definedName name="FR_RPT_HEADER_LINK">" "</definedName>
    <definedName name="FR_SHOW_LINK_MARKER">TRUE</definedName>
    <definedName name="FR_START_DATE">"'"</definedName>
    <definedName name="FR_USE_DIMFAC">TRUE</definedName>
    <definedName name="FR_USE_LOCAL_CCY">TRUE</definedName>
    <definedName name="FR_USE_SCALE_FLAG">TRUE</definedName>
    <definedName name="FR_WORKBOOK">"G:\RESEARCH\COMP_FIN\FRANK\6452.XLS"</definedName>
    <definedName name="FREQS" localSheetId="15">#REF!</definedName>
    <definedName name="FREQS">#REF!</definedName>
    <definedName name="Goodwill_growth_fore" localSheetId="15">#REF!</definedName>
    <definedName name="Goodwill_growth_fore">#REF!</definedName>
    <definedName name="Gross_income_fore" localSheetId="15">#REF!</definedName>
    <definedName name="Gross_income_fore">#REF!</definedName>
    <definedName name="Gross_income_growth_avg" localSheetId="15">#REF!</definedName>
    <definedName name="Gross_income_growth_avg">#REF!</definedName>
    <definedName name="Gross_margin_fore" localSheetId="15">#REF!</definedName>
    <definedName name="Gross_margin_fore">#REF!</definedName>
    <definedName name="Inc_cap_RnD_fore" localSheetId="15">#REF!</definedName>
    <definedName name="Inc_cap_RnD_fore">#REF!</definedName>
    <definedName name="Income_equivalents_fore" localSheetId="15">#REF!</definedName>
    <definedName name="Income_equivalents_fore">#REF!</definedName>
    <definedName name="Income_form_uncons_subs_fore" localSheetId="15">#REF!</definedName>
    <definedName name="Income_form_uncons_subs_fore">#REF!</definedName>
    <definedName name="Income_tax_fore" localSheetId="15">#REF!</definedName>
    <definedName name="Income_tax_fore">#REF!</definedName>
    <definedName name="Income_tax_growth_fore" localSheetId="15">#REF!</definedName>
    <definedName name="Income_tax_growth_fore">#REF!</definedName>
    <definedName name="Income_taxes_payable_growth_fore" localSheetId="15">#REF!</definedName>
    <definedName name="Income_taxes_payable_growth_fore">#REF!</definedName>
    <definedName name="Increase_cap_RnD_fore" localSheetId="15">#REF!</definedName>
    <definedName name="Increase_cap_RnD_fore">#REF!</definedName>
    <definedName name="INIT" localSheetId="15">#REF!</definedName>
    <definedName name="INIT">#REF!</definedName>
    <definedName name="Interest_exp_growth_fore" localSheetId="15">#REF!</definedName>
    <definedName name="Interest_exp_growth_fore">#REF!</definedName>
    <definedName name="Interest_exp_inc_fore" localSheetId="15">#REF!</definedName>
    <definedName name="Interest_exp_inc_fore">#REF!</definedName>
    <definedName name="Inventory_growth_fore" localSheetId="15">#REF!</definedName>
    <definedName name="Inventory_growth_fore">#REF!</definedName>
    <definedName name="Invested_capital_growth_fore" localSheetId="15">#REF!</definedName>
    <definedName name="Invested_capital_growth_fore">#REF!</definedName>
    <definedName name="Invested_capital_turns_fore" localSheetId="15">#REF!</definedName>
    <definedName name="Invested_capital_turns_fore">#REF!</definedName>
    <definedName name="IS_C" localSheetId="15">#REF!</definedName>
    <definedName name="IS_C">#REF!</definedName>
    <definedName name="ISq" localSheetId="15" hidden="1">{"t13&amp;t14Aug",#N/A,FALSE,"Aug00";"t9Aug",#N/A,FALSE,"Aug00";"t8Aug",#N/A,FALSE,"Aug00";"t7Aug",#N/A,FALSE,"Aug00";"t6Aug",#N/A,FALSE,"Aug00"}</definedName>
    <definedName name="ISq" localSheetId="14" hidden="1">{"t13&amp;t14Aug",#N/A,FALSE,"Aug00";"t9Aug",#N/A,FALSE,"Aug00";"t8Aug",#N/A,FALSE,"Aug00";"t7Aug",#N/A,FALSE,"Aug00";"t6Aug",#N/A,FALSE,"Aug00"}</definedName>
    <definedName name="ISq" localSheetId="5" hidden="1">{"t13&amp;t14Aug",#N/A,FALSE,"Aug00";"t9Aug",#N/A,FALSE,"Aug00";"t8Aug",#N/A,FALSE,"Aug00";"t7Aug",#N/A,FALSE,"Aug00";"t6Aug",#N/A,FALSE,"Aug00"}</definedName>
    <definedName name="ISq" localSheetId="4" hidden="1">{"t13&amp;t14Aug",#N/A,FALSE,"Aug00";"t9Aug",#N/A,FALSE,"Aug00";"t8Aug",#N/A,FALSE,"Aug00";"t7Aug",#N/A,FALSE,"Aug00";"t6Aug",#N/A,FALSE,"Aug00"}</definedName>
    <definedName name="ISq" localSheetId="19" hidden="1">{"t13&amp;t14Aug",#N/A,FALSE,"Aug00";"t9Aug",#N/A,FALSE,"Aug00";"t8Aug",#N/A,FALSE,"Aug00";"t7Aug",#N/A,FALSE,"Aug00";"t6Aug",#N/A,FALSE,"Aug00"}</definedName>
    <definedName name="ISq" localSheetId="3" hidden="1">{"t13&amp;t14Aug",#N/A,FALSE,"Aug00";"t9Aug",#N/A,FALSE,"Aug00";"t8Aug",#N/A,FALSE,"Aug00";"t7Aug",#N/A,FALSE,"Aug00";"t6Aug",#N/A,FALSE,"Aug00"}</definedName>
    <definedName name="ISq" hidden="1">{"t13&amp;t14Aug",#N/A,FALSE,"Aug00";"t9Aug",#N/A,FALSE,"Aug00";"t8Aug",#N/A,FALSE,"Aug00";"t7Aug",#N/A,FALSE,"Aug00";"t6Aug",#N/A,FALSE,"Aug00"}</definedName>
    <definedName name="ISs" localSheetId="1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ISs" localSheetId="14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ISs" localSheetId="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ISs" localSheetId="4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ISs" localSheetId="19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ISs" localSheetId="3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ISs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Last_Update" localSheetId="15">#REF!</definedName>
    <definedName name="Last_Update">#REF!</definedName>
    <definedName name="LEAP" localSheetId="15">#REF!</definedName>
    <definedName name="LEAP">#REF!</definedName>
    <definedName name="Links" localSheetId="15">#REF!</definedName>
    <definedName name="Links">#REF!</definedName>
    <definedName name="LiveReqs" localSheetId="15">#REF!</definedName>
    <definedName name="LiveReqs">#REF!</definedName>
    <definedName name="LT_debt_growth_fore" localSheetId="15">#REF!</definedName>
    <definedName name="LT_debt_growth_fore">#REF!</definedName>
    <definedName name="MemFree" localSheetId="15">#REF!</definedName>
    <definedName name="MemFree">#REF!</definedName>
    <definedName name="MemTotal" localSheetId="15">#REF!</definedName>
    <definedName name="MemTotal">#REF!</definedName>
    <definedName name="MOD" localSheetId="15">#REF!</definedName>
    <definedName name="MOD">#REF!</definedName>
    <definedName name="Net_adj_for_capitalized_expenses" localSheetId="15">#REF!</definedName>
    <definedName name="Net_adj_for_capitalized_expenses">#REF!</definedName>
    <definedName name="Net_income_fore" localSheetId="15">#REF!</definedName>
    <definedName name="Net_income_fore">#REF!</definedName>
    <definedName name="Net_margin_fore" localSheetId="15">#REF!</definedName>
    <definedName name="Net_margin_fore">#REF!</definedName>
    <definedName name="Net_PPE_growth_fore" localSheetId="15">#REF!</definedName>
    <definedName name="Net_PPE_growth_fore">#REF!</definedName>
    <definedName name="Net_sales_fore" localSheetId="15">#REF!</definedName>
    <definedName name="Net_sales_fore">#REF!</definedName>
    <definedName name="Net_sales_growth_fore" localSheetId="15">#REF!</definedName>
    <definedName name="Net_sales_growth_fore">#REF!</definedName>
    <definedName name="NetWC_turns_fore" localSheetId="15">#REF!</definedName>
    <definedName name="NetWC_turns_fore">#REF!</definedName>
    <definedName name="NONLEAP" localSheetId="15">#REF!</definedName>
    <definedName name="NONLEAP">#REF!</definedName>
    <definedName name="NOPAT_fore" localSheetId="15">#REF!</definedName>
    <definedName name="NOPAT_fore">#REF!</definedName>
    <definedName name="NOPAT_margin_fore" localSheetId="15">#REF!</definedName>
    <definedName name="NOPAT_margin_fore">#REF!</definedName>
    <definedName name="NOPBT_fore" localSheetId="15">#REF!</definedName>
    <definedName name="NOPBT_fore">#REF!</definedName>
    <definedName name="Norm_forecast_11_15" localSheetId="15">#REF!</definedName>
    <definedName name="Norm_forecast_11_15">#REF!</definedName>
    <definedName name="Norm_forecast_16_25" localSheetId="15">#REF!</definedName>
    <definedName name="Norm_forecast_16_25">#REF!</definedName>
    <definedName name="Norm_forecast_4_5" localSheetId="15">#REF!</definedName>
    <definedName name="Norm_forecast_4_5">#REF!</definedName>
    <definedName name="Norm_forecast_6_10" localSheetId="15">#REF!</definedName>
    <definedName name="Norm_forecast_6_10">#REF!</definedName>
    <definedName name="Number_of_Shares" localSheetId="15">#REF!</definedName>
    <definedName name="Number_of_Shares">#REF!</definedName>
    <definedName name="Off_B_S_Income_fore" localSheetId="15">#REF!</definedName>
    <definedName name="Off_B_S_Income_fore">#REF!</definedName>
    <definedName name="Off_B_S_Income_growth_fore" localSheetId="15">#REF!</definedName>
    <definedName name="Off_B_S_Income_growth_fore">#REF!</definedName>
    <definedName name="Operating_income_fore" localSheetId="15">#REF!</definedName>
    <definedName name="Operating_income_fore">#REF!</definedName>
    <definedName name="Operating_Lease_Expense_fore" localSheetId="15">#REF!</definedName>
    <definedName name="Operating_Lease_Expense_fore">#REF!</definedName>
    <definedName name="Operating_Sys" localSheetId="15">#REF!</definedName>
    <definedName name="Operating_Sys">#REF!</definedName>
    <definedName name="Other_asset_turns_fore" localSheetId="15">#REF!</definedName>
    <definedName name="Other_asset_turns_fore">#REF!</definedName>
    <definedName name="Other_current_assets_growth_fore" localSheetId="15">#REF!</definedName>
    <definedName name="Other_current_assets_growth_fore">#REF!</definedName>
    <definedName name="Other_current_liabilities_growth_fore" localSheetId="15">#REF!</definedName>
    <definedName name="Other_current_liabilities_growth_fore">#REF!</definedName>
    <definedName name="Other_Expenses_fore" localSheetId="15">#REF!</definedName>
    <definedName name="Other_Expenses_fore">#REF!</definedName>
    <definedName name="Other_expenses_gains_fore" localSheetId="15">#REF!</definedName>
    <definedName name="Other_expenses_gains_fore">#REF!</definedName>
    <definedName name="Other_expenses_growth_fore" localSheetId="15">#REF!</definedName>
    <definedName name="Other_expenses_growth_fore">#REF!</definedName>
    <definedName name="Other_fixed_asset_turns_fore" localSheetId="15">#REF!</definedName>
    <definedName name="Other_fixed_asset_turns_fore">#REF!</definedName>
    <definedName name="Other_fixed_assets_growth_fore" localSheetId="15">#REF!</definedName>
    <definedName name="Other_fixed_assets_growth_fore">#REF!</definedName>
    <definedName name="Other_growth_fore" localSheetId="15">#REF!</definedName>
    <definedName name="Other_growth_fore">#REF!</definedName>
    <definedName name="Other_inc_exp_fore" localSheetId="15">#REF!</definedName>
    <definedName name="Other_inc_exp_fore">#REF!</definedName>
    <definedName name="Other_income_growth_fore" localSheetId="15">#REF!</definedName>
    <definedName name="Other_income_growth_fore">#REF!</definedName>
    <definedName name="Other_liabilities_growth_fore" localSheetId="15">#REF!</definedName>
    <definedName name="Other_liabilities_growth_fore">#REF!</definedName>
    <definedName name="PPnE_turns_fore" localSheetId="15">#REF!</definedName>
    <definedName name="PPnE_turns_fore">#REF!</definedName>
    <definedName name="Preferred_stock_growth_fore" localSheetId="15">#REF!</definedName>
    <definedName name="Preferred_stock_growth_fore">#REF!</definedName>
    <definedName name="Pretax_income_fore" localSheetId="15">#REF!</definedName>
    <definedName name="Pretax_income_fore">#REF!</definedName>
    <definedName name="_xlnm.Print_Area" localSheetId="15">#REF!</definedName>
    <definedName name="_xlnm.Print_Area" localSheetId="4">#REF!</definedName>
    <definedName name="_xlnm.Print_Area">#REF!</definedName>
    <definedName name="Print1" localSheetId="15">#REF!</definedName>
    <definedName name="Print1">#REF!</definedName>
    <definedName name="Q_Aspect" localSheetId="15">#REF!</definedName>
    <definedName name="Q_Aspect">#REF!</definedName>
    <definedName name="Q_Aspect_R" localSheetId="15">#REF!</definedName>
    <definedName name="Q_Aspect_R">#REF!</definedName>
    <definedName name="Q_B_R" localSheetId="15">#REF!</definedName>
    <definedName name="Q_B_R">#REF!</definedName>
    <definedName name="Q_Crude_Day" localSheetId="15">#REF!</definedName>
    <definedName name="Q_Crude_Day">#REF!</definedName>
    <definedName name="Q_Dem_Non_OECD" localSheetId="15">#REF!</definedName>
    <definedName name="Q_Dem_Non_OECD">#REF!</definedName>
    <definedName name="Q_Dem_OECD_Month" localSheetId="15">#REF!</definedName>
    <definedName name="Q_Dem_OECD_Month">#REF!</definedName>
    <definedName name="Q_P" localSheetId="15">#REF!</definedName>
    <definedName name="Q_P">#REF!</definedName>
    <definedName name="Q_P_R" localSheetId="15">#REF!</definedName>
    <definedName name="Q_P_R">#REF!</definedName>
    <definedName name="Q_R" localSheetId="15">#REF!</definedName>
    <definedName name="Q_R">#REF!</definedName>
    <definedName name="Q_R_B" localSheetId="15">#REF!</definedName>
    <definedName name="Q_R_B">#REF!</definedName>
    <definedName name="Q_Reso" localSheetId="15">#REF!</definedName>
    <definedName name="Q_Reso">#REF!</definedName>
    <definedName name="Q_Reso_R" localSheetId="15">#REF!</definedName>
    <definedName name="Q_Reso_R">#REF!</definedName>
    <definedName name="Q_S_B_R" localSheetId="15">#REF!</definedName>
    <definedName name="Q_S_B_R">#REF!</definedName>
    <definedName name="Q_S_R" localSheetId="15">#REF!</definedName>
    <definedName name="Q_S_R">#REF!</definedName>
    <definedName name="Q_Split1_Yearly" localSheetId="15">#REF!</definedName>
    <definedName name="Q_Split1_Yearly">#REF!</definedName>
    <definedName name="Q_Split1_YrtoDate" localSheetId="15">#REF!</definedName>
    <definedName name="Q_Split1_YrtoDate">#REF!</definedName>
    <definedName name="Q_Split2_yearly" localSheetId="15">#REF!</definedName>
    <definedName name="Q_Split2_yearly">#REF!</definedName>
    <definedName name="Q_Split2_YrtoDate" localSheetId="15">#REF!</definedName>
    <definedName name="Q_Split2_YrtoDate">#REF!</definedName>
    <definedName name="_xlnm.Recorder" localSheetId="15">#REF!</definedName>
    <definedName name="_xlnm.Recorder">#REF!</definedName>
    <definedName name="reqdetails" localSheetId="15">#REF!</definedName>
    <definedName name="reqdetails">#REF!</definedName>
    <definedName name="Restructuring_charges_growth_fore" localSheetId="15">#REF!</definedName>
    <definedName name="Restructuring_charges_growth_fore">#REF!</definedName>
    <definedName name="RnD_expense_fore" localSheetId="15">#REF!</definedName>
    <definedName name="RnD_expense_fore">#REF!</definedName>
    <definedName name="RnD_expense_growth_fore" localSheetId="15">#REF!</definedName>
    <definedName name="RnD_expense_growth_fore">#REF!</definedName>
    <definedName name="RnD_expenses_fore" localSheetId="15">#REF!</definedName>
    <definedName name="RnD_expenses_fore">#REF!</definedName>
    <definedName name="Sales_growth_avg" localSheetId="15">#REF!</definedName>
    <definedName name="Sales_growth_avg">#REF!</definedName>
    <definedName name="Schedule" localSheetId="15">#REF!</definedName>
    <definedName name="Schedule">#REF!</definedName>
    <definedName name="sdfd" localSheetId="15" hidden="1">{"T6-Jun",#N/A,FALSE,"Jun00";"T7-Jun",#N/A,FALSE,"Jun00";"T8-Jun",#N/A,FALSE,"Jun00";"T9-Jun",#N/A,FALSE,"Jun00";"T13&amp;14-Jun",#N/A,FALSE,"Jun00"}</definedName>
    <definedName name="sdfd" localSheetId="14" hidden="1">{"T6-Jun",#N/A,FALSE,"Jun00";"T7-Jun",#N/A,FALSE,"Jun00";"T8-Jun",#N/A,FALSE,"Jun00";"T9-Jun",#N/A,FALSE,"Jun00";"T13&amp;14-Jun",#N/A,FALSE,"Jun00"}</definedName>
    <definedName name="sdfd" localSheetId="5" hidden="1">{"T6-Jun",#N/A,FALSE,"Jun00";"T7-Jun",#N/A,FALSE,"Jun00";"T8-Jun",#N/A,FALSE,"Jun00";"T9-Jun",#N/A,FALSE,"Jun00";"T13&amp;14-Jun",#N/A,FALSE,"Jun00"}</definedName>
    <definedName name="sdfd" localSheetId="4" hidden="1">{"T6-Jun",#N/A,FALSE,"Jun00";"T7-Jun",#N/A,FALSE,"Jun00";"T8-Jun",#N/A,FALSE,"Jun00";"T9-Jun",#N/A,FALSE,"Jun00";"T13&amp;14-Jun",#N/A,FALSE,"Jun00"}</definedName>
    <definedName name="sdfd" localSheetId="19" hidden="1">{"T6-Jun",#N/A,FALSE,"Jun00";"T7-Jun",#N/A,FALSE,"Jun00";"T8-Jun",#N/A,FALSE,"Jun00";"T9-Jun",#N/A,FALSE,"Jun00";"T13&amp;14-Jun",#N/A,FALSE,"Jun00"}</definedName>
    <definedName name="sdfd" localSheetId="3" hidden="1">{"T6-Jun",#N/A,FALSE,"Jun00";"T7-Jun",#N/A,FALSE,"Jun00";"T8-Jun",#N/A,FALSE,"Jun00";"T9-Jun",#N/A,FALSE,"Jun00";"T13&amp;14-Jun",#N/A,FALSE,"Jun00"}</definedName>
    <definedName name="sdfd" hidden="1">{"T6-Jun",#N/A,FALSE,"Jun00";"T7-Jun",#N/A,FALSE,"Jun00";"T8-Jun",#N/A,FALSE,"Jun00";"T9-Jun",#N/A,FALSE,"Jun00";"T13&amp;14-Jun",#N/A,FALSE,"Jun00"}</definedName>
    <definedName name="sdfsdgsd" localSheetId="15" hidden="1">{"t13&amp;t14Aug",#N/A,FALSE,"Aug00";"t9Aug",#N/A,FALSE,"Aug00";"t8Aug",#N/A,FALSE,"Aug00";"t7Aug",#N/A,FALSE,"Aug00";"t6Aug",#N/A,FALSE,"Aug00"}</definedName>
    <definedName name="sdfsdgsd" localSheetId="14" hidden="1">{"t13&amp;t14Aug",#N/A,FALSE,"Aug00";"t9Aug",#N/A,FALSE,"Aug00";"t8Aug",#N/A,FALSE,"Aug00";"t7Aug",#N/A,FALSE,"Aug00";"t6Aug",#N/A,FALSE,"Aug00"}</definedName>
    <definedName name="sdfsdgsd" localSheetId="5" hidden="1">{"t13&amp;t14Aug",#N/A,FALSE,"Aug00";"t9Aug",#N/A,FALSE,"Aug00";"t8Aug",#N/A,FALSE,"Aug00";"t7Aug",#N/A,FALSE,"Aug00";"t6Aug",#N/A,FALSE,"Aug00"}</definedName>
    <definedName name="sdfsdgsd" localSheetId="4" hidden="1">{"t13&amp;t14Aug",#N/A,FALSE,"Aug00";"t9Aug",#N/A,FALSE,"Aug00";"t8Aug",#N/A,FALSE,"Aug00";"t7Aug",#N/A,FALSE,"Aug00";"t6Aug",#N/A,FALSE,"Aug00"}</definedName>
    <definedName name="sdfsdgsd" localSheetId="19" hidden="1">{"t13&amp;t14Aug",#N/A,FALSE,"Aug00";"t9Aug",#N/A,FALSE,"Aug00";"t8Aug",#N/A,FALSE,"Aug00";"t7Aug",#N/A,FALSE,"Aug00";"t6Aug",#N/A,FALSE,"Aug00"}</definedName>
    <definedName name="sdfsdgsd" localSheetId="3" hidden="1">{"t13&amp;t14Aug",#N/A,FALSE,"Aug00";"t9Aug",#N/A,FALSE,"Aug00";"t8Aug",#N/A,FALSE,"Aug00";"t7Aug",#N/A,FALSE,"Aug00";"t6Aug",#N/A,FALSE,"Aug00"}</definedName>
    <definedName name="sdfsdgsd" hidden="1">{"t13&amp;t14Aug",#N/A,FALSE,"Aug00";"t9Aug",#N/A,FALSE,"Aug00";"t8Aug",#N/A,FALSE,"Aug00";"t7Aug",#N/A,FALSE,"Aug00";"t6Aug",#N/A,FALSE,"Aug00"}</definedName>
    <definedName name="Segment1_income_fore" localSheetId="15">#REF!</definedName>
    <definedName name="Segment1_income_fore">#REF!</definedName>
    <definedName name="Segment1_income_growth_fore" localSheetId="15">#REF!</definedName>
    <definedName name="Segment1_income_growth_fore">#REF!</definedName>
    <definedName name="Segment2_income_fore" localSheetId="15">#REF!</definedName>
    <definedName name="Segment2_income_fore">#REF!</definedName>
    <definedName name="Segment2_income_growth_fore" localSheetId="15">#REF!</definedName>
    <definedName name="Segment2_income_growth_fore">#REF!</definedName>
    <definedName name="Setup" localSheetId="15">#REF!</definedName>
    <definedName name="Setup">#REF!</definedName>
    <definedName name="sFormat" localSheetId="15">#REF!</definedName>
    <definedName name="sFormat">#REF!</definedName>
    <definedName name="sFreq" localSheetId="15">#REF!</definedName>
    <definedName name="sFreq">#REF!</definedName>
    <definedName name="SGA_fore" localSheetId="15">#REF!</definedName>
    <definedName name="SGA_fore">#REF!</definedName>
    <definedName name="SGA_growth_avg" localSheetId="15">#REF!</definedName>
    <definedName name="SGA_growth_avg">#REF!</definedName>
    <definedName name="SGA_growth_fore" localSheetId="15">#REF!</definedName>
    <definedName name="SGA_growth_fore">#REF!</definedName>
    <definedName name="SGA_margin_fore" localSheetId="15">#REF!</definedName>
    <definedName name="SGA_margin_fore">#REF!</definedName>
    <definedName name="Share_Price" localSheetId="15">#REF!</definedName>
    <definedName name="Share_Price">#REF!</definedName>
    <definedName name="Shares_fore" localSheetId="15">#REF!</definedName>
    <definedName name="Shares_fore">#REF!</definedName>
    <definedName name="Shares_growth_fore" localSheetId="15">#REF!</definedName>
    <definedName name="Shares_growth_fore">#REF!</definedName>
    <definedName name="ShowDetails" localSheetId="15">#REF!</definedName>
    <definedName name="ShowDetails">#REF!</definedName>
    <definedName name="ST_debt_growth_fore" localSheetId="15">#REF!</definedName>
    <definedName name="ST_debt_growth_fore">#REF!</definedName>
    <definedName name="sTopic" localSheetId="15">#REF!</definedName>
    <definedName name="sTopic">#REF!</definedName>
    <definedName name="sYesNo" localSheetId="15">#REF!</definedName>
    <definedName name="sYesNo">#REF!</definedName>
    <definedName name="Table">#N/A</definedName>
    <definedName name="Table_1" localSheetId="15">#REF!</definedName>
    <definedName name="Table_1">#REF!</definedName>
    <definedName name="Table_2" localSheetId="15">#REF!</definedName>
    <definedName name="Table_2">#REF!</definedName>
    <definedName name="Table_3" localSheetId="15">#REF!</definedName>
    <definedName name="Table_3">#REF!</definedName>
    <definedName name="Table_4" localSheetId="15">#REF!</definedName>
    <definedName name="Table_4">#REF!</definedName>
    <definedName name="Table_5" localSheetId="15">#REF!</definedName>
    <definedName name="Table_5">#REF!</definedName>
    <definedName name="TableName" localSheetId="15">#REF!</definedName>
    <definedName name="TableName">#REF!</definedName>
    <definedName name="Target_debt_to_capital" localSheetId="15">#REF!</definedName>
    <definedName name="Target_debt_to_capital">#REF!</definedName>
    <definedName name="Title" localSheetId="15">#REF!</definedName>
    <definedName name="Title">#REF!</definedName>
    <definedName name="Total_amort_fore" localSheetId="15">#REF!</definedName>
    <definedName name="Total_amort_fore">#REF!</definedName>
    <definedName name="Total_Amortization_fore" localSheetId="15">#REF!</definedName>
    <definedName name="Total_Amortization_fore">#REF!</definedName>
    <definedName name="Total_COS_fore" localSheetId="15">#REF!</definedName>
    <definedName name="Total_COS_fore">#REF!</definedName>
    <definedName name="Total_COS_growth_fore" localSheetId="15">#REF!</definedName>
    <definedName name="Total_COS_growth_fore">#REF!</definedName>
    <definedName name="Total_COS_net_DnA_fore" localSheetId="15">#REF!</definedName>
    <definedName name="Total_COS_net_DnA_fore">#REF!</definedName>
    <definedName name="Total_debt_fore" localSheetId="15">#REF!</definedName>
    <definedName name="Total_debt_fore">#REF!</definedName>
    <definedName name="Total_debt_growth_fore" localSheetId="15">#REF!</definedName>
    <definedName name="Total_debt_growth_fore">#REF!</definedName>
    <definedName name="Total_Increase_in_EEs_fore" localSheetId="15">#REF!</definedName>
    <definedName name="Total_Increase_in_EEs_fore">#REF!</definedName>
    <definedName name="TotalReqs" localSheetId="15">#REF!</definedName>
    <definedName name="TotalReqs">#REF!</definedName>
    <definedName name="TotalTime" localSheetId="15">#REF!</definedName>
    <definedName name="TotalTime">#REF!</definedName>
    <definedName name="UC" localSheetId="15">#REF!</definedName>
    <definedName name="UC">#REF!</definedName>
    <definedName name="Value_of_Equity" localSheetId="15">#REF!</definedName>
    <definedName name="Value_of_Equity">#REF!</definedName>
    <definedName name="WACC" localSheetId="15">#REF!</definedName>
    <definedName name="WACC" localSheetId="16">#REF!</definedName>
    <definedName name="WACC" localSheetId="18">#REF!</definedName>
    <definedName name="WACC">#REF!</definedName>
    <definedName name="wee" localSheetId="15">#REF!</definedName>
    <definedName name="wee">#REF!</definedName>
    <definedName name="wrn.Augrep." localSheetId="15" hidden="1">{"t13&amp;t14Aug",#N/A,FALSE,"Aug00";"t9Aug",#N/A,FALSE,"Aug00";"t8Aug",#N/A,FALSE,"Aug00";"t7Aug",#N/A,FALSE,"Aug00";"t6Aug",#N/A,FALSE,"Aug00"}</definedName>
    <definedName name="wrn.Augrep." localSheetId="14" hidden="1">{"t13&amp;t14Aug",#N/A,FALSE,"Aug00";"t9Aug",#N/A,FALSE,"Aug00";"t8Aug",#N/A,FALSE,"Aug00";"t7Aug",#N/A,FALSE,"Aug00";"t6Aug",#N/A,FALSE,"Aug00"}</definedName>
    <definedName name="wrn.Augrep." localSheetId="5" hidden="1">{"t13&amp;t14Aug",#N/A,FALSE,"Aug00";"t9Aug",#N/A,FALSE,"Aug00";"t8Aug",#N/A,FALSE,"Aug00";"t7Aug",#N/A,FALSE,"Aug00";"t6Aug",#N/A,FALSE,"Aug00"}</definedName>
    <definedName name="wrn.Augrep." localSheetId="4" hidden="1">{"t13&amp;t14Aug",#N/A,FALSE,"Aug00";"t9Aug",#N/A,FALSE,"Aug00";"t8Aug",#N/A,FALSE,"Aug00";"t7Aug",#N/A,FALSE,"Aug00";"t6Aug",#N/A,FALSE,"Aug00"}</definedName>
    <definedName name="wrn.Augrep." localSheetId="19" hidden="1">{"t13&amp;t14Aug",#N/A,FALSE,"Aug00";"t9Aug",#N/A,FALSE,"Aug00";"t8Aug",#N/A,FALSE,"Aug00";"t7Aug",#N/A,FALSE,"Aug00";"t6Aug",#N/A,FALSE,"Aug00"}</definedName>
    <definedName name="wrn.Augrep." localSheetId="3" hidden="1">{"t13&amp;t14Aug",#N/A,FALSE,"Aug00";"t9Aug",#N/A,FALSE,"Aug00";"t8Aug",#N/A,FALSE,"Aug00";"t7Aug",#N/A,FALSE,"Aug00";"t6Aug",#N/A,FALSE,"Aug00"}</definedName>
    <definedName name="wrn.Augrep." hidden="1">{"t13&amp;t14Aug",#N/A,FALSE,"Aug00";"t9Aug",#N/A,FALSE,"Aug00";"t8Aug",#N/A,FALSE,"Aug00";"t7Aug",#N/A,FALSE,"Aug00";"t6Aug",#N/A,FALSE,"Aug00"}</definedName>
    <definedName name="wrn.fmiprint." localSheetId="1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14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4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19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3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julreport." localSheetId="15" hidden="1">{"t13&amp;14-jul",#N/A,FALSE,"Jul00";"t9-jul",#N/A,FALSE,"Jul00";"t8-jul",#N/A,FALSE,"Jul00";"t7-jul",#N/A,FALSE,"Jul00";"t6-jul",#N/A,FALSE,"Jul00"}</definedName>
    <definedName name="wrn.julreport." localSheetId="14" hidden="1">{"t13&amp;14-jul",#N/A,FALSE,"Jul00";"t9-jul",#N/A,FALSE,"Jul00";"t8-jul",#N/A,FALSE,"Jul00";"t7-jul",#N/A,FALSE,"Jul00";"t6-jul",#N/A,FALSE,"Jul00"}</definedName>
    <definedName name="wrn.julreport." localSheetId="5" hidden="1">{"t13&amp;14-jul",#N/A,FALSE,"Jul00";"t9-jul",#N/A,FALSE,"Jul00";"t8-jul",#N/A,FALSE,"Jul00";"t7-jul",#N/A,FALSE,"Jul00";"t6-jul",#N/A,FALSE,"Jul00"}</definedName>
    <definedName name="wrn.julreport." localSheetId="4" hidden="1">{"t13&amp;14-jul",#N/A,FALSE,"Jul00";"t9-jul",#N/A,FALSE,"Jul00";"t8-jul",#N/A,FALSE,"Jul00";"t7-jul",#N/A,FALSE,"Jul00";"t6-jul",#N/A,FALSE,"Jul00"}</definedName>
    <definedName name="wrn.julreport." localSheetId="19" hidden="1">{"t13&amp;14-jul",#N/A,FALSE,"Jul00";"t9-jul",#N/A,FALSE,"Jul00";"t8-jul",#N/A,FALSE,"Jul00";"t7-jul",#N/A,FALSE,"Jul00";"t6-jul",#N/A,FALSE,"Jul00"}</definedName>
    <definedName name="wrn.julreport." localSheetId="3" hidden="1">{"t13&amp;14-jul",#N/A,FALSE,"Jul00";"t9-jul",#N/A,FALSE,"Jul00";"t8-jul",#N/A,FALSE,"Jul00";"t7-jul",#N/A,FALSE,"Jul00";"t6-jul",#N/A,FALSE,"Jul00"}</definedName>
    <definedName name="wrn.julreport." hidden="1">{"t13&amp;14-jul",#N/A,FALSE,"Jul00";"t9-jul",#N/A,FALSE,"Jul00";"t8-jul",#N/A,FALSE,"Jul00";"t7-jul",#N/A,FALSE,"Jul00";"t6-jul",#N/A,FALSE,"Jul00"}</definedName>
    <definedName name="wrn.OPEC._.Reference._.Basket._.Price." localSheetId="15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14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5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4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19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3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suppJun." localSheetId="15" hidden="1">{"T6-Jun",#N/A,FALSE,"Jun00";"T7-Jun",#N/A,FALSE,"Jun00";"T8-Jun",#N/A,FALSE,"Jun00";"T9-Jun",#N/A,FALSE,"Jun00";"T13&amp;14-Jun",#N/A,FALSE,"Jun00"}</definedName>
    <definedName name="wrn.suppJun." localSheetId="14" hidden="1">{"T6-Jun",#N/A,FALSE,"Jun00";"T7-Jun",#N/A,FALSE,"Jun00";"T8-Jun",#N/A,FALSE,"Jun00";"T9-Jun",#N/A,FALSE,"Jun00";"T13&amp;14-Jun",#N/A,FALSE,"Jun00"}</definedName>
    <definedName name="wrn.suppJun." localSheetId="5" hidden="1">{"T6-Jun",#N/A,FALSE,"Jun00";"T7-Jun",#N/A,FALSE,"Jun00";"T8-Jun",#N/A,FALSE,"Jun00";"T9-Jun",#N/A,FALSE,"Jun00";"T13&amp;14-Jun",#N/A,FALSE,"Jun00"}</definedName>
    <definedName name="wrn.suppJun." localSheetId="4" hidden="1">{"T6-Jun",#N/A,FALSE,"Jun00";"T7-Jun",#N/A,FALSE,"Jun00";"T8-Jun",#N/A,FALSE,"Jun00";"T9-Jun",#N/A,FALSE,"Jun00";"T13&amp;14-Jun",#N/A,FALSE,"Jun00"}</definedName>
    <definedName name="wrn.suppJun." localSheetId="19" hidden="1">{"T6-Jun",#N/A,FALSE,"Jun00";"T7-Jun",#N/A,FALSE,"Jun00";"T8-Jun",#N/A,FALSE,"Jun00";"T9-Jun",#N/A,FALSE,"Jun00";"T13&amp;14-Jun",#N/A,FALSE,"Jun00"}</definedName>
    <definedName name="wrn.suppJun." localSheetId="3" hidden="1">{"T6-Jun",#N/A,FALSE,"Jun00";"T7-Jun",#N/A,FALSE,"Jun00";"T8-Jun",#N/A,FALSE,"Jun00";"T9-Jun",#N/A,FALSE,"Jun00";"T13&amp;14-Jun",#N/A,FALSE,"Jun00"}</definedName>
    <definedName name="wrn.suppJun." hidden="1">{"T6-Jun",#N/A,FALSE,"Jun00";"T7-Jun",#N/A,FALSE,"Jun00";"T8-Jun",#N/A,FALSE,"Jun00";"T9-Jun",#N/A,FALSE,"Jun00";"T13&amp;14-Jun",#N/A,FALSE,"Jun00"}</definedName>
    <definedName name="wrn.SuppMay." localSheetId="15" hidden="1">{"T6",#N/A,FALSE,"May00";"T7",#N/A,FALSE,"May00";"T8",#N/A,FALSE,"May00";"T9",#N/A,FALSE,"May00";"T13&amp;14",#N/A,FALSE,"May00"}</definedName>
    <definedName name="wrn.SuppMay." localSheetId="14" hidden="1">{"T6",#N/A,FALSE,"May00";"T7",#N/A,FALSE,"May00";"T8",#N/A,FALSE,"May00";"T9",#N/A,FALSE,"May00";"T13&amp;14",#N/A,FALSE,"May00"}</definedName>
    <definedName name="wrn.SuppMay." localSheetId="5" hidden="1">{"T6",#N/A,FALSE,"May00";"T7",#N/A,FALSE,"May00";"T8",#N/A,FALSE,"May00";"T9",#N/A,FALSE,"May00";"T13&amp;14",#N/A,FALSE,"May00"}</definedName>
    <definedName name="wrn.SuppMay." localSheetId="4" hidden="1">{"T6",#N/A,FALSE,"May00";"T7",#N/A,FALSE,"May00";"T8",#N/A,FALSE,"May00";"T9",#N/A,FALSE,"May00";"T13&amp;14",#N/A,FALSE,"May00"}</definedName>
    <definedName name="wrn.SuppMay." localSheetId="19" hidden="1">{"T6",#N/A,FALSE,"May00";"T7",#N/A,FALSE,"May00";"T8",#N/A,FALSE,"May00";"T9",#N/A,FALSE,"May00";"T13&amp;14",#N/A,FALSE,"May00"}</definedName>
    <definedName name="wrn.SuppMay." localSheetId="3" hidden="1">{"T6",#N/A,FALSE,"May00";"T7",#N/A,FALSE,"May00";"T8",#N/A,FALSE,"May00";"T9",#N/A,FALSE,"May00";"T13&amp;14",#N/A,FALSE,"May00"}</definedName>
    <definedName name="wrn.SuppMay." hidden="1">{"T6",#N/A,FALSE,"May00";"T7",#N/A,FALSE,"May00";"T8",#N/A,FALSE,"May00";"T9",#N/A,FALSE,"May00";"T13&amp;14",#N/A,FALSE,"May00"}</definedName>
    <definedName name="wrn.TablesJun" localSheetId="15" hidden="1">{"T6",#N/A,FALSE,"Feb00";"T7",#N/A,FALSE,"Feb00";"T8",#N/A,FALSE,"Feb00";"T9",#N/A,FALSE,"Feb00";"T13&amp;14",#N/A,FALSE,"Feb00"}</definedName>
    <definedName name="wrn.TablesJun" localSheetId="14" hidden="1">{"T6",#N/A,FALSE,"Feb00";"T7",#N/A,FALSE,"Feb00";"T8",#N/A,FALSE,"Feb00";"T9",#N/A,FALSE,"Feb00";"T13&amp;14",#N/A,FALSE,"Feb00"}</definedName>
    <definedName name="wrn.TablesJun" localSheetId="5" hidden="1">{"T6",#N/A,FALSE,"Feb00";"T7",#N/A,FALSE,"Feb00";"T8",#N/A,FALSE,"Feb00";"T9",#N/A,FALSE,"Feb00";"T13&amp;14",#N/A,FALSE,"Feb00"}</definedName>
    <definedName name="wrn.TablesJun" localSheetId="4" hidden="1">{"T6",#N/A,FALSE,"Feb00";"T7",#N/A,FALSE,"Feb00";"T8",#N/A,FALSE,"Feb00";"T9",#N/A,FALSE,"Feb00";"T13&amp;14",#N/A,FALSE,"Feb00"}</definedName>
    <definedName name="wrn.TablesJun" localSheetId="19" hidden="1">{"T6",#N/A,FALSE,"Feb00";"T7",#N/A,FALSE,"Feb00";"T8",#N/A,FALSE,"Feb00";"T9",#N/A,FALSE,"Feb00";"T13&amp;14",#N/A,FALSE,"Feb00"}</definedName>
    <definedName name="wrn.TablesJun" localSheetId="3" hidden="1">{"T6",#N/A,FALSE,"Feb00";"T7",#N/A,FALSE,"Feb00";"T8",#N/A,FALSE,"Feb00";"T9",#N/A,FALSE,"Feb00";"T13&amp;14",#N/A,FALSE,"Feb00"}</definedName>
    <definedName name="wrn.TablesJun" hidden="1">{"T6",#N/A,FALSE,"Feb00";"T7",#N/A,FALSE,"Feb00";"T8",#N/A,FALSE,"Feb00";"T9",#N/A,FALSE,"Feb00";"T13&amp;14",#N/A,FALSE,"Feb00"}</definedName>
    <definedName name="wrn.Weekly._.and._.Monthly._.Price._.Updates." localSheetId="15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14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5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4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19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3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ww" localSheetId="15" hidden="1">{"T6-Jun",#N/A,FALSE,"Jun00";"T7-Jun",#N/A,FALSE,"Jun00";"T8-Jun",#N/A,FALSE,"Jun00";"T9-Jun",#N/A,FALSE,"Jun00";"T13&amp;14-Jun",#N/A,FALSE,"Jun00"}</definedName>
    <definedName name="www" localSheetId="14" hidden="1">{"T6-Jun",#N/A,FALSE,"Jun00";"T7-Jun",#N/A,FALSE,"Jun00";"T8-Jun",#N/A,FALSE,"Jun00";"T9-Jun",#N/A,FALSE,"Jun00";"T13&amp;14-Jun",#N/A,FALSE,"Jun00"}</definedName>
    <definedName name="www" localSheetId="5" hidden="1">{"T6-Jun",#N/A,FALSE,"Jun00";"T7-Jun",#N/A,FALSE,"Jun00";"T8-Jun",#N/A,FALSE,"Jun00";"T9-Jun",#N/A,FALSE,"Jun00";"T13&amp;14-Jun",#N/A,FALSE,"Jun00"}</definedName>
    <definedName name="www" localSheetId="4" hidden="1">{"T6-Jun",#N/A,FALSE,"Jun00";"T7-Jun",#N/A,FALSE,"Jun00";"T8-Jun",#N/A,FALSE,"Jun00";"T9-Jun",#N/A,FALSE,"Jun00";"T13&amp;14-Jun",#N/A,FALSE,"Jun00"}</definedName>
    <definedName name="www" localSheetId="19" hidden="1">{"T6-Jun",#N/A,FALSE,"Jun00";"T7-Jun",#N/A,FALSE,"Jun00";"T8-Jun",#N/A,FALSE,"Jun00";"T9-Jun",#N/A,FALSE,"Jun00";"T13&amp;14-Jun",#N/A,FALSE,"Jun00"}</definedName>
    <definedName name="www" localSheetId="3" hidden="1">{"T6-Jun",#N/A,FALSE,"Jun00";"T7-Jun",#N/A,FALSE,"Jun00";"T8-Jun",#N/A,FALSE,"Jun00";"T9-Jun",#N/A,FALSE,"Jun00";"T13&amp;14-Jun",#N/A,FALSE,"Jun00"}</definedName>
    <definedName name="www" hidden="1">{"T6-Jun",#N/A,FALSE,"Jun00";"T7-Jun",#N/A,FALSE,"Jun00";"T8-Jun",#N/A,FALSE,"Jun00";"T9-Jun",#N/A,FALSE,"Jun00";"T13&amp;14-Jun",#N/A,FALSE,"Jun00"}</definedName>
    <definedName name="XLS" localSheetId="15">#REF!</definedName>
    <definedName name="XLS">#REF!</definedName>
    <definedName name="xx" localSheetId="15" hidden="1">{"t13&amp;t14Aug",#N/A,FALSE,"Aug00";"t9Aug",#N/A,FALSE,"Aug00";"t8Aug",#N/A,FALSE,"Aug00";"t7Aug",#N/A,FALSE,"Aug00";"t6Aug",#N/A,FALSE,"Aug00"}</definedName>
    <definedName name="xx" localSheetId="14" hidden="1">{"t13&amp;t14Aug",#N/A,FALSE,"Aug00";"t9Aug",#N/A,FALSE,"Aug00";"t8Aug",#N/A,FALSE,"Aug00";"t7Aug",#N/A,FALSE,"Aug00";"t6Aug",#N/A,FALSE,"Aug00"}</definedName>
    <definedName name="xx" localSheetId="5" hidden="1">{"t13&amp;t14Aug",#N/A,FALSE,"Aug00";"t9Aug",#N/A,FALSE,"Aug00";"t8Aug",#N/A,FALSE,"Aug00";"t7Aug",#N/A,FALSE,"Aug00";"t6Aug",#N/A,FALSE,"Aug00"}</definedName>
    <definedName name="xx" localSheetId="4" hidden="1">{"t13&amp;t14Aug",#N/A,FALSE,"Aug00";"t9Aug",#N/A,FALSE,"Aug00";"t8Aug",#N/A,FALSE,"Aug00";"t7Aug",#N/A,FALSE,"Aug00";"t6Aug",#N/A,FALSE,"Aug00"}</definedName>
    <definedName name="xx" localSheetId="19" hidden="1">{"t13&amp;t14Aug",#N/A,FALSE,"Aug00";"t9Aug",#N/A,FALSE,"Aug00";"t8Aug",#N/A,FALSE,"Aug00";"t7Aug",#N/A,FALSE,"Aug00";"t6Aug",#N/A,FALSE,"Aug00"}</definedName>
    <definedName name="xx" localSheetId="3" hidden="1">{"t13&amp;t14Aug",#N/A,FALSE,"Aug00";"t9Aug",#N/A,FALSE,"Aug00";"t8Aug",#N/A,FALSE,"Aug00";"t7Aug",#N/A,FALSE,"Aug00";"t6Aug",#N/A,FALSE,"Aug00"}</definedName>
    <definedName name="xx" hidden="1">{"t13&amp;t14Aug",#N/A,FALSE,"Aug00";"t9Aug",#N/A,FALSE,"Aug00";"t8Aug",#N/A,FALSE,"Aug00";"t7Aug",#N/A,FALSE,"Aug00";"t6Aug",#N/A,FALSE,"Aug00"}</definedName>
    <definedName name="xxx" localSheetId="15" hidden="1">{"t13&amp;14-jul",#N/A,FALSE,"Jul00";"t9-jul",#N/A,FALSE,"Jul00";"t8-jul",#N/A,FALSE,"Jul00";"t7-jul",#N/A,FALSE,"Jul00";"t6-jul",#N/A,FALSE,"Jul00"}</definedName>
    <definedName name="xxx" localSheetId="14" hidden="1">{"t13&amp;14-jul",#N/A,FALSE,"Jul00";"t9-jul",#N/A,FALSE,"Jul00";"t8-jul",#N/A,FALSE,"Jul00";"t7-jul",#N/A,FALSE,"Jul00";"t6-jul",#N/A,FALSE,"Jul00"}</definedName>
    <definedName name="xxx" localSheetId="5" hidden="1">{"t13&amp;14-jul",#N/A,FALSE,"Jul00";"t9-jul",#N/A,FALSE,"Jul00";"t8-jul",#N/A,FALSE,"Jul00";"t7-jul",#N/A,FALSE,"Jul00";"t6-jul",#N/A,FALSE,"Jul00"}</definedName>
    <definedName name="xxx" localSheetId="4" hidden="1">{"t13&amp;14-jul",#N/A,FALSE,"Jul00";"t9-jul",#N/A,FALSE,"Jul00";"t8-jul",#N/A,FALSE,"Jul00";"t7-jul",#N/A,FALSE,"Jul00";"t6-jul",#N/A,FALSE,"Jul00"}</definedName>
    <definedName name="xxx" localSheetId="19" hidden="1">{"t13&amp;14-jul",#N/A,FALSE,"Jul00";"t9-jul",#N/A,FALSE,"Jul00";"t8-jul",#N/A,FALSE,"Jul00";"t7-jul",#N/A,FALSE,"Jul00";"t6-jul",#N/A,FALSE,"Jul00"}</definedName>
    <definedName name="xxx" localSheetId="3" hidden="1">{"t13&amp;14-jul",#N/A,FALSE,"Jul00";"t9-jul",#N/A,FALSE,"Jul00";"t8-jul",#N/A,FALSE,"Jul00";"t7-jul",#N/A,FALSE,"Jul00";"t6-jul",#N/A,FALSE,"Jul00"}</definedName>
    <definedName name="xxx" hidden="1">{"t13&amp;14-jul",#N/A,FALSE,"Jul00";"t9-jul",#N/A,FALSE,"Jul00";"t8-jul",#N/A,FALSE,"Jul00";"t7-jul",#N/A,FALSE,"Jul00";"t6-jul",#N/A,FALSE,"Jul00"}</definedName>
    <definedName name="Y_R" localSheetId="15">#REF!</definedName>
    <definedName name="Y_R">#REF!</definedName>
    <definedName name="Y_S" localSheetId="15">#REF!</definedName>
    <definedName name="Y_S">#REF!</definedName>
    <definedName name="Year" localSheetId="15">#REF!</definedName>
    <definedName name="Year">#REF!</definedName>
    <definedName name="YesNo" localSheetId="15">#REF!</definedName>
    <definedName name="YesNo">#REF!</definedName>
    <definedName name="Yield" localSheetId="15">#REF!</definedName>
    <definedName name="Yield">#REF!</definedName>
    <definedName name="YieldCB" localSheetId="15">#REF!</definedName>
    <definedName name="YieldCB">#REF!</definedName>
    <definedName name="글로벌증시" localSheetId="15">#REF!</definedName>
    <definedName name="글로벌증시">#REF!</definedName>
    <definedName name="단위_백만원" localSheetId="15">#REF!</definedName>
    <definedName name="단위_백만원">#REF!</definedName>
    <definedName name="ㅁ1" localSheetId="15">#REF!</definedName>
    <definedName name="ㅁ1">#REF!</definedName>
    <definedName name="미국증시" localSheetId="15">#REF!</definedName>
    <definedName name="미국증시">#REF!</definedName>
    <definedName name="태국매출" localSheetId="15" hidden="1">{"t13&amp;t14Aug",#N/A,FALSE,"Aug00";"t9Aug",#N/A,FALSE,"Aug00";"t8Aug",#N/A,FALSE,"Aug00";"t7Aug",#N/A,FALSE,"Aug00";"t6Aug",#N/A,FALSE,"Aug00"}</definedName>
    <definedName name="태국매출" localSheetId="14" hidden="1">{"t13&amp;t14Aug",#N/A,FALSE,"Aug00";"t9Aug",#N/A,FALSE,"Aug00";"t8Aug",#N/A,FALSE,"Aug00";"t7Aug",#N/A,FALSE,"Aug00";"t6Aug",#N/A,FALSE,"Aug00"}</definedName>
    <definedName name="태국매출" localSheetId="5" hidden="1">{"t13&amp;t14Aug",#N/A,FALSE,"Aug00";"t9Aug",#N/A,FALSE,"Aug00";"t8Aug",#N/A,FALSE,"Aug00";"t7Aug",#N/A,FALSE,"Aug00";"t6Aug",#N/A,FALSE,"Aug00"}</definedName>
    <definedName name="태국매출" localSheetId="4" hidden="1">{"t13&amp;t14Aug",#N/A,FALSE,"Aug00";"t9Aug",#N/A,FALSE,"Aug00";"t8Aug",#N/A,FALSE,"Aug00";"t7Aug",#N/A,FALSE,"Aug00";"t6Aug",#N/A,FALSE,"Aug00"}</definedName>
    <definedName name="태국매출" localSheetId="19" hidden="1">{"t13&amp;t14Aug",#N/A,FALSE,"Aug00";"t9Aug",#N/A,FALSE,"Aug00";"t8Aug",#N/A,FALSE,"Aug00";"t7Aug",#N/A,FALSE,"Aug00";"t6Aug",#N/A,FALSE,"Aug00"}</definedName>
    <definedName name="태국매출" localSheetId="3" hidden="1">{"t13&amp;t14Aug",#N/A,FALSE,"Aug00";"t9Aug",#N/A,FALSE,"Aug00";"t8Aug",#N/A,FALSE,"Aug00";"t7Aug",#N/A,FALSE,"Aug00";"t6Aug",#N/A,FALSE,"Aug00"}</definedName>
    <definedName name="태국매출" hidden="1">{"t13&amp;t14Aug",#N/A,FALSE,"Aug00";"t9Aug",#N/A,FALSE,"Aug00";"t8Aug",#N/A,FALSE,"Aug00";"t7Aug",#N/A,FALSE,"Aug00";"t6Aug",#N/A,FALSE,"Aug00"}</definedName>
  </definedNames>
  <calcPr calcId="191029"/>
  <pivotCaches>
    <pivotCache cacheId="0" r:id="rId2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57" l="1"/>
  <c r="B9" i="56"/>
  <c r="B9" i="58"/>
  <c r="V47" i="25"/>
  <c r="U47" i="25"/>
  <c r="P44" i="25" s="1"/>
  <c r="O10" i="49" l="1"/>
  <c r="O14" i="49"/>
  <c r="P14" i="49" s="1"/>
  <c r="AC38" i="49"/>
  <c r="X23" i="49"/>
  <c r="W23" i="49"/>
  <c r="V23" i="49"/>
  <c r="X21" i="49"/>
  <c r="W21" i="49"/>
  <c r="V21" i="49"/>
  <c r="X20" i="49"/>
  <c r="W20" i="49"/>
  <c r="V20" i="49"/>
  <c r="X39" i="49"/>
  <c r="E34" i="49" s="1"/>
  <c r="W39" i="49"/>
  <c r="D34" i="49" s="1"/>
  <c r="V39" i="49"/>
  <c r="C34" i="49" s="1"/>
  <c r="V37" i="49"/>
  <c r="C53" i="49"/>
  <c r="E52" i="49"/>
  <c r="E51" i="49"/>
  <c r="D51" i="49"/>
  <c r="C51" i="49"/>
  <c r="I35" i="49"/>
  <c r="E44" i="49"/>
  <c r="D44" i="49"/>
  <c r="C44" i="49"/>
  <c r="E41" i="49"/>
  <c r="D41" i="49"/>
  <c r="C41" i="49"/>
  <c r="E40" i="49"/>
  <c r="D40" i="49"/>
  <c r="C40" i="49"/>
  <c r="E38" i="49"/>
  <c r="D38" i="49"/>
  <c r="C38" i="49"/>
  <c r="F38" i="49" s="1"/>
  <c r="G38" i="49" s="1"/>
  <c r="E37" i="49"/>
  <c r="D37" i="49"/>
  <c r="C37" i="49"/>
  <c r="E36" i="49"/>
  <c r="D36" i="49"/>
  <c r="C36" i="49"/>
  <c r="E35" i="49"/>
  <c r="D35" i="49"/>
  <c r="C35" i="49"/>
  <c r="E33" i="49"/>
  <c r="D33" i="49"/>
  <c r="C33" i="49"/>
  <c r="E32" i="49"/>
  <c r="D32" i="49"/>
  <c r="C32" i="49"/>
  <c r="E17" i="49"/>
  <c r="D17" i="49"/>
  <c r="D19" i="49" s="1"/>
  <c r="C17" i="49"/>
  <c r="E16" i="49"/>
  <c r="D16" i="49"/>
  <c r="C16" i="49"/>
  <c r="E15" i="49"/>
  <c r="D15" i="49"/>
  <c r="C15" i="49"/>
  <c r="E14" i="49"/>
  <c r="D14" i="49"/>
  <c r="C14" i="49"/>
  <c r="E12" i="49"/>
  <c r="D12" i="49"/>
  <c r="C12" i="49"/>
  <c r="E10" i="49"/>
  <c r="E11" i="49" s="1"/>
  <c r="D10" i="49"/>
  <c r="D11" i="49" s="1"/>
  <c r="C10" i="49"/>
  <c r="C11" i="49" s="1"/>
  <c r="E9" i="49"/>
  <c r="D9" i="49"/>
  <c r="C9" i="49"/>
  <c r="E8" i="49"/>
  <c r="D8" i="49"/>
  <c r="C8" i="49"/>
  <c r="E7" i="49"/>
  <c r="D7" i="49"/>
  <c r="C7" i="49"/>
  <c r="E6" i="49"/>
  <c r="D6" i="49"/>
  <c r="C6" i="49"/>
  <c r="O26" i="49"/>
  <c r="P26" i="49" s="1"/>
  <c r="Q26" i="49" s="1"/>
  <c r="R26" i="49" s="1"/>
  <c r="O25" i="49"/>
  <c r="P25" i="49" s="1"/>
  <c r="Q25" i="49" s="1"/>
  <c r="R25" i="49" s="1"/>
  <c r="H30" i="25"/>
  <c r="J98" i="48"/>
  <c r="I98" i="48"/>
  <c r="H98" i="48"/>
  <c r="G98" i="48"/>
  <c r="G96" i="48"/>
  <c r="H96" i="48" s="1"/>
  <c r="I96" i="48" s="1"/>
  <c r="J96" i="48" s="1"/>
  <c r="G95" i="48"/>
  <c r="H95" i="48" s="1"/>
  <c r="I95" i="48" s="1"/>
  <c r="J95" i="48" s="1"/>
  <c r="F94" i="48"/>
  <c r="E94" i="48"/>
  <c r="D94" i="48"/>
  <c r="G94" i="48" s="1"/>
  <c r="C94" i="48"/>
  <c r="G93" i="48"/>
  <c r="H93" i="48" s="1"/>
  <c r="I93" i="48" s="1"/>
  <c r="J93" i="48" s="1"/>
  <c r="G92" i="48"/>
  <c r="H92" i="48" s="1"/>
  <c r="I92" i="48" s="1"/>
  <c r="J92" i="48" s="1"/>
  <c r="G91" i="48"/>
  <c r="H91" i="48" s="1"/>
  <c r="F89" i="48"/>
  <c r="E89" i="48"/>
  <c r="D89" i="48"/>
  <c r="C89" i="48"/>
  <c r="G88" i="48"/>
  <c r="H88" i="48" s="1"/>
  <c r="I88" i="48" s="1"/>
  <c r="J88" i="48" s="1"/>
  <c r="G87" i="48"/>
  <c r="H87" i="48" s="1"/>
  <c r="I87" i="48" s="1"/>
  <c r="J87" i="48" s="1"/>
  <c r="G86" i="48"/>
  <c r="H86" i="48" s="1"/>
  <c r="G79" i="48"/>
  <c r="H79" i="48" s="1"/>
  <c r="I79" i="48" s="1"/>
  <c r="J79" i="48" s="1"/>
  <c r="G78" i="48"/>
  <c r="H78" i="48" s="1"/>
  <c r="I78" i="48" s="1"/>
  <c r="J78" i="48" s="1"/>
  <c r="F77" i="48"/>
  <c r="G77" i="48" s="1"/>
  <c r="H77" i="48" s="1"/>
  <c r="I77" i="48" s="1"/>
  <c r="J77" i="48" s="1"/>
  <c r="E77" i="48"/>
  <c r="D77" i="48"/>
  <c r="C77" i="48"/>
  <c r="G75" i="48"/>
  <c r="H75" i="48" s="1"/>
  <c r="I75" i="48" s="1"/>
  <c r="J75" i="48" s="1"/>
  <c r="W67" i="48"/>
  <c r="V67" i="48"/>
  <c r="U67" i="48"/>
  <c r="T67" i="48"/>
  <c r="G67" i="48"/>
  <c r="H67" i="48" s="1"/>
  <c r="I67" i="48" s="1"/>
  <c r="J67" i="48" s="1"/>
  <c r="G66" i="48"/>
  <c r="H66" i="48" s="1"/>
  <c r="I66" i="48" s="1"/>
  <c r="J66" i="48" s="1"/>
  <c r="X65" i="48"/>
  <c r="F65" i="48"/>
  <c r="E65" i="48"/>
  <c r="D65" i="48"/>
  <c r="C65" i="48"/>
  <c r="G62" i="48"/>
  <c r="Y39" i="49" s="1"/>
  <c r="F34" i="49" s="1"/>
  <c r="F61" i="48"/>
  <c r="E61" i="48"/>
  <c r="D61" i="48"/>
  <c r="C61" i="48"/>
  <c r="G55" i="48"/>
  <c r="G54" i="48"/>
  <c r="L48" i="48" s="1"/>
  <c r="F51" i="48"/>
  <c r="F52" i="48" s="1"/>
  <c r="E51" i="48"/>
  <c r="E52" i="48" s="1"/>
  <c r="D51" i="48"/>
  <c r="D52" i="48" s="1"/>
  <c r="C51" i="48"/>
  <c r="C52" i="48" s="1"/>
  <c r="F50" i="48"/>
  <c r="E50" i="48"/>
  <c r="D50" i="48"/>
  <c r="C50" i="48"/>
  <c r="F48" i="48"/>
  <c r="E48" i="48"/>
  <c r="D48" i="48"/>
  <c r="C48" i="48"/>
  <c r="F47" i="48"/>
  <c r="E47" i="48"/>
  <c r="D47" i="48"/>
  <c r="G46" i="48"/>
  <c r="L40" i="48"/>
  <c r="F40" i="48"/>
  <c r="E40" i="48"/>
  <c r="D40" i="48"/>
  <c r="C40" i="48"/>
  <c r="F9" i="48"/>
  <c r="E9" i="48"/>
  <c r="D9" i="48"/>
  <c r="G9" i="48" s="1"/>
  <c r="C9" i="48"/>
  <c r="P10" i="49" l="1"/>
  <c r="D43" i="49"/>
  <c r="G50" i="48"/>
  <c r="D53" i="49"/>
  <c r="Q10" i="49"/>
  <c r="F41" i="48"/>
  <c r="G41" i="48" s="1"/>
  <c r="G40" i="48" s="1"/>
  <c r="H40" i="48" s="1"/>
  <c r="I40" i="48" s="1"/>
  <c r="E53" i="49"/>
  <c r="G44" i="49"/>
  <c r="H44" i="49" s="1"/>
  <c r="I44" i="49" s="1"/>
  <c r="E39" i="49"/>
  <c r="M35" i="49"/>
  <c r="M47" i="49"/>
  <c r="G52" i="48"/>
  <c r="Q14" i="49"/>
  <c r="X67" i="48"/>
  <c r="E19" i="49"/>
  <c r="E22" i="49" s="1"/>
  <c r="K48" i="48"/>
  <c r="G48" i="48" s="1"/>
  <c r="H48" i="48" s="1"/>
  <c r="I48" i="48" s="1"/>
  <c r="J48" i="48" s="1"/>
  <c r="H62" i="48"/>
  <c r="G65" i="48"/>
  <c r="H65" i="48" s="1"/>
  <c r="C39" i="49"/>
  <c r="G89" i="48"/>
  <c r="H89" i="48" s="1"/>
  <c r="I89" i="48" s="1"/>
  <c r="C19" i="49"/>
  <c r="D22" i="49"/>
  <c r="D39" i="49"/>
  <c r="F39" i="49" s="1"/>
  <c r="C43" i="49"/>
  <c r="E43" i="49"/>
  <c r="H38" i="49"/>
  <c r="I38" i="49" s="1"/>
  <c r="F36" i="49"/>
  <c r="G36" i="49" s="1"/>
  <c r="H36" i="49" s="1"/>
  <c r="I36" i="49" s="1"/>
  <c r="F37" i="49"/>
  <c r="G37" i="49" s="1"/>
  <c r="I86" i="48"/>
  <c r="I91" i="48"/>
  <c r="H9" i="48"/>
  <c r="I9" i="48" s="1"/>
  <c r="H94" i="48"/>
  <c r="I94" i="48" s="1"/>
  <c r="J94" i="48" s="1"/>
  <c r="G90" i="48"/>
  <c r="H46" i="48"/>
  <c r="G47" i="48"/>
  <c r="R14" i="49" l="1"/>
  <c r="F43" i="49"/>
  <c r="G43" i="49" s="1"/>
  <c r="G85" i="48"/>
  <c r="R10" i="49"/>
  <c r="G39" i="49"/>
  <c r="H39" i="49" s="1"/>
  <c r="I39" i="49" s="1"/>
  <c r="I62" i="48"/>
  <c r="AA39" i="49" s="1"/>
  <c r="H34" i="49" s="1"/>
  <c r="Z39" i="49"/>
  <c r="G34" i="49" s="1"/>
  <c r="I65" i="48"/>
  <c r="N35" i="49"/>
  <c r="N47" i="49"/>
  <c r="J65" i="48"/>
  <c r="L47" i="49"/>
  <c r="L35" i="49"/>
  <c r="C22" i="49"/>
  <c r="G45" i="48"/>
  <c r="G49" i="48" s="1"/>
  <c r="H43" i="49"/>
  <c r="H37" i="49"/>
  <c r="I37" i="49" s="1"/>
  <c r="J89" i="48"/>
  <c r="H45" i="48"/>
  <c r="H47" i="48"/>
  <c r="I46" i="48"/>
  <c r="J86" i="48"/>
  <c r="I85" i="48"/>
  <c r="J9" i="48"/>
  <c r="H90" i="48"/>
  <c r="H85" i="48" s="1"/>
  <c r="J91" i="48"/>
  <c r="J90" i="48" s="1"/>
  <c r="I90" i="48"/>
  <c r="J85" i="48" l="1"/>
  <c r="J62" i="48"/>
  <c r="AB39" i="49" s="1"/>
  <c r="I34" i="49" s="1"/>
  <c r="G51" i="48"/>
  <c r="G74" i="48" s="1"/>
  <c r="I43" i="49"/>
  <c r="I45" i="48"/>
  <c r="I47" i="48"/>
  <c r="J46" i="48"/>
  <c r="H49" i="48"/>
  <c r="H51" i="48"/>
  <c r="H74" i="48" s="1"/>
  <c r="J47" i="48" l="1"/>
  <c r="J45" i="48"/>
  <c r="I51" i="48"/>
  <c r="I74" i="48" s="1"/>
  <c r="I49" i="48"/>
  <c r="J49" i="48" l="1"/>
  <c r="J51" i="48"/>
  <c r="J74" i="48" s="1"/>
  <c r="O22" i="49" l="1"/>
  <c r="P22" i="49" s="1"/>
  <c r="Q22" i="49" s="1"/>
  <c r="R22" i="49" s="1"/>
  <c r="O19" i="49"/>
  <c r="P19" i="49" s="1"/>
  <c r="Q19" i="49" s="1"/>
  <c r="O13" i="49"/>
  <c r="P13" i="49" s="1"/>
  <c r="Q13" i="49" s="1"/>
  <c r="R19" i="49" l="1"/>
  <c r="R13" i="49"/>
  <c r="V35" i="57" l="1"/>
  <c r="V34" i="57" s="1"/>
  <c r="W35" i="57"/>
  <c r="W34" i="57" s="1"/>
  <c r="X35" i="57"/>
  <c r="X34" i="57" s="1"/>
  <c r="U35" i="57"/>
  <c r="U34" i="57" s="1"/>
  <c r="V31" i="57"/>
  <c r="W31" i="57"/>
  <c r="X31" i="57"/>
  <c r="U31" i="57"/>
  <c r="V23" i="57"/>
  <c r="V22" i="57" s="1"/>
  <c r="V21" i="57" s="1"/>
  <c r="X23" i="57"/>
  <c r="X22" i="57" s="1"/>
  <c r="X21" i="57" s="1"/>
  <c r="C13" i="56"/>
  <c r="D13" i="56" s="1"/>
  <c r="D35" i="57"/>
  <c r="D34" i="57"/>
  <c r="D33" i="57"/>
  <c r="C34" i="57"/>
  <c r="C35" i="57"/>
  <c r="C33" i="57"/>
  <c r="C17" i="57"/>
  <c r="C18" i="57" s="1"/>
  <c r="C16" i="57" s="1"/>
  <c r="D31" i="57"/>
  <c r="D30" i="57"/>
  <c r="D29" i="57"/>
  <c r="C30" i="57"/>
  <c r="C31" i="57"/>
  <c r="C29" i="57"/>
  <c r="D27" i="57"/>
  <c r="D26" i="57"/>
  <c r="D25" i="57"/>
  <c r="C26" i="57"/>
  <c r="C27" i="57"/>
  <c r="C25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D7" i="57"/>
  <c r="C7" i="57"/>
  <c r="C6" i="57"/>
  <c r="AL48" i="44"/>
  <c r="I15" i="56" s="1"/>
  <c r="AM48" i="44"/>
  <c r="J15" i="56" s="1"/>
  <c r="AN48" i="44"/>
  <c r="AO48" i="44" s="1"/>
  <c r="L15" i="56" s="1"/>
  <c r="AL49" i="44"/>
  <c r="I16" i="56" s="1"/>
  <c r="AM49" i="44"/>
  <c r="J16" i="56" s="1"/>
  <c r="AN49" i="44"/>
  <c r="K16" i="56" s="1"/>
  <c r="K44" i="44"/>
  <c r="AH44" i="44" s="1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D7" i="56"/>
  <c r="C7" i="56"/>
  <c r="C6" i="56"/>
  <c r="E7" i="58"/>
  <c r="F7" i="58"/>
  <c r="G7" i="58"/>
  <c r="H7" i="58"/>
  <c r="I7" i="58"/>
  <c r="J7" i="58"/>
  <c r="K7" i="58"/>
  <c r="L7" i="58"/>
  <c r="M7" i="58"/>
  <c r="N7" i="58"/>
  <c r="V57" i="58"/>
  <c r="W57" i="58"/>
  <c r="X57" i="58"/>
  <c r="U57" i="58"/>
  <c r="V53" i="58"/>
  <c r="W53" i="58"/>
  <c r="X53" i="58"/>
  <c r="U53" i="58"/>
  <c r="D36" i="58"/>
  <c r="D37" i="58"/>
  <c r="D38" i="58"/>
  <c r="C38" i="58"/>
  <c r="C37" i="58"/>
  <c r="C36" i="58"/>
  <c r="D32" i="58"/>
  <c r="D33" i="58"/>
  <c r="D34" i="58"/>
  <c r="C33" i="58"/>
  <c r="C34" i="58"/>
  <c r="C32" i="58"/>
  <c r="D28" i="58"/>
  <c r="D29" i="58"/>
  <c r="D30" i="58"/>
  <c r="C29" i="58"/>
  <c r="C30" i="58"/>
  <c r="C28" i="58"/>
  <c r="D24" i="58"/>
  <c r="D25" i="58"/>
  <c r="D26" i="58"/>
  <c r="C25" i="58"/>
  <c r="C26" i="58"/>
  <c r="C24" i="58"/>
  <c r="R7" i="58"/>
  <c r="Q7" i="58"/>
  <c r="P7" i="58"/>
  <c r="O7" i="58"/>
  <c r="D7" i="58"/>
  <c r="C7" i="58"/>
  <c r="C6" i="58"/>
  <c r="M35" i="43"/>
  <c r="Z40" i="43"/>
  <c r="J38" i="43"/>
  <c r="I38" i="43"/>
  <c r="Z38" i="44"/>
  <c r="AH40" i="44" s="1"/>
  <c r="Z30" i="41"/>
  <c r="I43" i="43"/>
  <c r="P17" i="49"/>
  <c r="M46" i="25" s="1"/>
  <c r="Q17" i="49"/>
  <c r="N46" i="25" s="1"/>
  <c r="O17" i="49"/>
  <c r="R17" i="49" s="1"/>
  <c r="O46" i="25" s="1"/>
  <c r="H6" i="25"/>
  <c r="C6" i="25"/>
  <c r="H14" i="25"/>
  <c r="C14" i="25"/>
  <c r="H12" i="25"/>
  <c r="C12" i="25"/>
  <c r="H9" i="25"/>
  <c r="C9" i="25"/>
  <c r="H7" i="25"/>
  <c r="C7" i="25"/>
  <c r="H18" i="25"/>
  <c r="H19" i="25"/>
  <c r="H21" i="25"/>
  <c r="H24" i="25"/>
  <c r="H26" i="25"/>
  <c r="V16" i="49"/>
  <c r="W40" i="49"/>
  <c r="X40" i="49"/>
  <c r="V40" i="49"/>
  <c r="Y38" i="49"/>
  <c r="Z38" i="49" s="1"/>
  <c r="AA38" i="49" s="1"/>
  <c r="AB38" i="49" s="1"/>
  <c r="P46" i="25" l="1"/>
  <c r="F41" i="49"/>
  <c r="F40" i="49" s="1"/>
  <c r="J14" i="56"/>
  <c r="AO49" i="44"/>
  <c r="L16" i="56" s="1"/>
  <c r="L14" i="56" s="1"/>
  <c r="K15" i="56"/>
  <c r="K14" i="56" s="1"/>
  <c r="I14" i="56"/>
  <c r="AI44" i="44"/>
  <c r="F12" i="56" s="1"/>
  <c r="F11" i="56" s="1"/>
  <c r="E12" i="56"/>
  <c r="E11" i="56" s="1"/>
  <c r="D13" i="57"/>
  <c r="C14" i="57"/>
  <c r="D14" i="57"/>
  <c r="C13" i="57"/>
  <c r="D15" i="57"/>
  <c r="C15" i="57"/>
  <c r="D15" i="58"/>
  <c r="C15" i="58"/>
  <c r="C8" i="25"/>
  <c r="H8" i="25"/>
  <c r="H20" i="25"/>
  <c r="G41" i="49" l="1"/>
  <c r="G40" i="49" s="1"/>
  <c r="AJ44" i="44"/>
  <c r="AK44" i="44" s="1"/>
  <c r="G12" i="56"/>
  <c r="G11" i="56" s="1"/>
  <c r="C12" i="57"/>
  <c r="D12" i="57"/>
  <c r="O21" i="49"/>
  <c r="A2" i="54"/>
  <c r="Y37" i="49"/>
  <c r="X37" i="49"/>
  <c r="W37" i="49"/>
  <c r="V12" i="49"/>
  <c r="V24" i="49"/>
  <c r="Z13" i="33"/>
  <c r="A5" i="50"/>
  <c r="A6" i="50"/>
  <c r="A7" i="50"/>
  <c r="A8" i="50"/>
  <c r="A9" i="50"/>
  <c r="A10" i="50"/>
  <c r="A11" i="50"/>
  <c r="A12" i="50"/>
  <c r="A13" i="50"/>
  <c r="A14" i="50"/>
  <c r="A15" i="50"/>
  <c r="A16" i="50"/>
  <c r="A17" i="50"/>
  <c r="A19" i="50"/>
  <c r="A20" i="50"/>
  <c r="A21" i="50"/>
  <c r="A22" i="50"/>
  <c r="A23" i="50"/>
  <c r="A24" i="50"/>
  <c r="A25" i="50"/>
  <c r="A26" i="50"/>
  <c r="A27" i="50"/>
  <c r="A28" i="50"/>
  <c r="A29" i="50"/>
  <c r="A31" i="50"/>
  <c r="A32" i="50"/>
  <c r="A33" i="50"/>
  <c r="A34" i="50"/>
  <c r="A35" i="50"/>
  <c r="A36" i="50"/>
  <c r="A37" i="50"/>
  <c r="A38" i="50"/>
  <c r="A39" i="50"/>
  <c r="A40" i="50"/>
  <c r="A42" i="50"/>
  <c r="A43" i="50"/>
  <c r="A44" i="50"/>
  <c r="A45" i="50"/>
  <c r="A4" i="50"/>
  <c r="I41" i="49" l="1"/>
  <c r="I40" i="49" s="1"/>
  <c r="H41" i="49"/>
  <c r="H40" i="49" s="1"/>
  <c r="P21" i="49"/>
  <c r="O20" i="49"/>
  <c r="X16" i="49"/>
  <c r="AL44" i="44"/>
  <c r="H12" i="56"/>
  <c r="H11" i="56" s="1"/>
  <c r="V41" i="49"/>
  <c r="V46" i="49"/>
  <c r="X46" i="49"/>
  <c r="W46" i="49"/>
  <c r="W41" i="49"/>
  <c r="W16" i="49"/>
  <c r="X41" i="49"/>
  <c r="F51" i="49"/>
  <c r="V22" i="49"/>
  <c r="V25" i="49" s="1"/>
  <c r="Q21" i="49" l="1"/>
  <c r="P20" i="49"/>
  <c r="AM44" i="44"/>
  <c r="I12" i="56"/>
  <c r="I11" i="56" s="1"/>
  <c r="I9" i="56" s="1"/>
  <c r="I13" i="33" s="1"/>
  <c r="W13" i="49"/>
  <c r="V13" i="49"/>
  <c r="V14" i="49" s="1"/>
  <c r="X13" i="49"/>
  <c r="D46" i="50"/>
  <c r="E46" i="50"/>
  <c r="F46" i="50"/>
  <c r="G46" i="50"/>
  <c r="R21" i="49" l="1"/>
  <c r="R20" i="49" s="1"/>
  <c r="Q20" i="49"/>
  <c r="AN44" i="44"/>
  <c r="J12" i="56"/>
  <c r="J11" i="56" s="1"/>
  <c r="J9" i="56" s="1"/>
  <c r="J13" i="33" s="1"/>
  <c r="AO44" i="44" l="1"/>
  <c r="K12" i="56"/>
  <c r="K11" i="56" s="1"/>
  <c r="K9" i="56" s="1"/>
  <c r="K13" i="33" s="1"/>
  <c r="H49" i="25"/>
  <c r="C49" i="25"/>
  <c r="H38" i="25"/>
  <c r="C38" i="25"/>
  <c r="C26" i="25"/>
  <c r="H33" i="25"/>
  <c r="C33" i="25"/>
  <c r="C21" i="25"/>
  <c r="H43" i="25"/>
  <c r="C43" i="25"/>
  <c r="C31" i="25"/>
  <c r="H31" i="25"/>
  <c r="C19" i="25"/>
  <c r="H47" i="25"/>
  <c r="C47" i="25"/>
  <c r="H36" i="25"/>
  <c r="C36" i="25"/>
  <c r="C24" i="25"/>
  <c r="C30" i="25"/>
  <c r="C18" i="25"/>
  <c r="P42" i="25"/>
  <c r="C42" i="25" s="1"/>
  <c r="P43" i="25"/>
  <c r="H42" i="25" s="1"/>
  <c r="H44" i="25" l="1"/>
  <c r="AP44" i="44"/>
  <c r="L12" i="56"/>
  <c r="L11" i="56" s="1"/>
  <c r="L9" i="56" s="1"/>
  <c r="L13" i="33" s="1"/>
  <c r="H32" i="25"/>
  <c r="C44" i="25"/>
  <c r="C32" i="25"/>
  <c r="C20" i="25"/>
  <c r="V19" i="43"/>
  <c r="W19" i="43"/>
  <c r="X19" i="43"/>
  <c r="Y19" i="43"/>
  <c r="S74" i="43"/>
  <c r="T74" i="43"/>
  <c r="U74" i="43"/>
  <c r="V74" i="43"/>
  <c r="W74" i="43"/>
  <c r="X74" i="43"/>
  <c r="Y74" i="43"/>
  <c r="Z74" i="43"/>
  <c r="AA74" i="43"/>
  <c r="AB74" i="43"/>
  <c r="AC74" i="43"/>
  <c r="AD74" i="43"/>
  <c r="AE74" i="43"/>
  <c r="AF74" i="43"/>
  <c r="AG74" i="43"/>
  <c r="AH74" i="43"/>
  <c r="AI74" i="43"/>
  <c r="AJ74" i="43"/>
  <c r="AK74" i="43"/>
  <c r="AL74" i="43"/>
  <c r="AM74" i="43"/>
  <c r="AN74" i="43"/>
  <c r="AO74" i="43"/>
  <c r="AP74" i="43"/>
  <c r="AQ74" i="43"/>
  <c r="AR74" i="43"/>
  <c r="AS74" i="43"/>
  <c r="AT74" i="43"/>
  <c r="AU74" i="43"/>
  <c r="AV74" i="43"/>
  <c r="AW74" i="43"/>
  <c r="AX74" i="43"/>
  <c r="AY74" i="43"/>
  <c r="S60" i="43"/>
  <c r="T60" i="43"/>
  <c r="U60" i="43"/>
  <c r="V60" i="43"/>
  <c r="W60" i="43"/>
  <c r="X60" i="43"/>
  <c r="Y60" i="43"/>
  <c r="Z60" i="43"/>
  <c r="AA60" i="43"/>
  <c r="AB60" i="43"/>
  <c r="AC60" i="43"/>
  <c r="AD60" i="43"/>
  <c r="AE60" i="43"/>
  <c r="AF60" i="43"/>
  <c r="AG60" i="43"/>
  <c r="AH60" i="43"/>
  <c r="AI60" i="43"/>
  <c r="AJ60" i="43"/>
  <c r="AK60" i="43"/>
  <c r="AL60" i="43"/>
  <c r="AM60" i="43"/>
  <c r="AN60" i="43"/>
  <c r="AO60" i="43"/>
  <c r="AP60" i="43"/>
  <c r="AQ60" i="43"/>
  <c r="AR60" i="43"/>
  <c r="AS60" i="43"/>
  <c r="AT60" i="43"/>
  <c r="AU60" i="43"/>
  <c r="AV60" i="43"/>
  <c r="AW60" i="43"/>
  <c r="AX60" i="43"/>
  <c r="AY60" i="43"/>
  <c r="E33" i="47"/>
  <c r="F33" i="47"/>
  <c r="G33" i="47"/>
  <c r="D33" i="47"/>
  <c r="AQ44" i="44" l="1"/>
  <c r="M12" i="56"/>
  <c r="M11" i="56" s="1"/>
  <c r="J38" i="58"/>
  <c r="G34" i="58"/>
  <c r="R34" i="58"/>
  <c r="F34" i="58"/>
  <c r="Q34" i="58"/>
  <c r="G38" i="58"/>
  <c r="P34" i="58"/>
  <c r="R38" i="58"/>
  <c r="F38" i="58"/>
  <c r="O34" i="58"/>
  <c r="X34" i="58" s="1"/>
  <c r="K38" i="58"/>
  <c r="Q38" i="58"/>
  <c r="N34" i="58"/>
  <c r="H38" i="58"/>
  <c r="M34" i="58"/>
  <c r="P38" i="58"/>
  <c r="O38" i="58"/>
  <c r="X38" i="58" s="1"/>
  <c r="L34" i="58"/>
  <c r="H34" i="58"/>
  <c r="N38" i="58"/>
  <c r="K34" i="58"/>
  <c r="W34" i="58" s="1"/>
  <c r="I38" i="58"/>
  <c r="M38" i="58"/>
  <c r="J34" i="58"/>
  <c r="L38" i="58"/>
  <c r="I34" i="58"/>
  <c r="X24" i="49"/>
  <c r="W24" i="49"/>
  <c r="E17" i="47"/>
  <c r="C25" i="49" s="1"/>
  <c r="F17" i="47"/>
  <c r="D25" i="49" s="1"/>
  <c r="G17" i="47"/>
  <c r="E25" i="49" s="1"/>
  <c r="W7" i="49"/>
  <c r="W9" i="49" s="1"/>
  <c r="W10" i="49" s="1"/>
  <c r="X7" i="49"/>
  <c r="X9" i="49" s="1"/>
  <c r="X10" i="49" s="1"/>
  <c r="V7" i="49"/>
  <c r="W34" i="49"/>
  <c r="X34" i="49"/>
  <c r="V34" i="49"/>
  <c r="V38" i="58" l="1"/>
  <c r="V34" i="58"/>
  <c r="W38" i="58"/>
  <c r="AR44" i="44"/>
  <c r="N12" i="56"/>
  <c r="N11" i="56" s="1"/>
  <c r="D27" i="49"/>
  <c r="F18" i="47"/>
  <c r="C27" i="49"/>
  <c r="E18" i="47"/>
  <c r="V44" i="49"/>
  <c r="V45" i="49"/>
  <c r="V43" i="49"/>
  <c r="E27" i="49"/>
  <c r="G18" i="47"/>
  <c r="X44" i="49"/>
  <c r="X45" i="49"/>
  <c r="X43" i="49"/>
  <c r="W44" i="49"/>
  <c r="W45" i="49"/>
  <c r="W43" i="49"/>
  <c r="W30" i="49"/>
  <c r="AB30" i="49" s="1"/>
  <c r="W31" i="49"/>
  <c r="AB31" i="49" s="1"/>
  <c r="V9" i="49"/>
  <c r="V10" i="49" s="1"/>
  <c r="W33" i="49"/>
  <c r="W29" i="49" s="1"/>
  <c r="Y29" i="49" s="1"/>
  <c r="Z29" i="49" s="1"/>
  <c r="AA29" i="49" s="1"/>
  <c r="AB29" i="49" s="1"/>
  <c r="X30" i="49"/>
  <c r="X31" i="49"/>
  <c r="V33" i="49"/>
  <c r="V29" i="49" s="1"/>
  <c r="X33" i="49"/>
  <c r="X29" i="49" s="1"/>
  <c r="V30" i="49"/>
  <c r="V31" i="49"/>
  <c r="X22" i="49"/>
  <c r="X25" i="49" s="1"/>
  <c r="W22" i="49"/>
  <c r="W25" i="49" s="1"/>
  <c r="W26" i="49" s="1"/>
  <c r="C28" i="49"/>
  <c r="E28" i="49"/>
  <c r="D28" i="49"/>
  <c r="X11" i="49"/>
  <c r="U51" i="49"/>
  <c r="Y30" i="49" l="1"/>
  <c r="Y31" i="49"/>
  <c r="AS44" i="44"/>
  <c r="O12" i="56"/>
  <c r="O11" i="56" s="1"/>
  <c r="W11" i="49"/>
  <c r="V15" i="49"/>
  <c r="V17" i="49" s="1"/>
  <c r="V32" i="49"/>
  <c r="Z31" i="49"/>
  <c r="Z30" i="49"/>
  <c r="W32" i="49"/>
  <c r="X32" i="49"/>
  <c r="W12" i="49"/>
  <c r="W14" i="49" s="1"/>
  <c r="W15" i="49" s="1"/>
  <c r="W17" i="49" s="1"/>
  <c r="X26" i="49"/>
  <c r="X12" i="49" s="1"/>
  <c r="X14" i="49" s="1"/>
  <c r="X15" i="49" s="1"/>
  <c r="X17" i="49" s="1"/>
  <c r="AT44" i="44" l="1"/>
  <c r="P12" i="56"/>
  <c r="P11" i="56" s="1"/>
  <c r="AB32" i="49"/>
  <c r="AA30" i="49"/>
  <c r="Y32" i="49"/>
  <c r="AA31" i="49"/>
  <c r="AU44" i="44" l="1"/>
  <c r="R12" i="56" s="1"/>
  <c r="R11" i="56" s="1"/>
  <c r="Q12" i="56"/>
  <c r="Q11" i="56" s="1"/>
  <c r="Z32" i="49"/>
  <c r="AA32" i="49" l="1"/>
  <c r="AA9" i="32" l="1"/>
  <c r="O49" i="44"/>
  <c r="P49" i="44"/>
  <c r="Q49" i="44"/>
  <c r="R49" i="44"/>
  <c r="S49" i="44"/>
  <c r="T49" i="44"/>
  <c r="U49" i="44"/>
  <c r="V49" i="44"/>
  <c r="W49" i="44"/>
  <c r="X49" i="44"/>
  <c r="Y49" i="44"/>
  <c r="Z49" i="44"/>
  <c r="AA49" i="44"/>
  <c r="AB49" i="44"/>
  <c r="AC49" i="44"/>
  <c r="AD49" i="44"/>
  <c r="AE49" i="44"/>
  <c r="AF49" i="44"/>
  <c r="C16" i="56" s="1"/>
  <c r="AG49" i="44"/>
  <c r="D16" i="56" s="1"/>
  <c r="AH49" i="44"/>
  <c r="E16" i="56" s="1"/>
  <c r="AI49" i="44"/>
  <c r="F16" i="56" s="1"/>
  <c r="AJ49" i="44"/>
  <c r="G16" i="56" s="1"/>
  <c r="G14" i="56" s="1"/>
  <c r="G9" i="56" s="1"/>
  <c r="G13" i="33" s="1"/>
  <c r="AK49" i="44"/>
  <c r="H16" i="56" s="1"/>
  <c r="BA49" i="44"/>
  <c r="BB49" i="44"/>
  <c r="BC49" i="44"/>
  <c r="AP49" i="44"/>
  <c r="P48" i="44"/>
  <c r="Q48" i="44"/>
  <c r="R48" i="44"/>
  <c r="S48" i="44"/>
  <c r="T48" i="44"/>
  <c r="U48" i="44"/>
  <c r="V48" i="44"/>
  <c r="W48" i="44"/>
  <c r="X48" i="44"/>
  <c r="Y48" i="44"/>
  <c r="Z48" i="44"/>
  <c r="AA48" i="44"/>
  <c r="AB48" i="44"/>
  <c r="AC48" i="44"/>
  <c r="AD48" i="44"/>
  <c r="AE48" i="44"/>
  <c r="AF48" i="44"/>
  <c r="C15" i="56" s="1"/>
  <c r="AG48" i="44"/>
  <c r="D15" i="56" s="1"/>
  <c r="D14" i="56" s="1"/>
  <c r="AH48" i="44"/>
  <c r="AI48" i="44"/>
  <c r="F15" i="56" s="1"/>
  <c r="AJ48" i="44"/>
  <c r="G15" i="56" s="1"/>
  <c r="AK48" i="44"/>
  <c r="H15" i="56" s="1"/>
  <c r="BA48" i="44"/>
  <c r="BB48" i="44"/>
  <c r="BC48" i="44"/>
  <c r="O48" i="44"/>
  <c r="AH50" i="44" l="1"/>
  <c r="E15" i="56"/>
  <c r="E14" i="56" s="1"/>
  <c r="E9" i="56" s="1"/>
  <c r="AQ49" i="44"/>
  <c r="M16" i="56"/>
  <c r="F14" i="56"/>
  <c r="F9" i="56" s="1"/>
  <c r="H14" i="56"/>
  <c r="H9" i="56" s="1"/>
  <c r="H13" i="33" s="1"/>
  <c r="C14" i="56"/>
  <c r="AI50" i="44"/>
  <c r="F13" i="33" l="1"/>
  <c r="F10" i="56"/>
  <c r="AR49" i="44"/>
  <c r="N16" i="56"/>
  <c r="E13" i="33"/>
  <c r="D16" i="47"/>
  <c r="H21" i="47"/>
  <c r="H22" i="47"/>
  <c r="H25" i="47"/>
  <c r="H29" i="47"/>
  <c r="F12" i="49" s="1"/>
  <c r="D9" i="47"/>
  <c r="E9" i="47"/>
  <c r="F9" i="47"/>
  <c r="G9" i="47"/>
  <c r="E16" i="47"/>
  <c r="F16" i="47"/>
  <c r="G16" i="47"/>
  <c r="D28" i="47"/>
  <c r="E28" i="47"/>
  <c r="C13" i="49" s="1"/>
  <c r="F28" i="47"/>
  <c r="D13" i="49" s="1"/>
  <c r="G28" i="47"/>
  <c r="E13" i="49" s="1"/>
  <c r="AA41" i="47"/>
  <c r="AB41" i="47"/>
  <c r="AC41" i="47"/>
  <c r="AD41" i="47"/>
  <c r="AA43" i="47"/>
  <c r="AB43" i="47"/>
  <c r="AC43" i="47"/>
  <c r="AD43" i="47"/>
  <c r="AB45" i="47"/>
  <c r="AC45" i="47"/>
  <c r="AD45" i="47"/>
  <c r="P50" i="47"/>
  <c r="Q50" i="47"/>
  <c r="R50" i="47"/>
  <c r="F40" i="47" s="1"/>
  <c r="S50" i="47"/>
  <c r="G40" i="47" s="1"/>
  <c r="P51" i="47"/>
  <c r="D42" i="47" s="1"/>
  <c r="Q51" i="47"/>
  <c r="E42" i="47" s="1"/>
  <c r="R51" i="47"/>
  <c r="F42" i="47" s="1"/>
  <c r="S51" i="47"/>
  <c r="G42" i="47" s="1"/>
  <c r="P52" i="47"/>
  <c r="Q52" i="47"/>
  <c r="R52" i="47"/>
  <c r="S52" i="47"/>
  <c r="P53" i="47"/>
  <c r="Q53" i="47"/>
  <c r="R53" i="47"/>
  <c r="S53" i="47"/>
  <c r="P54" i="47"/>
  <c r="D45" i="47" s="1"/>
  <c r="Q54" i="47"/>
  <c r="E45" i="47" s="1"/>
  <c r="R54" i="47"/>
  <c r="F45" i="47" s="1"/>
  <c r="S54" i="47"/>
  <c r="G45" i="47" s="1"/>
  <c r="P55" i="47"/>
  <c r="D46" i="47" s="1"/>
  <c r="Q55" i="47"/>
  <c r="E46" i="47" s="1"/>
  <c r="R55" i="47"/>
  <c r="F46" i="47" s="1"/>
  <c r="S55" i="47"/>
  <c r="G46" i="47" s="1"/>
  <c r="Y55" i="47"/>
  <c r="Z55" i="47"/>
  <c r="AA55" i="47"/>
  <c r="AB55" i="47"/>
  <c r="P56" i="47"/>
  <c r="D41" i="47" s="1"/>
  <c r="Q56" i="47"/>
  <c r="E41" i="47" s="1"/>
  <c r="R56" i="47"/>
  <c r="F41" i="47" s="1"/>
  <c r="S56" i="47"/>
  <c r="G41" i="47" s="1"/>
  <c r="P57" i="47"/>
  <c r="D44" i="47" s="1"/>
  <c r="Q57" i="47"/>
  <c r="E44" i="47" s="1"/>
  <c r="R57" i="47"/>
  <c r="F44" i="47" s="1"/>
  <c r="S57" i="47"/>
  <c r="G44" i="47" s="1"/>
  <c r="Y57" i="47"/>
  <c r="Z57" i="47"/>
  <c r="AA57" i="47"/>
  <c r="AB57" i="47"/>
  <c r="P58" i="47"/>
  <c r="D47" i="47" s="1"/>
  <c r="Q58" i="47"/>
  <c r="E47" i="47" s="1"/>
  <c r="R58" i="47"/>
  <c r="F47" i="47" s="1"/>
  <c r="S58" i="47"/>
  <c r="G47" i="47" s="1"/>
  <c r="Y59" i="47"/>
  <c r="Z59" i="47"/>
  <c r="AA59" i="47"/>
  <c r="AB59" i="47"/>
  <c r="D72" i="47"/>
  <c r="E72" i="47"/>
  <c r="F72" i="47"/>
  <c r="G72" i="47"/>
  <c r="H72" i="47"/>
  <c r="I72" i="47"/>
  <c r="J72" i="47"/>
  <c r="K72" i="47"/>
  <c r="P79" i="47"/>
  <c r="AS49" i="44" l="1"/>
  <c r="O16" i="56"/>
  <c r="I13" i="47"/>
  <c r="H24" i="47"/>
  <c r="I24" i="47"/>
  <c r="H20" i="47"/>
  <c r="H19" i="47" s="1"/>
  <c r="H30" i="47"/>
  <c r="F14" i="49" s="1"/>
  <c r="H26" i="47"/>
  <c r="G43" i="47"/>
  <c r="F43" i="47"/>
  <c r="AE41" i="47"/>
  <c r="Q59" i="47"/>
  <c r="P59" i="47"/>
  <c r="E43" i="47"/>
  <c r="D43" i="47"/>
  <c r="E40" i="47"/>
  <c r="D40" i="47"/>
  <c r="I30" i="47"/>
  <c r="G14" i="49" s="1"/>
  <c r="I20" i="47"/>
  <c r="R59" i="47"/>
  <c r="S59" i="47"/>
  <c r="H13" i="47"/>
  <c r="X42" i="43"/>
  <c r="I42" i="43"/>
  <c r="I41" i="43"/>
  <c r="L25" i="45"/>
  <c r="P25" i="45" s="1"/>
  <c r="L26" i="45"/>
  <c r="P26" i="45" s="1"/>
  <c r="L24" i="45"/>
  <c r="L21" i="45"/>
  <c r="L22" i="45"/>
  <c r="P22" i="45" s="1"/>
  <c r="R22" i="45" s="1" a="1"/>
  <c r="R22" i="45" s="1"/>
  <c r="L20" i="45"/>
  <c r="R1" i="45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C7" i="33"/>
  <c r="AC40" i="32"/>
  <c r="D17" i="33"/>
  <c r="E17" i="33" s="1"/>
  <c r="F17" i="33" s="1"/>
  <c r="G17" i="33" s="1"/>
  <c r="H17" i="33" s="1"/>
  <c r="I17" i="33" s="1"/>
  <c r="J17" i="33" s="1"/>
  <c r="K17" i="33" s="1"/>
  <c r="L17" i="33" s="1"/>
  <c r="M17" i="33" s="1"/>
  <c r="N17" i="33" s="1"/>
  <c r="O17" i="33" s="1"/>
  <c r="P17" i="33" s="1"/>
  <c r="Q17" i="33" s="1"/>
  <c r="R17" i="33" s="1"/>
  <c r="S77" i="45"/>
  <c r="E31" i="57" s="1"/>
  <c r="F20" i="46"/>
  <c r="F19" i="46"/>
  <c r="F17" i="46"/>
  <c r="F16" i="46"/>
  <c r="F14" i="46"/>
  <c r="F13" i="46"/>
  <c r="F9" i="46"/>
  <c r="AZ87" i="45"/>
  <c r="AZ86" i="45" s="1"/>
  <c r="AY87" i="45"/>
  <c r="AY86" i="45" s="1"/>
  <c r="AX87" i="45"/>
  <c r="AX86" i="45" s="1"/>
  <c r="AW87" i="45"/>
  <c r="AW86" i="45" s="1"/>
  <c r="AV87" i="45"/>
  <c r="AV86" i="45" s="1"/>
  <c r="AU87" i="45"/>
  <c r="AU86" i="45" s="1"/>
  <c r="AT87" i="45"/>
  <c r="AT86" i="45" s="1"/>
  <c r="AS87" i="45"/>
  <c r="AS86" i="45" s="1"/>
  <c r="AR87" i="45"/>
  <c r="AR86" i="45" s="1"/>
  <c r="AQ87" i="45"/>
  <c r="AQ86" i="45" s="1"/>
  <c r="AP87" i="45"/>
  <c r="AP86" i="45" s="1"/>
  <c r="AO87" i="45"/>
  <c r="AO86" i="45" s="1"/>
  <c r="AN87" i="45"/>
  <c r="AN86" i="45" s="1"/>
  <c r="AM87" i="45"/>
  <c r="AM86" i="45" s="1"/>
  <c r="AL87" i="45"/>
  <c r="AL86" i="45" s="1"/>
  <c r="AK87" i="45"/>
  <c r="AK86" i="45" s="1"/>
  <c r="AJ87" i="45"/>
  <c r="AJ86" i="45" s="1"/>
  <c r="AI87" i="45"/>
  <c r="AI86" i="45" s="1"/>
  <c r="AH87" i="45"/>
  <c r="AH86" i="45" s="1"/>
  <c r="AG87" i="45"/>
  <c r="AG86" i="45" s="1"/>
  <c r="AF87" i="45"/>
  <c r="AE87" i="45"/>
  <c r="AD87" i="45"/>
  <c r="AC87" i="45"/>
  <c r="O35" i="57" s="1"/>
  <c r="AB87" i="45"/>
  <c r="AA87" i="45"/>
  <c r="Z87" i="45"/>
  <c r="Y87" i="45"/>
  <c r="X87" i="45"/>
  <c r="W87" i="45"/>
  <c r="V87" i="45"/>
  <c r="U87" i="45"/>
  <c r="T87" i="45"/>
  <c r="S87" i="45"/>
  <c r="N83" i="45"/>
  <c r="L83" i="45"/>
  <c r="J83" i="45"/>
  <c r="N82" i="45"/>
  <c r="L82" i="45"/>
  <c r="J82" i="45"/>
  <c r="F82" i="45"/>
  <c r="N81" i="45"/>
  <c r="L81" i="45"/>
  <c r="J81" i="45"/>
  <c r="F81" i="45"/>
  <c r="AZ77" i="45"/>
  <c r="AY77" i="45"/>
  <c r="AX77" i="45"/>
  <c r="AW77" i="45"/>
  <c r="AV77" i="45"/>
  <c r="AU77" i="45"/>
  <c r="AT77" i="45"/>
  <c r="AS77" i="45"/>
  <c r="AR77" i="45"/>
  <c r="AQ77" i="45"/>
  <c r="AP77" i="45"/>
  <c r="AO77" i="45"/>
  <c r="AN77" i="45"/>
  <c r="AM77" i="45"/>
  <c r="AL77" i="45"/>
  <c r="AK77" i="45"/>
  <c r="AJ77" i="45"/>
  <c r="AI77" i="45"/>
  <c r="AH77" i="45"/>
  <c r="AG77" i="45"/>
  <c r="AF77" i="45"/>
  <c r="R31" i="57" s="1"/>
  <c r="AE77" i="45"/>
  <c r="Q31" i="57" s="1"/>
  <c r="AD77" i="45"/>
  <c r="P31" i="57" s="1"/>
  <c r="AC77" i="45"/>
  <c r="O31" i="57" s="1"/>
  <c r="AB77" i="45"/>
  <c r="N31" i="57" s="1"/>
  <c r="AA77" i="45"/>
  <c r="M31" i="57" s="1"/>
  <c r="Z77" i="45"/>
  <c r="L31" i="57" s="1"/>
  <c r="Y77" i="45"/>
  <c r="K31" i="57" s="1"/>
  <c r="X77" i="45"/>
  <c r="J31" i="57" s="1"/>
  <c r="W77" i="45"/>
  <c r="I31" i="57" s="1"/>
  <c r="V77" i="45"/>
  <c r="H31" i="57" s="1"/>
  <c r="U77" i="45"/>
  <c r="G31" i="57" s="1"/>
  <c r="T77" i="45"/>
  <c r="F31" i="57" s="1"/>
  <c r="N73" i="45"/>
  <c r="L73" i="45"/>
  <c r="J73" i="45"/>
  <c r="N72" i="45"/>
  <c r="L72" i="45"/>
  <c r="J72" i="45"/>
  <c r="N71" i="45"/>
  <c r="L71" i="45"/>
  <c r="J71" i="45"/>
  <c r="N70" i="45"/>
  <c r="L70" i="45"/>
  <c r="J70" i="45"/>
  <c r="N63" i="45"/>
  <c r="L63" i="45"/>
  <c r="J63" i="45"/>
  <c r="N62" i="45"/>
  <c r="L62" i="45"/>
  <c r="J62" i="45"/>
  <c r="N61" i="45"/>
  <c r="L61" i="45"/>
  <c r="J61" i="45"/>
  <c r="N60" i="45"/>
  <c r="P60" i="45" s="1"/>
  <c r="J60" i="45"/>
  <c r="P59" i="45"/>
  <c r="J59" i="45"/>
  <c r="N58" i="45"/>
  <c r="P58" i="45" s="1"/>
  <c r="J58" i="45"/>
  <c r="N57" i="45"/>
  <c r="P57" i="45" s="1"/>
  <c r="J57" i="45"/>
  <c r="N56" i="45"/>
  <c r="P56" i="45" s="1"/>
  <c r="J56" i="45"/>
  <c r="P55" i="45"/>
  <c r="J55" i="45"/>
  <c r="N54" i="45"/>
  <c r="P54" i="45" s="1"/>
  <c r="J54" i="45"/>
  <c r="N53" i="45"/>
  <c r="P53" i="45" s="1"/>
  <c r="J53" i="45"/>
  <c r="N52" i="45"/>
  <c r="P52" i="45" s="1"/>
  <c r="J52" i="45"/>
  <c r="P51" i="45"/>
  <c r="J51" i="45"/>
  <c r="N50" i="45"/>
  <c r="P50" i="45" s="1"/>
  <c r="J50" i="45"/>
  <c r="N49" i="45"/>
  <c r="P49" i="45" s="1"/>
  <c r="J49" i="45"/>
  <c r="N48" i="45"/>
  <c r="P48" i="45" s="1"/>
  <c r="J48" i="45"/>
  <c r="L47" i="45"/>
  <c r="P47" i="45" s="1"/>
  <c r="J47" i="45"/>
  <c r="N46" i="45"/>
  <c r="L46" i="45"/>
  <c r="J46" i="45"/>
  <c r="N45" i="45"/>
  <c r="L45" i="45"/>
  <c r="J45" i="45"/>
  <c r="N44" i="45"/>
  <c r="L44" i="45"/>
  <c r="J44" i="45"/>
  <c r="N43" i="45"/>
  <c r="P43" i="45" s="1"/>
  <c r="J43" i="45"/>
  <c r="N42" i="45"/>
  <c r="P42" i="45" s="1"/>
  <c r="J42" i="45"/>
  <c r="N41" i="45"/>
  <c r="P41" i="45" s="1"/>
  <c r="J41" i="45"/>
  <c r="N40" i="45"/>
  <c r="P40" i="45" s="1"/>
  <c r="J40" i="45"/>
  <c r="K38" i="45"/>
  <c r="I38" i="45"/>
  <c r="K37" i="45"/>
  <c r="I37" i="45"/>
  <c r="F36" i="45"/>
  <c r="I36" i="45" s="1"/>
  <c r="F35" i="45"/>
  <c r="J34" i="45"/>
  <c r="F34" i="45"/>
  <c r="I34" i="45" s="1"/>
  <c r="P27" i="45"/>
  <c r="K27" i="45"/>
  <c r="K26" i="45"/>
  <c r="K25" i="45"/>
  <c r="P24" i="45"/>
  <c r="K24" i="45"/>
  <c r="P23" i="45"/>
  <c r="K23" i="45"/>
  <c r="G23" i="45"/>
  <c r="K22" i="45"/>
  <c r="H22" i="45"/>
  <c r="P21" i="45"/>
  <c r="K21" i="45"/>
  <c r="H21" i="45"/>
  <c r="P20" i="45"/>
  <c r="R20" i="45" s="1" a="1"/>
  <c r="R20" i="45" s="1"/>
  <c r="K20" i="45"/>
  <c r="J20" i="45"/>
  <c r="H20" i="45"/>
  <c r="AZ1" i="45"/>
  <c r="AY1" i="45"/>
  <c r="AX1" i="45"/>
  <c r="AW1" i="45"/>
  <c r="AV1" i="45"/>
  <c r="AU1" i="45"/>
  <c r="AT1" i="45"/>
  <c r="AS1" i="45"/>
  <c r="AR1" i="45"/>
  <c r="AQ1" i="45"/>
  <c r="AP1" i="45"/>
  <c r="AO1" i="45"/>
  <c r="AN1" i="45"/>
  <c r="AM1" i="45"/>
  <c r="AL1" i="45"/>
  <c r="AK1" i="45"/>
  <c r="AJ1" i="45"/>
  <c r="AI1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P62" i="45" l="1"/>
  <c r="AC86" i="45"/>
  <c r="O34" i="57" s="1"/>
  <c r="O15" i="57" s="1"/>
  <c r="U30" i="57"/>
  <c r="U29" i="57" s="1"/>
  <c r="V86" i="45"/>
  <c r="H34" i="57" s="1"/>
  <c r="H35" i="57"/>
  <c r="R23" i="45" a="1"/>
  <c r="R23" i="45" s="1"/>
  <c r="S23" i="45" s="1" a="1"/>
  <c r="S23" i="45" s="1"/>
  <c r="U23" i="57"/>
  <c r="U22" i="57" s="1"/>
  <c r="U21" i="57" s="1"/>
  <c r="W86" i="45"/>
  <c r="I34" i="57" s="1"/>
  <c r="I35" i="57"/>
  <c r="X86" i="45"/>
  <c r="J34" i="57" s="1"/>
  <c r="J35" i="57"/>
  <c r="Y86" i="45"/>
  <c r="K34" i="57" s="1"/>
  <c r="K35" i="57"/>
  <c r="Z86" i="45"/>
  <c r="L34" i="57" s="1"/>
  <c r="L35" i="57"/>
  <c r="L15" i="57" s="1"/>
  <c r="U86" i="45"/>
  <c r="G34" i="57" s="1"/>
  <c r="G35" i="57"/>
  <c r="AA86" i="45"/>
  <c r="M34" i="57" s="1"/>
  <c r="M35" i="57"/>
  <c r="W17" i="33"/>
  <c r="X17" i="33"/>
  <c r="V13" i="33"/>
  <c r="V17" i="33"/>
  <c r="U27" i="57"/>
  <c r="U26" i="57" s="1"/>
  <c r="U25" i="57" s="1"/>
  <c r="V27" i="57"/>
  <c r="V26" i="57" s="1"/>
  <c r="V25" i="57" s="1"/>
  <c r="AB86" i="45"/>
  <c r="N34" i="57" s="1"/>
  <c r="N35" i="57"/>
  <c r="AD86" i="45"/>
  <c r="P34" i="57" s="1"/>
  <c r="P35" i="57"/>
  <c r="S86" i="45"/>
  <c r="E34" i="57" s="1"/>
  <c r="E35" i="57"/>
  <c r="AE86" i="45"/>
  <c r="Q34" i="57" s="1"/>
  <c r="Q35" i="57"/>
  <c r="AT49" i="44"/>
  <c r="P16" i="56"/>
  <c r="U33" i="57"/>
  <c r="W33" i="57"/>
  <c r="T86" i="45"/>
  <c r="F34" i="57" s="1"/>
  <c r="F35" i="57"/>
  <c r="AF86" i="45"/>
  <c r="R34" i="57" s="1"/>
  <c r="R35" i="57"/>
  <c r="Y40" i="49"/>
  <c r="Y46" i="49"/>
  <c r="J13" i="47"/>
  <c r="Z46" i="49"/>
  <c r="H27" i="47"/>
  <c r="H23" i="47" s="1"/>
  <c r="H28" i="47" s="1"/>
  <c r="F13" i="49" s="1"/>
  <c r="H24" i="45"/>
  <c r="G24" i="45" s="1"/>
  <c r="L36" i="45"/>
  <c r="H41" i="45" s="1"/>
  <c r="G41" i="45" s="1"/>
  <c r="P82" i="45"/>
  <c r="H25" i="45"/>
  <c r="G25" i="45" s="1"/>
  <c r="R25" i="45" s="1" a="1"/>
  <c r="R25" i="45" s="1"/>
  <c r="S25" i="45" s="1" a="1"/>
  <c r="S25" i="45" s="1"/>
  <c r="T25" i="45" s="1" a="1"/>
  <c r="T25" i="45" s="1"/>
  <c r="L37" i="45"/>
  <c r="P45" i="45"/>
  <c r="H26" i="45"/>
  <c r="G26" i="45" s="1"/>
  <c r="R26" i="45" s="1" a="1"/>
  <c r="R26" i="45" s="1"/>
  <c r="S26" i="45" s="1" a="1"/>
  <c r="S26" i="45" s="1"/>
  <c r="T26" i="45" s="1" a="1"/>
  <c r="T26" i="45" s="1"/>
  <c r="L34" i="45"/>
  <c r="H42" i="45" s="1"/>
  <c r="G42" i="45" s="1"/>
  <c r="R21" i="45" a="1"/>
  <c r="R21" i="45" s="1"/>
  <c r="S21" i="45" s="1" a="1"/>
  <c r="S21" i="45" s="1"/>
  <c r="P46" i="45"/>
  <c r="P63" i="45"/>
  <c r="P73" i="45"/>
  <c r="P70" i="45"/>
  <c r="AP48" i="44"/>
  <c r="M15" i="56" s="1"/>
  <c r="M14" i="56" s="1"/>
  <c r="M9" i="56" s="1"/>
  <c r="M13" i="33" s="1"/>
  <c r="S20" i="45" a="1"/>
  <c r="S20" i="45" s="1"/>
  <c r="S22" i="45" a="1"/>
  <c r="S22" i="45" s="1"/>
  <c r="T22" i="45" s="1" a="1"/>
  <c r="T22" i="45" s="1"/>
  <c r="I21" i="47"/>
  <c r="J24" i="47"/>
  <c r="K24" i="47"/>
  <c r="U17" i="33"/>
  <c r="U18" i="33" s="1"/>
  <c r="I25" i="47"/>
  <c r="I27" i="47"/>
  <c r="J20" i="47"/>
  <c r="I26" i="47"/>
  <c r="J30" i="47"/>
  <c r="H14" i="49" s="1"/>
  <c r="K30" i="47"/>
  <c r="I14" i="49" s="1"/>
  <c r="I29" i="47"/>
  <c r="G12" i="49" s="1"/>
  <c r="I22" i="47"/>
  <c r="H23" i="45"/>
  <c r="P72" i="45"/>
  <c r="K43" i="33"/>
  <c r="P81" i="45"/>
  <c r="P71" i="45"/>
  <c r="J43" i="33"/>
  <c r="J42" i="33" s="1"/>
  <c r="J41" i="33" s="1"/>
  <c r="N43" i="33"/>
  <c r="N42" i="33" s="1"/>
  <c r="P44" i="45"/>
  <c r="G27" i="45"/>
  <c r="R27" i="45" s="1" a="1"/>
  <c r="R27" i="45" s="1"/>
  <c r="P61" i="45"/>
  <c r="H50" i="45"/>
  <c r="P83" i="45"/>
  <c r="Q15" i="57" l="1"/>
  <c r="K15" i="57"/>
  <c r="R15" i="57"/>
  <c r="P15" i="57"/>
  <c r="X15" i="57" s="1"/>
  <c r="G15" i="57"/>
  <c r="F15" i="57"/>
  <c r="N15" i="57"/>
  <c r="H15" i="57"/>
  <c r="J15" i="57"/>
  <c r="I15" i="57"/>
  <c r="E15" i="57"/>
  <c r="U15" i="57" s="1"/>
  <c r="M15" i="57"/>
  <c r="W15" i="57" s="1"/>
  <c r="O12" i="49"/>
  <c r="O11" i="49" s="1"/>
  <c r="T23" i="45" a="1"/>
  <c r="T23" i="45" s="1"/>
  <c r="U23" i="45" s="1" a="1"/>
  <c r="U23" i="45" s="1"/>
  <c r="T20" i="45" a="1"/>
  <c r="T20" i="45" s="1"/>
  <c r="E17" i="57"/>
  <c r="E16" i="57" s="1"/>
  <c r="D17" i="57"/>
  <c r="D16" i="57" s="1"/>
  <c r="R24" i="45" a="1"/>
  <c r="R24" i="45" s="1"/>
  <c r="S24" i="45" s="1" a="1"/>
  <c r="S24" i="45" s="1"/>
  <c r="T24" i="45" s="1" a="1"/>
  <c r="T24" i="45" s="1"/>
  <c r="W23" i="57"/>
  <c r="W22" i="57" s="1"/>
  <c r="W21" i="57" s="1"/>
  <c r="AU49" i="44"/>
  <c r="Q16" i="56"/>
  <c r="J38" i="45"/>
  <c r="J37" i="45"/>
  <c r="H46" i="45"/>
  <c r="G46" i="45" s="1"/>
  <c r="H54" i="45"/>
  <c r="G54" i="45" s="1"/>
  <c r="H58" i="45"/>
  <c r="G58" i="45" s="1"/>
  <c r="J36" i="45"/>
  <c r="Z37" i="49"/>
  <c r="Z40" i="49" s="1"/>
  <c r="P12" i="49" s="1"/>
  <c r="Y41" i="49"/>
  <c r="Y13" i="49" s="1"/>
  <c r="AA46" i="49"/>
  <c r="K13" i="47"/>
  <c r="H27" i="45"/>
  <c r="L38" i="45"/>
  <c r="H43" i="45" s="1"/>
  <c r="G43" i="45" s="1"/>
  <c r="G50" i="45"/>
  <c r="V18" i="33"/>
  <c r="Z17" i="33"/>
  <c r="AQ48" i="44"/>
  <c r="N15" i="56" s="1"/>
  <c r="N14" i="56" s="1"/>
  <c r="N9" i="56" s="1"/>
  <c r="N13" i="33" s="1"/>
  <c r="W13" i="33" s="1"/>
  <c r="I19" i="47"/>
  <c r="H70" i="45"/>
  <c r="H72" i="45" s="1"/>
  <c r="G72" i="45" s="1"/>
  <c r="W30" i="57" s="1"/>
  <c r="W29" i="57" s="1"/>
  <c r="W18" i="33"/>
  <c r="J21" i="47"/>
  <c r="K21" i="47"/>
  <c r="T21" i="45" a="1"/>
  <c r="T21" i="45" s="1"/>
  <c r="U21" i="45" s="1" a="1"/>
  <c r="U21" i="45" s="1"/>
  <c r="X18" i="33"/>
  <c r="J27" i="47"/>
  <c r="K27" i="47"/>
  <c r="K25" i="47"/>
  <c r="J25" i="47"/>
  <c r="I23" i="47"/>
  <c r="J26" i="47"/>
  <c r="K29" i="47"/>
  <c r="I12" i="49" s="1"/>
  <c r="J29" i="47"/>
  <c r="H12" i="49" s="1"/>
  <c r="K22" i="47"/>
  <c r="J22" i="47"/>
  <c r="K20" i="47"/>
  <c r="U22" i="45" a="1"/>
  <c r="U22" i="45" s="1"/>
  <c r="S27" i="45" a="1"/>
  <c r="S27" i="45" s="1"/>
  <c r="U26" i="45" a="1"/>
  <c r="U26" i="45" s="1"/>
  <c r="U25" i="45" a="1"/>
  <c r="U25" i="45" s="1"/>
  <c r="V25" i="45" s="1" a="1"/>
  <c r="V25" i="45" s="1"/>
  <c r="S42" i="45" a="1"/>
  <c r="S42" i="45" s="1"/>
  <c r="H56" i="45"/>
  <c r="G56" i="45" s="1"/>
  <c r="H48" i="45"/>
  <c r="H44" i="45"/>
  <c r="H52" i="45"/>
  <c r="H40" i="45"/>
  <c r="G40" i="45" s="1"/>
  <c r="H49" i="45"/>
  <c r="H53" i="45"/>
  <c r="H57" i="45"/>
  <c r="H45" i="45"/>
  <c r="S41" i="45" a="1"/>
  <c r="S41" i="45" s="1"/>
  <c r="V15" i="57" l="1"/>
  <c r="H81" i="45"/>
  <c r="H83" i="45" s="1"/>
  <c r="G83" i="45" s="1"/>
  <c r="F17" i="57"/>
  <c r="F16" i="57" s="1"/>
  <c r="U20" i="45" a="1"/>
  <c r="U20" i="45" s="1"/>
  <c r="AA37" i="49"/>
  <c r="AA40" i="49" s="1"/>
  <c r="P11" i="49"/>
  <c r="C23" i="57"/>
  <c r="Z41" i="49"/>
  <c r="Z13" i="49" s="1"/>
  <c r="H47" i="45"/>
  <c r="G47" i="45" s="1"/>
  <c r="H55" i="45"/>
  <c r="G55" i="45" s="1"/>
  <c r="D23" i="57"/>
  <c r="D22" i="57" s="1"/>
  <c r="D21" i="57" s="1"/>
  <c r="G17" i="57"/>
  <c r="G16" i="57" s="1"/>
  <c r="H59" i="45"/>
  <c r="H60" i="45" s="1"/>
  <c r="G60" i="45" s="1"/>
  <c r="U24" i="45" a="1"/>
  <c r="U24" i="45" s="1"/>
  <c r="V24" i="45" s="1" a="1"/>
  <c r="V24" i="45" s="1"/>
  <c r="AV49" i="44"/>
  <c r="R16" i="56"/>
  <c r="R30" i="45"/>
  <c r="S50" i="45" a="1"/>
  <c r="S50" i="45" s="1"/>
  <c r="T50" i="45" s="1" a="1"/>
  <c r="T50" i="45" s="1"/>
  <c r="U50" i="45" s="1" a="1"/>
  <c r="U50" i="45" s="1"/>
  <c r="S46" i="45" a="1"/>
  <c r="S46" i="45" s="1"/>
  <c r="T46" i="45" s="1" a="1"/>
  <c r="T46" i="45" s="1"/>
  <c r="U46" i="45" s="1" a="1"/>
  <c r="U46" i="45" s="1"/>
  <c r="V46" i="45" s="1" a="1"/>
  <c r="V46" i="45" s="1"/>
  <c r="S54" i="45" a="1"/>
  <c r="S54" i="45" s="1"/>
  <c r="T54" i="45" s="1" a="1"/>
  <c r="T54" i="45" s="1"/>
  <c r="U54" i="45" s="1" a="1"/>
  <c r="U54" i="45" s="1"/>
  <c r="S43" i="45" a="1"/>
  <c r="S43" i="45" s="1"/>
  <c r="T43" i="45" s="1" a="1"/>
  <c r="T43" i="45" s="1"/>
  <c r="U43" i="45" s="1" a="1"/>
  <c r="U43" i="45" s="1"/>
  <c r="S72" i="45" a="1"/>
  <c r="S72" i="45" s="1"/>
  <c r="S58" i="45" a="1"/>
  <c r="S58" i="45" s="1"/>
  <c r="T58" i="45" s="1" a="1"/>
  <c r="T58" i="45" s="1"/>
  <c r="I28" i="47"/>
  <c r="G13" i="49" s="1"/>
  <c r="H51" i="45"/>
  <c r="G51" i="45" s="1"/>
  <c r="X27" i="57" s="1"/>
  <c r="AB46" i="49"/>
  <c r="G70" i="45"/>
  <c r="G52" i="45"/>
  <c r="G44" i="45"/>
  <c r="G48" i="45"/>
  <c r="S48" i="45" s="1" a="1"/>
  <c r="S48" i="45" s="1"/>
  <c r="H71" i="45"/>
  <c r="G71" i="45" s="1"/>
  <c r="H73" i="45"/>
  <c r="G73" i="45" s="1"/>
  <c r="G53" i="45"/>
  <c r="G45" i="45"/>
  <c r="G57" i="45"/>
  <c r="G49" i="45"/>
  <c r="AR48" i="44"/>
  <c r="O15" i="56" s="1"/>
  <c r="O14" i="56" s="1"/>
  <c r="O9" i="56" s="1"/>
  <c r="O13" i="33" s="1"/>
  <c r="V22" i="45" a="1"/>
  <c r="V22" i="45" s="1"/>
  <c r="W22" i="45" s="1" a="1"/>
  <c r="W22" i="45" s="1"/>
  <c r="J23" i="47"/>
  <c r="J19" i="47"/>
  <c r="H12" i="47"/>
  <c r="K26" i="47"/>
  <c r="K23" i="47" s="1"/>
  <c r="K19" i="47"/>
  <c r="V23" i="45" a="1"/>
  <c r="V23" i="45" s="1"/>
  <c r="V20" i="45" a="1"/>
  <c r="V20" i="45" s="1"/>
  <c r="V21" i="45" a="1"/>
  <c r="V21" i="45" s="1"/>
  <c r="S40" i="45" a="1"/>
  <c r="S40" i="45" s="1"/>
  <c r="L43" i="33"/>
  <c r="L42" i="33" s="1"/>
  <c r="T27" i="45" a="1"/>
  <c r="T27" i="45" s="1"/>
  <c r="E23" i="57" s="1"/>
  <c r="T41" i="45" a="1"/>
  <c r="T41" i="45" s="1"/>
  <c r="U41" i="45" s="1" a="1"/>
  <c r="U41" i="45" s="1"/>
  <c r="T42" i="45" a="1"/>
  <c r="T42" i="45" s="1"/>
  <c r="U42" i="45" s="1" a="1"/>
  <c r="U42" i="45" s="1"/>
  <c r="V26" i="45" a="1"/>
  <c r="V26" i="45" s="1"/>
  <c r="W26" i="45" s="1" a="1"/>
  <c r="W26" i="45" s="1"/>
  <c r="X26" i="45" s="1" a="1"/>
  <c r="X26" i="45" s="1"/>
  <c r="W25" i="45" a="1"/>
  <c r="W25" i="45" s="1"/>
  <c r="S56" i="45" a="1"/>
  <c r="S56" i="45" s="1"/>
  <c r="G81" i="45" l="1"/>
  <c r="S81" i="45" s="1" a="1"/>
  <c r="S81" i="45" s="1"/>
  <c r="T81" i="45" s="1" a="1"/>
  <c r="T81" i="45" s="1"/>
  <c r="H82" i="45"/>
  <c r="G82" i="45" s="1"/>
  <c r="S82" i="45" s="1" a="1"/>
  <c r="S82" i="45" s="1"/>
  <c r="T82" i="45" s="1" a="1"/>
  <c r="T82" i="45" s="1"/>
  <c r="W46" i="45" a="1"/>
  <c r="W46" i="45" s="1"/>
  <c r="X46" i="45" s="1" a="1"/>
  <c r="X46" i="45" s="1"/>
  <c r="Y46" i="45" s="1" a="1"/>
  <c r="Y46" i="45" s="1"/>
  <c r="V50" i="45" a="1"/>
  <c r="V50" i="45" s="1"/>
  <c r="W50" i="45" s="1" a="1"/>
  <c r="W50" i="45" s="1"/>
  <c r="X50" i="45" s="1" a="1"/>
  <c r="X50" i="45" s="1"/>
  <c r="M43" i="33"/>
  <c r="M42" i="33" s="1"/>
  <c r="V30" i="57"/>
  <c r="V29" i="57" s="1"/>
  <c r="Q12" i="49"/>
  <c r="Q11" i="49" s="1"/>
  <c r="AB37" i="49"/>
  <c r="AB40" i="49" s="1"/>
  <c r="R12" i="49" s="1"/>
  <c r="R11" i="49" s="1"/>
  <c r="AA41" i="49"/>
  <c r="AA13" i="49" s="1"/>
  <c r="S51" i="45" a="1"/>
  <c r="S51" i="45" s="1"/>
  <c r="J28" i="47"/>
  <c r="H13" i="49" s="1"/>
  <c r="K42" i="33"/>
  <c r="K41" i="33" s="1"/>
  <c r="S70" i="45" a="1"/>
  <c r="S70" i="45" s="1"/>
  <c r="T70" i="45" s="1" a="1"/>
  <c r="T70" i="45" s="1"/>
  <c r="AB41" i="49"/>
  <c r="AB13" i="49" s="1"/>
  <c r="U58" i="45" a="1"/>
  <c r="U58" i="45" s="1"/>
  <c r="W27" i="57"/>
  <c r="W26" i="57" s="1"/>
  <c r="W24" i="45" a="1"/>
  <c r="W24" i="45" s="1"/>
  <c r="X24" i="45" s="1" a="1"/>
  <c r="X24" i="45" s="1"/>
  <c r="E22" i="57"/>
  <c r="E21" i="57" s="1"/>
  <c r="H17" i="57"/>
  <c r="H16" i="57" s="1"/>
  <c r="G59" i="45"/>
  <c r="S59" i="45" s="1" a="1"/>
  <c r="S59" i="45" s="1"/>
  <c r="T59" i="45" s="1" a="1"/>
  <c r="T59" i="45" s="1"/>
  <c r="U59" i="45" s="1" a="1"/>
  <c r="U59" i="45" s="1"/>
  <c r="V59" i="45" s="1" a="1"/>
  <c r="V59" i="45" s="1"/>
  <c r="R29" i="45"/>
  <c r="R7" i="45"/>
  <c r="W23" i="45" a="1"/>
  <c r="W23" i="45" s="1"/>
  <c r="X23" i="45" s="1" a="1"/>
  <c r="X23" i="45" s="1"/>
  <c r="V33" i="57"/>
  <c r="S73" i="45" a="1"/>
  <c r="S73" i="45" s="1"/>
  <c r="T73" i="45" s="1" a="1"/>
  <c r="T73" i="45" s="1"/>
  <c r="U73" i="45" s="1" a="1"/>
  <c r="U73" i="45" s="1"/>
  <c r="X30" i="57"/>
  <c r="X29" i="57" s="1"/>
  <c r="X26" i="57"/>
  <c r="C22" i="57"/>
  <c r="C21" i="57" s="1"/>
  <c r="S83" i="45" a="1"/>
  <c r="S83" i="45" s="1"/>
  <c r="T83" i="45" s="1" a="1"/>
  <c r="T83" i="45" s="1"/>
  <c r="U83" i="45" s="1" a="1"/>
  <c r="U83" i="45" s="1"/>
  <c r="X33" i="57"/>
  <c r="AW49" i="44"/>
  <c r="AX49" i="44" s="1"/>
  <c r="AY49" i="44" s="1"/>
  <c r="BD49" i="44" s="1"/>
  <c r="D11" i="57"/>
  <c r="S57" i="45" a="1"/>
  <c r="S57" i="45" s="1"/>
  <c r="T57" i="45" s="1" a="1"/>
  <c r="T57" i="45" s="1"/>
  <c r="U57" i="45" s="1" a="1"/>
  <c r="U57" i="45" s="1"/>
  <c r="S45" i="45" a="1"/>
  <c r="S45" i="45" s="1"/>
  <c r="T45" i="45" s="1" a="1"/>
  <c r="T45" i="45" s="1"/>
  <c r="S49" i="45" a="1"/>
  <c r="S49" i="45" s="1"/>
  <c r="T49" i="45" s="1" a="1"/>
  <c r="T49" i="45" s="1"/>
  <c r="U49" i="45" s="1" a="1"/>
  <c r="U49" i="45" s="1"/>
  <c r="S47" i="45" a="1"/>
  <c r="S47" i="45" s="1"/>
  <c r="T47" i="45" s="1" a="1"/>
  <c r="T47" i="45" s="1"/>
  <c r="S53" i="45" a="1"/>
  <c r="S53" i="45" s="1"/>
  <c r="T53" i="45" s="1" a="1"/>
  <c r="T53" i="45" s="1"/>
  <c r="S71" i="45" a="1"/>
  <c r="S71" i="45" s="1"/>
  <c r="G63" i="45"/>
  <c r="T72" i="45" a="1"/>
  <c r="T72" i="45" s="1"/>
  <c r="U72" i="45" s="1" a="1"/>
  <c r="U72" i="45" s="1"/>
  <c r="V72" i="45" s="1" a="1"/>
  <c r="V72" i="45" s="1"/>
  <c r="S44" i="45" a="1"/>
  <c r="S44" i="45" s="1"/>
  <c r="T44" i="45" s="1" a="1"/>
  <c r="T44" i="45" s="1"/>
  <c r="V54" i="45" a="1"/>
  <c r="V54" i="45" s="1"/>
  <c r="W54" i="45" s="1" a="1"/>
  <c r="W54" i="45" s="1"/>
  <c r="X54" i="45" s="1" a="1"/>
  <c r="X54" i="45" s="1"/>
  <c r="Y54" i="45" s="1" a="1"/>
  <c r="Y54" i="45" s="1"/>
  <c r="S52" i="45" a="1"/>
  <c r="S52" i="45" s="1"/>
  <c r="T52" i="45" s="1" a="1"/>
  <c r="T52" i="45" s="1"/>
  <c r="U52" i="45" s="1" a="1"/>
  <c r="U52" i="45" s="1"/>
  <c r="V43" i="45" a="1"/>
  <c r="V43" i="45" s="1"/>
  <c r="W43" i="45" s="1" a="1"/>
  <c r="W43" i="45" s="1"/>
  <c r="X43" i="45" s="1" a="1"/>
  <c r="X43" i="45" s="1"/>
  <c r="S55" i="45" a="1"/>
  <c r="S55" i="45" s="1"/>
  <c r="T55" i="45" s="1" a="1"/>
  <c r="T55" i="45" s="1"/>
  <c r="U55" i="45" s="1" a="1"/>
  <c r="U55" i="45" s="1"/>
  <c r="T48" i="45" a="1"/>
  <c r="T48" i="45" s="1"/>
  <c r="U48" i="45" s="1" a="1"/>
  <c r="U48" i="45" s="1"/>
  <c r="S66" i="45"/>
  <c r="AS48" i="44"/>
  <c r="P15" i="56" s="1"/>
  <c r="P14" i="56" s="1"/>
  <c r="P9" i="56" s="1"/>
  <c r="P13" i="33" s="1"/>
  <c r="X22" i="45" a="1"/>
  <c r="X22" i="45" s="1"/>
  <c r="I12" i="47"/>
  <c r="K28" i="47"/>
  <c r="I13" i="49" s="1"/>
  <c r="W20" i="45" a="1"/>
  <c r="W20" i="45" s="1"/>
  <c r="W21" i="45" a="1"/>
  <c r="W21" i="45" s="1"/>
  <c r="V41" i="45" a="1"/>
  <c r="V41" i="45" s="1"/>
  <c r="Y50" i="45" a="1"/>
  <c r="Y50" i="45" s="1"/>
  <c r="T56" i="45" a="1"/>
  <c r="T56" i="45" s="1"/>
  <c r="V42" i="45" a="1"/>
  <c r="V42" i="45" s="1"/>
  <c r="V58" i="45" a="1"/>
  <c r="V58" i="45" s="1"/>
  <c r="T51" i="45" a="1"/>
  <c r="T51" i="45" s="1"/>
  <c r="T40" i="45" a="1"/>
  <c r="T40" i="45" s="1"/>
  <c r="U27" i="45" a="1"/>
  <c r="U27" i="45" s="1"/>
  <c r="F23" i="57" s="1"/>
  <c r="Y26" i="45" a="1"/>
  <c r="Y26" i="45" s="1"/>
  <c r="X25" i="45" a="1"/>
  <c r="X25" i="45" s="1"/>
  <c r="H61" i="45"/>
  <c r="S60" i="45" a="1"/>
  <c r="S60" i="45" s="1"/>
  <c r="S85" i="45" l="1"/>
  <c r="E33" i="57" s="1"/>
  <c r="C11" i="57"/>
  <c r="C36" i="57" s="1"/>
  <c r="E11" i="57"/>
  <c r="S76" i="45"/>
  <c r="E30" i="57" s="1"/>
  <c r="E14" i="57" s="1"/>
  <c r="X25" i="57"/>
  <c r="Y24" i="45" a="1"/>
  <c r="Y24" i="45" s="1"/>
  <c r="Z24" i="45" s="1" a="1"/>
  <c r="Z24" i="45" s="1"/>
  <c r="AA24" i="45" s="1" a="1"/>
  <c r="AA24" i="45" s="1"/>
  <c r="AB24" i="45" s="1" a="1"/>
  <c r="AB24" i="45" s="1"/>
  <c r="W59" i="45" a="1"/>
  <c r="W59" i="45" s="1"/>
  <c r="X59" i="45" s="1" a="1"/>
  <c r="X59" i="45" s="1"/>
  <c r="V73" i="45" a="1"/>
  <c r="V73" i="45" s="1"/>
  <c r="W73" i="45" s="1" a="1"/>
  <c r="W73" i="45" s="1"/>
  <c r="V83" i="45" a="1"/>
  <c r="V83" i="45" s="1"/>
  <c r="W83" i="45" s="1" a="1"/>
  <c r="W83" i="45" s="1"/>
  <c r="F22" i="57"/>
  <c r="F21" i="57" s="1"/>
  <c r="F11" i="57"/>
  <c r="U11" i="57" s="1"/>
  <c r="S75" i="45"/>
  <c r="E29" i="57" s="1"/>
  <c r="S65" i="45"/>
  <c r="E26" i="57" s="1"/>
  <c r="E27" i="57"/>
  <c r="X20" i="45" a="1"/>
  <c r="X20" i="45" s="1"/>
  <c r="Y20" i="45" s="1" a="1"/>
  <c r="Y20" i="45" s="1"/>
  <c r="I17" i="57"/>
  <c r="I16" i="57" s="1"/>
  <c r="R6" i="45"/>
  <c r="R28" i="45"/>
  <c r="R5" i="45" s="1"/>
  <c r="Y23" i="45" a="1"/>
  <c r="Y23" i="45" s="1"/>
  <c r="V49" i="45" a="1"/>
  <c r="V49" i="45" s="1"/>
  <c r="U53" i="45" a="1"/>
  <c r="U53" i="45" s="1"/>
  <c r="V53" i="45" s="1" a="1"/>
  <c r="V53" i="45" s="1"/>
  <c r="W53" i="45" s="1" a="1"/>
  <c r="W53" i="45" s="1"/>
  <c r="U47" i="45" a="1"/>
  <c r="U47" i="45" s="1"/>
  <c r="V47" i="45" s="1" a="1"/>
  <c r="V47" i="45" s="1"/>
  <c r="U45" i="45" a="1"/>
  <c r="U45" i="45" s="1"/>
  <c r="V45" i="45" s="1" a="1"/>
  <c r="V45" i="45" s="1"/>
  <c r="W45" i="45" s="1" a="1"/>
  <c r="W45" i="45" s="1"/>
  <c r="V55" i="45" a="1"/>
  <c r="V55" i="45" s="1"/>
  <c r="W55" i="45" s="1" a="1"/>
  <c r="W55" i="45" s="1"/>
  <c r="D9" i="57"/>
  <c r="V57" i="45" a="1"/>
  <c r="V57" i="45" s="1"/>
  <c r="W57" i="45" s="1" a="1"/>
  <c r="W57" i="45" s="1"/>
  <c r="T71" i="45" a="1"/>
  <c r="T71" i="45" s="1"/>
  <c r="U71" i="45" s="1" a="1"/>
  <c r="U71" i="45" s="1"/>
  <c r="V71" i="45" s="1" a="1"/>
  <c r="V71" i="45" s="1"/>
  <c r="W71" i="45" s="1" a="1"/>
  <c r="W71" i="45" s="1"/>
  <c r="V52" i="45" a="1"/>
  <c r="V52" i="45" s="1"/>
  <c r="W52" i="45" s="1" a="1"/>
  <c r="W52" i="45" s="1"/>
  <c r="X52" i="45" s="1" a="1"/>
  <c r="X52" i="45" s="1"/>
  <c r="W72" i="45" a="1"/>
  <c r="W72" i="45" s="1"/>
  <c r="X72" i="45" s="1" a="1"/>
  <c r="X72" i="45" s="1"/>
  <c r="Y72" i="45" s="1" a="1"/>
  <c r="Y72" i="45" s="1"/>
  <c r="U44" i="45" a="1"/>
  <c r="U44" i="45" s="1"/>
  <c r="V44" i="45" s="1" a="1"/>
  <c r="V44" i="45" s="1"/>
  <c r="U81" i="45" a="1"/>
  <c r="U81" i="45" s="1"/>
  <c r="V81" i="45" s="1" a="1"/>
  <c r="V81" i="45" s="1"/>
  <c r="U82" i="45" a="1"/>
  <c r="U82" i="45" s="1"/>
  <c r="Z54" i="45" a="1"/>
  <c r="Z54" i="45" s="1"/>
  <c r="AA54" i="45" s="1" a="1"/>
  <c r="AA54" i="45" s="1"/>
  <c r="AB54" i="45" s="1" a="1"/>
  <c r="AB54" i="45" s="1"/>
  <c r="AC54" i="45" s="1" a="1"/>
  <c r="AC54" i="45" s="1"/>
  <c r="G61" i="45"/>
  <c r="W25" i="57" s="1"/>
  <c r="Y22" i="45" a="1"/>
  <c r="Y22" i="45" s="1"/>
  <c r="Z22" i="45" s="1" a="1"/>
  <c r="Z22" i="45" s="1"/>
  <c r="AT48" i="44"/>
  <c r="Q15" i="56" s="1"/>
  <c r="Q14" i="56" s="1"/>
  <c r="Q9" i="56" s="1"/>
  <c r="Q13" i="33" s="1"/>
  <c r="J12" i="47"/>
  <c r="K12" i="47"/>
  <c r="T85" i="45"/>
  <c r="F33" i="57" s="1"/>
  <c r="W41" i="45" a="1"/>
  <c r="W41" i="45" s="1"/>
  <c r="X41" i="45" s="1" a="1"/>
  <c r="X41" i="45" s="1"/>
  <c r="X21" i="45" a="1"/>
  <c r="X21" i="45" s="1"/>
  <c r="Y21" i="45" s="1" a="1"/>
  <c r="Y21" i="45" s="1"/>
  <c r="Z21" i="45" s="1" a="1"/>
  <c r="Z21" i="45" s="1"/>
  <c r="X73" i="45" a="1"/>
  <c r="X73" i="45" s="1"/>
  <c r="Y73" i="45" s="1" a="1"/>
  <c r="Y73" i="45" s="1"/>
  <c r="Z73" i="45" s="1" a="1"/>
  <c r="Z73" i="45" s="1"/>
  <c r="Z46" i="45" a="1"/>
  <c r="Z46" i="45" s="1"/>
  <c r="AA46" i="45" s="1" a="1"/>
  <c r="AA46" i="45" s="1"/>
  <c r="T66" i="45"/>
  <c r="W49" i="45" a="1"/>
  <c r="W49" i="45" s="1"/>
  <c r="V27" i="45" a="1"/>
  <c r="V27" i="45" s="1"/>
  <c r="W58" i="45" a="1"/>
  <c r="W58" i="45" s="1"/>
  <c r="T60" i="45" a="1"/>
  <c r="T60" i="45" s="1"/>
  <c r="U60" i="45" s="1" a="1"/>
  <c r="U60" i="45" s="1"/>
  <c r="V60" i="45" s="1" a="1"/>
  <c r="V60" i="45" s="1"/>
  <c r="V48" i="45" a="1"/>
  <c r="V48" i="45" s="1"/>
  <c r="Z50" i="45" a="1"/>
  <c r="Z50" i="45" s="1"/>
  <c r="U56" i="45" a="1"/>
  <c r="U56" i="45" s="1"/>
  <c r="W42" i="45" a="1"/>
  <c r="W42" i="45" s="1"/>
  <c r="X42" i="45" s="1" a="1"/>
  <c r="X42" i="45" s="1"/>
  <c r="U40" i="45" a="1"/>
  <c r="U40" i="45" s="1"/>
  <c r="V40" i="45" s="1" a="1"/>
  <c r="V40" i="45" s="1"/>
  <c r="W40" i="45" s="1" a="1"/>
  <c r="W40" i="45" s="1"/>
  <c r="U51" i="45" a="1"/>
  <c r="U51" i="45" s="1"/>
  <c r="U70" i="45" a="1"/>
  <c r="U70" i="45" s="1"/>
  <c r="V70" i="45" s="1" a="1"/>
  <c r="V70" i="45" s="1"/>
  <c r="Y43" i="45" a="1"/>
  <c r="Y43" i="45" s="1"/>
  <c r="Z26" i="45" a="1"/>
  <c r="Z26" i="45" s="1"/>
  <c r="AA26" i="45" s="1" a="1"/>
  <c r="AA26" i="45" s="1"/>
  <c r="AB26" i="45" s="1" a="1"/>
  <c r="AB26" i="45" s="1"/>
  <c r="AC24" i="45" a="1"/>
  <c r="AC24" i="45" s="1"/>
  <c r="Y25" i="45" a="1"/>
  <c r="Y25" i="45" s="1"/>
  <c r="Z25" i="45" s="1" a="1"/>
  <c r="Z25" i="45" s="1"/>
  <c r="Y59" i="45" l="1" a="1"/>
  <c r="Y59" i="45" s="1"/>
  <c r="Z59" i="45" s="1" a="1"/>
  <c r="Z59" i="45" s="1"/>
  <c r="AA59" i="45" s="1" a="1"/>
  <c r="AA59" i="45" s="1"/>
  <c r="L41" i="33"/>
  <c r="E13" i="57"/>
  <c r="W47" i="45" a="1"/>
  <c r="W47" i="45" s="1"/>
  <c r="X47" i="45" s="1" a="1"/>
  <c r="X47" i="45" s="1"/>
  <c r="X53" i="45" a="1"/>
  <c r="X53" i="45" s="1"/>
  <c r="Y53" i="45" s="1" a="1"/>
  <c r="Y53" i="45" s="1"/>
  <c r="Z72" i="45" a="1"/>
  <c r="Z72" i="45" s="1"/>
  <c r="AA72" i="45" s="1" a="1"/>
  <c r="AA72" i="45" s="1"/>
  <c r="AB72" i="45" s="1" a="1"/>
  <c r="AB72" i="45" s="1"/>
  <c r="X55" i="45" a="1"/>
  <c r="X55" i="45" s="1"/>
  <c r="Y55" i="45" s="1" a="1"/>
  <c r="Y55" i="45" s="1"/>
  <c r="T76" i="45"/>
  <c r="T75" i="45" s="1"/>
  <c r="F29" i="57" s="1"/>
  <c r="Z20" i="45" a="1"/>
  <c r="Z20" i="45" s="1"/>
  <c r="K17" i="57"/>
  <c r="K16" i="57" s="1"/>
  <c r="D36" i="57"/>
  <c r="D10" i="57"/>
  <c r="V82" i="45" a="1"/>
  <c r="V82" i="45" s="1"/>
  <c r="W82" i="45" s="1" a="1"/>
  <c r="W82" i="45" s="1"/>
  <c r="E12" i="57"/>
  <c r="T65" i="45"/>
  <c r="F26" i="57" s="1"/>
  <c r="F27" i="57"/>
  <c r="J17" i="57"/>
  <c r="J16" i="57" s="1"/>
  <c r="X71" i="45" a="1"/>
  <c r="X71" i="45" s="1"/>
  <c r="Y71" i="45" s="1" a="1"/>
  <c r="Y71" i="45" s="1"/>
  <c r="W27" i="45" a="1"/>
  <c r="W27" i="45" s="1"/>
  <c r="H23" i="57" s="1"/>
  <c r="G23" i="57"/>
  <c r="X57" i="45" a="1"/>
  <c r="X57" i="45" s="1"/>
  <c r="Y57" i="45" s="1" a="1"/>
  <c r="Y57" i="45" s="1"/>
  <c r="Z23" i="45" a="1"/>
  <c r="Z23" i="45" s="1"/>
  <c r="W44" i="45" a="1"/>
  <c r="W44" i="45" s="1"/>
  <c r="X44" i="45" s="1" a="1"/>
  <c r="X44" i="45" s="1"/>
  <c r="Y44" i="45" s="1" a="1"/>
  <c r="Y44" i="45" s="1"/>
  <c r="Z44" i="45" s="1" a="1"/>
  <c r="Z44" i="45" s="1"/>
  <c r="G62" i="45"/>
  <c r="W81" i="45" a="1"/>
  <c r="W81" i="45" s="1"/>
  <c r="X81" i="45" s="1" a="1"/>
  <c r="X81" i="45" s="1"/>
  <c r="X83" i="45" a="1"/>
  <c r="X83" i="45" s="1"/>
  <c r="S61" i="45" a="1"/>
  <c r="S61" i="45" s="1"/>
  <c r="T61" i="45" s="1" a="1"/>
  <c r="T61" i="45" s="1"/>
  <c r="U61" i="45" s="1" a="1"/>
  <c r="U61" i="45" s="1"/>
  <c r="AA22" i="45" a="1"/>
  <c r="AA22" i="45" s="1"/>
  <c r="AB22" i="45" s="1" a="1"/>
  <c r="AB22" i="45" s="1"/>
  <c r="AU48" i="44"/>
  <c r="R15" i="56" s="1"/>
  <c r="R14" i="56" s="1"/>
  <c r="R9" i="56" s="1"/>
  <c r="R13" i="33" s="1"/>
  <c r="X13" i="33" s="1"/>
  <c r="Z55" i="45" a="1"/>
  <c r="Z55" i="45" s="1"/>
  <c r="AA55" i="45" s="1" a="1"/>
  <c r="AA55" i="45" s="1"/>
  <c r="Y41" i="45" a="1"/>
  <c r="Y41" i="45" s="1"/>
  <c r="Z41" i="45" s="1" a="1"/>
  <c r="Z41" i="45" s="1"/>
  <c r="AA21" i="45" a="1"/>
  <c r="AA21" i="45" s="1"/>
  <c r="AB21" i="45" s="1" a="1"/>
  <c r="AB21" i="45" s="1"/>
  <c r="AC21" i="45" s="1" a="1"/>
  <c r="AC21" i="45" s="1"/>
  <c r="AD21" i="45" s="1" a="1"/>
  <c r="AD21" i="45" s="1"/>
  <c r="AE21" i="45" s="1" a="1"/>
  <c r="AE21" i="45" s="1"/>
  <c r="AF21" i="45" s="1" a="1"/>
  <c r="AF21" i="45" s="1"/>
  <c r="AG21" i="45" s="1" a="1"/>
  <c r="AG21" i="45" s="1"/>
  <c r="AH21" i="45" s="1" a="1"/>
  <c r="AH21" i="45" s="1"/>
  <c r="AI21" i="45" s="1" a="1"/>
  <c r="AI21" i="45" s="1"/>
  <c r="AJ21" i="45" s="1" a="1"/>
  <c r="AJ21" i="45" s="1"/>
  <c r="AK21" i="45" s="1" a="1"/>
  <c r="AK21" i="45" s="1"/>
  <c r="AL21" i="45" s="1" a="1"/>
  <c r="AL21" i="45" s="1"/>
  <c r="AM21" i="45" s="1" a="1"/>
  <c r="AM21" i="45" s="1"/>
  <c r="AN21" i="45" s="1" a="1"/>
  <c r="AN21" i="45" s="1"/>
  <c r="AO21" i="45" s="1" a="1"/>
  <c r="AO21" i="45" s="1"/>
  <c r="AP21" i="45" s="1" a="1"/>
  <c r="AP21" i="45" s="1"/>
  <c r="AQ21" i="45" s="1" a="1"/>
  <c r="AQ21" i="45" s="1"/>
  <c r="AR21" i="45" s="1" a="1"/>
  <c r="AR21" i="45" s="1"/>
  <c r="AS21" i="45" s="1" a="1"/>
  <c r="AS21" i="45" s="1"/>
  <c r="AT21" i="45" s="1" a="1"/>
  <c r="AT21" i="45" s="1"/>
  <c r="AU21" i="45" s="1" a="1"/>
  <c r="AU21" i="45" s="1"/>
  <c r="AV21" i="45" s="1" a="1"/>
  <c r="AV21" i="45" s="1"/>
  <c r="AW21" i="45" s="1" a="1"/>
  <c r="AW21" i="45" s="1"/>
  <c r="AX21" i="45" s="1" a="1"/>
  <c r="AX21" i="45" s="1"/>
  <c r="AY21" i="45" s="1" a="1"/>
  <c r="AY21" i="45" s="1"/>
  <c r="AZ21" i="45" s="1" a="1"/>
  <c r="AZ21" i="45" s="1"/>
  <c r="BA21" i="45" s="1"/>
  <c r="AB46" i="45" a="1"/>
  <c r="AB46" i="45" s="1"/>
  <c r="AD54" i="45" a="1"/>
  <c r="AD54" i="45" s="1"/>
  <c r="Z53" i="45" a="1"/>
  <c r="Z53" i="45" s="1"/>
  <c r="AA53" i="45" s="1" a="1"/>
  <c r="AA53" i="45" s="1"/>
  <c r="AB53" i="45" s="1" a="1"/>
  <c r="AB53" i="45" s="1"/>
  <c r="X49" i="45" a="1"/>
  <c r="X49" i="45" s="1"/>
  <c r="Y49" i="45" s="1" a="1"/>
  <c r="Y49" i="45" s="1"/>
  <c r="Z49" i="45" s="1" a="1"/>
  <c r="Z49" i="45" s="1"/>
  <c r="AA49" i="45" s="1" a="1"/>
  <c r="AA49" i="45" s="1"/>
  <c r="V56" i="45" a="1"/>
  <c r="V56" i="45" s="1"/>
  <c r="W56" i="45" s="1" a="1"/>
  <c r="W56" i="45" s="1"/>
  <c r="W70" i="45" a="1"/>
  <c r="W70" i="45" s="1"/>
  <c r="X70" i="45" s="1" a="1"/>
  <c r="X70" i="45" s="1"/>
  <c r="Y70" i="45" s="1" a="1"/>
  <c r="Y70" i="45" s="1"/>
  <c r="W48" i="45" a="1"/>
  <c r="W48" i="45" s="1"/>
  <c r="X48" i="45" s="1" a="1"/>
  <c r="X48" i="45" s="1"/>
  <c r="W60" i="45" a="1"/>
  <c r="W60" i="45" s="1"/>
  <c r="X60" i="45" s="1" a="1"/>
  <c r="X60" i="45" s="1"/>
  <c r="V51" i="45" a="1"/>
  <c r="V51" i="45" s="1"/>
  <c r="V66" i="45" s="1"/>
  <c r="H27" i="57" s="1"/>
  <c r="X27" i="45" a="1"/>
  <c r="X27" i="45" s="1"/>
  <c r="I23" i="57" s="1"/>
  <c r="I22" i="57" s="1"/>
  <c r="I21" i="57" s="1"/>
  <c r="X45" i="45" a="1"/>
  <c r="X45" i="45" s="1"/>
  <c r="AA50" i="45" a="1"/>
  <c r="AA50" i="45" s="1"/>
  <c r="Y52" i="45" a="1"/>
  <c r="Y52" i="45" s="1"/>
  <c r="Z52" i="45" s="1" a="1"/>
  <c r="Z52" i="45" s="1"/>
  <c r="Y42" i="45" a="1"/>
  <c r="Y42" i="45" s="1"/>
  <c r="Z42" i="45" s="1" a="1"/>
  <c r="Z42" i="45" s="1"/>
  <c r="AB59" i="45" a="1"/>
  <c r="AB59" i="45" s="1"/>
  <c r="AC59" i="45" s="1" a="1"/>
  <c r="AC59" i="45" s="1"/>
  <c r="X58" i="45" a="1"/>
  <c r="X58" i="45" s="1"/>
  <c r="U66" i="45"/>
  <c r="G27" i="57" s="1"/>
  <c r="X40" i="45" a="1"/>
  <c r="X40" i="45" s="1"/>
  <c r="AA73" i="45" a="1"/>
  <c r="AA73" i="45" s="1"/>
  <c r="AB73" i="45" s="1" a="1"/>
  <c r="AB73" i="45" s="1"/>
  <c r="AC73" i="45" s="1" a="1"/>
  <c r="AC73" i="45" s="1"/>
  <c r="AD73" i="45" s="1" a="1"/>
  <c r="AD73" i="45" s="1"/>
  <c r="AE73" i="45" s="1" a="1"/>
  <c r="AE73" i="45" s="1"/>
  <c r="AF73" i="45" s="1" a="1"/>
  <c r="AF73" i="45" s="1"/>
  <c r="AG73" i="45" s="1" a="1"/>
  <c r="AG73" i="45" s="1"/>
  <c r="AH73" i="45" s="1" a="1"/>
  <c r="AH73" i="45" s="1"/>
  <c r="AI73" i="45" s="1" a="1"/>
  <c r="AI73" i="45" s="1"/>
  <c r="AJ73" i="45" s="1" a="1"/>
  <c r="AJ73" i="45" s="1"/>
  <c r="AK73" i="45" s="1" a="1"/>
  <c r="AK73" i="45" s="1"/>
  <c r="AL73" i="45" s="1" a="1"/>
  <c r="AL73" i="45" s="1"/>
  <c r="AM73" i="45" s="1" a="1"/>
  <c r="AM73" i="45" s="1"/>
  <c r="AN73" i="45" s="1" a="1"/>
  <c r="AN73" i="45" s="1"/>
  <c r="AO73" i="45" s="1" a="1"/>
  <c r="AO73" i="45" s="1"/>
  <c r="AP73" i="45" s="1" a="1"/>
  <c r="AP73" i="45" s="1"/>
  <c r="AQ73" i="45" s="1" a="1"/>
  <c r="AQ73" i="45" s="1"/>
  <c r="AR73" i="45" s="1" a="1"/>
  <c r="AR73" i="45" s="1"/>
  <c r="AS73" i="45" s="1" a="1"/>
  <c r="AS73" i="45" s="1"/>
  <c r="AT73" i="45" s="1" a="1"/>
  <c r="AT73" i="45" s="1"/>
  <c r="AU73" i="45" s="1" a="1"/>
  <c r="AU73" i="45" s="1"/>
  <c r="AV73" i="45" s="1" a="1"/>
  <c r="AV73" i="45" s="1"/>
  <c r="AW73" i="45" s="1" a="1"/>
  <c r="AW73" i="45" s="1"/>
  <c r="AX73" i="45" s="1" a="1"/>
  <c r="AX73" i="45" s="1"/>
  <c r="AY73" i="45" s="1" a="1"/>
  <c r="AY73" i="45" s="1"/>
  <c r="AZ73" i="45" s="1" a="1"/>
  <c r="AZ73" i="45" s="1"/>
  <c r="AC72" i="45" a="1"/>
  <c r="AC72" i="45" s="1"/>
  <c r="Z43" i="45" a="1"/>
  <c r="Z43" i="45" s="1"/>
  <c r="AC26" i="45" a="1"/>
  <c r="AC26" i="45" s="1"/>
  <c r="AD26" i="45" s="1" a="1"/>
  <c r="AD26" i="45" s="1"/>
  <c r="AE26" i="45" s="1" a="1"/>
  <c r="AE26" i="45" s="1"/>
  <c r="AF26" i="45" s="1" a="1"/>
  <c r="AF26" i="45" s="1"/>
  <c r="AG26" i="45" s="1" a="1"/>
  <c r="AG26" i="45" s="1"/>
  <c r="AH26" i="45" s="1" a="1"/>
  <c r="AH26" i="45" s="1"/>
  <c r="AI26" i="45" s="1" a="1"/>
  <c r="AI26" i="45" s="1"/>
  <c r="AJ26" i="45" s="1" a="1"/>
  <c r="AJ26" i="45" s="1"/>
  <c r="AK26" i="45" s="1" a="1"/>
  <c r="AK26" i="45" s="1"/>
  <c r="AL26" i="45" s="1" a="1"/>
  <c r="AL26" i="45" s="1"/>
  <c r="AM26" i="45" s="1" a="1"/>
  <c r="AM26" i="45" s="1"/>
  <c r="AN26" i="45" s="1" a="1"/>
  <c r="AN26" i="45" s="1"/>
  <c r="AO26" i="45" s="1" a="1"/>
  <c r="AO26" i="45" s="1"/>
  <c r="AP26" i="45" s="1" a="1"/>
  <c r="AP26" i="45" s="1"/>
  <c r="AQ26" i="45" s="1" a="1"/>
  <c r="AQ26" i="45" s="1"/>
  <c r="AR26" i="45" s="1" a="1"/>
  <c r="AR26" i="45" s="1"/>
  <c r="AS26" i="45" s="1" a="1"/>
  <c r="AS26" i="45" s="1"/>
  <c r="AT26" i="45" s="1" a="1"/>
  <c r="AT26" i="45" s="1"/>
  <c r="AU26" i="45" s="1" a="1"/>
  <c r="AU26" i="45" s="1"/>
  <c r="AV26" i="45" s="1" a="1"/>
  <c r="AV26" i="45" s="1"/>
  <c r="AW26" i="45" s="1" a="1"/>
  <c r="AW26" i="45" s="1"/>
  <c r="AX26" i="45" s="1" a="1"/>
  <c r="AX26" i="45" s="1"/>
  <c r="AY26" i="45" s="1" a="1"/>
  <c r="AY26" i="45" s="1"/>
  <c r="AZ26" i="45" s="1" a="1"/>
  <c r="AZ26" i="45" s="1"/>
  <c r="AA25" i="45" a="1"/>
  <c r="AA25" i="45" s="1"/>
  <c r="AD24" i="45" a="1"/>
  <c r="AD24" i="45" s="1"/>
  <c r="AE24" i="45" s="1" a="1"/>
  <c r="AE24" i="45" s="1"/>
  <c r="U76" i="45"/>
  <c r="U85" i="45"/>
  <c r="G33" i="57" s="1"/>
  <c r="Y47" i="45" l="1" a="1"/>
  <c r="Y47" i="45" s="1"/>
  <c r="Z47" i="45" s="1" a="1"/>
  <c r="Z47" i="45" s="1"/>
  <c r="F13" i="57"/>
  <c r="U13" i="57" s="1"/>
  <c r="F30" i="57"/>
  <c r="F14" i="57" s="1"/>
  <c r="U14" i="57" s="1"/>
  <c r="I11" i="57"/>
  <c r="AA23" i="45" a="1"/>
  <c r="AA23" i="45" s="1"/>
  <c r="V61" i="45" a="1"/>
  <c r="V61" i="45" s="1"/>
  <c r="W61" i="45" s="1" a="1"/>
  <c r="W61" i="45" s="1"/>
  <c r="X61" i="45" s="1" a="1"/>
  <c r="X61" i="45" s="1"/>
  <c r="G22" i="57"/>
  <c r="G21" i="57" s="1"/>
  <c r="U75" i="45"/>
  <c r="G29" i="57" s="1"/>
  <c r="G30" i="57"/>
  <c r="G14" i="57" s="1"/>
  <c r="X82" i="45" a="1"/>
  <c r="X82" i="45" s="1"/>
  <c r="Y82" i="45" s="1" a="1"/>
  <c r="Y82" i="45" s="1"/>
  <c r="H22" i="57"/>
  <c r="H21" i="57" s="1"/>
  <c r="E9" i="57"/>
  <c r="AA20" i="45" a="1"/>
  <c r="AA20" i="45" s="1"/>
  <c r="L17" i="57"/>
  <c r="L16" i="57" s="1"/>
  <c r="Z57" i="45" a="1"/>
  <c r="Z57" i="45" s="1"/>
  <c r="AA57" i="45" s="1" a="1"/>
  <c r="AA57" i="45" s="1"/>
  <c r="Z71" i="45" a="1"/>
  <c r="Z71" i="45" s="1"/>
  <c r="AA71" i="45" s="1" a="1"/>
  <c r="AA71" i="45" s="1"/>
  <c r="AB71" i="45" s="1" a="1"/>
  <c r="AB71" i="45" s="1"/>
  <c r="AC71" i="45" s="1" a="1"/>
  <c r="AC71" i="45" s="1"/>
  <c r="AD71" i="45" s="1" a="1"/>
  <c r="AD71" i="45" s="1"/>
  <c r="AE71" i="45" s="1" a="1"/>
  <c r="AE71" i="45" s="1"/>
  <c r="AF71" i="45" s="1" a="1"/>
  <c r="AF71" i="45" s="1"/>
  <c r="AG71" i="45" s="1" a="1"/>
  <c r="AG71" i="45" s="1"/>
  <c r="AH71" i="45" s="1" a="1"/>
  <c r="AH71" i="45" s="1"/>
  <c r="AI71" i="45" s="1" a="1"/>
  <c r="AI71" i="45" s="1"/>
  <c r="AJ71" i="45" s="1" a="1"/>
  <c r="AJ71" i="45" s="1"/>
  <c r="AK71" i="45" s="1" a="1"/>
  <c r="AK71" i="45" s="1"/>
  <c r="AL71" i="45" s="1" a="1"/>
  <c r="AL71" i="45" s="1"/>
  <c r="AM71" i="45" s="1" a="1"/>
  <c r="AM71" i="45" s="1"/>
  <c r="AN71" i="45" s="1" a="1"/>
  <c r="AN71" i="45" s="1"/>
  <c r="AO71" i="45" s="1" a="1"/>
  <c r="AO71" i="45" s="1"/>
  <c r="AP71" i="45" s="1" a="1"/>
  <c r="AP71" i="45" s="1"/>
  <c r="AQ71" i="45" s="1" a="1"/>
  <c r="AQ71" i="45" s="1"/>
  <c r="AR71" i="45" s="1" a="1"/>
  <c r="AR71" i="45" s="1"/>
  <c r="AS71" i="45" s="1" a="1"/>
  <c r="AS71" i="45" s="1"/>
  <c r="AT71" i="45" s="1" a="1"/>
  <c r="AT71" i="45" s="1"/>
  <c r="AU71" i="45" s="1" a="1"/>
  <c r="AU71" i="45" s="1"/>
  <c r="AV71" i="45" s="1" a="1"/>
  <c r="AV71" i="45" s="1"/>
  <c r="AW71" i="45" s="1" a="1"/>
  <c r="AW71" i="45" s="1"/>
  <c r="AX71" i="45" s="1" a="1"/>
  <c r="AX71" i="45" s="1"/>
  <c r="AY71" i="45" s="1" a="1"/>
  <c r="AY71" i="45" s="1"/>
  <c r="AZ71" i="45" s="1" a="1"/>
  <c r="AZ71" i="45" s="1"/>
  <c r="BA73" i="45"/>
  <c r="Y81" i="45" a="1"/>
  <c r="Y81" i="45" s="1"/>
  <c r="Y83" i="45" a="1"/>
  <c r="Y83" i="45" s="1"/>
  <c r="Z83" i="45" s="1" a="1"/>
  <c r="Z83" i="45" s="1"/>
  <c r="AC22" i="45" a="1"/>
  <c r="AC22" i="45" s="1"/>
  <c r="AD22" i="45" s="1" a="1"/>
  <c r="AD22" i="45" s="1"/>
  <c r="AE22" i="45" s="1" a="1"/>
  <c r="AE22" i="45" s="1"/>
  <c r="AF22" i="45" s="1" a="1"/>
  <c r="AF22" i="45" s="1"/>
  <c r="AG22" i="45" s="1" a="1"/>
  <c r="AG22" i="45" s="1"/>
  <c r="AH22" i="45" s="1" a="1"/>
  <c r="AH22" i="45" s="1"/>
  <c r="AI22" i="45" s="1" a="1"/>
  <c r="AI22" i="45" s="1"/>
  <c r="AJ22" i="45" s="1" a="1"/>
  <c r="AJ22" i="45" s="1"/>
  <c r="AK22" i="45" s="1" a="1"/>
  <c r="AK22" i="45" s="1"/>
  <c r="AL22" i="45" s="1" a="1"/>
  <c r="AL22" i="45" s="1"/>
  <c r="AV48" i="44"/>
  <c r="V65" i="45"/>
  <c r="H26" i="57" s="1"/>
  <c r="H13" i="57" s="1"/>
  <c r="AA41" i="45" a="1"/>
  <c r="AA41" i="45" s="1"/>
  <c r="AB41" i="45" s="1" a="1"/>
  <c r="AB41" i="45" s="1"/>
  <c r="AC46" i="45" a="1"/>
  <c r="AC46" i="45" s="1"/>
  <c r="AD46" i="45" s="1" a="1"/>
  <c r="AD46" i="45" s="1"/>
  <c r="AE46" i="45" s="1" a="1"/>
  <c r="AE46" i="45" s="1"/>
  <c r="AF46" i="45" s="1" a="1"/>
  <c r="AF46" i="45" s="1"/>
  <c r="AG46" i="45" s="1" a="1"/>
  <c r="AG46" i="45" s="1"/>
  <c r="AH46" i="45" s="1" a="1"/>
  <c r="AH46" i="45" s="1"/>
  <c r="AI46" i="45" s="1" a="1"/>
  <c r="AI46" i="45" s="1"/>
  <c r="AJ46" i="45" s="1" a="1"/>
  <c r="AJ46" i="45" s="1"/>
  <c r="AK46" i="45" s="1" a="1"/>
  <c r="AK46" i="45" s="1"/>
  <c r="AL46" i="45" s="1" a="1"/>
  <c r="AL46" i="45" s="1"/>
  <c r="AM46" i="45" s="1" a="1"/>
  <c r="AM46" i="45" s="1"/>
  <c r="AN46" i="45" s="1" a="1"/>
  <c r="AN46" i="45" s="1"/>
  <c r="AO46" i="45" s="1" a="1"/>
  <c r="AO46" i="45" s="1"/>
  <c r="AP46" i="45" s="1" a="1"/>
  <c r="AP46" i="45" s="1"/>
  <c r="AQ46" i="45" s="1" a="1"/>
  <c r="AQ46" i="45" s="1"/>
  <c r="AR46" i="45" s="1" a="1"/>
  <c r="AR46" i="45" s="1"/>
  <c r="AS46" i="45" s="1" a="1"/>
  <c r="AS46" i="45" s="1"/>
  <c r="AT46" i="45" s="1" a="1"/>
  <c r="AT46" i="45" s="1"/>
  <c r="AU46" i="45" s="1" a="1"/>
  <c r="AU46" i="45" s="1"/>
  <c r="AV46" i="45" s="1" a="1"/>
  <c r="AV46" i="45" s="1"/>
  <c r="AW46" i="45" s="1" a="1"/>
  <c r="AW46" i="45" s="1"/>
  <c r="AX46" i="45" s="1" a="1"/>
  <c r="AX46" i="45" s="1"/>
  <c r="AY46" i="45" s="1" a="1"/>
  <c r="AY46" i="45" s="1"/>
  <c r="AZ46" i="45" s="1" a="1"/>
  <c r="AZ46" i="45" s="1"/>
  <c r="BA46" i="45" s="1"/>
  <c r="A46" i="45" s="1"/>
  <c r="W76" i="45"/>
  <c r="BA26" i="45"/>
  <c r="A26" i="45" s="1"/>
  <c r="AE54" i="45" a="1"/>
  <c r="AE54" i="45" s="1"/>
  <c r="AA42" i="45" a="1"/>
  <c r="AA42" i="45" s="1"/>
  <c r="AB42" i="45" s="1" a="1"/>
  <c r="AB42" i="45" s="1"/>
  <c r="AC42" i="45" s="1" a="1"/>
  <c r="AC42" i="45" s="1"/>
  <c r="Y60" i="45" a="1"/>
  <c r="Y60" i="45" s="1"/>
  <c r="Z60" i="45" s="1" a="1"/>
  <c r="Z60" i="45" s="1"/>
  <c r="AB49" i="45" a="1"/>
  <c r="AB49" i="45" s="1"/>
  <c r="AC49" i="45" s="1" a="1"/>
  <c r="AC49" i="45" s="1"/>
  <c r="AD49" i="45" s="1" a="1"/>
  <c r="AD49" i="45" s="1"/>
  <c r="Y58" i="45" a="1"/>
  <c r="Y58" i="45" s="1"/>
  <c r="Z58" i="45" s="1" a="1"/>
  <c r="Z58" i="45" s="1"/>
  <c r="AC53" i="45" a="1"/>
  <c r="AC53" i="45" s="1"/>
  <c r="AD53" i="45" s="1" a="1"/>
  <c r="AD53" i="45" s="1"/>
  <c r="U65" i="45"/>
  <c r="G26" i="57" s="1"/>
  <c r="G13" i="57" s="1"/>
  <c r="G12" i="57" s="1"/>
  <c r="W51" i="45" a="1"/>
  <c r="W51" i="45" s="1"/>
  <c r="AA44" i="45" a="1"/>
  <c r="AA44" i="45" s="1"/>
  <c r="Y27" i="45" a="1"/>
  <c r="Y27" i="45" s="1"/>
  <c r="J23" i="57" s="1"/>
  <c r="J22" i="57" s="1"/>
  <c r="J21" i="57" s="1"/>
  <c r="AA52" i="45" a="1"/>
  <c r="AA52" i="45" s="1"/>
  <c r="AB52" i="45" s="1" a="1"/>
  <c r="AB52" i="45" s="1"/>
  <c r="Z70" i="45" a="1"/>
  <c r="Z70" i="45" s="1"/>
  <c r="AA70" i="45" s="1" a="1"/>
  <c r="AA70" i="45" s="1"/>
  <c r="AB70" i="45" s="1" a="1"/>
  <c r="AB70" i="45" s="1"/>
  <c r="Y45" i="45" a="1"/>
  <c r="Y45" i="45" s="1"/>
  <c r="Z45" i="45" s="1" a="1"/>
  <c r="Z45" i="45" s="1"/>
  <c r="AA45" i="45" s="1" a="1"/>
  <c r="AA45" i="45" s="1"/>
  <c r="Y48" i="45" a="1"/>
  <c r="Y48" i="45" s="1"/>
  <c r="X56" i="45" a="1"/>
  <c r="X56" i="45" s="1"/>
  <c r="Y40" i="45" a="1"/>
  <c r="Y40" i="45" s="1"/>
  <c r="Z40" i="45" s="1" a="1"/>
  <c r="Z40" i="45" s="1"/>
  <c r="AB50" i="45" a="1"/>
  <c r="AB50" i="45" s="1"/>
  <c r="AD72" i="45" a="1"/>
  <c r="AD72" i="45" s="1"/>
  <c r="AA43" i="45" a="1"/>
  <c r="AA43" i="45" s="1"/>
  <c r="AD59" i="45" a="1"/>
  <c r="AD59" i="45" s="1"/>
  <c r="AE59" i="45" s="1" a="1"/>
  <c r="AE59" i="45" s="1"/>
  <c r="AF59" i="45" s="1" a="1"/>
  <c r="AF59" i="45" s="1"/>
  <c r="AG59" i="45" s="1" a="1"/>
  <c r="AG59" i="45" s="1"/>
  <c r="AH59" i="45" s="1" a="1"/>
  <c r="AH59" i="45" s="1"/>
  <c r="AI59" i="45" s="1" a="1"/>
  <c r="AI59" i="45" s="1"/>
  <c r="AJ59" i="45" s="1" a="1"/>
  <c r="AJ59" i="45" s="1"/>
  <c r="AK59" i="45" s="1" a="1"/>
  <c r="AK59" i="45" s="1"/>
  <c r="AL59" i="45" s="1" a="1"/>
  <c r="AL59" i="45" s="1"/>
  <c r="AM59" i="45" s="1" a="1"/>
  <c r="AM59" i="45" s="1"/>
  <c r="AN59" i="45" s="1" a="1"/>
  <c r="AN59" i="45" s="1"/>
  <c r="AO59" i="45" s="1" a="1"/>
  <c r="AO59" i="45" s="1"/>
  <c r="AP59" i="45" s="1" a="1"/>
  <c r="AP59" i="45" s="1"/>
  <c r="AQ59" i="45" s="1" a="1"/>
  <c r="AQ59" i="45" s="1"/>
  <c r="AR59" i="45" s="1" a="1"/>
  <c r="AR59" i="45" s="1"/>
  <c r="AS59" i="45" s="1" a="1"/>
  <c r="AS59" i="45" s="1"/>
  <c r="AT59" i="45" s="1" a="1"/>
  <c r="AT59" i="45" s="1"/>
  <c r="AU59" i="45" s="1" a="1"/>
  <c r="AU59" i="45" s="1"/>
  <c r="AV59" i="45" s="1" a="1"/>
  <c r="AV59" i="45" s="1"/>
  <c r="AW59" i="45" s="1" a="1"/>
  <c r="AW59" i="45" s="1"/>
  <c r="AX59" i="45" s="1" a="1"/>
  <c r="AX59" i="45" s="1"/>
  <c r="AY59" i="45" s="1" a="1"/>
  <c r="AY59" i="45" s="1"/>
  <c r="AZ59" i="45" s="1" a="1"/>
  <c r="AZ59" i="45" s="1"/>
  <c r="BA59" i="45" s="1"/>
  <c r="A59" i="45" s="1"/>
  <c r="AB55" i="45" a="1"/>
  <c r="AB55" i="45" s="1"/>
  <c r="AF24" i="45" a="1"/>
  <c r="AF24" i="45" s="1"/>
  <c r="AG24" i="45" s="1" a="1"/>
  <c r="AG24" i="45" s="1"/>
  <c r="AH24" i="45" s="1" a="1"/>
  <c r="AH24" i="45" s="1"/>
  <c r="AI24" i="45" s="1" a="1"/>
  <c r="AI24" i="45" s="1"/>
  <c r="AJ24" i="45" s="1" a="1"/>
  <c r="AJ24" i="45" s="1"/>
  <c r="AK24" i="45" s="1" a="1"/>
  <c r="AK24" i="45" s="1"/>
  <c r="AL24" i="45" s="1" a="1"/>
  <c r="AL24" i="45" s="1"/>
  <c r="AM24" i="45" s="1" a="1"/>
  <c r="AM24" i="45" s="1"/>
  <c r="AN24" i="45" s="1" a="1"/>
  <c r="AN24" i="45" s="1"/>
  <c r="AO24" i="45" s="1" a="1"/>
  <c r="AO24" i="45" s="1"/>
  <c r="AP24" i="45" s="1" a="1"/>
  <c r="AP24" i="45" s="1"/>
  <c r="AQ24" i="45" s="1" a="1"/>
  <c r="AQ24" i="45" s="1"/>
  <c r="AR24" i="45" s="1" a="1"/>
  <c r="AR24" i="45" s="1"/>
  <c r="AS24" i="45" s="1" a="1"/>
  <c r="AS24" i="45" s="1"/>
  <c r="AT24" i="45" s="1" a="1"/>
  <c r="AT24" i="45" s="1"/>
  <c r="AU24" i="45" s="1" a="1"/>
  <c r="AU24" i="45" s="1"/>
  <c r="AV24" i="45" s="1" a="1"/>
  <c r="AV24" i="45" s="1"/>
  <c r="AW24" i="45" s="1" a="1"/>
  <c r="AW24" i="45" s="1"/>
  <c r="AX24" i="45" s="1" a="1"/>
  <c r="AX24" i="45" s="1"/>
  <c r="AY24" i="45" s="1" a="1"/>
  <c r="AY24" i="45" s="1"/>
  <c r="AZ24" i="45" s="1" a="1"/>
  <c r="AZ24" i="45" s="1"/>
  <c r="AB25" i="45" a="1"/>
  <c r="AB25" i="45" s="1"/>
  <c r="AC25" i="45" s="1" a="1"/>
  <c r="AC25" i="45" s="1"/>
  <c r="V85" i="45"/>
  <c r="H33" i="57" s="1"/>
  <c r="V76" i="45"/>
  <c r="AA47" i="45" l="1" a="1"/>
  <c r="AA47" i="45" s="1"/>
  <c r="AB47" i="45" s="1" a="1"/>
  <c r="AB47" i="45" s="1"/>
  <c r="AC47" i="45" s="1" a="1"/>
  <c r="AC47" i="45" s="1"/>
  <c r="AD47" i="45" s="1" a="1"/>
  <c r="AD47" i="45" s="1"/>
  <c r="H11" i="57"/>
  <c r="G11" i="57"/>
  <c r="G9" i="57" s="1"/>
  <c r="F12" i="57"/>
  <c r="J11" i="57"/>
  <c r="W75" i="45"/>
  <c r="I29" i="57" s="1"/>
  <c r="I30" i="57"/>
  <c r="I14" i="57" s="1"/>
  <c r="AB20" i="45" a="1"/>
  <c r="AB20" i="45" s="1"/>
  <c r="M17" i="57"/>
  <c r="M16" i="57" s="1"/>
  <c r="V11" i="57"/>
  <c r="Z82" i="45" a="1"/>
  <c r="Z82" i="45" s="1"/>
  <c r="AA82" i="45" s="1" a="1"/>
  <c r="AA82" i="45" s="1"/>
  <c r="AB82" i="45" s="1" a="1"/>
  <c r="AB82" i="45" s="1"/>
  <c r="AB23" i="45" a="1"/>
  <c r="AB23" i="45" s="1"/>
  <c r="V75" i="45"/>
  <c r="H29" i="57" s="1"/>
  <c r="H30" i="57"/>
  <c r="H14" i="57" s="1"/>
  <c r="H12" i="57" s="1"/>
  <c r="E36" i="57"/>
  <c r="E10" i="57"/>
  <c r="AW48" i="44"/>
  <c r="AA83" i="45" a="1"/>
  <c r="AA83" i="45" s="1"/>
  <c r="Z81" i="45" a="1"/>
  <c r="Z81" i="45" s="1"/>
  <c r="AA81" i="45" s="1" a="1"/>
  <c r="AA81" i="45" s="1"/>
  <c r="BA71" i="45"/>
  <c r="A71" i="45" s="1"/>
  <c r="AM22" i="45" a="1"/>
  <c r="AM22" i="45" s="1"/>
  <c r="AN22" i="45" s="1" a="1"/>
  <c r="AN22" i="45" s="1"/>
  <c r="AO22" i="45" s="1" a="1"/>
  <c r="AO22" i="45" s="1"/>
  <c r="AP22" i="45" s="1" a="1"/>
  <c r="AP22" i="45" s="1"/>
  <c r="AQ22" i="45" s="1" a="1"/>
  <c r="AQ22" i="45" s="1"/>
  <c r="AR22" i="45" s="1" a="1"/>
  <c r="AR22" i="45" s="1"/>
  <c r="AS22" i="45" s="1" a="1"/>
  <c r="AS22" i="45" s="1"/>
  <c r="AT22" i="45" s="1" a="1"/>
  <c r="AT22" i="45" s="1"/>
  <c r="AU22" i="45" s="1" a="1"/>
  <c r="AU22" i="45" s="1"/>
  <c r="AV22" i="45" s="1" a="1"/>
  <c r="AV22" i="45" s="1"/>
  <c r="AW22" i="45" s="1" a="1"/>
  <c r="AW22" i="45" s="1"/>
  <c r="AX22" i="45" s="1" a="1"/>
  <c r="AX22" i="45" s="1"/>
  <c r="AY22" i="45" s="1" a="1"/>
  <c r="AY22" i="45" s="1"/>
  <c r="AZ22" i="45" s="1" a="1"/>
  <c r="AZ22" i="45" s="1"/>
  <c r="BA22" i="45" s="1"/>
  <c r="A22" i="45" s="1"/>
  <c r="AC41" i="45" a="1"/>
  <c r="AC41" i="45" s="1"/>
  <c r="AD41" i="45" s="1" a="1"/>
  <c r="AD41" i="45" s="1"/>
  <c r="AE41" i="45" s="1" a="1"/>
  <c r="AE41" i="45" s="1"/>
  <c r="AA60" i="45" a="1"/>
  <c r="AA60" i="45" s="1"/>
  <c r="AB60" i="45" s="1" a="1"/>
  <c r="AB60" i="45" s="1"/>
  <c r="AC60" i="45" s="1" a="1"/>
  <c r="AC60" i="45" s="1"/>
  <c r="AD60" i="45" s="1" a="1"/>
  <c r="AD60" i="45" s="1"/>
  <c r="AE60" i="45" s="1" a="1"/>
  <c r="AE60" i="45" s="1"/>
  <c r="AF60" i="45" s="1" a="1"/>
  <c r="AF60" i="45" s="1"/>
  <c r="AG60" i="45" s="1" a="1"/>
  <c r="AG60" i="45" s="1"/>
  <c r="AH60" i="45" s="1" a="1"/>
  <c r="AH60" i="45" s="1"/>
  <c r="AI60" i="45" s="1" a="1"/>
  <c r="AI60" i="45" s="1"/>
  <c r="AJ60" i="45" s="1" a="1"/>
  <c r="AJ60" i="45" s="1"/>
  <c r="AK60" i="45" s="1" a="1"/>
  <c r="AK60" i="45" s="1"/>
  <c r="AL60" i="45" s="1" a="1"/>
  <c r="AL60" i="45" s="1"/>
  <c r="AM60" i="45" s="1" a="1"/>
  <c r="AM60" i="45" s="1"/>
  <c r="AN60" i="45" s="1" a="1"/>
  <c r="AN60" i="45" s="1"/>
  <c r="AO60" i="45" s="1" a="1"/>
  <c r="AO60" i="45" s="1"/>
  <c r="AP60" i="45" s="1" a="1"/>
  <c r="AP60" i="45" s="1"/>
  <c r="AQ60" i="45" s="1" a="1"/>
  <c r="AQ60" i="45" s="1"/>
  <c r="AR60" i="45" s="1" a="1"/>
  <c r="AR60" i="45" s="1"/>
  <c r="AS60" i="45" s="1" a="1"/>
  <c r="AS60" i="45" s="1"/>
  <c r="AT60" i="45" s="1" a="1"/>
  <c r="AT60" i="45" s="1"/>
  <c r="AU60" i="45" s="1" a="1"/>
  <c r="AU60" i="45" s="1"/>
  <c r="AV60" i="45" s="1" a="1"/>
  <c r="AV60" i="45" s="1"/>
  <c r="AW60" i="45" s="1" a="1"/>
  <c r="AW60" i="45" s="1"/>
  <c r="AX60" i="45" s="1" a="1"/>
  <c r="AX60" i="45" s="1"/>
  <c r="AY60" i="45" s="1" a="1"/>
  <c r="AY60" i="45" s="1"/>
  <c r="BA24" i="45"/>
  <c r="A24" i="45" s="1"/>
  <c r="AC52" i="45" a="1"/>
  <c r="AC52" i="45" s="1"/>
  <c r="AD52" i="45" s="1" a="1"/>
  <c r="AD52" i="45" s="1"/>
  <c r="AD42" i="45" a="1"/>
  <c r="AD42" i="45" s="1"/>
  <c r="AE42" i="45" s="1" a="1"/>
  <c r="AE42" i="45" s="1"/>
  <c r="AF42" i="45" s="1" a="1"/>
  <c r="AF42" i="45" s="1"/>
  <c r="AG42" i="45" s="1" a="1"/>
  <c r="AG42" i="45" s="1"/>
  <c r="AH42" i="45" s="1" a="1"/>
  <c r="AH42" i="45" s="1"/>
  <c r="AI42" i="45" s="1" a="1"/>
  <c r="AI42" i="45" s="1"/>
  <c r="AJ42" i="45" s="1" a="1"/>
  <c r="AJ42" i="45" s="1"/>
  <c r="AK42" i="45" s="1" a="1"/>
  <c r="AK42" i="45" s="1"/>
  <c r="AL42" i="45" s="1" a="1"/>
  <c r="AL42" i="45" s="1"/>
  <c r="AM42" i="45" s="1" a="1"/>
  <c r="AM42" i="45" s="1"/>
  <c r="AN42" i="45" s="1" a="1"/>
  <c r="AN42" i="45" s="1"/>
  <c r="AO42" i="45" s="1" a="1"/>
  <c r="AO42" i="45" s="1"/>
  <c r="AP42" i="45" s="1" a="1"/>
  <c r="AP42" i="45" s="1"/>
  <c r="AQ42" i="45" s="1" a="1"/>
  <c r="AQ42" i="45" s="1"/>
  <c r="AR42" i="45" s="1" a="1"/>
  <c r="AR42" i="45" s="1"/>
  <c r="AS42" i="45" s="1" a="1"/>
  <c r="AS42" i="45" s="1"/>
  <c r="AT42" i="45" s="1" a="1"/>
  <c r="AT42" i="45" s="1"/>
  <c r="AU42" i="45" s="1" a="1"/>
  <c r="AU42" i="45" s="1"/>
  <c r="AV42" i="45" s="1" a="1"/>
  <c r="AV42" i="45" s="1"/>
  <c r="AW42" i="45" s="1" a="1"/>
  <c r="AW42" i="45" s="1"/>
  <c r="AX42" i="45" s="1" a="1"/>
  <c r="AX42" i="45" s="1"/>
  <c r="AY42" i="45" s="1" a="1"/>
  <c r="AY42" i="45" s="1"/>
  <c r="AZ42" i="45" s="1" a="1"/>
  <c r="AZ42" i="45" s="1"/>
  <c r="AF54" i="45" a="1"/>
  <c r="AF54" i="45" s="1"/>
  <c r="AE53" i="45" a="1"/>
  <c r="AE53" i="45" s="1"/>
  <c r="AF53" i="45" s="1" a="1"/>
  <c r="AF53" i="45" s="1"/>
  <c r="AG53" i="45" s="1" a="1"/>
  <c r="AG53" i="45" s="1"/>
  <c r="X51" i="45" a="1"/>
  <c r="X51" i="45" s="1"/>
  <c r="Y51" i="45" s="1" a="1"/>
  <c r="Y51" i="45" s="1"/>
  <c r="Y66" i="45" s="1"/>
  <c r="Z27" i="45" a="1"/>
  <c r="Z27" i="45" s="1"/>
  <c r="Y61" i="45" a="1"/>
  <c r="Y61" i="45" s="1"/>
  <c r="Y56" i="45" a="1"/>
  <c r="Y56" i="45" s="1"/>
  <c r="W66" i="45"/>
  <c r="I27" i="57" s="1"/>
  <c r="Z48" i="45" a="1"/>
  <c r="Z48" i="45" s="1"/>
  <c r="AA48" i="45" s="1" a="1"/>
  <c r="AA48" i="45" s="1"/>
  <c r="AB48" i="45" s="1" a="1"/>
  <c r="AB48" i="45" s="1"/>
  <c r="AC70" i="45" a="1"/>
  <c r="AC70" i="45" s="1"/>
  <c r="AB45" i="45" a="1"/>
  <c r="AB45" i="45" s="1"/>
  <c r="AB44" i="45" a="1"/>
  <c r="AB44" i="45" s="1"/>
  <c r="AC44" i="45" s="1" a="1"/>
  <c r="AC44" i="45" s="1"/>
  <c r="AA40" i="45" a="1"/>
  <c r="AA40" i="45" s="1"/>
  <c r="AC50" i="45" a="1"/>
  <c r="AC50" i="45" s="1"/>
  <c r="AA58" i="45" a="1"/>
  <c r="AA58" i="45" s="1"/>
  <c r="AE72" i="45" a="1"/>
  <c r="AE72" i="45" s="1"/>
  <c r="AF72" i="45" s="1" a="1"/>
  <c r="AF72" i="45" s="1"/>
  <c r="AG72" i="45" s="1" a="1"/>
  <c r="AG72" i="45" s="1"/>
  <c r="AH72" i="45" s="1" a="1"/>
  <c r="AH72" i="45" s="1"/>
  <c r="AI72" i="45" s="1" a="1"/>
  <c r="AI72" i="45" s="1"/>
  <c r="AJ72" i="45" s="1" a="1"/>
  <c r="AJ72" i="45" s="1"/>
  <c r="AK72" i="45" s="1" a="1"/>
  <c r="AK72" i="45" s="1"/>
  <c r="AL72" i="45" s="1" a="1"/>
  <c r="AL72" i="45" s="1"/>
  <c r="AM72" i="45" s="1" a="1"/>
  <c r="AM72" i="45" s="1"/>
  <c r="AN72" i="45" s="1" a="1"/>
  <c r="AN72" i="45" s="1"/>
  <c r="AO72" i="45" s="1" a="1"/>
  <c r="AO72" i="45" s="1"/>
  <c r="AP72" i="45" s="1" a="1"/>
  <c r="AP72" i="45" s="1"/>
  <c r="AQ72" i="45" s="1" a="1"/>
  <c r="AQ72" i="45" s="1"/>
  <c r="AR72" i="45" s="1" a="1"/>
  <c r="AR72" i="45" s="1"/>
  <c r="AS72" i="45" s="1" a="1"/>
  <c r="AS72" i="45" s="1"/>
  <c r="AT72" i="45" s="1" a="1"/>
  <c r="AT72" i="45" s="1"/>
  <c r="AU72" i="45" s="1" a="1"/>
  <c r="AU72" i="45" s="1"/>
  <c r="AV72" i="45" s="1" a="1"/>
  <c r="AV72" i="45" s="1"/>
  <c r="AW72" i="45" s="1" a="1"/>
  <c r="AW72" i="45" s="1"/>
  <c r="AX72" i="45" s="1" a="1"/>
  <c r="AX72" i="45" s="1"/>
  <c r="AY72" i="45" s="1" a="1"/>
  <c r="AY72" i="45" s="1"/>
  <c r="AZ72" i="45" s="1" a="1"/>
  <c r="AZ72" i="45" s="1"/>
  <c r="BA72" i="45" s="1"/>
  <c r="A72" i="45" s="1"/>
  <c r="AE49" i="45" a="1"/>
  <c r="AE49" i="45" s="1"/>
  <c r="AF49" i="45" s="1" a="1"/>
  <c r="AF49" i="45" s="1"/>
  <c r="AG49" i="45" s="1" a="1"/>
  <c r="AG49" i="45" s="1"/>
  <c r="AH49" i="45" s="1" a="1"/>
  <c r="AH49" i="45" s="1"/>
  <c r="AI49" i="45" s="1" a="1"/>
  <c r="AI49" i="45" s="1"/>
  <c r="AJ49" i="45" s="1" a="1"/>
  <c r="AJ49" i="45" s="1"/>
  <c r="AK49" i="45" s="1" a="1"/>
  <c r="AK49" i="45" s="1"/>
  <c r="AL49" i="45" s="1" a="1"/>
  <c r="AL49" i="45" s="1"/>
  <c r="AM49" i="45" s="1" a="1"/>
  <c r="AM49" i="45" s="1"/>
  <c r="AN49" i="45" s="1" a="1"/>
  <c r="AN49" i="45" s="1"/>
  <c r="AO49" i="45" s="1" a="1"/>
  <c r="AO49" i="45" s="1"/>
  <c r="AP49" i="45" s="1" a="1"/>
  <c r="AP49" i="45" s="1"/>
  <c r="AQ49" i="45" s="1" a="1"/>
  <c r="AQ49" i="45" s="1"/>
  <c r="AR49" i="45" s="1" a="1"/>
  <c r="AR49" i="45" s="1"/>
  <c r="AS49" i="45" s="1" a="1"/>
  <c r="AS49" i="45" s="1"/>
  <c r="AT49" i="45" s="1" a="1"/>
  <c r="AT49" i="45" s="1"/>
  <c r="AU49" i="45" s="1" a="1"/>
  <c r="AU49" i="45" s="1"/>
  <c r="AV49" i="45" s="1" a="1"/>
  <c r="AV49" i="45" s="1"/>
  <c r="AW49" i="45" s="1" a="1"/>
  <c r="AW49" i="45" s="1"/>
  <c r="AX49" i="45" s="1" a="1"/>
  <c r="AX49" i="45" s="1"/>
  <c r="AY49" i="45" s="1" a="1"/>
  <c r="AY49" i="45" s="1"/>
  <c r="AZ49" i="45" s="1" a="1"/>
  <c r="AZ49" i="45" s="1"/>
  <c r="BA49" i="45" s="1"/>
  <c r="A49" i="45" s="1"/>
  <c r="AC55" i="45" a="1"/>
  <c r="AC55" i="45" s="1"/>
  <c r="AD55" i="45" s="1" a="1"/>
  <c r="AD55" i="45" s="1"/>
  <c r="AE55" i="45" s="1" a="1"/>
  <c r="AE55" i="45" s="1"/>
  <c r="AB43" i="45" a="1"/>
  <c r="AB43" i="45" s="1"/>
  <c r="AC43" i="45" s="1" a="1"/>
  <c r="AC43" i="45" s="1"/>
  <c r="AD43" i="45" s="1" a="1"/>
  <c r="AD43" i="45" s="1"/>
  <c r="AE43" i="45" s="1" a="1"/>
  <c r="AE43" i="45" s="1"/>
  <c r="AF43" i="45" s="1" a="1"/>
  <c r="AF43" i="45" s="1"/>
  <c r="AG43" i="45" s="1" a="1"/>
  <c r="AG43" i="45" s="1"/>
  <c r="AH43" i="45" s="1" a="1"/>
  <c r="AH43" i="45" s="1"/>
  <c r="AI43" i="45" s="1" a="1"/>
  <c r="AI43" i="45" s="1"/>
  <c r="AJ43" i="45" s="1" a="1"/>
  <c r="AJ43" i="45" s="1"/>
  <c r="AK43" i="45" s="1" a="1"/>
  <c r="AK43" i="45" s="1"/>
  <c r="AL43" i="45" s="1" a="1"/>
  <c r="AL43" i="45" s="1"/>
  <c r="AM43" i="45" s="1" a="1"/>
  <c r="AM43" i="45" s="1"/>
  <c r="AN43" i="45" s="1" a="1"/>
  <c r="AN43" i="45" s="1"/>
  <c r="AO43" i="45" s="1" a="1"/>
  <c r="AO43" i="45" s="1"/>
  <c r="AP43" i="45" s="1" a="1"/>
  <c r="AP43" i="45" s="1"/>
  <c r="AQ43" i="45" s="1" a="1"/>
  <c r="AQ43" i="45" s="1"/>
  <c r="AR43" i="45" s="1" a="1"/>
  <c r="AR43" i="45" s="1"/>
  <c r="AS43" i="45" s="1" a="1"/>
  <c r="AS43" i="45" s="1"/>
  <c r="AT43" i="45" s="1" a="1"/>
  <c r="AT43" i="45" s="1"/>
  <c r="AU43" i="45" s="1" a="1"/>
  <c r="AU43" i="45" s="1"/>
  <c r="AV43" i="45" s="1" a="1"/>
  <c r="AV43" i="45" s="1"/>
  <c r="AW43" i="45" s="1" a="1"/>
  <c r="AW43" i="45" s="1"/>
  <c r="AX43" i="45" s="1" a="1"/>
  <c r="AX43" i="45" s="1"/>
  <c r="AY43" i="45" s="1" a="1"/>
  <c r="AY43" i="45" s="1"/>
  <c r="AZ43" i="45" s="1" a="1"/>
  <c r="AZ43" i="45" s="1"/>
  <c r="BA43" i="45" s="1"/>
  <c r="A43" i="45" s="1"/>
  <c r="AB57" i="45" a="1"/>
  <c r="AB57" i="45" s="1"/>
  <c r="AD25" i="45" a="1"/>
  <c r="AD25" i="45" s="1"/>
  <c r="AE25" i="45" s="1" a="1"/>
  <c r="AE25" i="45" s="1"/>
  <c r="AF25" i="45" s="1" a="1"/>
  <c r="AF25" i="45" s="1"/>
  <c r="AG25" i="45" s="1" a="1"/>
  <c r="AG25" i="45" s="1"/>
  <c r="AH25" i="45" s="1" a="1"/>
  <c r="AH25" i="45" s="1"/>
  <c r="AI25" i="45" s="1" a="1"/>
  <c r="AI25" i="45" s="1"/>
  <c r="AJ25" i="45" s="1" a="1"/>
  <c r="AJ25" i="45" s="1"/>
  <c r="AK25" i="45" s="1" a="1"/>
  <c r="AK25" i="45" s="1"/>
  <c r="AL25" i="45" s="1" a="1"/>
  <c r="AL25" i="45" s="1"/>
  <c r="AM25" i="45" s="1" a="1"/>
  <c r="AM25" i="45" s="1"/>
  <c r="AN25" i="45" s="1" a="1"/>
  <c r="AN25" i="45" s="1"/>
  <c r="AO25" i="45" s="1" a="1"/>
  <c r="AO25" i="45" s="1"/>
  <c r="AP25" i="45" s="1" a="1"/>
  <c r="AP25" i="45" s="1"/>
  <c r="AQ25" i="45" s="1" a="1"/>
  <c r="AQ25" i="45" s="1"/>
  <c r="AR25" i="45" s="1" a="1"/>
  <c r="AR25" i="45" s="1"/>
  <c r="AS25" i="45" s="1" a="1"/>
  <c r="AS25" i="45" s="1"/>
  <c r="AT25" i="45" s="1" a="1"/>
  <c r="AT25" i="45" s="1"/>
  <c r="AU25" i="45" s="1" a="1"/>
  <c r="AU25" i="45" s="1"/>
  <c r="AV25" i="45" s="1" a="1"/>
  <c r="AV25" i="45" s="1"/>
  <c r="AW25" i="45" s="1" a="1"/>
  <c r="AW25" i="45" s="1"/>
  <c r="AX25" i="45" s="1" a="1"/>
  <c r="AX25" i="45" s="1"/>
  <c r="AY25" i="45" s="1" a="1"/>
  <c r="AY25" i="45" s="1"/>
  <c r="AZ25" i="45" s="1" a="1"/>
  <c r="AZ25" i="45" s="1"/>
  <c r="X76" i="45"/>
  <c r="Z76" i="45"/>
  <c r="W85" i="45"/>
  <c r="I33" i="57" s="1"/>
  <c r="AE47" i="45" l="1" a="1"/>
  <c r="AE47" i="45" s="1"/>
  <c r="AF47" i="45" s="1" a="1"/>
  <c r="AF47" i="45" s="1"/>
  <c r="AG47" i="45" s="1" a="1"/>
  <c r="AG47" i="45" s="1"/>
  <c r="AH47" i="45" s="1" a="1"/>
  <c r="AH47" i="45" s="1"/>
  <c r="AI47" i="45" s="1" a="1"/>
  <c r="AI47" i="45" s="1"/>
  <c r="AJ47" i="45" s="1" a="1"/>
  <c r="AJ47" i="45" s="1"/>
  <c r="AK47" i="45" s="1" a="1"/>
  <c r="AK47" i="45" s="1"/>
  <c r="AL47" i="45" s="1" a="1"/>
  <c r="AL47" i="45" s="1"/>
  <c r="AM47" i="45" s="1" a="1"/>
  <c r="AM47" i="45" s="1"/>
  <c r="AN47" i="45" s="1" a="1"/>
  <c r="AN47" i="45" s="1"/>
  <c r="AO47" i="45" s="1" a="1"/>
  <c r="AO47" i="45" s="1"/>
  <c r="AP47" i="45" s="1" a="1"/>
  <c r="AP47" i="45" s="1"/>
  <c r="AQ47" i="45" s="1" a="1"/>
  <c r="AQ47" i="45" s="1"/>
  <c r="AR47" i="45" s="1" a="1"/>
  <c r="AR47" i="45" s="1"/>
  <c r="AS47" i="45" s="1" a="1"/>
  <c r="AS47" i="45" s="1"/>
  <c r="AT47" i="45" s="1" a="1"/>
  <c r="AT47" i="45" s="1"/>
  <c r="AU47" i="45" s="1" a="1"/>
  <c r="AU47" i="45" s="1"/>
  <c r="AV47" i="45" s="1" a="1"/>
  <c r="AV47" i="45" s="1"/>
  <c r="AW47" i="45" s="1" a="1"/>
  <c r="AW47" i="45" s="1"/>
  <c r="AX47" i="45" s="1" a="1"/>
  <c r="AX47" i="45" s="1"/>
  <c r="AY47" i="45" s="1" a="1"/>
  <c r="AY47" i="45" s="1"/>
  <c r="AZ47" i="45" s="1" a="1"/>
  <c r="AZ47" i="45" s="1"/>
  <c r="BA47" i="45" s="1"/>
  <c r="A47" i="45" s="1"/>
  <c r="H9" i="57"/>
  <c r="H36" i="57" s="1"/>
  <c r="F9" i="57"/>
  <c r="U12" i="57"/>
  <c r="H10" i="57"/>
  <c r="Y65" i="45"/>
  <c r="K26" i="57" s="1"/>
  <c r="K27" i="57"/>
  <c r="G36" i="57"/>
  <c r="G10" i="57"/>
  <c r="AA27" i="45" a="1"/>
  <c r="AA27" i="45" s="1"/>
  <c r="K23" i="57"/>
  <c r="Z75" i="45"/>
  <c r="L29" i="57" s="1"/>
  <c r="L30" i="57"/>
  <c r="L14" i="57" s="1"/>
  <c r="X75" i="45"/>
  <c r="J29" i="57" s="1"/>
  <c r="J30" i="57"/>
  <c r="J14" i="57" s="1"/>
  <c r="V14" i="57" s="1"/>
  <c r="AC20" i="45" a="1"/>
  <c r="AC20" i="45" s="1"/>
  <c r="N17" i="57"/>
  <c r="N16" i="57" s="1"/>
  <c r="AC23" i="45" a="1"/>
  <c r="AC23" i="45" s="1"/>
  <c r="AC82" i="45" a="1"/>
  <c r="AC82" i="45" s="1"/>
  <c r="AD82" i="45" s="1" a="1"/>
  <c r="AD82" i="45" s="1"/>
  <c r="AE82" i="45" s="1" a="1"/>
  <c r="AE82" i="45" s="1"/>
  <c r="AF82" i="45" s="1" a="1"/>
  <c r="AF82" i="45" s="1"/>
  <c r="AG82" i="45" s="1" a="1"/>
  <c r="AG82" i="45" s="1"/>
  <c r="AH82" i="45" s="1" a="1"/>
  <c r="AH82" i="45" s="1"/>
  <c r="AI82" i="45" s="1" a="1"/>
  <c r="AI82" i="45" s="1"/>
  <c r="AJ82" i="45" s="1" a="1"/>
  <c r="AJ82" i="45" s="1"/>
  <c r="AK82" i="45" s="1" a="1"/>
  <c r="AK82" i="45" s="1"/>
  <c r="AL82" i="45" s="1" a="1"/>
  <c r="AL82" i="45" s="1"/>
  <c r="AM82" i="45" s="1" a="1"/>
  <c r="AM82" i="45" s="1"/>
  <c r="AN82" i="45" s="1" a="1"/>
  <c r="AN82" i="45" s="1"/>
  <c r="AO82" i="45" s="1" a="1"/>
  <c r="AO82" i="45" s="1"/>
  <c r="AP82" i="45" s="1" a="1"/>
  <c r="AP82" i="45" s="1"/>
  <c r="AQ82" i="45" s="1" a="1"/>
  <c r="AQ82" i="45" s="1"/>
  <c r="AR82" i="45" s="1" a="1"/>
  <c r="AR82" i="45" s="1"/>
  <c r="AS82" i="45" s="1" a="1"/>
  <c r="AS82" i="45" s="1"/>
  <c r="AT82" i="45" s="1" a="1"/>
  <c r="AT82" i="45" s="1"/>
  <c r="AU82" i="45" s="1" a="1"/>
  <c r="AU82" i="45" s="1"/>
  <c r="AV82" i="45" s="1" a="1"/>
  <c r="AV82" i="45" s="1"/>
  <c r="AW82" i="45" s="1" a="1"/>
  <c r="AW82" i="45" s="1"/>
  <c r="AX82" i="45" s="1" a="1"/>
  <c r="AX82" i="45" s="1"/>
  <c r="AY82" i="45" s="1" a="1"/>
  <c r="AY82" i="45" s="1"/>
  <c r="AZ82" i="45" s="1" a="1"/>
  <c r="AZ82" i="45" s="1"/>
  <c r="BA82" i="45" s="1"/>
  <c r="A82" i="45" s="1"/>
  <c r="AX48" i="44"/>
  <c r="AB83" i="45" a="1"/>
  <c r="AB83" i="45" s="1"/>
  <c r="AC83" i="45" s="1" a="1"/>
  <c r="AC83" i="45" s="1"/>
  <c r="AD83" i="45" s="1" a="1"/>
  <c r="AD83" i="45" s="1"/>
  <c r="AE83" i="45" s="1" a="1"/>
  <c r="AE83" i="45" s="1"/>
  <c r="AF83" i="45" s="1" a="1"/>
  <c r="AF83" i="45" s="1"/>
  <c r="AG83" i="45" s="1" a="1"/>
  <c r="AG83" i="45" s="1"/>
  <c r="AH83" i="45" s="1" a="1"/>
  <c r="AH83" i="45" s="1"/>
  <c r="AI83" i="45" s="1" a="1"/>
  <c r="AI83" i="45" s="1"/>
  <c r="AJ83" i="45" s="1" a="1"/>
  <c r="AJ83" i="45" s="1"/>
  <c r="AK83" i="45" s="1" a="1"/>
  <c r="AK83" i="45" s="1"/>
  <c r="AL83" i="45" s="1" a="1"/>
  <c r="AL83" i="45" s="1"/>
  <c r="AM83" i="45" s="1" a="1"/>
  <c r="AM83" i="45" s="1"/>
  <c r="AN83" i="45" s="1" a="1"/>
  <c r="AN83" i="45" s="1"/>
  <c r="AO83" i="45" s="1" a="1"/>
  <c r="AO83" i="45" s="1"/>
  <c r="AP83" i="45" s="1" a="1"/>
  <c r="AP83" i="45" s="1"/>
  <c r="AQ83" i="45" s="1" a="1"/>
  <c r="AQ83" i="45" s="1"/>
  <c r="AR83" i="45" s="1" a="1"/>
  <c r="AR83" i="45" s="1"/>
  <c r="AS83" i="45" s="1" a="1"/>
  <c r="AS83" i="45" s="1"/>
  <c r="AT83" i="45" s="1" a="1"/>
  <c r="AT83" i="45" s="1"/>
  <c r="AU83" i="45" s="1" a="1"/>
  <c r="AU83" i="45" s="1"/>
  <c r="AV83" i="45" s="1" a="1"/>
  <c r="AV83" i="45" s="1"/>
  <c r="AW83" i="45" s="1" a="1"/>
  <c r="AW83" i="45" s="1"/>
  <c r="AX83" i="45" s="1" a="1"/>
  <c r="AX83" i="45" s="1"/>
  <c r="AY83" i="45" s="1" a="1"/>
  <c r="AY83" i="45" s="1"/>
  <c r="AZ83" i="45" s="1" a="1"/>
  <c r="AZ83" i="45" s="1"/>
  <c r="BA83" i="45" s="1"/>
  <c r="AB81" i="45" a="1"/>
  <c r="AB81" i="45" s="1"/>
  <c r="AC81" i="45" s="1" a="1"/>
  <c r="AC81" i="45" s="1"/>
  <c r="AD81" i="45" s="1" a="1"/>
  <c r="AD81" i="45" s="1"/>
  <c r="AE81" i="45" s="1" a="1"/>
  <c r="AE81" i="45" s="1"/>
  <c r="AF81" i="45" s="1" a="1"/>
  <c r="AF81" i="45" s="1"/>
  <c r="AG81" i="45" s="1" a="1"/>
  <c r="AG81" i="45" s="1"/>
  <c r="AH81" i="45" s="1" a="1"/>
  <c r="AH81" i="45" s="1"/>
  <c r="AI81" i="45" s="1" a="1"/>
  <c r="AI81" i="45" s="1"/>
  <c r="AJ81" i="45" s="1" a="1"/>
  <c r="AJ81" i="45" s="1"/>
  <c r="AK81" i="45" s="1" a="1"/>
  <c r="AK81" i="45" s="1"/>
  <c r="AL81" i="45" s="1" a="1"/>
  <c r="AL81" i="45" s="1"/>
  <c r="AM81" i="45" s="1" a="1"/>
  <c r="AM81" i="45" s="1"/>
  <c r="AN81" i="45" s="1" a="1"/>
  <c r="AN81" i="45" s="1"/>
  <c r="AO81" i="45" s="1" a="1"/>
  <c r="AO81" i="45" s="1"/>
  <c r="AP81" i="45" s="1" a="1"/>
  <c r="AP81" i="45" s="1"/>
  <c r="AQ81" i="45" s="1" a="1"/>
  <c r="AQ81" i="45" s="1"/>
  <c r="AR81" i="45" s="1" a="1"/>
  <c r="AR81" i="45" s="1"/>
  <c r="AS81" i="45" s="1" a="1"/>
  <c r="AS81" i="45" s="1"/>
  <c r="AT81" i="45" s="1" a="1"/>
  <c r="AT81" i="45" s="1"/>
  <c r="AU81" i="45" s="1" a="1"/>
  <c r="AU81" i="45" s="1"/>
  <c r="AV81" i="45" s="1" a="1"/>
  <c r="AV81" i="45" s="1"/>
  <c r="AW81" i="45" s="1" a="1"/>
  <c r="AW81" i="45" s="1"/>
  <c r="AX81" i="45" s="1" a="1"/>
  <c r="AX81" i="45" s="1"/>
  <c r="AY81" i="45" s="1" a="1"/>
  <c r="AY81" i="45" s="1"/>
  <c r="AZ81" i="45" s="1" a="1"/>
  <c r="AZ81" i="45" s="1"/>
  <c r="BA81" i="45" s="1"/>
  <c r="A81" i="45" s="1"/>
  <c r="AF41" i="45" a="1"/>
  <c r="AF41" i="45" s="1"/>
  <c r="AG41" i="45" s="1" a="1"/>
  <c r="AG41" i="45" s="1"/>
  <c r="AZ60" i="45" a="1"/>
  <c r="AZ60" i="45" s="1"/>
  <c r="BA60" i="45" s="1"/>
  <c r="A60" i="45" s="1"/>
  <c r="BA25" i="45"/>
  <c r="A25" i="45" s="1"/>
  <c r="AE52" i="45" a="1"/>
  <c r="AE52" i="45" s="1"/>
  <c r="AF52" i="45" s="1" a="1"/>
  <c r="AF52" i="45" s="1"/>
  <c r="BA42" i="45"/>
  <c r="A42" i="45" s="1"/>
  <c r="AG54" i="45" a="1"/>
  <c r="AG54" i="45" s="1"/>
  <c r="AH54" i="45" s="1" a="1"/>
  <c r="AH54" i="45" s="1"/>
  <c r="AF55" i="45" a="1"/>
  <c r="AF55" i="45" s="1"/>
  <c r="AG55" i="45" s="1" a="1"/>
  <c r="AG55" i="45" s="1"/>
  <c r="AH55" i="45" s="1" a="1"/>
  <c r="AH55" i="45" s="1"/>
  <c r="AI55" i="45" s="1" a="1"/>
  <c r="AI55" i="45" s="1"/>
  <c r="AJ55" i="45" s="1" a="1"/>
  <c r="AJ55" i="45" s="1"/>
  <c r="AK55" i="45" s="1" a="1"/>
  <c r="AK55" i="45" s="1"/>
  <c r="AL55" i="45" s="1" a="1"/>
  <c r="AL55" i="45" s="1"/>
  <c r="AM55" i="45" s="1" a="1"/>
  <c r="AM55" i="45" s="1"/>
  <c r="AN55" i="45" s="1" a="1"/>
  <c r="AN55" i="45" s="1"/>
  <c r="AO55" i="45" s="1" a="1"/>
  <c r="AO55" i="45" s="1"/>
  <c r="AP55" i="45" s="1" a="1"/>
  <c r="AP55" i="45" s="1"/>
  <c r="AQ55" i="45" s="1" a="1"/>
  <c r="AQ55" i="45" s="1"/>
  <c r="AR55" i="45" s="1" a="1"/>
  <c r="AR55" i="45" s="1"/>
  <c r="AC48" i="45" a="1"/>
  <c r="AC48" i="45" s="1"/>
  <c r="AD48" i="45" s="1" a="1"/>
  <c r="AD48" i="45" s="1"/>
  <c r="Z61" i="45" a="1"/>
  <c r="Z61" i="45" s="1"/>
  <c r="AD50" i="45" a="1"/>
  <c r="AD50" i="45" s="1"/>
  <c r="AE50" i="45" s="1" a="1"/>
  <c r="AE50" i="45" s="1"/>
  <c r="AF50" i="45" s="1" a="1"/>
  <c r="AF50" i="45" s="1"/>
  <c r="AG50" i="45" s="1" a="1"/>
  <c r="AG50" i="45" s="1"/>
  <c r="AH50" i="45" s="1" a="1"/>
  <c r="AH50" i="45" s="1"/>
  <c r="AI50" i="45" s="1" a="1"/>
  <c r="AI50" i="45" s="1"/>
  <c r="AJ50" i="45" s="1" a="1"/>
  <c r="AJ50" i="45" s="1"/>
  <c r="AD70" i="45" a="1"/>
  <c r="AD70" i="45" s="1"/>
  <c r="AE70" i="45" s="1" a="1"/>
  <c r="AE70" i="45" s="1"/>
  <c r="AF70" i="45" s="1" a="1"/>
  <c r="AF70" i="45" s="1"/>
  <c r="AG70" i="45" s="1" a="1"/>
  <c r="AG70" i="45" s="1"/>
  <c r="AH70" i="45" s="1" a="1"/>
  <c r="AH70" i="45" s="1"/>
  <c r="AD44" i="45" a="1"/>
  <c r="AD44" i="45" s="1"/>
  <c r="AE44" i="45" s="1" a="1"/>
  <c r="AE44" i="45" s="1"/>
  <c r="AF44" i="45" s="1" a="1"/>
  <c r="AF44" i="45" s="1"/>
  <c r="AG44" i="45" s="1" a="1"/>
  <c r="AG44" i="45" s="1"/>
  <c r="AH44" i="45" s="1" a="1"/>
  <c r="AH44" i="45" s="1"/>
  <c r="AI44" i="45" s="1" a="1"/>
  <c r="AI44" i="45" s="1"/>
  <c r="AJ44" i="45" s="1" a="1"/>
  <c r="AJ44" i="45" s="1"/>
  <c r="AK44" i="45" s="1" a="1"/>
  <c r="AK44" i="45" s="1"/>
  <c r="AL44" i="45" s="1" a="1"/>
  <c r="AL44" i="45" s="1"/>
  <c r="AM44" i="45" s="1" a="1"/>
  <c r="AM44" i="45" s="1"/>
  <c r="AN44" i="45" s="1" a="1"/>
  <c r="AN44" i="45" s="1"/>
  <c r="AO44" i="45" s="1" a="1"/>
  <c r="AO44" i="45" s="1"/>
  <c r="AP44" i="45" s="1" a="1"/>
  <c r="AP44" i="45" s="1"/>
  <c r="AQ44" i="45" s="1" a="1"/>
  <c r="AQ44" i="45" s="1"/>
  <c r="AR44" i="45" s="1" a="1"/>
  <c r="AR44" i="45" s="1"/>
  <c r="AS44" i="45" s="1" a="1"/>
  <c r="AS44" i="45" s="1"/>
  <c r="AT44" i="45" s="1" a="1"/>
  <c r="AT44" i="45" s="1"/>
  <c r="AU44" i="45" s="1" a="1"/>
  <c r="AU44" i="45" s="1"/>
  <c r="AV44" i="45" s="1" a="1"/>
  <c r="AV44" i="45" s="1"/>
  <c r="AW44" i="45" s="1" a="1"/>
  <c r="AW44" i="45" s="1"/>
  <c r="AX44" i="45" s="1" a="1"/>
  <c r="AX44" i="45" s="1"/>
  <c r="AY44" i="45" s="1" a="1"/>
  <c r="AY44" i="45" s="1"/>
  <c r="AZ44" i="45" s="1" a="1"/>
  <c r="AZ44" i="45" s="1"/>
  <c r="BA44" i="45" s="1"/>
  <c r="A44" i="45" s="1"/>
  <c r="X66" i="45"/>
  <c r="Z51" i="45" a="1"/>
  <c r="Z51" i="45" s="1"/>
  <c r="AB40" i="45" a="1"/>
  <c r="AB40" i="45" s="1"/>
  <c r="W65" i="45"/>
  <c r="I26" i="57" s="1"/>
  <c r="I13" i="57" s="1"/>
  <c r="I12" i="57" s="1"/>
  <c r="AC45" i="45" a="1"/>
  <c r="AC45" i="45" s="1"/>
  <c r="AD45" i="45" s="1" a="1"/>
  <c r="AD45" i="45" s="1"/>
  <c r="Z56" i="45" a="1"/>
  <c r="Z56" i="45" s="1"/>
  <c r="AB58" i="45" a="1"/>
  <c r="AB58" i="45" s="1"/>
  <c r="AC58" i="45" s="1" a="1"/>
  <c r="AC58" i="45" s="1"/>
  <c r="AD58" i="45" s="1" a="1"/>
  <c r="AD58" i="45" s="1"/>
  <c r="AE58" i="45" s="1" a="1"/>
  <c r="AE58" i="45" s="1"/>
  <c r="AF58" i="45" s="1" a="1"/>
  <c r="AF58" i="45" s="1"/>
  <c r="AG58" i="45" s="1" a="1"/>
  <c r="AG58" i="45" s="1"/>
  <c r="AH58" i="45" s="1" a="1"/>
  <c r="AH58" i="45" s="1"/>
  <c r="AI58" i="45" s="1" a="1"/>
  <c r="AI58" i="45" s="1"/>
  <c r="AJ58" i="45" s="1" a="1"/>
  <c r="AJ58" i="45" s="1"/>
  <c r="AK58" i="45" s="1" a="1"/>
  <c r="AK58" i="45" s="1"/>
  <c r="AL58" i="45" s="1" a="1"/>
  <c r="AL58" i="45" s="1"/>
  <c r="AM58" i="45" s="1" a="1"/>
  <c r="AM58" i="45" s="1"/>
  <c r="AN58" i="45" s="1" a="1"/>
  <c r="AN58" i="45" s="1"/>
  <c r="AO58" i="45" s="1" a="1"/>
  <c r="AO58" i="45" s="1"/>
  <c r="AP58" i="45" s="1" a="1"/>
  <c r="AP58" i="45" s="1"/>
  <c r="AQ58" i="45" s="1" a="1"/>
  <c r="AQ58" i="45" s="1"/>
  <c r="AR58" i="45" s="1" a="1"/>
  <c r="AR58" i="45" s="1"/>
  <c r="AS58" i="45" s="1" a="1"/>
  <c r="AS58" i="45" s="1"/>
  <c r="AT58" i="45" s="1" a="1"/>
  <c r="AT58" i="45" s="1"/>
  <c r="AU58" i="45" s="1" a="1"/>
  <c r="AU58" i="45" s="1"/>
  <c r="AV58" i="45" s="1" a="1"/>
  <c r="AV58" i="45" s="1"/>
  <c r="AW58" i="45" s="1" a="1"/>
  <c r="AW58" i="45" s="1"/>
  <c r="AX58" i="45" s="1" a="1"/>
  <c r="AX58" i="45" s="1"/>
  <c r="AY58" i="45" s="1" a="1"/>
  <c r="AY58" i="45" s="1"/>
  <c r="AZ58" i="45" s="1" a="1"/>
  <c r="AZ58" i="45" s="1"/>
  <c r="BA58" i="45" s="1"/>
  <c r="A58" i="45" s="1"/>
  <c r="AH53" i="45" a="1"/>
  <c r="AH53" i="45" s="1"/>
  <c r="AC57" i="45" a="1"/>
  <c r="AC57" i="45" s="1"/>
  <c r="AD57" i="45" s="1" a="1"/>
  <c r="AD57" i="45" s="1"/>
  <c r="AE57" i="45" s="1" a="1"/>
  <c r="AE57" i="45" s="1"/>
  <c r="AF57" i="45" s="1" a="1"/>
  <c r="AF57" i="45" s="1"/>
  <c r="AG57" i="45" s="1" a="1"/>
  <c r="AG57" i="45" s="1"/>
  <c r="AH57" i="45" s="1" a="1"/>
  <c r="AH57" i="45" s="1"/>
  <c r="AI57" i="45" s="1" a="1"/>
  <c r="AI57" i="45" s="1"/>
  <c r="AJ57" i="45" s="1" a="1"/>
  <c r="AJ57" i="45" s="1"/>
  <c r="AK57" i="45" s="1" a="1"/>
  <c r="AK57" i="45" s="1"/>
  <c r="AL57" i="45" s="1" a="1"/>
  <c r="AL57" i="45" s="1"/>
  <c r="AM57" i="45" s="1" a="1"/>
  <c r="AM57" i="45" s="1"/>
  <c r="AN57" i="45" s="1" a="1"/>
  <c r="AN57" i="45" s="1"/>
  <c r="AO57" i="45" s="1" a="1"/>
  <c r="AO57" i="45" s="1"/>
  <c r="AP57" i="45" s="1" a="1"/>
  <c r="AP57" i="45" s="1"/>
  <c r="AQ57" i="45" s="1" a="1"/>
  <c r="AQ57" i="45" s="1"/>
  <c r="AR57" i="45" s="1" a="1"/>
  <c r="AR57" i="45" s="1"/>
  <c r="AS57" i="45" s="1" a="1"/>
  <c r="AS57" i="45" s="1"/>
  <c r="AT57" i="45" s="1" a="1"/>
  <c r="AT57" i="45" s="1"/>
  <c r="AU57" i="45" s="1" a="1"/>
  <c r="AU57" i="45" s="1"/>
  <c r="AV57" i="45" s="1" a="1"/>
  <c r="AV57" i="45" s="1"/>
  <c r="AW57" i="45" s="1" a="1"/>
  <c r="AW57" i="45" s="1"/>
  <c r="AX57" i="45" s="1" a="1"/>
  <c r="AX57" i="45" s="1"/>
  <c r="AY57" i="45" s="1" a="1"/>
  <c r="AY57" i="45" s="1"/>
  <c r="AZ57" i="45" s="1" a="1"/>
  <c r="AZ57" i="45" s="1"/>
  <c r="BA57" i="45" s="1"/>
  <c r="A57" i="45" s="1"/>
  <c r="X85" i="45"/>
  <c r="J33" i="57" s="1"/>
  <c r="Y76" i="45"/>
  <c r="AB76" i="45"/>
  <c r="K13" i="57" l="1"/>
  <c r="F36" i="57"/>
  <c r="U9" i="57"/>
  <c r="U10" i="57" s="1"/>
  <c r="F10" i="57"/>
  <c r="AB75" i="45"/>
  <c r="N29" i="57" s="1"/>
  <c r="N30" i="57"/>
  <c r="N14" i="57" s="1"/>
  <c r="Y75" i="45"/>
  <c r="K29" i="57" s="1"/>
  <c r="K30" i="57"/>
  <c r="K14" i="57" s="1"/>
  <c r="K22" i="57"/>
  <c r="K21" i="57" s="1"/>
  <c r="AB27" i="45" a="1"/>
  <c r="AB27" i="45" s="1"/>
  <c r="L23" i="57"/>
  <c r="AD23" i="45" a="1"/>
  <c r="AD23" i="45" s="1"/>
  <c r="X65" i="45"/>
  <c r="J26" i="57" s="1"/>
  <c r="J27" i="57"/>
  <c r="I9" i="57"/>
  <c r="AD20" i="45" a="1"/>
  <c r="AD20" i="45" s="1"/>
  <c r="O17" i="57"/>
  <c r="O16" i="57" s="1"/>
  <c r="AY48" i="44"/>
  <c r="BD48" i="44" s="1"/>
  <c r="AH41" i="45" a="1"/>
  <c r="AH41" i="45" s="1"/>
  <c r="AI41" i="45" s="1" a="1"/>
  <c r="AI41" i="45" s="1"/>
  <c r="AI54" i="45" a="1"/>
  <c r="AI54" i="45" s="1"/>
  <c r="AJ54" i="45" s="1" a="1"/>
  <c r="AJ54" i="45" s="1"/>
  <c r="AG52" i="45" a="1"/>
  <c r="AG52" i="45" s="1"/>
  <c r="AH52" i="45" s="1" a="1"/>
  <c r="AH52" i="45" s="1"/>
  <c r="AI52" i="45" s="1" a="1"/>
  <c r="AI52" i="45" s="1"/>
  <c r="AJ52" i="45" s="1" a="1"/>
  <c r="AJ52" i="45" s="1"/>
  <c r="AK52" i="45" s="1" a="1"/>
  <c r="AK52" i="45" s="1"/>
  <c r="AL52" i="45" s="1" a="1"/>
  <c r="AL52" i="45" s="1"/>
  <c r="AM52" i="45" s="1" a="1"/>
  <c r="AM52" i="45" s="1"/>
  <c r="AN52" i="45" s="1" a="1"/>
  <c r="AN52" i="45" s="1"/>
  <c r="AS55" i="45" a="1"/>
  <c r="AS55" i="45" s="1"/>
  <c r="AT55" i="45" s="1" a="1"/>
  <c r="AT55" i="45" s="1"/>
  <c r="AU55" i="45" s="1" a="1"/>
  <c r="AU55" i="45" s="1"/>
  <c r="AV55" i="45" s="1" a="1"/>
  <c r="AV55" i="45" s="1"/>
  <c r="AW55" i="45" s="1" a="1"/>
  <c r="AW55" i="45" s="1"/>
  <c r="AX55" i="45" s="1" a="1"/>
  <c r="AX55" i="45" s="1"/>
  <c r="AY55" i="45" s="1" a="1"/>
  <c r="AY55" i="45" s="1"/>
  <c r="AZ55" i="45" s="1" a="1"/>
  <c r="AZ55" i="45" s="1"/>
  <c r="BA55" i="45" s="1"/>
  <c r="A55" i="45" s="1"/>
  <c r="AE48" i="45" a="1"/>
  <c r="AE48" i="45" s="1"/>
  <c r="AF48" i="45" s="1" a="1"/>
  <c r="AF48" i="45" s="1"/>
  <c r="AG48" i="45" s="1" a="1"/>
  <c r="AG48" i="45" s="1"/>
  <c r="AH48" i="45" s="1" a="1"/>
  <c r="AH48" i="45" s="1"/>
  <c r="AI48" i="45" s="1" a="1"/>
  <c r="AI48" i="45" s="1"/>
  <c r="AJ48" i="45" s="1" a="1"/>
  <c r="AJ48" i="45" s="1"/>
  <c r="AK48" i="45" s="1" a="1"/>
  <c r="AK48" i="45" s="1"/>
  <c r="AL48" i="45" s="1" a="1"/>
  <c r="AL48" i="45" s="1"/>
  <c r="AM48" i="45" s="1" a="1"/>
  <c r="AM48" i="45" s="1"/>
  <c r="AN48" i="45" s="1" a="1"/>
  <c r="AN48" i="45" s="1"/>
  <c r="AO48" i="45" s="1" a="1"/>
  <c r="AO48" i="45" s="1"/>
  <c r="AP48" i="45" s="1" a="1"/>
  <c r="AP48" i="45" s="1"/>
  <c r="AQ48" i="45" s="1" a="1"/>
  <c r="AQ48" i="45" s="1"/>
  <c r="AR48" i="45" s="1" a="1"/>
  <c r="AR48" i="45" s="1"/>
  <c r="AS48" i="45" s="1" a="1"/>
  <c r="AS48" i="45" s="1"/>
  <c r="AT48" i="45" s="1" a="1"/>
  <c r="AT48" i="45" s="1"/>
  <c r="AV48" i="45" s="1" a="1"/>
  <c r="AV48" i="45" s="1"/>
  <c r="AW48" i="45" s="1" a="1"/>
  <c r="AW48" i="45" s="1"/>
  <c r="AX48" i="45" s="1" a="1"/>
  <c r="AX48" i="45" s="1"/>
  <c r="AY48" i="45" s="1" a="1"/>
  <c r="AY48" i="45" s="1"/>
  <c r="AZ48" i="45" s="1" a="1"/>
  <c r="AZ48" i="45" s="1"/>
  <c r="BA48" i="45" s="1"/>
  <c r="AA56" i="45" a="1"/>
  <c r="AA56" i="45" s="1"/>
  <c r="AB56" i="45" s="1" a="1"/>
  <c r="AB56" i="45" s="1"/>
  <c r="AK50" i="45" a="1"/>
  <c r="AK50" i="45" s="1"/>
  <c r="AL50" i="45" s="1" a="1"/>
  <c r="AL50" i="45" s="1"/>
  <c r="AM50" i="45" s="1" a="1"/>
  <c r="AM50" i="45" s="1"/>
  <c r="AN50" i="45" s="1" a="1"/>
  <c r="AN50" i="45" s="1"/>
  <c r="AO50" i="45" s="1" a="1"/>
  <c r="AO50" i="45" s="1"/>
  <c r="AP50" i="45" s="1" a="1"/>
  <c r="AP50" i="45" s="1"/>
  <c r="AQ50" i="45" s="1" a="1"/>
  <c r="AQ50" i="45" s="1"/>
  <c r="AR50" i="45" s="1" a="1"/>
  <c r="AR50" i="45" s="1"/>
  <c r="AS50" i="45" s="1" a="1"/>
  <c r="AS50" i="45" s="1"/>
  <c r="AT50" i="45" s="1" a="1"/>
  <c r="AT50" i="45" s="1"/>
  <c r="AU50" i="45" s="1" a="1"/>
  <c r="AU50" i="45" s="1"/>
  <c r="AV50" i="45" s="1" a="1"/>
  <c r="AV50" i="45" s="1"/>
  <c r="AW50" i="45" s="1" a="1"/>
  <c r="AW50" i="45" s="1"/>
  <c r="AX50" i="45" s="1" a="1"/>
  <c r="AX50" i="45" s="1"/>
  <c r="AY50" i="45" s="1" a="1"/>
  <c r="AY50" i="45" s="1"/>
  <c r="AZ50" i="45" s="1" a="1"/>
  <c r="AZ50" i="45" s="1"/>
  <c r="BA50" i="45" s="1"/>
  <c r="A50" i="45" s="1"/>
  <c r="AI53" i="45" a="1"/>
  <c r="AI53" i="45" s="1"/>
  <c r="AJ53" i="45" s="1" a="1"/>
  <c r="AJ53" i="45" s="1"/>
  <c r="AK53" i="45" s="1" a="1"/>
  <c r="AK53" i="45" s="1"/>
  <c r="AL53" i="45" s="1" a="1"/>
  <c r="AL53" i="45" s="1"/>
  <c r="AM53" i="45" s="1" a="1"/>
  <c r="AM53" i="45" s="1"/>
  <c r="AN53" i="45" s="1" a="1"/>
  <c r="AN53" i="45" s="1"/>
  <c r="AO53" i="45" s="1" a="1"/>
  <c r="AO53" i="45" s="1"/>
  <c r="AP53" i="45" s="1" a="1"/>
  <c r="AP53" i="45" s="1"/>
  <c r="AQ53" i="45" s="1" a="1"/>
  <c r="AQ53" i="45" s="1"/>
  <c r="AR53" i="45" s="1" a="1"/>
  <c r="AR53" i="45" s="1"/>
  <c r="AS53" i="45" s="1" a="1"/>
  <c r="AS53" i="45" s="1"/>
  <c r="AT53" i="45" s="1" a="1"/>
  <c r="AT53" i="45" s="1"/>
  <c r="AU53" i="45" s="1" a="1"/>
  <c r="AU53" i="45" s="1"/>
  <c r="AV53" i="45" s="1" a="1"/>
  <c r="AV53" i="45" s="1"/>
  <c r="AW53" i="45" s="1" a="1"/>
  <c r="AW53" i="45" s="1"/>
  <c r="AX53" i="45" s="1" a="1"/>
  <c r="AX53" i="45" s="1"/>
  <c r="AY53" i="45" s="1" a="1"/>
  <c r="AY53" i="45" s="1"/>
  <c r="AZ53" i="45" s="1" a="1"/>
  <c r="AZ53" i="45" s="1"/>
  <c r="BA53" i="45" s="1"/>
  <c r="A53" i="45" s="1"/>
  <c r="AC40" i="45" a="1"/>
  <c r="AC40" i="45" s="1"/>
  <c r="AA51" i="45" a="1"/>
  <c r="AA51" i="45" s="1"/>
  <c r="Z66" i="45"/>
  <c r="AI70" i="45" a="1"/>
  <c r="AI70" i="45" s="1"/>
  <c r="AJ70" i="45" s="1" a="1"/>
  <c r="AJ70" i="45" s="1"/>
  <c r="AK70" i="45" s="1" a="1"/>
  <c r="AK70" i="45" s="1"/>
  <c r="AL70" i="45" s="1" a="1"/>
  <c r="AL70" i="45" s="1"/>
  <c r="AM70" i="45" s="1" a="1"/>
  <c r="AM70" i="45" s="1"/>
  <c r="AN70" i="45" s="1" a="1"/>
  <c r="AN70" i="45" s="1"/>
  <c r="AO70" i="45" s="1" a="1"/>
  <c r="AO70" i="45" s="1"/>
  <c r="AP70" i="45" s="1" a="1"/>
  <c r="AP70" i="45" s="1"/>
  <c r="AQ70" i="45" s="1" a="1"/>
  <c r="AQ70" i="45" s="1"/>
  <c r="AR70" i="45" s="1" a="1"/>
  <c r="AR70" i="45" s="1"/>
  <c r="AS70" i="45" s="1" a="1"/>
  <c r="AS70" i="45" s="1"/>
  <c r="AT70" i="45" s="1" a="1"/>
  <c r="AT70" i="45" s="1"/>
  <c r="AU70" i="45" s="1" a="1"/>
  <c r="AU70" i="45" s="1"/>
  <c r="AV70" i="45" s="1" a="1"/>
  <c r="AV70" i="45" s="1"/>
  <c r="AW70" i="45" s="1" a="1"/>
  <c r="AW70" i="45" s="1"/>
  <c r="AX70" i="45" s="1" a="1"/>
  <c r="AX70" i="45" s="1"/>
  <c r="AY70" i="45" s="1" a="1"/>
  <c r="AY70" i="45" s="1"/>
  <c r="AZ70" i="45" s="1" a="1"/>
  <c r="AZ70" i="45" s="1"/>
  <c r="BA70" i="45" s="1"/>
  <c r="A70" i="45" s="1"/>
  <c r="AE45" i="45" a="1"/>
  <c r="AE45" i="45" s="1"/>
  <c r="AF45" i="45" s="1" a="1"/>
  <c r="AF45" i="45" s="1"/>
  <c r="AG45" i="45" s="1" a="1"/>
  <c r="AG45" i="45" s="1"/>
  <c r="AH45" i="45" s="1" a="1"/>
  <c r="AH45" i="45" s="1"/>
  <c r="AI45" i="45" s="1" a="1"/>
  <c r="AI45" i="45" s="1"/>
  <c r="AJ45" i="45" s="1" a="1"/>
  <c r="AJ45" i="45" s="1"/>
  <c r="AK45" i="45" s="1" a="1"/>
  <c r="AK45" i="45" s="1"/>
  <c r="AL45" i="45" s="1" a="1"/>
  <c r="AL45" i="45" s="1"/>
  <c r="AM45" i="45" s="1" a="1"/>
  <c r="AM45" i="45" s="1"/>
  <c r="AN45" i="45" s="1" a="1"/>
  <c r="AN45" i="45" s="1"/>
  <c r="AO45" i="45" s="1" a="1"/>
  <c r="AO45" i="45" s="1"/>
  <c r="AP45" i="45" s="1" a="1"/>
  <c r="AP45" i="45" s="1"/>
  <c r="AQ45" i="45" s="1" a="1"/>
  <c r="AQ45" i="45" s="1"/>
  <c r="AR45" i="45" s="1" a="1"/>
  <c r="AR45" i="45" s="1"/>
  <c r="AS45" i="45" s="1" a="1"/>
  <c r="AS45" i="45" s="1"/>
  <c r="AT45" i="45" s="1" a="1"/>
  <c r="AT45" i="45" s="1"/>
  <c r="AU45" i="45" s="1" a="1"/>
  <c r="AU45" i="45" s="1"/>
  <c r="AV45" i="45" s="1" a="1"/>
  <c r="AV45" i="45" s="1"/>
  <c r="AW45" i="45" s="1" a="1"/>
  <c r="AW45" i="45" s="1"/>
  <c r="AX45" i="45" s="1" a="1"/>
  <c r="AX45" i="45" s="1"/>
  <c r="AY45" i="45" s="1" a="1"/>
  <c r="AY45" i="45" s="1"/>
  <c r="AZ45" i="45" s="1" a="1"/>
  <c r="AZ45" i="45" s="1"/>
  <c r="BA45" i="45" s="1"/>
  <c r="A45" i="45" s="1"/>
  <c r="AA61" i="45" a="1"/>
  <c r="AA61" i="45" s="1"/>
  <c r="AB61" i="45" s="1" a="1"/>
  <c r="AB61" i="45" s="1"/>
  <c r="AC61" i="45" s="1" a="1"/>
  <c r="AC61" i="45" s="1"/>
  <c r="Z85" i="45"/>
  <c r="L33" i="57" s="1"/>
  <c r="Y85" i="45"/>
  <c r="K33" i="57" s="1"/>
  <c r="AC76" i="45"/>
  <c r="AA76" i="45"/>
  <c r="K11" i="57" l="1"/>
  <c r="J13" i="57"/>
  <c r="K12" i="57"/>
  <c r="K9" i="57" s="1"/>
  <c r="K36" i="57" s="1"/>
  <c r="Z65" i="45"/>
  <c r="L26" i="57" s="1"/>
  <c r="L27" i="57"/>
  <c r="L22" i="57"/>
  <c r="L21" i="57" s="1"/>
  <c r="L11" i="57"/>
  <c r="AC27" i="45" a="1"/>
  <c r="AC27" i="45" s="1"/>
  <c r="M23" i="57"/>
  <c r="AE20" i="45" a="1"/>
  <c r="AE20" i="45" s="1"/>
  <c r="P17" i="57"/>
  <c r="P16" i="57" s="1"/>
  <c r="AA75" i="45"/>
  <c r="M29" i="57" s="1"/>
  <c r="M30" i="57"/>
  <c r="M14" i="57" s="1"/>
  <c r="W14" i="57" s="1"/>
  <c r="I36" i="57"/>
  <c r="I10" i="57"/>
  <c r="AC75" i="45"/>
  <c r="O29" i="57" s="1"/>
  <c r="O30" i="57"/>
  <c r="O14" i="57" s="1"/>
  <c r="J12" i="57"/>
  <c r="V13" i="57"/>
  <c r="AE23" i="45" a="1"/>
  <c r="AE23" i="45" s="1"/>
  <c r="AO52" i="45" a="1"/>
  <c r="AO52" i="45" s="1"/>
  <c r="AP52" i="45" s="1" a="1"/>
  <c r="AP52" i="45" s="1"/>
  <c r="AQ52" i="45" s="1" a="1"/>
  <c r="AQ52" i="45" s="1"/>
  <c r="AR52" i="45" s="1" a="1"/>
  <c r="AR52" i="45" s="1"/>
  <c r="AS52" i="45" s="1" a="1"/>
  <c r="AS52" i="45" s="1"/>
  <c r="AT52" i="45" s="1" a="1"/>
  <c r="AT52" i="45" s="1"/>
  <c r="AU52" i="45" s="1" a="1"/>
  <c r="AU52" i="45" s="1"/>
  <c r="AV52" i="45" s="1" a="1"/>
  <c r="AV52" i="45" s="1"/>
  <c r="AW52" i="45" s="1" a="1"/>
  <c r="AW52" i="45" s="1"/>
  <c r="AX52" i="45" s="1" a="1"/>
  <c r="AX52" i="45" s="1"/>
  <c r="AY52" i="45" s="1" a="1"/>
  <c r="AY52" i="45" s="1"/>
  <c r="AZ52" i="45" s="1" a="1"/>
  <c r="AZ52" i="45" s="1"/>
  <c r="BA52" i="45" s="1"/>
  <c r="A52" i="45" s="1"/>
  <c r="AJ41" i="45" a="1"/>
  <c r="AJ41" i="45" s="1"/>
  <c r="AK41" i="45" s="1" a="1"/>
  <c r="AK41" i="45" s="1"/>
  <c r="AL41" i="45" s="1" a="1"/>
  <c r="AL41" i="45" s="1"/>
  <c r="AM41" i="45" s="1" a="1"/>
  <c r="AM41" i="45" s="1"/>
  <c r="AN41" i="45" s="1" a="1"/>
  <c r="AN41" i="45" s="1"/>
  <c r="AO41" i="45" s="1" a="1"/>
  <c r="AO41" i="45" s="1"/>
  <c r="AP41" i="45" s="1" a="1"/>
  <c r="AP41" i="45" s="1"/>
  <c r="AQ41" i="45" s="1" a="1"/>
  <c r="AQ41" i="45" s="1"/>
  <c r="AR41" i="45" s="1" a="1"/>
  <c r="AR41" i="45" s="1"/>
  <c r="AS41" i="45" s="1" a="1"/>
  <c r="AS41" i="45" s="1"/>
  <c r="AT41" i="45" s="1" a="1"/>
  <c r="AT41" i="45" s="1"/>
  <c r="AU41" i="45" s="1" a="1"/>
  <c r="AU41" i="45" s="1"/>
  <c r="AV41" i="45" s="1" a="1"/>
  <c r="AV41" i="45" s="1"/>
  <c r="AW41" i="45" s="1" a="1"/>
  <c r="AW41" i="45" s="1"/>
  <c r="AX41" i="45" s="1" a="1"/>
  <c r="AX41" i="45" s="1"/>
  <c r="AY41" i="45" s="1" a="1"/>
  <c r="AY41" i="45" s="1"/>
  <c r="AZ41" i="45" s="1" a="1"/>
  <c r="AZ41" i="45" s="1"/>
  <c r="BA41" i="45" s="1"/>
  <c r="A41" i="45" s="1"/>
  <c r="AD61" i="45" a="1"/>
  <c r="AD61" i="45" s="1"/>
  <c r="AE61" i="45" s="1" a="1"/>
  <c r="AE61" i="45" s="1"/>
  <c r="AF61" i="45" s="1" a="1"/>
  <c r="AF61" i="45" s="1"/>
  <c r="AG61" i="45" s="1" a="1"/>
  <c r="AG61" i="45" s="1"/>
  <c r="AH61" i="45" s="1" a="1"/>
  <c r="AH61" i="45" s="1"/>
  <c r="AI61" i="45" s="1" a="1"/>
  <c r="AI61" i="45" s="1"/>
  <c r="AJ61" i="45" s="1" a="1"/>
  <c r="AJ61" i="45" s="1"/>
  <c r="AK61" i="45" s="1" a="1"/>
  <c r="AK61" i="45" s="1"/>
  <c r="AL61" i="45" s="1" a="1"/>
  <c r="AL61" i="45" s="1"/>
  <c r="AM61" i="45" s="1" a="1"/>
  <c r="AM61" i="45" s="1"/>
  <c r="AN61" i="45" s="1" a="1"/>
  <c r="AN61" i="45" s="1"/>
  <c r="AO61" i="45" s="1" a="1"/>
  <c r="AO61" i="45" s="1"/>
  <c r="AP61" i="45" s="1" a="1"/>
  <c r="AP61" i="45" s="1"/>
  <c r="AK54" i="45" a="1"/>
  <c r="AK54" i="45" s="1"/>
  <c r="AL54" i="45" s="1" a="1"/>
  <c r="AL54" i="45" s="1"/>
  <c r="AM54" i="45" s="1" a="1"/>
  <c r="AM54" i="45" s="1"/>
  <c r="AN54" i="45" s="1" a="1"/>
  <c r="AN54" i="45" s="1"/>
  <c r="AO54" i="45" s="1" a="1"/>
  <c r="AO54" i="45" s="1"/>
  <c r="AP54" i="45" s="1" a="1"/>
  <c r="AP54" i="45" s="1"/>
  <c r="AQ54" i="45" s="1" a="1"/>
  <c r="AQ54" i="45" s="1"/>
  <c r="AR54" i="45" s="1" a="1"/>
  <c r="AR54" i="45" s="1"/>
  <c r="AS54" i="45" s="1" a="1"/>
  <c r="AS54" i="45" s="1"/>
  <c r="AT54" i="45" s="1" a="1"/>
  <c r="AT54" i="45" s="1"/>
  <c r="AU54" i="45" s="1" a="1"/>
  <c r="AU54" i="45" s="1"/>
  <c r="AV54" i="45" s="1" a="1"/>
  <c r="AV54" i="45" s="1"/>
  <c r="AW54" i="45" s="1" a="1"/>
  <c r="AW54" i="45" s="1"/>
  <c r="AX54" i="45" s="1" a="1"/>
  <c r="AX54" i="45" s="1"/>
  <c r="AY54" i="45" s="1" a="1"/>
  <c r="AY54" i="45" s="1"/>
  <c r="AZ54" i="45" s="1" a="1"/>
  <c r="AZ54" i="45" s="1"/>
  <c r="BA54" i="45" s="1"/>
  <c r="A54" i="45" s="1"/>
  <c r="AB51" i="45" a="1"/>
  <c r="AB51" i="45" s="1"/>
  <c r="AA66" i="45"/>
  <c r="AD40" i="45" a="1"/>
  <c r="AD40" i="45" s="1"/>
  <c r="AE40" i="45" s="1" a="1"/>
  <c r="AE40" i="45" s="1"/>
  <c r="AC56" i="45" a="1"/>
  <c r="AC56" i="45" s="1"/>
  <c r="AD76" i="45"/>
  <c r="L13" i="57" l="1"/>
  <c r="L12" i="57" s="1"/>
  <c r="AF23" i="45" a="1"/>
  <c r="AF23" i="45" s="1"/>
  <c r="J9" i="57"/>
  <c r="V12" i="57"/>
  <c r="AF20" i="45" a="1"/>
  <c r="AF20" i="45" s="1"/>
  <c r="Q17" i="57"/>
  <c r="Q16" i="57" s="1"/>
  <c r="AD27" i="45" a="1"/>
  <c r="AD27" i="45" s="1"/>
  <c r="N23" i="57"/>
  <c r="AD75" i="45"/>
  <c r="P29" i="57" s="1"/>
  <c r="P30" i="57"/>
  <c r="P14" i="57" s="1"/>
  <c r="AA65" i="45"/>
  <c r="M26" i="57" s="1"/>
  <c r="M27" i="57"/>
  <c r="M22" i="57"/>
  <c r="M21" i="57" s="1"/>
  <c r="M11" i="57"/>
  <c r="AF40" i="45" a="1"/>
  <c r="AF40" i="45" s="1"/>
  <c r="AC51" i="45" a="1"/>
  <c r="AC51" i="45" s="1"/>
  <c r="AB66" i="45"/>
  <c r="AQ61" i="45" a="1"/>
  <c r="AQ61" i="45" s="1"/>
  <c r="AR61" i="45" s="1" a="1"/>
  <c r="AR61" i="45" s="1"/>
  <c r="AS61" i="45" s="1" a="1"/>
  <c r="AS61" i="45" s="1"/>
  <c r="AT61" i="45" s="1" a="1"/>
  <c r="AT61" i="45" s="1"/>
  <c r="AU61" i="45" s="1" a="1"/>
  <c r="AU61" i="45" s="1"/>
  <c r="AV61" i="45" s="1" a="1"/>
  <c r="AV61" i="45" s="1"/>
  <c r="AW61" i="45" s="1" a="1"/>
  <c r="AW61" i="45" s="1"/>
  <c r="AX61" i="45" s="1" a="1"/>
  <c r="AX61" i="45" s="1"/>
  <c r="AY61" i="45" s="1" a="1"/>
  <c r="AY61" i="45" s="1"/>
  <c r="AZ61" i="45" s="1" a="1"/>
  <c r="AZ61" i="45" s="1"/>
  <c r="BA61" i="45" s="1"/>
  <c r="A61" i="45" s="1"/>
  <c r="AA85" i="45"/>
  <c r="M33" i="57" s="1"/>
  <c r="AD56" i="45" a="1"/>
  <c r="AD56" i="45" s="1"/>
  <c r="AE56" i="45" s="1" a="1"/>
  <c r="AE56" i="45" s="1"/>
  <c r="AF56" i="45" s="1" a="1"/>
  <c r="AF56" i="45" s="1"/>
  <c r="AE76" i="45"/>
  <c r="AB85" i="45"/>
  <c r="N33" i="57" s="1"/>
  <c r="M13" i="57" l="1"/>
  <c r="M12" i="57" s="1"/>
  <c r="M9" i="57" s="1"/>
  <c r="M36" i="57" s="1"/>
  <c r="AE27" i="45" a="1"/>
  <c r="AE27" i="45" s="1"/>
  <c r="O23" i="57"/>
  <c r="AB65" i="45"/>
  <c r="N26" i="57" s="1"/>
  <c r="N27" i="57"/>
  <c r="AG20" i="45" a="1"/>
  <c r="AG20" i="45" s="1"/>
  <c r="AH20" i="45" s="1" a="1"/>
  <c r="AH20" i="45" s="1"/>
  <c r="AI20" i="45" s="1" a="1"/>
  <c r="AI20" i="45" s="1"/>
  <c r="AJ20" i="45" s="1" a="1"/>
  <c r="AJ20" i="45" s="1"/>
  <c r="AK20" i="45" s="1" a="1"/>
  <c r="AK20" i="45" s="1"/>
  <c r="AL20" i="45" s="1" a="1"/>
  <c r="AL20" i="45" s="1"/>
  <c r="AM20" i="45" s="1" a="1"/>
  <c r="AM20" i="45" s="1"/>
  <c r="AN20" i="45" s="1" a="1"/>
  <c r="AN20" i="45" s="1"/>
  <c r="AO20" i="45" s="1" a="1"/>
  <c r="AO20" i="45" s="1"/>
  <c r="AP20" i="45" s="1" a="1"/>
  <c r="AP20" i="45" s="1"/>
  <c r="AQ20" i="45" s="1" a="1"/>
  <c r="AQ20" i="45" s="1"/>
  <c r="AR20" i="45" s="1" a="1"/>
  <c r="AR20" i="45" s="1"/>
  <c r="AS20" i="45" s="1" a="1"/>
  <c r="AS20" i="45" s="1"/>
  <c r="AT20" i="45" s="1" a="1"/>
  <c r="AT20" i="45" s="1"/>
  <c r="AU20" i="45" s="1" a="1"/>
  <c r="AU20" i="45" s="1"/>
  <c r="AV20" i="45" s="1" a="1"/>
  <c r="AV20" i="45" s="1"/>
  <c r="AW20" i="45" s="1" a="1"/>
  <c r="AW20" i="45" s="1"/>
  <c r="AX20" i="45" s="1" a="1"/>
  <c r="AX20" i="45" s="1"/>
  <c r="AY20" i="45" s="1" a="1"/>
  <c r="AY20" i="45" s="1"/>
  <c r="AZ20" i="45" s="1" a="1"/>
  <c r="AZ20" i="45" s="1"/>
  <c r="BA20" i="45" s="1"/>
  <c r="R17" i="57"/>
  <c r="R16" i="57" s="1"/>
  <c r="N22" i="57"/>
  <c r="N21" i="57" s="1"/>
  <c r="L9" i="57"/>
  <c r="J36" i="57"/>
  <c r="J10" i="57"/>
  <c r="K10" i="57"/>
  <c r="V9" i="57"/>
  <c r="V10" i="57" s="1"/>
  <c r="AG23" i="45" a="1"/>
  <c r="AG23" i="45" s="1"/>
  <c r="AE75" i="45"/>
  <c r="Q29" i="57" s="1"/>
  <c r="Q30" i="57"/>
  <c r="Q14" i="57" s="1"/>
  <c r="AG56" i="45" a="1"/>
  <c r="AG56" i="45" s="1"/>
  <c r="AH56" i="45" s="1" a="1"/>
  <c r="AH56" i="45" s="1"/>
  <c r="AI56" i="45" s="1" a="1"/>
  <c r="AI56" i="45" s="1"/>
  <c r="AJ56" i="45" s="1" a="1"/>
  <c r="AJ56" i="45" s="1"/>
  <c r="AK56" i="45" s="1" a="1"/>
  <c r="AK56" i="45" s="1"/>
  <c r="AL56" i="45" s="1" a="1"/>
  <c r="AL56" i="45" s="1"/>
  <c r="AM56" i="45" s="1" a="1"/>
  <c r="AM56" i="45" s="1"/>
  <c r="AN56" i="45" s="1" a="1"/>
  <c r="AN56" i="45" s="1"/>
  <c r="AO56" i="45" s="1" a="1"/>
  <c r="AO56" i="45" s="1"/>
  <c r="AP56" i="45" s="1" a="1"/>
  <c r="AP56" i="45" s="1"/>
  <c r="AQ56" i="45" s="1" a="1"/>
  <c r="AQ56" i="45" s="1"/>
  <c r="AR56" i="45" s="1" a="1"/>
  <c r="AR56" i="45" s="1"/>
  <c r="AS56" i="45" s="1" a="1"/>
  <c r="AS56" i="45" s="1"/>
  <c r="AT56" i="45" s="1" a="1"/>
  <c r="AT56" i="45" s="1"/>
  <c r="AU56" i="45" s="1" a="1"/>
  <c r="AU56" i="45" s="1"/>
  <c r="AV56" i="45" s="1" a="1"/>
  <c r="AV56" i="45" s="1"/>
  <c r="AW56" i="45" s="1" a="1"/>
  <c r="AW56" i="45" s="1"/>
  <c r="AX56" i="45" s="1" a="1"/>
  <c r="AX56" i="45" s="1"/>
  <c r="AY56" i="45" s="1" a="1"/>
  <c r="AY56" i="45" s="1"/>
  <c r="AZ56" i="45" s="1" a="1"/>
  <c r="AZ56" i="45" s="1"/>
  <c r="BA56" i="45" s="1"/>
  <c r="A56" i="45" s="1"/>
  <c r="AD51" i="45" a="1"/>
  <c r="AD51" i="45" s="1"/>
  <c r="AE51" i="45" s="1" a="1"/>
  <c r="AE51" i="45" s="1"/>
  <c r="AE66" i="45" s="1"/>
  <c r="AC66" i="45"/>
  <c r="O27" i="57" s="1"/>
  <c r="AG40" i="45" a="1"/>
  <c r="AG40" i="45" s="1"/>
  <c r="AC85" i="45"/>
  <c r="O33" i="57" s="1"/>
  <c r="AF76" i="45"/>
  <c r="N11" i="57" l="1"/>
  <c r="W11" i="57" s="1"/>
  <c r="N13" i="57"/>
  <c r="L36" i="57"/>
  <c r="L10" i="57"/>
  <c r="AH23" i="45" a="1"/>
  <c r="AH23" i="45" s="1"/>
  <c r="AI23" i="45" s="1" a="1"/>
  <c r="AI23" i="45" s="1"/>
  <c r="AJ23" i="45" s="1" a="1"/>
  <c r="AJ23" i="45" s="1"/>
  <c r="AK23" i="45" s="1" a="1"/>
  <c r="AK23" i="45" s="1"/>
  <c r="AL23" i="45" s="1" a="1"/>
  <c r="AL23" i="45" s="1"/>
  <c r="AM23" i="45" s="1" a="1"/>
  <c r="AM23" i="45" s="1"/>
  <c r="AN23" i="45" s="1" a="1"/>
  <c r="AN23" i="45" s="1"/>
  <c r="AO23" i="45" s="1" a="1"/>
  <c r="AO23" i="45" s="1"/>
  <c r="AP23" i="45" s="1" a="1"/>
  <c r="AP23" i="45" s="1"/>
  <c r="AQ23" i="45" s="1" a="1"/>
  <c r="AQ23" i="45" s="1"/>
  <c r="AR23" i="45" s="1" a="1"/>
  <c r="AR23" i="45" s="1"/>
  <c r="AS23" i="45" s="1" a="1"/>
  <c r="AS23" i="45" s="1"/>
  <c r="AT23" i="45" s="1" a="1"/>
  <c r="AT23" i="45" s="1"/>
  <c r="AU23" i="45" s="1" a="1"/>
  <c r="AU23" i="45" s="1"/>
  <c r="AV23" i="45" s="1" a="1"/>
  <c r="AV23" i="45" s="1"/>
  <c r="AW23" i="45" s="1" a="1"/>
  <c r="AW23" i="45" s="1"/>
  <c r="AX23" i="45" s="1" a="1"/>
  <c r="AX23" i="45" s="1"/>
  <c r="AY23" i="45" s="1" a="1"/>
  <c r="AY23" i="45" s="1"/>
  <c r="AZ23" i="45" s="1" a="1"/>
  <c r="AZ23" i="45" s="1"/>
  <c r="BA23" i="45" s="1"/>
  <c r="A23" i="45" s="1"/>
  <c r="M10" i="57"/>
  <c r="AF75" i="45"/>
  <c r="R29" i="57" s="1"/>
  <c r="R30" i="57"/>
  <c r="R14" i="57" s="1"/>
  <c r="X14" i="57" s="1"/>
  <c r="N12" i="57"/>
  <c r="W13" i="57"/>
  <c r="O22" i="57"/>
  <c r="O21" i="57" s="1"/>
  <c r="AF27" i="45" a="1"/>
  <c r="AF27" i="45" s="1"/>
  <c r="P23" i="57"/>
  <c r="AE65" i="45"/>
  <c r="Q26" i="57" s="1"/>
  <c r="Q27" i="57"/>
  <c r="AH40" i="45" a="1"/>
  <c r="AH40" i="45" s="1"/>
  <c r="AC65" i="45"/>
  <c r="O26" i="57" s="1"/>
  <c r="O13" i="57" s="1"/>
  <c r="O12" i="57" s="1"/>
  <c r="AD66" i="45"/>
  <c r="AF51" i="45" a="1"/>
  <c r="AF51" i="45" s="1"/>
  <c r="AF66" i="45" s="1"/>
  <c r="AG76" i="45"/>
  <c r="AG75" i="45" s="1"/>
  <c r="AD85" i="45"/>
  <c r="P33" i="57" s="1"/>
  <c r="Q13" i="57" l="1"/>
  <c r="Q12" i="57" s="1"/>
  <c r="O11" i="57"/>
  <c r="AF65" i="45"/>
  <c r="R26" i="57" s="1"/>
  <c r="R27" i="57"/>
  <c r="P22" i="57"/>
  <c r="P21" i="57" s="1"/>
  <c r="N9" i="57"/>
  <c r="W12" i="57"/>
  <c r="AG27" i="45" a="1"/>
  <c r="AG27" i="45" s="1"/>
  <c r="Q23" i="57"/>
  <c r="O9" i="57"/>
  <c r="AD65" i="45"/>
  <c r="P26" i="57" s="1"/>
  <c r="P27" i="57"/>
  <c r="AI40" i="45" a="1"/>
  <c r="AI40" i="45" s="1"/>
  <c r="AG51" i="45" a="1"/>
  <c r="AG51" i="45" s="1"/>
  <c r="AE85" i="45"/>
  <c r="Q33" i="57" s="1"/>
  <c r="AH76" i="45"/>
  <c r="AH75" i="45" s="1"/>
  <c r="P11" i="57" l="1"/>
  <c r="R13" i="57"/>
  <c r="R12" i="57" s="1"/>
  <c r="P13" i="57"/>
  <c r="P12" i="57"/>
  <c r="X13" i="57"/>
  <c r="O10" i="57"/>
  <c r="O36" i="57"/>
  <c r="Q22" i="57"/>
  <c r="Q21" i="57" s="1"/>
  <c r="AH27" i="45" a="1"/>
  <c r="AH27" i="45" s="1"/>
  <c r="AI27" i="45" s="1" a="1"/>
  <c r="AI27" i="45" s="1"/>
  <c r="AJ27" i="45" s="1" a="1"/>
  <c r="AJ27" i="45" s="1"/>
  <c r="AK27" i="45" s="1" a="1"/>
  <c r="AK27" i="45" s="1"/>
  <c r="AL27" i="45" s="1" a="1"/>
  <c r="AL27" i="45" s="1"/>
  <c r="AM27" i="45" s="1" a="1"/>
  <c r="AM27" i="45" s="1"/>
  <c r="AN27" i="45" s="1" a="1"/>
  <c r="AN27" i="45" s="1"/>
  <c r="AO27" i="45" s="1" a="1"/>
  <c r="AO27" i="45" s="1"/>
  <c r="AP27" i="45" s="1" a="1"/>
  <c r="AP27" i="45" s="1"/>
  <c r="AQ27" i="45" s="1" a="1"/>
  <c r="AQ27" i="45" s="1"/>
  <c r="AR27" i="45" s="1" a="1"/>
  <c r="AR27" i="45" s="1"/>
  <c r="AS27" i="45" s="1" a="1"/>
  <c r="AS27" i="45" s="1"/>
  <c r="AT27" i="45" s="1" a="1"/>
  <c r="AT27" i="45" s="1"/>
  <c r="AU27" i="45" s="1" a="1"/>
  <c r="AU27" i="45" s="1"/>
  <c r="AV27" i="45" s="1" a="1"/>
  <c r="AV27" i="45" s="1"/>
  <c r="AW27" i="45" s="1" a="1"/>
  <c r="AW27" i="45" s="1"/>
  <c r="AX27" i="45" s="1" a="1"/>
  <c r="AX27" i="45" s="1"/>
  <c r="AY27" i="45" s="1" a="1"/>
  <c r="AY27" i="45" s="1"/>
  <c r="AZ27" i="45" s="1" a="1"/>
  <c r="AZ27" i="45" s="1"/>
  <c r="BA27" i="45" s="1"/>
  <c r="A27" i="45" s="1"/>
  <c r="R23" i="57"/>
  <c r="N10" i="57"/>
  <c r="N36" i="57"/>
  <c r="W9" i="57"/>
  <c r="W10" i="57" s="1"/>
  <c r="AH51" i="45" a="1"/>
  <c r="AH51" i="45" s="1"/>
  <c r="AG66" i="45"/>
  <c r="AG65" i="45" s="1"/>
  <c r="AJ40" i="45" a="1"/>
  <c r="AJ40" i="45" s="1"/>
  <c r="AK40" i="45" s="1" a="1"/>
  <c r="AK40" i="45" s="1"/>
  <c r="AI76" i="45"/>
  <c r="AI75" i="45" s="1"/>
  <c r="AF85" i="45"/>
  <c r="R33" i="57" s="1"/>
  <c r="Q11" i="57" l="1"/>
  <c r="Q9" i="57" s="1"/>
  <c r="Q36" i="57" s="1"/>
  <c r="R22" i="57"/>
  <c r="R21" i="57" s="1"/>
  <c r="R11" i="57"/>
  <c r="P9" i="57"/>
  <c r="X12" i="57"/>
  <c r="AL40" i="45" a="1"/>
  <c r="AL40" i="45" s="1"/>
  <c r="AI51" i="45" a="1"/>
  <c r="AI51" i="45" s="1"/>
  <c r="AH66" i="45"/>
  <c r="AH65" i="45" s="1"/>
  <c r="AG85" i="45"/>
  <c r="AJ76" i="45"/>
  <c r="AJ75" i="45" s="1"/>
  <c r="R9" i="57" l="1"/>
  <c r="X11" i="57"/>
  <c r="P10" i="57"/>
  <c r="P36" i="57"/>
  <c r="Q10" i="57"/>
  <c r="AJ51" i="45" a="1"/>
  <c r="AJ51" i="45" s="1"/>
  <c r="AI66" i="45"/>
  <c r="AI65" i="45" s="1"/>
  <c r="AM40" i="45" a="1"/>
  <c r="AM40" i="45" s="1"/>
  <c r="AK76" i="45"/>
  <c r="AK75" i="45" s="1"/>
  <c r="AH85" i="45"/>
  <c r="X9" i="57" l="1"/>
  <c r="R10" i="57"/>
  <c r="R36" i="57"/>
  <c r="AN40" i="45" a="1"/>
  <c r="AN40" i="45" s="1"/>
  <c r="AK51" i="45" a="1"/>
  <c r="AK51" i="45" s="1"/>
  <c r="AJ66" i="45"/>
  <c r="AJ65" i="45" s="1"/>
  <c r="AI85" i="45"/>
  <c r="AL76" i="45"/>
  <c r="AL75" i="45" s="1"/>
  <c r="X6" i="57" l="1"/>
  <c r="X10" i="57"/>
  <c r="AL51" i="45" a="1"/>
  <c r="AL51" i="45" s="1"/>
  <c r="AK66" i="45"/>
  <c r="AK65" i="45" s="1"/>
  <c r="AO40" i="45" a="1"/>
  <c r="AO40" i="45" s="1"/>
  <c r="AJ85" i="45"/>
  <c r="AM76" i="45"/>
  <c r="AM75" i="45" s="1"/>
  <c r="AM51" i="45" l="1" a="1"/>
  <c r="AM51" i="45" s="1"/>
  <c r="AL66" i="45"/>
  <c r="AL65" i="45" s="1"/>
  <c r="AP40" i="45" a="1"/>
  <c r="AP40" i="45" s="1"/>
  <c r="AK85" i="45"/>
  <c r="AN76" i="45"/>
  <c r="AN75" i="45" s="1"/>
  <c r="AQ40" i="45" l="1" a="1"/>
  <c r="AQ40" i="45" s="1"/>
  <c r="AN51" i="45" a="1"/>
  <c r="AN51" i="45" s="1"/>
  <c r="AM66" i="45"/>
  <c r="AM65" i="45" s="1"/>
  <c r="AL85" i="45"/>
  <c r="AO76" i="45"/>
  <c r="AO75" i="45" s="1"/>
  <c r="AO51" i="45" l="1" a="1"/>
  <c r="AO51" i="45" s="1"/>
  <c r="AN66" i="45"/>
  <c r="AN65" i="45" s="1"/>
  <c r="AR40" i="45" a="1"/>
  <c r="AR40" i="45" s="1"/>
  <c r="AM85" i="45"/>
  <c r="AP76" i="45"/>
  <c r="AP75" i="45" s="1"/>
  <c r="AS40" i="45" l="1" a="1"/>
  <c r="AS40" i="45" s="1"/>
  <c r="AP51" i="45" a="1"/>
  <c r="AP51" i="45" s="1"/>
  <c r="AO66" i="45"/>
  <c r="AO65" i="45" s="1"/>
  <c r="AN85" i="45"/>
  <c r="AQ76" i="45"/>
  <c r="AQ75" i="45" s="1"/>
  <c r="AQ51" i="45" l="1" a="1"/>
  <c r="AQ51" i="45" s="1"/>
  <c r="AP66" i="45"/>
  <c r="AP65" i="45" s="1"/>
  <c r="AT40" i="45" a="1"/>
  <c r="AT40" i="45" s="1"/>
  <c r="AO85" i="45"/>
  <c r="AR76" i="45"/>
  <c r="AR75" i="45" s="1"/>
  <c r="AU40" i="45" l="1" a="1"/>
  <c r="AU40" i="45" s="1"/>
  <c r="AR51" i="45" a="1"/>
  <c r="AR51" i="45" s="1"/>
  <c r="AQ66" i="45"/>
  <c r="AQ65" i="45" s="1"/>
  <c r="AS76" i="45"/>
  <c r="AS75" i="45" s="1"/>
  <c r="AP85" i="45"/>
  <c r="AS51" i="45" l="1" a="1"/>
  <c r="AS51" i="45" s="1"/>
  <c r="AR66" i="45"/>
  <c r="AR65" i="45" s="1"/>
  <c r="AV40" i="45" a="1"/>
  <c r="AV40" i="45" s="1"/>
  <c r="AQ85" i="45"/>
  <c r="AT76" i="45"/>
  <c r="AT75" i="45" s="1"/>
  <c r="AW40" i="45" l="1" a="1"/>
  <c r="AW40" i="45" s="1"/>
  <c r="AT51" i="45" a="1"/>
  <c r="AT51" i="45" s="1"/>
  <c r="AS66" i="45"/>
  <c r="AS65" i="45" s="1"/>
  <c r="AU76" i="45"/>
  <c r="AU75" i="45" s="1"/>
  <c r="AR85" i="45"/>
  <c r="AU51" i="45" l="1" a="1"/>
  <c r="AU51" i="45" s="1"/>
  <c r="AT66" i="45"/>
  <c r="AT65" i="45" s="1"/>
  <c r="AX40" i="45" a="1"/>
  <c r="AX40" i="45" s="1"/>
  <c r="AS85" i="45"/>
  <c r="AV76" i="45"/>
  <c r="AV75" i="45" s="1"/>
  <c r="AY40" i="45" l="1" a="1"/>
  <c r="AY40" i="45" s="1"/>
  <c r="AV51" i="45" a="1"/>
  <c r="AV51" i="45" s="1"/>
  <c r="AU66" i="45"/>
  <c r="AW76" i="45"/>
  <c r="AW75" i="45" s="1"/>
  <c r="AT85" i="45"/>
  <c r="AU65" i="45" l="1"/>
  <c r="AW51" i="45" a="1"/>
  <c r="AW51" i="45" s="1"/>
  <c r="AV66" i="45"/>
  <c r="AZ40" i="45" a="1"/>
  <c r="AZ40" i="45" s="1"/>
  <c r="AX76" i="45"/>
  <c r="AX75" i="45" s="1"/>
  <c r="AU85" i="45"/>
  <c r="AV65" i="45" l="1"/>
  <c r="BA40" i="45"/>
  <c r="A40" i="45" s="1"/>
  <c r="AX51" i="45" a="1"/>
  <c r="AX51" i="45" s="1"/>
  <c r="AW66" i="45"/>
  <c r="AY76" i="45"/>
  <c r="AY75" i="45" s="1"/>
  <c r="AZ76" i="45"/>
  <c r="AZ75" i="45" s="1"/>
  <c r="AV85" i="45"/>
  <c r="AW65" i="45" l="1"/>
  <c r="AY51" i="45" a="1"/>
  <c r="AY51" i="45" s="1"/>
  <c r="AX66" i="45"/>
  <c r="A21" i="45"/>
  <c r="AW85" i="45"/>
  <c r="AX65" i="45" l="1"/>
  <c r="AZ51" i="45" a="1"/>
  <c r="AZ51" i="45" s="1"/>
  <c r="AY66" i="45"/>
  <c r="AX85" i="45"/>
  <c r="AY65" i="45" l="1"/>
  <c r="BA51" i="45"/>
  <c r="A51" i="45" s="1"/>
  <c r="AZ66" i="45"/>
  <c r="AY85" i="45"/>
  <c r="AZ85" i="45"/>
  <c r="AZ65" i="45" l="1"/>
  <c r="AA59" i="44"/>
  <c r="P57" i="44"/>
  <c r="Q57" i="44"/>
  <c r="R59" i="44" s="1"/>
  <c r="R57" i="44"/>
  <c r="U59" i="44" s="1"/>
  <c r="V59" i="44" s="1"/>
  <c r="W59" i="44" s="1"/>
  <c r="X59" i="44" s="1"/>
  <c r="Y59" i="44" s="1"/>
  <c r="Z59" i="44" s="1"/>
  <c r="S57" i="44"/>
  <c r="T57" i="44"/>
  <c r="O57" i="44"/>
  <c r="O59" i="44" s="1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R74" i="43"/>
  <c r="R60" i="43"/>
  <c r="S67" i="43"/>
  <c r="T67" i="43"/>
  <c r="S68" i="43"/>
  <c r="T68" i="43"/>
  <c r="U68" i="43"/>
  <c r="V68" i="43"/>
  <c r="W68" i="43"/>
  <c r="X68" i="43"/>
  <c r="S69" i="43"/>
  <c r="T69" i="43"/>
  <c r="U69" i="43"/>
  <c r="V69" i="43"/>
  <c r="W69" i="43"/>
  <c r="X69" i="43"/>
  <c r="Y69" i="43"/>
  <c r="Z69" i="43"/>
  <c r="AA69" i="43"/>
  <c r="AB69" i="43"/>
  <c r="S70" i="43"/>
  <c r="T70" i="43"/>
  <c r="U70" i="43"/>
  <c r="V70" i="43"/>
  <c r="W70" i="43"/>
  <c r="X70" i="43"/>
  <c r="Y70" i="43"/>
  <c r="Z70" i="43"/>
  <c r="AA70" i="43"/>
  <c r="AB70" i="43"/>
  <c r="AC70" i="43"/>
  <c r="AD70" i="43"/>
  <c r="AE70" i="43"/>
  <c r="AF70" i="43"/>
  <c r="R68" i="43"/>
  <c r="R69" i="43"/>
  <c r="R70" i="43"/>
  <c r="R67" i="43"/>
  <c r="R55" i="43"/>
  <c r="S55" i="43"/>
  <c r="T55" i="43"/>
  <c r="U55" i="43"/>
  <c r="V55" i="43"/>
  <c r="W55" i="43"/>
  <c r="X55" i="43"/>
  <c r="Y55" i="43"/>
  <c r="Z55" i="43"/>
  <c r="AA55" i="43"/>
  <c r="AB55" i="43"/>
  <c r="R56" i="43"/>
  <c r="S56" i="43"/>
  <c r="T56" i="43"/>
  <c r="U56" i="43"/>
  <c r="V56" i="43"/>
  <c r="W56" i="43"/>
  <c r="X56" i="43"/>
  <c r="Y56" i="43"/>
  <c r="Z56" i="43"/>
  <c r="AA56" i="43"/>
  <c r="AB56" i="43"/>
  <c r="S54" i="43"/>
  <c r="T54" i="43"/>
  <c r="U54" i="43"/>
  <c r="V54" i="43"/>
  <c r="W54" i="43"/>
  <c r="X54" i="43"/>
  <c r="R54" i="43"/>
  <c r="S38" i="43"/>
  <c r="T38" i="43"/>
  <c r="U38" i="43"/>
  <c r="V38" i="43"/>
  <c r="S39" i="43"/>
  <c r="T39" i="43"/>
  <c r="U39" i="43"/>
  <c r="V39" i="43"/>
  <c r="S40" i="43"/>
  <c r="T40" i="43"/>
  <c r="U40" i="43"/>
  <c r="V40" i="43"/>
  <c r="W40" i="43"/>
  <c r="X40" i="43"/>
  <c r="Y40" i="43"/>
  <c r="S41" i="43"/>
  <c r="T41" i="43"/>
  <c r="U41" i="43"/>
  <c r="V41" i="43"/>
  <c r="W41" i="43"/>
  <c r="S42" i="43"/>
  <c r="T42" i="43"/>
  <c r="U42" i="43"/>
  <c r="V42" i="43"/>
  <c r="W42" i="43"/>
  <c r="S43" i="43"/>
  <c r="T43" i="43"/>
  <c r="U43" i="43"/>
  <c r="V43" i="43"/>
  <c r="W43" i="43"/>
  <c r="X43" i="43"/>
  <c r="Y43" i="43"/>
  <c r="Z43" i="43"/>
  <c r="AA43" i="43"/>
  <c r="S44" i="43"/>
  <c r="T44" i="43"/>
  <c r="U44" i="43"/>
  <c r="V44" i="43"/>
  <c r="W44" i="43"/>
  <c r="X44" i="43"/>
  <c r="Y44" i="43"/>
  <c r="Z44" i="43"/>
  <c r="AA44" i="43"/>
  <c r="AB44" i="43"/>
  <c r="R39" i="43"/>
  <c r="R40" i="43"/>
  <c r="R41" i="43"/>
  <c r="R42" i="43"/>
  <c r="R43" i="43"/>
  <c r="R44" i="43"/>
  <c r="R38" i="43"/>
  <c r="S18" i="43"/>
  <c r="T18" i="43"/>
  <c r="U18" i="43"/>
  <c r="V18" i="43"/>
  <c r="W18" i="43"/>
  <c r="X18" i="43"/>
  <c r="S19" i="43"/>
  <c r="T19" i="43"/>
  <c r="U19" i="43"/>
  <c r="S20" i="43"/>
  <c r="T20" i="43"/>
  <c r="U20" i="43"/>
  <c r="V20" i="43"/>
  <c r="W20" i="43"/>
  <c r="X20" i="43"/>
  <c r="Y20" i="43"/>
  <c r="Z20" i="43"/>
  <c r="S21" i="43"/>
  <c r="S17" i="43"/>
  <c r="T17" i="43"/>
  <c r="U17" i="43"/>
  <c r="R17" i="43"/>
  <c r="R18" i="43"/>
  <c r="R19" i="43"/>
  <c r="R20" i="43"/>
  <c r="R21" i="43"/>
  <c r="S16" i="43"/>
  <c r="T16" i="43"/>
  <c r="R16" i="43"/>
  <c r="Z5" i="41"/>
  <c r="Z6" i="41"/>
  <c r="Z7" i="41"/>
  <c r="Z8" i="41"/>
  <c r="Z9" i="41"/>
  <c r="Z10" i="41"/>
  <c r="Z11" i="41"/>
  <c r="Z12" i="41"/>
  <c r="Z13" i="41"/>
  <c r="Z14" i="41"/>
  <c r="Z15" i="41"/>
  <c r="Z16" i="41"/>
  <c r="Z17" i="41"/>
  <c r="Z18" i="41"/>
  <c r="Z19" i="41"/>
  <c r="Z20" i="41"/>
  <c r="Z21" i="41"/>
  <c r="Z22" i="41"/>
  <c r="Z23" i="41"/>
  <c r="Z24" i="41"/>
  <c r="Z25" i="41"/>
  <c r="Z26" i="41"/>
  <c r="Z27" i="41"/>
  <c r="Z28" i="41"/>
  <c r="Z29" i="41"/>
  <c r="Z31" i="41"/>
  <c r="Z32" i="41"/>
  <c r="Z33" i="41"/>
  <c r="Z34" i="41"/>
  <c r="Z35" i="41"/>
  <c r="Z36" i="41"/>
  <c r="Z37" i="41"/>
  <c r="Z38" i="41"/>
  <c r="Z39" i="41"/>
  <c r="Z40" i="41"/>
  <c r="Z41" i="41"/>
  <c r="Z42" i="41"/>
  <c r="Z43" i="41"/>
  <c r="Z44" i="41"/>
  <c r="Z45" i="41"/>
  <c r="Z46" i="41"/>
  <c r="Z47" i="41"/>
  <c r="Z48" i="41"/>
  <c r="Z49" i="41"/>
  <c r="Z50" i="41"/>
  <c r="Z51" i="41"/>
  <c r="Z52" i="41"/>
  <c r="Z53" i="41"/>
  <c r="Z54" i="41"/>
  <c r="Z55" i="41"/>
  <c r="Z56" i="41"/>
  <c r="Z57" i="41"/>
  <c r="Z58" i="41"/>
  <c r="Z59" i="41"/>
  <c r="Z60" i="41"/>
  <c r="Z61" i="41"/>
  <c r="Z62" i="41"/>
  <c r="Z63" i="41"/>
  <c r="Z64" i="41"/>
  <c r="Z65" i="41"/>
  <c r="Z66" i="41"/>
  <c r="Z67" i="41"/>
  <c r="Z68" i="41"/>
  <c r="Z4" i="41"/>
  <c r="P36" i="44"/>
  <c r="R38" i="44" s="1"/>
  <c r="Q36" i="44"/>
  <c r="T38" i="44" s="1"/>
  <c r="R36" i="44"/>
  <c r="V38" i="44" s="1"/>
  <c r="S36" i="44"/>
  <c r="X38" i="44" s="1"/>
  <c r="O36" i="44"/>
  <c r="P38" i="44" s="1"/>
  <c r="P34" i="44"/>
  <c r="Q34" i="44"/>
  <c r="R34" i="44"/>
  <c r="S34" i="44" s="1"/>
  <c r="V59" i="43" l="1"/>
  <c r="V58" i="43" s="1"/>
  <c r="O58" i="44"/>
  <c r="P59" i="44"/>
  <c r="Q59" i="44" s="1"/>
  <c r="S59" i="44"/>
  <c r="T59" i="44" s="1"/>
  <c r="E38" i="58"/>
  <c r="U38" i="58" s="1"/>
  <c r="E34" i="58"/>
  <c r="U34" i="58" s="1"/>
  <c r="R40" i="44"/>
  <c r="O38" i="44"/>
  <c r="P40" i="44" s="1"/>
  <c r="Q38" i="44"/>
  <c r="T40" i="44" s="1"/>
  <c r="Y38" i="44"/>
  <c r="AF40" i="44"/>
  <c r="AG40" i="44" s="1"/>
  <c r="AH39" i="44" s="1"/>
  <c r="W38" i="44"/>
  <c r="AD40" i="44"/>
  <c r="U38" i="44"/>
  <c r="AB40" i="44" s="1"/>
  <c r="Z40" i="44"/>
  <c r="S38" i="44"/>
  <c r="X40" i="44" s="1"/>
  <c r="V40" i="44"/>
  <c r="T73" i="43"/>
  <c r="X59" i="43"/>
  <c r="W59" i="43"/>
  <c r="U59" i="43"/>
  <c r="S73" i="43"/>
  <c r="S59" i="43"/>
  <c r="T25" i="43"/>
  <c r="V48" i="43"/>
  <c r="S25" i="43"/>
  <c r="U48" i="43"/>
  <c r="T59" i="43"/>
  <c r="T48" i="43"/>
  <c r="S48" i="43"/>
  <c r="O35" i="44"/>
  <c r="T35" i="44"/>
  <c r="P35" i="44"/>
  <c r="R56" i="44"/>
  <c r="X58" i="44"/>
  <c r="Z58" i="44"/>
  <c r="T33" i="44"/>
  <c r="S33" i="44"/>
  <c r="P56" i="44"/>
  <c r="Q56" i="44"/>
  <c r="O56" i="44"/>
  <c r="U56" i="44"/>
  <c r="R35" i="44"/>
  <c r="S56" i="44"/>
  <c r="T56" i="44"/>
  <c r="R59" i="43"/>
  <c r="R73" i="43"/>
  <c r="S35" i="44"/>
  <c r="I37" i="58" l="1"/>
  <c r="I15" i="58" s="1"/>
  <c r="AC40" i="44"/>
  <c r="W40" i="44"/>
  <c r="AA40" i="44"/>
  <c r="AE40" i="44"/>
  <c r="AE39" i="44" s="1"/>
  <c r="S58" i="43"/>
  <c r="F37" i="58"/>
  <c r="F15" i="58" s="1"/>
  <c r="X58" i="43"/>
  <c r="K37" i="58"/>
  <c r="S72" i="43"/>
  <c r="F33" i="58"/>
  <c r="T72" i="43"/>
  <c r="G33" i="58"/>
  <c r="I36" i="58"/>
  <c r="T58" i="43"/>
  <c r="G37" i="58"/>
  <c r="S47" i="43"/>
  <c r="F30" i="58"/>
  <c r="T47" i="43"/>
  <c r="G30" i="58"/>
  <c r="U47" i="43"/>
  <c r="H30" i="58"/>
  <c r="W58" i="43"/>
  <c r="J37" i="58"/>
  <c r="J15" i="58" s="1"/>
  <c r="R72" i="43"/>
  <c r="E33" i="58"/>
  <c r="S24" i="43"/>
  <c r="F26" i="58"/>
  <c r="R58" i="43"/>
  <c r="E37" i="58"/>
  <c r="V47" i="43"/>
  <c r="I30" i="58"/>
  <c r="U58" i="43"/>
  <c r="H37" i="58"/>
  <c r="H15" i="58" s="1"/>
  <c r="T24" i="43"/>
  <c r="G26" i="58"/>
  <c r="Y40" i="44"/>
  <c r="U40" i="44"/>
  <c r="Q40" i="44"/>
  <c r="O40" i="44"/>
  <c r="S40" i="44"/>
  <c r="AA58" i="44"/>
  <c r="Y58" i="44"/>
  <c r="AB39" i="44"/>
  <c r="V37" i="44"/>
  <c r="Y37" i="44"/>
  <c r="Q35" i="44"/>
  <c r="U35" i="44" s="1"/>
  <c r="Z37" i="44"/>
  <c r="O37" i="44"/>
  <c r="T58" i="44"/>
  <c r="R58" i="44"/>
  <c r="P58" i="44"/>
  <c r="O34" i="44"/>
  <c r="D53" i="33"/>
  <c r="E53" i="33"/>
  <c r="F53" i="33"/>
  <c r="G53" i="33"/>
  <c r="C53" i="33"/>
  <c r="E68" i="43"/>
  <c r="E69" i="43"/>
  <c r="E70" i="43"/>
  <c r="E67" i="43"/>
  <c r="M68" i="43"/>
  <c r="M69" i="43"/>
  <c r="M70" i="43"/>
  <c r="M67" i="43"/>
  <c r="I68" i="43"/>
  <c r="I69" i="43"/>
  <c r="I70" i="43"/>
  <c r="M34" i="43"/>
  <c r="I40" i="43"/>
  <c r="M40" i="43"/>
  <c r="I39" i="43"/>
  <c r="J39" i="43"/>
  <c r="M39" i="43"/>
  <c r="E40" i="43"/>
  <c r="F34" i="43"/>
  <c r="G40" i="43" s="1"/>
  <c r="F33" i="43"/>
  <c r="F32" i="43"/>
  <c r="F31" i="43"/>
  <c r="F30" i="43"/>
  <c r="F29" i="43"/>
  <c r="F44" i="43"/>
  <c r="H24" i="38"/>
  <c r="H22" i="38"/>
  <c r="U33" i="58" l="1"/>
  <c r="K15" i="58"/>
  <c r="G15" i="58"/>
  <c r="V37" i="58"/>
  <c r="E15" i="58"/>
  <c r="U15" i="58" s="1"/>
  <c r="U37" i="58"/>
  <c r="U49" i="58"/>
  <c r="U48" i="58" s="1"/>
  <c r="X49" i="58"/>
  <c r="X48" i="58" s="1"/>
  <c r="V15" i="58"/>
  <c r="U46" i="43"/>
  <c r="H29" i="58"/>
  <c r="G32" i="58"/>
  <c r="F32" i="58"/>
  <c r="S46" i="43"/>
  <c r="F29" i="58"/>
  <c r="T46" i="43"/>
  <c r="G29" i="58"/>
  <c r="G25" i="58"/>
  <c r="H36" i="58"/>
  <c r="K36" i="58"/>
  <c r="G36" i="58"/>
  <c r="S23" i="43"/>
  <c r="F25" i="58"/>
  <c r="E32" i="58"/>
  <c r="J36" i="58"/>
  <c r="E36" i="58"/>
  <c r="V46" i="43"/>
  <c r="I29" i="58"/>
  <c r="F36" i="58"/>
  <c r="AM44" i="43"/>
  <c r="AY44" i="43"/>
  <c r="AN44" i="43"/>
  <c r="AO44" i="43"/>
  <c r="AW44" i="43"/>
  <c r="AP44" i="43"/>
  <c r="AQ44" i="43"/>
  <c r="AF44" i="43"/>
  <c r="AR44" i="43"/>
  <c r="AG44" i="43"/>
  <c r="AS44" i="43"/>
  <c r="AH44" i="43"/>
  <c r="AT44" i="43"/>
  <c r="AK44" i="43"/>
  <c r="AU44" i="43"/>
  <c r="AJ44" i="43"/>
  <c r="AV44" i="43"/>
  <c r="AL44" i="43"/>
  <c r="AX44" i="43"/>
  <c r="V58" i="44"/>
  <c r="W58" i="44"/>
  <c r="Q58" i="44"/>
  <c r="S58" i="44"/>
  <c r="U58" i="44"/>
  <c r="AC39" i="44"/>
  <c r="W37" i="44"/>
  <c r="X37" i="44"/>
  <c r="P37" i="44"/>
  <c r="O39" i="44"/>
  <c r="V39" i="44"/>
  <c r="S37" i="44"/>
  <c r="AG39" i="44"/>
  <c r="AF39" i="44"/>
  <c r="O33" i="44"/>
  <c r="P33" i="44"/>
  <c r="G38" i="43"/>
  <c r="F40" i="43"/>
  <c r="W49" i="58" s="1"/>
  <c r="AZ57" i="43"/>
  <c r="AZ45" i="43"/>
  <c r="AZ22" i="43"/>
  <c r="BC1" i="44"/>
  <c r="BB1" i="44"/>
  <c r="BA1" i="44"/>
  <c r="AZ1" i="44"/>
  <c r="AY1" i="44"/>
  <c r="AX1" i="44"/>
  <c r="AW1" i="44"/>
  <c r="AV1" i="44"/>
  <c r="AU1" i="44"/>
  <c r="AT1" i="44"/>
  <c r="AS1" i="44"/>
  <c r="AR1" i="44"/>
  <c r="AQ1" i="44"/>
  <c r="AP1" i="44"/>
  <c r="AO1" i="44"/>
  <c r="AN1" i="44"/>
  <c r="AM1" i="44"/>
  <c r="AL1" i="44"/>
  <c r="AK1" i="44"/>
  <c r="AJ1" i="44"/>
  <c r="AI1" i="44"/>
  <c r="AH1" i="44"/>
  <c r="AG1" i="44"/>
  <c r="AF1" i="44"/>
  <c r="AE1" i="44"/>
  <c r="AD1" i="44"/>
  <c r="AC1" i="44"/>
  <c r="AB1" i="44"/>
  <c r="AA1" i="44"/>
  <c r="Z1" i="44"/>
  <c r="Y1" i="44"/>
  <c r="X1" i="44"/>
  <c r="W1" i="44"/>
  <c r="V1" i="44"/>
  <c r="U1" i="44"/>
  <c r="T1" i="44"/>
  <c r="S1" i="44"/>
  <c r="R1" i="44"/>
  <c r="Q1" i="44"/>
  <c r="P1" i="44"/>
  <c r="O1" i="44"/>
  <c r="R1" i="43"/>
  <c r="S1" i="43"/>
  <c r="A74" i="43"/>
  <c r="D48" i="33"/>
  <c r="E48" i="33"/>
  <c r="F48" i="33"/>
  <c r="G48" i="33"/>
  <c r="C48" i="33"/>
  <c r="I67" i="43"/>
  <c r="I55" i="43"/>
  <c r="I56" i="43"/>
  <c r="I54" i="43"/>
  <c r="I44" i="43"/>
  <c r="C43" i="33"/>
  <c r="I17" i="43"/>
  <c r="I18" i="43"/>
  <c r="I19" i="43"/>
  <c r="I20" i="43"/>
  <c r="I21" i="43"/>
  <c r="I16" i="43"/>
  <c r="M65" i="43"/>
  <c r="M64" i="43"/>
  <c r="M56" i="43"/>
  <c r="M55" i="43"/>
  <c r="M54" i="43"/>
  <c r="M52" i="43"/>
  <c r="M36" i="43"/>
  <c r="M33" i="43"/>
  <c r="M32" i="43"/>
  <c r="M41" i="43"/>
  <c r="M42" i="43"/>
  <c r="M43" i="43"/>
  <c r="M44" i="43"/>
  <c r="M38" i="43"/>
  <c r="M17" i="43"/>
  <c r="M18" i="43"/>
  <c r="M19" i="43"/>
  <c r="M20" i="43"/>
  <c r="M21" i="43"/>
  <c r="M16" i="43"/>
  <c r="U1" i="43"/>
  <c r="V1" i="43"/>
  <c r="W1" i="43"/>
  <c r="X1" i="43"/>
  <c r="Y1" i="43"/>
  <c r="Z1" i="43"/>
  <c r="AA1" i="43"/>
  <c r="AB1" i="43"/>
  <c r="AC1" i="43"/>
  <c r="AD1" i="43"/>
  <c r="AE1" i="43"/>
  <c r="AF1" i="43"/>
  <c r="AG1" i="43"/>
  <c r="AH1" i="43"/>
  <c r="AI1" i="43"/>
  <c r="AJ1" i="43"/>
  <c r="AK1" i="43"/>
  <c r="AL1" i="43"/>
  <c r="AM1" i="43"/>
  <c r="AN1" i="43"/>
  <c r="AO1" i="43"/>
  <c r="AP1" i="43"/>
  <c r="AQ1" i="43"/>
  <c r="AR1" i="43"/>
  <c r="AS1" i="43"/>
  <c r="AT1" i="43"/>
  <c r="AU1" i="43"/>
  <c r="AV1" i="43"/>
  <c r="AW1" i="43"/>
  <c r="AX1" i="43"/>
  <c r="AY1" i="43"/>
  <c r="T1" i="43"/>
  <c r="V36" i="58" l="1"/>
  <c r="AC44" i="43"/>
  <c r="U32" i="58"/>
  <c r="U36" i="58"/>
  <c r="X56" i="58"/>
  <c r="X55" i="58" s="1"/>
  <c r="U56" i="58"/>
  <c r="U55" i="58" s="1"/>
  <c r="X45" i="58"/>
  <c r="X44" i="58" s="1"/>
  <c r="X43" i="58" s="1"/>
  <c r="W45" i="58"/>
  <c r="X47" i="58"/>
  <c r="U47" i="58"/>
  <c r="G28" i="58"/>
  <c r="I28" i="58"/>
  <c r="F28" i="58"/>
  <c r="H28" i="58"/>
  <c r="F24" i="58"/>
  <c r="AJ40" i="43"/>
  <c r="AV40" i="43"/>
  <c r="AK40" i="43"/>
  <c r="AW40" i="43"/>
  <c r="AL40" i="43"/>
  <c r="AX40" i="43"/>
  <c r="AM40" i="43"/>
  <c r="AY40" i="43"/>
  <c r="AN40" i="43"/>
  <c r="AB40" i="43"/>
  <c r="AT40" i="43"/>
  <c r="AO40" i="43"/>
  <c r="AD40" i="43"/>
  <c r="AP40" i="43"/>
  <c r="AA40" i="43"/>
  <c r="AH40" i="43"/>
  <c r="AE40" i="43"/>
  <c r="AQ40" i="43"/>
  <c r="AF40" i="43"/>
  <c r="AR40" i="43"/>
  <c r="AS40" i="43"/>
  <c r="AI40" i="43"/>
  <c r="AU40" i="43"/>
  <c r="AD39" i="44"/>
  <c r="Q37" i="44"/>
  <c r="R37" i="44"/>
  <c r="T37" i="44"/>
  <c r="X39" i="44"/>
  <c r="U37" i="44"/>
  <c r="W39" i="44"/>
  <c r="P39" i="44"/>
  <c r="AD44" i="43"/>
  <c r="Q33" i="44"/>
  <c r="G52" i="33"/>
  <c r="G51" i="33" s="1"/>
  <c r="E38" i="33"/>
  <c r="C47" i="33"/>
  <c r="C46" i="33" s="1"/>
  <c r="E43" i="33"/>
  <c r="F43" i="33"/>
  <c r="F42" i="33" s="1"/>
  <c r="F41" i="33" s="1"/>
  <c r="F38" i="33"/>
  <c r="G47" i="33"/>
  <c r="G46" i="33" s="1"/>
  <c r="F47" i="33"/>
  <c r="F46" i="33" s="1"/>
  <c r="C42" i="33"/>
  <c r="C41" i="33" s="1"/>
  <c r="G43" i="33"/>
  <c r="G42" i="33" s="1"/>
  <c r="G41" i="33" s="1"/>
  <c r="G38" i="33"/>
  <c r="G37" i="33" s="1"/>
  <c r="G36" i="33" s="1"/>
  <c r="AE44" i="43" l="1"/>
  <c r="AA37" i="44"/>
  <c r="AC40" i="43"/>
  <c r="Y39" i="44"/>
  <c r="Q39" i="44"/>
  <c r="R39" i="44"/>
  <c r="U33" i="44"/>
  <c r="L38" i="33"/>
  <c r="M38" i="33"/>
  <c r="N36" i="33"/>
  <c r="N38" i="33"/>
  <c r="N37" i="33"/>
  <c r="AI44" i="43" l="1"/>
  <c r="AG40" i="43"/>
  <c r="S39" i="44"/>
  <c r="T39" i="44"/>
  <c r="U39" i="44"/>
  <c r="AA39" i="44"/>
  <c r="Z39" i="44"/>
  <c r="M1" i="41" a="1"/>
  <c r="M1" i="41" s="1"/>
  <c r="M71" i="41" a="1"/>
  <c r="M71" i="41" s="1"/>
  <c r="AI39" i="44" l="1"/>
  <c r="AZ40" i="43"/>
  <c r="A40" i="43" s="1"/>
  <c r="AZ44" i="43"/>
  <c r="N1" i="41" a="1"/>
  <c r="N1" i="41" s="1"/>
  <c r="N71" i="41" a="1"/>
  <c r="N71" i="41" s="1"/>
  <c r="O1" i="41" l="1" a="1"/>
  <c r="O1" i="41" s="1"/>
  <c r="P1" i="41" s="1" a="1"/>
  <c r="P1" i="41" s="1"/>
  <c r="O71" i="41" a="1"/>
  <c r="O71" i="41" s="1"/>
  <c r="Q1" i="41" l="1" a="1"/>
  <c r="Q1" i="41" s="1"/>
  <c r="P71" i="41" a="1"/>
  <c r="P71" i="41" s="1"/>
  <c r="Q71" i="41" s="1" a="1"/>
  <c r="Q71" i="41" s="1"/>
  <c r="R1" i="41" l="1" a="1"/>
  <c r="R1" i="41" s="1"/>
  <c r="R71" i="41" a="1"/>
  <c r="R71" i="41" s="1"/>
  <c r="S1" i="41" l="1" a="1"/>
  <c r="S1" i="41" s="1"/>
  <c r="T1" i="41" s="1" a="1"/>
  <c r="T1" i="41" s="1"/>
  <c r="U1" i="41" s="1" a="1"/>
  <c r="U1" i="41" s="1"/>
  <c r="V1" i="41" s="1" a="1"/>
  <c r="V1" i="41" s="1"/>
  <c r="W1" i="41" s="1" a="1"/>
  <c r="W1" i="41" s="1"/>
  <c r="X1" i="41" s="1" a="1"/>
  <c r="X1" i="41" s="1"/>
  <c r="Y1" i="41" s="1" a="1"/>
  <c r="Y1" i="41" s="1"/>
  <c r="S71" i="41" a="1"/>
  <c r="S71" i="41" s="1"/>
  <c r="Z1" i="41" l="1" a="1"/>
  <c r="Z1" i="41" s="1"/>
  <c r="AA1" i="41" s="1" a="1"/>
  <c r="AA1" i="41" s="1"/>
  <c r="AB1" i="41" s="1" a="1"/>
  <c r="AB1" i="41" s="1"/>
  <c r="AC1" i="41" s="1" a="1"/>
  <c r="AC1" i="41" s="1"/>
  <c r="AD1" i="41" s="1" a="1"/>
  <c r="AD1" i="41" s="1"/>
  <c r="AE1" i="41" s="1" a="1"/>
  <c r="AE1" i="41" s="1"/>
  <c r="T71" i="41" a="1"/>
  <c r="T71" i="41" s="1"/>
  <c r="AF1" i="41" l="1" a="1"/>
  <c r="AF1" i="41" s="1"/>
  <c r="AG1" i="41" s="1" a="1"/>
  <c r="AG1" i="41" s="1"/>
  <c r="AH1" i="41" s="1" a="1"/>
  <c r="AH1" i="41" s="1"/>
  <c r="AI1" i="41" s="1" a="1"/>
  <c r="AI1" i="41" s="1"/>
  <c r="AJ1" i="41" s="1" a="1"/>
  <c r="AJ1" i="41" s="1"/>
  <c r="AK1" i="41" s="1" a="1"/>
  <c r="AK1" i="41" s="1"/>
  <c r="AL1" i="41" s="1" a="1"/>
  <c r="AL1" i="41" s="1"/>
  <c r="AM1" i="41" s="1" a="1"/>
  <c r="AM1" i="41" s="1"/>
  <c r="AN1" i="41" s="1" a="1"/>
  <c r="AN1" i="41" s="1"/>
  <c r="AO1" i="41" s="1" a="1"/>
  <c r="AO1" i="41" s="1"/>
  <c r="AP1" i="41" s="1" a="1"/>
  <c r="AP1" i="41" s="1"/>
  <c r="AQ1" i="41" s="1" a="1"/>
  <c r="AQ1" i="41" s="1"/>
  <c r="AR1" i="41" s="1" a="1"/>
  <c r="AR1" i="41" s="1"/>
  <c r="U71" i="41" a="1"/>
  <c r="U71" i="41" s="1"/>
  <c r="V71" i="41" s="1" a="1"/>
  <c r="V71" i="41" s="1"/>
  <c r="W71" i="41" s="1" a="1"/>
  <c r="W71" i="41" s="1"/>
  <c r="X71" i="41" s="1" a="1"/>
  <c r="X71" i="41" s="1"/>
  <c r="Y71" i="41" s="1" a="1"/>
  <c r="Y71" i="41" s="1"/>
  <c r="Z71" i="41" s="1" a="1"/>
  <c r="Z71" i="41" s="1"/>
  <c r="AA71" i="41" s="1" a="1"/>
  <c r="AA71" i="41" s="1"/>
  <c r="AB71" i="41" s="1" a="1"/>
  <c r="AB71" i="41" s="1"/>
  <c r="AC71" i="41" s="1" a="1"/>
  <c r="AC71" i="41" s="1"/>
  <c r="AD71" i="41" s="1" a="1"/>
  <c r="AD71" i="41" s="1"/>
  <c r="AE71" i="41" s="1" a="1"/>
  <c r="AE71" i="41" s="1"/>
  <c r="AF71" i="41" s="1" a="1"/>
  <c r="AF71" i="41" s="1"/>
  <c r="AG71" i="41" s="1" a="1"/>
  <c r="AG71" i="41" s="1"/>
  <c r="AH71" i="41" s="1" a="1"/>
  <c r="AH71" i="41" s="1"/>
  <c r="AI71" i="41" s="1" a="1"/>
  <c r="AI71" i="41" s="1"/>
  <c r="AJ71" i="41" s="1" a="1"/>
  <c r="AJ71" i="41" s="1"/>
  <c r="AK71" i="41" s="1" a="1"/>
  <c r="AK71" i="41" s="1"/>
  <c r="AL71" i="41" s="1" a="1"/>
  <c r="AL71" i="41" s="1"/>
  <c r="AM71" i="41" s="1" a="1"/>
  <c r="AM71" i="41" s="1"/>
  <c r="AN71" i="41" s="1" a="1"/>
  <c r="AN71" i="41" s="1"/>
  <c r="AO71" i="41" s="1" a="1"/>
  <c r="AO71" i="41" s="1"/>
  <c r="AP71" i="41" s="1" a="1"/>
  <c r="AP71" i="41" s="1"/>
  <c r="AQ71" i="41" s="1" a="1"/>
  <c r="AQ71" i="41" s="1"/>
  <c r="AR71" i="41" s="1" a="1"/>
  <c r="AR71" i="41" s="1"/>
  <c r="AA39" i="32" l="1"/>
  <c r="AA47" i="32" s="1"/>
  <c r="Z39" i="32"/>
  <c r="Z47" i="32" s="1"/>
  <c r="Y39" i="32"/>
  <c r="Y47" i="32" s="1"/>
  <c r="X39" i="32"/>
  <c r="X47" i="32" s="1"/>
  <c r="W39" i="32"/>
  <c r="W47" i="32" s="1"/>
  <c r="V39" i="32"/>
  <c r="V47" i="32" s="1"/>
  <c r="R38" i="32"/>
  <c r="S38" i="32" s="1"/>
  <c r="T38" i="32" s="1"/>
  <c r="U38" i="32" s="1"/>
  <c r="V38" i="32" s="1"/>
  <c r="W38" i="32" s="1"/>
  <c r="X38" i="32" s="1"/>
  <c r="Y38" i="32" s="1"/>
  <c r="Z38" i="32" s="1"/>
  <c r="N38" i="32"/>
  <c r="L38" i="32"/>
  <c r="J38" i="32"/>
  <c r="H38" i="32"/>
  <c r="F38" i="32"/>
  <c r="D38" i="32"/>
  <c r="AA27" i="32"/>
  <c r="AA29" i="32" s="1"/>
  <c r="AA30" i="32" s="1"/>
  <c r="Z27" i="32"/>
  <c r="Z29" i="32" s="1"/>
  <c r="Z30" i="32" s="1"/>
  <c r="Y27" i="32"/>
  <c r="Y29" i="32" s="1"/>
  <c r="Y30" i="32" s="1"/>
  <c r="X27" i="32"/>
  <c r="X29" i="32" s="1"/>
  <c r="X30" i="32" s="1"/>
  <c r="W27" i="32"/>
  <c r="W29" i="32" s="1"/>
  <c r="W30" i="32" s="1"/>
  <c r="V27" i="32"/>
  <c r="V29" i="32" s="1"/>
  <c r="V30" i="32" s="1"/>
  <c r="Z22" i="32"/>
  <c r="Y22" i="32"/>
  <c r="X22" i="32"/>
  <c r="W22" i="32"/>
  <c r="R20" i="32"/>
  <c r="S20" i="32" s="1"/>
  <c r="T20" i="32" s="1"/>
  <c r="U20" i="32" s="1"/>
  <c r="V20" i="32" s="1"/>
  <c r="W20" i="32" s="1"/>
  <c r="X20" i="32" s="1"/>
  <c r="Y20" i="32" s="1"/>
  <c r="Z20" i="32" s="1"/>
  <c r="P20" i="32"/>
  <c r="N20" i="32"/>
  <c r="L20" i="32"/>
  <c r="J20" i="32"/>
  <c r="H20" i="32"/>
  <c r="F20" i="32"/>
  <c r="D20" i="32"/>
  <c r="AA18" i="32"/>
  <c r="Z18" i="32"/>
  <c r="Z15" i="32" s="1"/>
  <c r="Y18" i="32"/>
  <c r="X18" i="32"/>
  <c r="W18" i="32"/>
  <c r="V18" i="32"/>
  <c r="U18" i="32"/>
  <c r="T18" i="32"/>
  <c r="S18" i="32"/>
  <c r="R18" i="32"/>
  <c r="Q18" i="32"/>
  <c r="AA17" i="32"/>
  <c r="Y17" i="32"/>
  <c r="X17" i="32"/>
  <c r="W17" i="32"/>
  <c r="V17" i="32"/>
  <c r="U17" i="32"/>
  <c r="T17" i="32"/>
  <c r="S17" i="32"/>
  <c r="R17" i="32"/>
  <c r="Q17" i="32"/>
  <c r="Z9" i="32"/>
  <c r="Y9" i="32"/>
  <c r="X9" i="32"/>
  <c r="W9" i="32"/>
  <c r="V9" i="32"/>
  <c r="U9" i="32"/>
  <c r="T9" i="32"/>
  <c r="S9" i="32"/>
  <c r="R9" i="32"/>
  <c r="Q9" i="32"/>
  <c r="AA5" i="32"/>
  <c r="Z5" i="32"/>
  <c r="Y5" i="32"/>
  <c r="X5" i="32"/>
  <c r="W5" i="32"/>
  <c r="V5" i="32"/>
  <c r="U5" i="32"/>
  <c r="T5" i="32"/>
  <c r="S5" i="32"/>
  <c r="R5" i="32"/>
  <c r="Q5" i="32"/>
  <c r="R4" i="32"/>
  <c r="S4" i="32" s="1"/>
  <c r="T4" i="32" s="1"/>
  <c r="U4" i="32" s="1"/>
  <c r="V4" i="32" s="1"/>
  <c r="W4" i="32" s="1"/>
  <c r="X4" i="32" s="1"/>
  <c r="Y4" i="32" s="1"/>
  <c r="Z4" i="32" s="1"/>
  <c r="N4" i="32"/>
  <c r="L4" i="32"/>
  <c r="J4" i="32"/>
  <c r="H4" i="32"/>
  <c r="F4" i="32"/>
  <c r="D4" i="32"/>
  <c r="G19" i="43"/>
  <c r="G21" i="43" s="1"/>
  <c r="F21" i="43" s="1"/>
  <c r="G16" i="43"/>
  <c r="G18" i="43" s="1"/>
  <c r="F18" i="43" s="1"/>
  <c r="T21" i="43" l="1"/>
  <c r="T23" i="43" s="1"/>
  <c r="AI21" i="43"/>
  <c r="AU21" i="43"/>
  <c r="AJ21" i="43"/>
  <c r="AV21" i="43"/>
  <c r="AX21" i="43"/>
  <c r="AK21" i="43"/>
  <c r="AW21" i="43"/>
  <c r="AM21" i="43"/>
  <c r="AY21" i="43"/>
  <c r="AP21" i="43"/>
  <c r="AN21" i="43"/>
  <c r="AO21" i="43"/>
  <c r="AE21" i="43"/>
  <c r="AQ21" i="43"/>
  <c r="AF21" i="43"/>
  <c r="AR21" i="43"/>
  <c r="AG21" i="43"/>
  <c r="AS21" i="43"/>
  <c r="AH21" i="43"/>
  <c r="AT21" i="43"/>
  <c r="AL21" i="43"/>
  <c r="X21" i="43"/>
  <c r="W21" i="43"/>
  <c r="U21" i="43"/>
  <c r="Z21" i="43"/>
  <c r="Y21" i="43"/>
  <c r="V21" i="43"/>
  <c r="AB21" i="43"/>
  <c r="AC21" i="43"/>
  <c r="AY18" i="43"/>
  <c r="AM18" i="43"/>
  <c r="AA18" i="43"/>
  <c r="AX18" i="43"/>
  <c r="AL18" i="43"/>
  <c r="Z18" i="43"/>
  <c r="AW18" i="43"/>
  <c r="AK18" i="43"/>
  <c r="AV18" i="43"/>
  <c r="AJ18" i="43"/>
  <c r="AU18" i="43"/>
  <c r="AT18" i="43"/>
  <c r="AH18" i="43"/>
  <c r="AS18" i="43"/>
  <c r="AG18" i="43"/>
  <c r="AP18" i="43"/>
  <c r="AD18" i="43"/>
  <c r="AO18" i="43"/>
  <c r="AR18" i="43"/>
  <c r="AQ18" i="43"/>
  <c r="AN18" i="43"/>
  <c r="AE18" i="43"/>
  <c r="AC18" i="43"/>
  <c r="AB18" i="43"/>
  <c r="Y18" i="43"/>
  <c r="AA6" i="32"/>
  <c r="X15" i="32"/>
  <c r="W6" i="32"/>
  <c r="U6" i="32"/>
  <c r="X10" i="32"/>
  <c r="U10" i="32"/>
  <c r="R6" i="32"/>
  <c r="W15" i="32"/>
  <c r="U15" i="32"/>
  <c r="V41" i="32"/>
  <c r="V6" i="32"/>
  <c r="Z10" i="32"/>
  <c r="V15" i="32"/>
  <c r="W41" i="32"/>
  <c r="S15" i="32"/>
  <c r="T15" i="32"/>
  <c r="V10" i="32"/>
  <c r="X41" i="32"/>
  <c r="Y41" i="32"/>
  <c r="Y15" i="32"/>
  <c r="Z41" i="32"/>
  <c r="R10" i="32"/>
  <c r="Y10" i="32"/>
  <c r="AA41" i="32"/>
  <c r="Q15" i="32"/>
  <c r="V45" i="32"/>
  <c r="W10" i="32"/>
  <c r="AA10" i="32"/>
  <c r="S6" i="32"/>
  <c r="W45" i="32"/>
  <c r="AA15" i="32"/>
  <c r="AA16" i="32" s="1"/>
  <c r="X45" i="32"/>
  <c r="R15" i="32"/>
  <c r="T6" i="32"/>
  <c r="S10" i="32"/>
  <c r="Y45" i="32"/>
  <c r="T10" i="32"/>
  <c r="Z45" i="32"/>
  <c r="Y6" i="32"/>
  <c r="AA45" i="32"/>
  <c r="E37" i="33"/>
  <c r="X6" i="32"/>
  <c r="V43" i="32"/>
  <c r="W43" i="32"/>
  <c r="Z6" i="32"/>
  <c r="X43" i="32"/>
  <c r="Y43" i="32"/>
  <c r="Z43" i="32"/>
  <c r="AA43" i="32"/>
  <c r="G17" i="43"/>
  <c r="F17" i="43" s="1"/>
  <c r="V45" i="58" s="1"/>
  <c r="V44" i="58" s="1"/>
  <c r="V43" i="58" s="1"/>
  <c r="G20" i="43"/>
  <c r="F20" i="43" s="1"/>
  <c r="F16" i="43"/>
  <c r="U45" i="58" s="1"/>
  <c r="U44" i="58" s="1"/>
  <c r="U43" i="58" s="1"/>
  <c r="F19" i="43"/>
  <c r="W44" i="58" s="1"/>
  <c r="W43" i="58" s="1"/>
  <c r="G24" i="58" l="1"/>
  <c r="AK19" i="43"/>
  <c r="AW19" i="43"/>
  <c r="AL19" i="43"/>
  <c r="AX19" i="43"/>
  <c r="AM19" i="43"/>
  <c r="AY19" i="43"/>
  <c r="AB19" i="43"/>
  <c r="AN19" i="43"/>
  <c r="AA19" i="43"/>
  <c r="AC19" i="43"/>
  <c r="AO19" i="43"/>
  <c r="AD19" i="43"/>
  <c r="AP19" i="43"/>
  <c r="AE19" i="43"/>
  <c r="AQ19" i="43"/>
  <c r="AF19" i="43"/>
  <c r="AR19" i="43"/>
  <c r="AG19" i="43"/>
  <c r="AS19" i="43"/>
  <c r="Z19" i="43"/>
  <c r="AH19" i="43"/>
  <c r="AT19" i="43"/>
  <c r="AI19" i="43"/>
  <c r="AU19" i="43"/>
  <c r="AJ19" i="43"/>
  <c r="AV19" i="43"/>
  <c r="AA20" i="43"/>
  <c r="AS20" i="43"/>
  <c r="AV20" i="43"/>
  <c r="AT20" i="43"/>
  <c r="AU20" i="43"/>
  <c r="AW20" i="43"/>
  <c r="AN20" i="43"/>
  <c r="AL20" i="43"/>
  <c r="AX20" i="43"/>
  <c r="AM20" i="43"/>
  <c r="AY20" i="43"/>
  <c r="AO20" i="43"/>
  <c r="AP20" i="43"/>
  <c r="AQ20" i="43"/>
  <c r="AR20" i="43"/>
  <c r="AE20" i="43"/>
  <c r="AD20" i="43"/>
  <c r="AB20" i="43"/>
  <c r="AF20" i="43"/>
  <c r="AC20" i="43"/>
  <c r="AG20" i="43"/>
  <c r="AI20" i="43"/>
  <c r="AJ20" i="43"/>
  <c r="R16" i="32"/>
  <c r="Y16" i="32"/>
  <c r="U16" i="32"/>
  <c r="X16" i="32"/>
  <c r="AC16" i="43"/>
  <c r="AO16" i="43"/>
  <c r="AD16" i="43"/>
  <c r="AP16" i="43"/>
  <c r="AQ16" i="43"/>
  <c r="AF16" i="43"/>
  <c r="AR16" i="43"/>
  <c r="AG16" i="43"/>
  <c r="AS16" i="43"/>
  <c r="AH16" i="43"/>
  <c r="AT16" i="43"/>
  <c r="W16" i="43"/>
  <c r="W25" i="43" s="1"/>
  <c r="AI16" i="43"/>
  <c r="AI25" i="43" s="1"/>
  <c r="AU16" i="43"/>
  <c r="Z16" i="43"/>
  <c r="AL16" i="43"/>
  <c r="AX16" i="43"/>
  <c r="AW16" i="43"/>
  <c r="AV16" i="43"/>
  <c r="AY16" i="43"/>
  <c r="AK16" i="43"/>
  <c r="V16" i="43"/>
  <c r="X16" i="43"/>
  <c r="X25" i="43" s="1"/>
  <c r="AJ16" i="43"/>
  <c r="AJ25" i="43" s="1"/>
  <c r="AJ24" i="43" s="1"/>
  <c r="AJ23" i="43" s="1"/>
  <c r="Y16" i="43"/>
  <c r="AN16" i="43"/>
  <c r="U16" i="43"/>
  <c r="U25" i="43" s="1"/>
  <c r="AA16" i="43"/>
  <c r="AM16" i="43"/>
  <c r="AH17" i="43"/>
  <c r="AT17" i="43"/>
  <c r="W17" i="43"/>
  <c r="AI17" i="43"/>
  <c r="AU17" i="43"/>
  <c r="X17" i="43"/>
  <c r="AJ17" i="43"/>
  <c r="AV17" i="43"/>
  <c r="V17" i="43"/>
  <c r="Y17" i="43"/>
  <c r="AK17" i="43"/>
  <c r="AW17" i="43"/>
  <c r="Z17" i="43"/>
  <c r="AL17" i="43"/>
  <c r="AX17" i="43"/>
  <c r="AA17" i="43"/>
  <c r="AM17" i="43"/>
  <c r="AY17" i="43"/>
  <c r="AB17" i="43"/>
  <c r="AN17" i="43"/>
  <c r="AE17" i="43"/>
  <c r="AQ17" i="43"/>
  <c r="AP17" i="43"/>
  <c r="AG17" i="43"/>
  <c r="AR17" i="43"/>
  <c r="AS17" i="43"/>
  <c r="AD17" i="43"/>
  <c r="AO17" i="43"/>
  <c r="F22" i="43"/>
  <c r="V16" i="32"/>
  <c r="T16" i="32"/>
  <c r="W16" i="32"/>
  <c r="Z16" i="32"/>
  <c r="S16" i="32"/>
  <c r="D38" i="33"/>
  <c r="E36" i="33"/>
  <c r="F37" i="33"/>
  <c r="C38" i="33"/>
  <c r="U24" i="43" l="1"/>
  <c r="H26" i="58"/>
  <c r="W24" i="43"/>
  <c r="J26" i="58"/>
  <c r="X24" i="43"/>
  <c r="K26" i="58"/>
  <c r="Y25" i="43"/>
  <c r="AT25" i="43"/>
  <c r="AT24" i="43" s="1"/>
  <c r="AT23" i="43" s="1"/>
  <c r="AK25" i="43"/>
  <c r="AK24" i="43" s="1"/>
  <c r="AN25" i="43"/>
  <c r="AN24" i="43" s="1"/>
  <c r="AN23" i="43" s="1"/>
  <c r="AU25" i="43"/>
  <c r="AU24" i="43" s="1"/>
  <c r="AU23" i="43" s="1"/>
  <c r="AO25" i="43"/>
  <c r="V25" i="43"/>
  <c r="AH25" i="43"/>
  <c r="AH24" i="43" s="1"/>
  <c r="AS25" i="43"/>
  <c r="AS24" i="43" s="1"/>
  <c r="AS23" i="43" s="1"/>
  <c r="AY25" i="43"/>
  <c r="AY24" i="43" s="1"/>
  <c r="AY23" i="43" s="1"/>
  <c r="AG25" i="43"/>
  <c r="AG24" i="43" s="1"/>
  <c r="AG23" i="43" s="1"/>
  <c r="AV25" i="43"/>
  <c r="AV24" i="43" s="1"/>
  <c r="AV23" i="43" s="1"/>
  <c r="AR25" i="43"/>
  <c r="AR24" i="43" s="1"/>
  <c r="AR23" i="43" s="1"/>
  <c r="AW25" i="43"/>
  <c r="AW24" i="43" s="1"/>
  <c r="AW23" i="43" s="1"/>
  <c r="AM25" i="43"/>
  <c r="AM24" i="43" s="1"/>
  <c r="AM23" i="43" s="1"/>
  <c r="AX25" i="43"/>
  <c r="AX24" i="43" s="1"/>
  <c r="AX23" i="43" s="1"/>
  <c r="AQ25" i="43"/>
  <c r="AQ24" i="43" s="1"/>
  <c r="AQ23" i="43" s="1"/>
  <c r="AA25" i="43"/>
  <c r="AL25" i="43"/>
  <c r="AP25" i="43"/>
  <c r="AP24" i="43" s="1"/>
  <c r="AP23" i="43" s="1"/>
  <c r="Z25" i="43"/>
  <c r="AD25" i="43"/>
  <c r="R25" i="43"/>
  <c r="C37" i="33"/>
  <c r="J38" i="33"/>
  <c r="F36" i="33"/>
  <c r="D37" i="33"/>
  <c r="Y24" i="43" l="1"/>
  <c r="L26" i="58"/>
  <c r="R24" i="43"/>
  <c r="E26" i="58"/>
  <c r="U26" i="58" s="1"/>
  <c r="X23" i="43"/>
  <c r="K25" i="58"/>
  <c r="AD24" i="43"/>
  <c r="Q26" i="58"/>
  <c r="Z24" i="43"/>
  <c r="M26" i="58"/>
  <c r="V24" i="43"/>
  <c r="I26" i="58"/>
  <c r="V26" i="58" s="1"/>
  <c r="W23" i="43"/>
  <c r="J25" i="58"/>
  <c r="AA24" i="43"/>
  <c r="N26" i="58"/>
  <c r="U23" i="43"/>
  <c r="H25" i="58"/>
  <c r="D36" i="33"/>
  <c r="C36" i="33"/>
  <c r="W26" i="58" l="1"/>
  <c r="Q25" i="58"/>
  <c r="E25" i="58"/>
  <c r="U25" i="58" s="1"/>
  <c r="N25" i="58"/>
  <c r="V23" i="43"/>
  <c r="I25" i="58"/>
  <c r="V25" i="58" s="1"/>
  <c r="K24" i="58"/>
  <c r="R23" i="43"/>
  <c r="J24" i="58"/>
  <c r="H24" i="58"/>
  <c r="Z23" i="43"/>
  <c r="M25" i="58"/>
  <c r="Y23" i="43"/>
  <c r="L25" i="58"/>
  <c r="T16" i="38"/>
  <c r="L25" i="38"/>
  <c r="K24" i="38"/>
  <c r="L24" i="38"/>
  <c r="L26" i="38"/>
  <c r="K25" i="38"/>
  <c r="J24" i="38"/>
  <c r="W25" i="58" l="1"/>
  <c r="I24" i="58"/>
  <c r="V24" i="58" s="1"/>
  <c r="M24" i="58"/>
  <c r="E24" i="58"/>
  <c r="U24" i="58" s="1"/>
  <c r="L24" i="58"/>
  <c r="E55" i="43"/>
  <c r="E56" i="43"/>
  <c r="E54" i="43"/>
  <c r="D55" i="43"/>
  <c r="D56" i="43"/>
  <c r="D54" i="43"/>
  <c r="E23" i="38"/>
  <c r="E24" i="38" s="1"/>
  <c r="N5" i="38"/>
  <c r="M5" i="38"/>
  <c r="M6" i="38" s="1"/>
  <c r="L5" i="38"/>
  <c r="L6" i="38" s="1"/>
  <c r="K5" i="38"/>
  <c r="F36" i="43"/>
  <c r="G44" i="43" s="1"/>
  <c r="F35" i="43"/>
  <c r="G41" i="43" s="1"/>
  <c r="F41" i="43" s="1"/>
  <c r="G68" i="41"/>
  <c r="B68" i="41"/>
  <c r="G67" i="41"/>
  <c r="B67" i="41"/>
  <c r="G66" i="41"/>
  <c r="B66" i="41"/>
  <c r="G65" i="41"/>
  <c r="B65" i="41"/>
  <c r="G64" i="41"/>
  <c r="B64" i="41"/>
  <c r="G63" i="41"/>
  <c r="B63" i="41"/>
  <c r="G62" i="41"/>
  <c r="B62" i="41"/>
  <c r="G61" i="41"/>
  <c r="B61" i="41"/>
  <c r="G60" i="41"/>
  <c r="B60" i="41"/>
  <c r="G59" i="41"/>
  <c r="B59" i="41"/>
  <c r="G58" i="41"/>
  <c r="B58" i="41"/>
  <c r="G57" i="41"/>
  <c r="B57" i="41"/>
  <c r="G56" i="41"/>
  <c r="B56" i="41"/>
  <c r="G55" i="41"/>
  <c r="B55" i="41"/>
  <c r="G54" i="41"/>
  <c r="B54" i="41"/>
  <c r="G53" i="41"/>
  <c r="C32" i="33" s="1"/>
  <c r="B53" i="41"/>
  <c r="G52" i="41"/>
  <c r="B52" i="41"/>
  <c r="G51" i="41"/>
  <c r="B51" i="41"/>
  <c r="G50" i="41"/>
  <c r="B50" i="41"/>
  <c r="G49" i="41"/>
  <c r="B49" i="41"/>
  <c r="G48" i="41"/>
  <c r="B48" i="41"/>
  <c r="G47" i="41"/>
  <c r="B47" i="41"/>
  <c r="G46" i="41"/>
  <c r="B46" i="41"/>
  <c r="G45" i="41"/>
  <c r="B45" i="41"/>
  <c r="G44" i="41"/>
  <c r="B44" i="41"/>
  <c r="G43" i="41"/>
  <c r="B43" i="41"/>
  <c r="G42" i="41"/>
  <c r="B42" i="41"/>
  <c r="G41" i="41"/>
  <c r="B41" i="41"/>
  <c r="G40" i="41"/>
  <c r="B40" i="41"/>
  <c r="G39" i="41"/>
  <c r="B39" i="41"/>
  <c r="G38" i="41"/>
  <c r="B38" i="41"/>
  <c r="G37" i="41"/>
  <c r="B37" i="41"/>
  <c r="G36" i="41"/>
  <c r="B36" i="41"/>
  <c r="G35" i="41"/>
  <c r="B35" i="41"/>
  <c r="G34" i="41"/>
  <c r="B34" i="41"/>
  <c r="G33" i="41"/>
  <c r="B33" i="41"/>
  <c r="G32" i="41"/>
  <c r="B32" i="41"/>
  <c r="G31" i="41"/>
  <c r="B31" i="41"/>
  <c r="G30" i="41"/>
  <c r="B30" i="41"/>
  <c r="G29" i="41"/>
  <c r="B29" i="41"/>
  <c r="G28" i="41"/>
  <c r="B28" i="41"/>
  <c r="G27" i="41"/>
  <c r="B27" i="41"/>
  <c r="G26" i="41"/>
  <c r="B26" i="41"/>
  <c r="G25" i="41"/>
  <c r="B25" i="41"/>
  <c r="G24" i="41"/>
  <c r="B24" i="41"/>
  <c r="G23" i="41"/>
  <c r="B23" i="41"/>
  <c r="G22" i="41"/>
  <c r="B22" i="41"/>
  <c r="G21" i="41"/>
  <c r="B21" i="41"/>
  <c r="G20" i="41"/>
  <c r="B20" i="41"/>
  <c r="G19" i="41"/>
  <c r="B19" i="41"/>
  <c r="G18" i="41"/>
  <c r="B18" i="41"/>
  <c r="G17" i="41"/>
  <c r="B17" i="41"/>
  <c r="G16" i="41"/>
  <c r="B16" i="41"/>
  <c r="G15" i="41"/>
  <c r="B15" i="41"/>
  <c r="G14" i="41"/>
  <c r="B14" i="41"/>
  <c r="G13" i="41"/>
  <c r="B13" i="41"/>
  <c r="G12" i="41"/>
  <c r="B12" i="41"/>
  <c r="G11" i="41"/>
  <c r="B11" i="41"/>
  <c r="G10" i="41"/>
  <c r="B10" i="41"/>
  <c r="G9" i="41"/>
  <c r="B9" i="41"/>
  <c r="G8" i="41"/>
  <c r="B8" i="41"/>
  <c r="G7" i="41"/>
  <c r="B7" i="41"/>
  <c r="G6" i="41"/>
  <c r="B6" i="41"/>
  <c r="G5" i="41"/>
  <c r="B5" i="41"/>
  <c r="G4" i="41"/>
  <c r="B4" i="41"/>
  <c r="AL41" i="43" l="1"/>
  <c r="AX41" i="43"/>
  <c r="AA41" i="43"/>
  <c r="AM41" i="43"/>
  <c r="AY41" i="43"/>
  <c r="AB41" i="43"/>
  <c r="AN41" i="43"/>
  <c r="Z41" i="43"/>
  <c r="AC41" i="43"/>
  <c r="AO41" i="43"/>
  <c r="Y41" i="43"/>
  <c r="AJ41" i="43"/>
  <c r="AD41" i="43"/>
  <c r="AP41" i="43"/>
  <c r="AV41" i="43"/>
  <c r="AE41" i="43"/>
  <c r="AQ41" i="43"/>
  <c r="AF41" i="43"/>
  <c r="AR41" i="43"/>
  <c r="AG41" i="43"/>
  <c r="AS41" i="43"/>
  <c r="AH41" i="43"/>
  <c r="AT41" i="43"/>
  <c r="AI41" i="43"/>
  <c r="AU41" i="43"/>
  <c r="AK41" i="43"/>
  <c r="AW41" i="43"/>
  <c r="X41" i="43"/>
  <c r="AW44" i="44"/>
  <c r="AW50" i="44" s="1"/>
  <c r="AX44" i="44"/>
  <c r="AX50" i="44" s="1"/>
  <c r="AY44" i="44"/>
  <c r="AY50" i="44" s="1"/>
  <c r="AZ44" i="44"/>
  <c r="AZ50" i="44" s="1"/>
  <c r="AV44" i="44"/>
  <c r="AV50" i="44" s="1"/>
  <c r="BA44" i="44"/>
  <c r="BA50" i="44" s="1"/>
  <c r="BB44" i="44"/>
  <c r="BB50" i="44" s="1"/>
  <c r="BC44" i="44"/>
  <c r="BC50" i="44" s="1"/>
  <c r="F65" i="43"/>
  <c r="G67" i="43" s="1"/>
  <c r="F64" i="43"/>
  <c r="F52" i="43"/>
  <c r="N6" i="38"/>
  <c r="C22" i="33"/>
  <c r="C30" i="33"/>
  <c r="C28" i="33"/>
  <c r="C31" i="33"/>
  <c r="C25" i="33"/>
  <c r="C23" i="33"/>
  <c r="C26" i="33"/>
  <c r="C29" i="33"/>
  <c r="N7" i="38"/>
  <c r="O7" i="38" s="1"/>
  <c r="C21" i="33"/>
  <c r="F38" i="43"/>
  <c r="V49" i="58" s="1"/>
  <c r="G42" i="43"/>
  <c r="AJ50" i="44" l="1"/>
  <c r="AT50" i="44"/>
  <c r="AN50" i="44"/>
  <c r="AU50" i="44"/>
  <c r="R10" i="56"/>
  <c r="AS50" i="44"/>
  <c r="P10" i="56"/>
  <c r="AL50" i="44"/>
  <c r="I10" i="56"/>
  <c r="AR50" i="44"/>
  <c r="AQ50" i="44"/>
  <c r="H10" i="56"/>
  <c r="AK50" i="44"/>
  <c r="AP50" i="44"/>
  <c r="AO50" i="44"/>
  <c r="L10" i="56"/>
  <c r="AM50" i="44"/>
  <c r="AE38" i="43"/>
  <c r="AE48" i="43" s="1"/>
  <c r="AQ38" i="43"/>
  <c r="AQ48" i="43" s="1"/>
  <c r="X38" i="43"/>
  <c r="AF38" i="43"/>
  <c r="AF48" i="43" s="1"/>
  <c r="AR38" i="43"/>
  <c r="AR48" i="43" s="1"/>
  <c r="AG38" i="43"/>
  <c r="AG48" i="43" s="1"/>
  <c r="AS38" i="43"/>
  <c r="AS48" i="43" s="1"/>
  <c r="AH38" i="43"/>
  <c r="AT38" i="43"/>
  <c r="AI38" i="43"/>
  <c r="AU38" i="43"/>
  <c r="AU48" i="43" s="1"/>
  <c r="AC38" i="43"/>
  <c r="AC48" i="43" s="1"/>
  <c r="AO38" i="43"/>
  <c r="AO48" i="43" s="1"/>
  <c r="AJ38" i="43"/>
  <c r="AJ48" i="43" s="1"/>
  <c r="AV38" i="43"/>
  <c r="AV48" i="43" s="1"/>
  <c r="AK38" i="43"/>
  <c r="AK48" i="43" s="1"/>
  <c r="AW38" i="43"/>
  <c r="AW48" i="43" s="1"/>
  <c r="Z38" i="43"/>
  <c r="Z48" i="43" s="1"/>
  <c r="AL38" i="43"/>
  <c r="AL48" i="43" s="1"/>
  <c r="AX38" i="43"/>
  <c r="AA38" i="43"/>
  <c r="AA48" i="43" s="1"/>
  <c r="AM38" i="43"/>
  <c r="AY38" i="43"/>
  <c r="AY48" i="43" s="1"/>
  <c r="AB38" i="43"/>
  <c r="AB48" i="43" s="1"/>
  <c r="AN38" i="43"/>
  <c r="AN48" i="43" s="1"/>
  <c r="AD38" i="43"/>
  <c r="AD48" i="43" s="1"/>
  <c r="AP38" i="43"/>
  <c r="AP48" i="43" s="1"/>
  <c r="Y38" i="43"/>
  <c r="G52" i="43"/>
  <c r="F56" i="43" s="1"/>
  <c r="W56" i="58" s="1"/>
  <c r="AX48" i="43"/>
  <c r="AM48" i="43"/>
  <c r="AH48" i="43"/>
  <c r="AT48" i="43"/>
  <c r="AI48" i="43"/>
  <c r="W38" i="43"/>
  <c r="W48" i="43" s="1"/>
  <c r="AZ41" i="43"/>
  <c r="AU18" i="44"/>
  <c r="AV18" i="44"/>
  <c r="AQ18" i="44"/>
  <c r="AW18" i="44"/>
  <c r="BC18" i="44"/>
  <c r="AL18" i="44"/>
  <c r="AX18" i="44"/>
  <c r="AM18" i="44"/>
  <c r="AY18" i="44"/>
  <c r="AN18" i="44"/>
  <c r="AZ18" i="44"/>
  <c r="AO18" i="44"/>
  <c r="BA18" i="44"/>
  <c r="AP18" i="44"/>
  <c r="BB18" i="44"/>
  <c r="AR18" i="44"/>
  <c r="AG18" i="44"/>
  <c r="AS18" i="44"/>
  <c r="AT18" i="44"/>
  <c r="S25" i="44"/>
  <c r="AE25" i="44"/>
  <c r="AQ25" i="44"/>
  <c r="BC25" i="44"/>
  <c r="AJ22" i="44"/>
  <c r="AV22" i="44"/>
  <c r="AH20" i="44"/>
  <c r="AT20" i="44"/>
  <c r="AH15" i="44"/>
  <c r="AT15" i="44"/>
  <c r="AI13" i="44"/>
  <c r="AU13" i="44"/>
  <c r="AS6" i="44"/>
  <c r="AI24" i="44"/>
  <c r="AU24" i="44"/>
  <c r="Y23" i="44"/>
  <c r="AK23" i="44"/>
  <c r="AW23" i="44"/>
  <c r="AI21" i="44"/>
  <c r="AU21" i="44"/>
  <c r="AH17" i="44"/>
  <c r="AT17" i="44"/>
  <c r="AH16" i="44"/>
  <c r="AT16" i="44"/>
  <c r="AJ9" i="44"/>
  <c r="AV9" i="44"/>
  <c r="AM8" i="44"/>
  <c r="AY8" i="44"/>
  <c r="AJ14" i="44"/>
  <c r="AV14" i="44"/>
  <c r="AK11" i="44"/>
  <c r="AW11" i="44"/>
  <c r="AJ19" i="44"/>
  <c r="AV19" i="44"/>
  <c r="AJ18" i="44"/>
  <c r="AJ12" i="44"/>
  <c r="AV12" i="44"/>
  <c r="AM10" i="44"/>
  <c r="AY10" i="44"/>
  <c r="T25" i="44"/>
  <c r="AF25" i="44"/>
  <c r="AR25" i="44"/>
  <c r="Q25" i="44"/>
  <c r="AK22" i="44"/>
  <c r="AW22" i="44"/>
  <c r="AI20" i="44"/>
  <c r="AU20" i="44"/>
  <c r="AI15" i="44"/>
  <c r="AU15" i="44"/>
  <c r="AJ13" i="44"/>
  <c r="AV13" i="44"/>
  <c r="AT6" i="44"/>
  <c r="X24" i="44"/>
  <c r="AJ24" i="44"/>
  <c r="AV24" i="44"/>
  <c r="Z23" i="44"/>
  <c r="AL23" i="44"/>
  <c r="AX23" i="44"/>
  <c r="AV21" i="44"/>
  <c r="AI17" i="44"/>
  <c r="AU17" i="44"/>
  <c r="AI16" i="44"/>
  <c r="AU16" i="44"/>
  <c r="AK9" i="44"/>
  <c r="AW9" i="44"/>
  <c r="AN8" i="44"/>
  <c r="AZ8" i="44"/>
  <c r="AK14" i="44"/>
  <c r="AW14" i="44"/>
  <c r="V25" i="44"/>
  <c r="AH25" i="44"/>
  <c r="AT25" i="44"/>
  <c r="AA22" i="44"/>
  <c r="AM22" i="44"/>
  <c r="AY22" i="44"/>
  <c r="AK20" i="44"/>
  <c r="AW20" i="44"/>
  <c r="AK15" i="44"/>
  <c r="AW15" i="44"/>
  <c r="AL13" i="44"/>
  <c r="AX13" i="44"/>
  <c r="AJ6" i="44"/>
  <c r="AV6" i="44"/>
  <c r="Z24" i="44"/>
  <c r="AL24" i="44"/>
  <c r="AX24" i="44"/>
  <c r="AB23" i="44"/>
  <c r="AN23" i="44"/>
  <c r="AZ23" i="44"/>
  <c r="AL21" i="44"/>
  <c r="AX21" i="44"/>
  <c r="AW17" i="44"/>
  <c r="AK16" i="44"/>
  <c r="AW16" i="44"/>
  <c r="AM9" i="44"/>
  <c r="AY9" i="44"/>
  <c r="AP8" i="44"/>
  <c r="BB8" i="44"/>
  <c r="AM14" i="44"/>
  <c r="AY14" i="44"/>
  <c r="AN11" i="44"/>
  <c r="AZ11" i="44"/>
  <c r="AM19" i="44"/>
  <c r="AY19" i="44"/>
  <c r="AM12" i="44"/>
  <c r="AY12" i="44"/>
  <c r="AP10" i="44"/>
  <c r="BB10" i="44"/>
  <c r="AS7" i="44"/>
  <c r="W25" i="44"/>
  <c r="AI25" i="44"/>
  <c r="AU25" i="44"/>
  <c r="AB22" i="44"/>
  <c r="AN22" i="44"/>
  <c r="AZ22" i="44"/>
  <c r="AL20" i="44"/>
  <c r="AX20" i="44"/>
  <c r="AL15" i="44"/>
  <c r="AX15" i="44"/>
  <c r="AM13" i="44"/>
  <c r="AY13" i="44"/>
  <c r="AK6" i="44"/>
  <c r="AW6" i="44"/>
  <c r="AA24" i="44"/>
  <c r="AM24" i="44"/>
  <c r="AY24" i="44"/>
  <c r="AC23" i="44"/>
  <c r="AO23" i="44"/>
  <c r="BA23" i="44"/>
  <c r="AY21" i="44"/>
  <c r="AL17" i="44"/>
  <c r="AX17" i="44"/>
  <c r="AX16" i="44"/>
  <c r="AZ9" i="44"/>
  <c r="AQ8" i="44"/>
  <c r="BC8" i="44"/>
  <c r="AN14" i="44"/>
  <c r="AZ14" i="44"/>
  <c r="AG12" i="44"/>
  <c r="X25" i="44"/>
  <c r="AJ25" i="44"/>
  <c r="AV25" i="44"/>
  <c r="AC22" i="44"/>
  <c r="AO22" i="44"/>
  <c r="BA22" i="44"/>
  <c r="AM20" i="44"/>
  <c r="AY20" i="44"/>
  <c r="AM15" i="44"/>
  <c r="AY15" i="44"/>
  <c r="AN13" i="44"/>
  <c r="AZ13" i="44"/>
  <c r="AL6" i="44"/>
  <c r="AX6" i="44"/>
  <c r="AB24" i="44"/>
  <c r="AN24" i="44"/>
  <c r="AZ24" i="44"/>
  <c r="AP23" i="44"/>
  <c r="BB23" i="44"/>
  <c r="AN21" i="44"/>
  <c r="AZ21" i="44"/>
  <c r="AM17" i="44"/>
  <c r="AY17" i="44"/>
  <c r="AM16" i="44"/>
  <c r="AY16" i="44"/>
  <c r="AO9" i="44"/>
  <c r="BA9" i="44"/>
  <c r="AR8" i="44"/>
  <c r="AI8" i="44"/>
  <c r="AO14" i="44"/>
  <c r="BA14" i="44"/>
  <c r="AP11" i="44"/>
  <c r="BB11" i="44"/>
  <c r="AO19" i="44"/>
  <c r="BA19" i="44"/>
  <c r="AO12" i="44"/>
  <c r="BA12" i="44"/>
  <c r="AR10" i="44"/>
  <c r="AH10" i="44"/>
  <c r="AU7" i="44"/>
  <c r="AA25" i="44"/>
  <c r="AM25" i="44"/>
  <c r="AY25" i="44"/>
  <c r="AF22" i="44"/>
  <c r="AR22" i="44"/>
  <c r="Y22" i="44"/>
  <c r="AP20" i="44"/>
  <c r="BB20" i="44"/>
  <c r="AP15" i="44"/>
  <c r="BB15" i="44"/>
  <c r="AQ13" i="44"/>
  <c r="BC13" i="44"/>
  <c r="AO6" i="44"/>
  <c r="BA6" i="44"/>
  <c r="AE24" i="44"/>
  <c r="AQ24" i="44"/>
  <c r="BC24" i="44"/>
  <c r="AS23" i="44"/>
  <c r="AE21" i="44"/>
  <c r="AQ21" i="44"/>
  <c r="BC21" i="44"/>
  <c r="AP17" i="44"/>
  <c r="BB17" i="44"/>
  <c r="AP16" i="44"/>
  <c r="BB16" i="44"/>
  <c r="AR9" i="44"/>
  <c r="AH9" i="44"/>
  <c r="AU8" i="44"/>
  <c r="AR14" i="44"/>
  <c r="R25" i="44"/>
  <c r="AP25" i="44"/>
  <c r="AI22" i="44"/>
  <c r="AG20" i="44"/>
  <c r="AG15" i="44"/>
  <c r="AH13" i="44"/>
  <c r="AI6" i="44"/>
  <c r="AT24" i="44"/>
  <c r="AV23" i="44"/>
  <c r="AT21" i="44"/>
  <c r="AS17" i="44"/>
  <c r="AS16" i="44"/>
  <c r="AU9" i="44"/>
  <c r="AX8" i="44"/>
  <c r="AI14" i="44"/>
  <c r="AJ11" i="44"/>
  <c r="BA11" i="44"/>
  <c r="AR19" i="44"/>
  <c r="AI18" i="44"/>
  <c r="AR12" i="44"/>
  <c r="AL10" i="44"/>
  <c r="BC10" i="44"/>
  <c r="AW7" i="44"/>
  <c r="AN25" i="44"/>
  <c r="AE20" i="44"/>
  <c r="BC20" i="44"/>
  <c r="BC15" i="44"/>
  <c r="AG13" i="44"/>
  <c r="AR24" i="44"/>
  <c r="AR21" i="44"/>
  <c r="AS9" i="44"/>
  <c r="AF14" i="44"/>
  <c r="AJ10" i="44"/>
  <c r="AO25" i="44"/>
  <c r="AS24" i="44"/>
  <c r="AU23" i="44"/>
  <c r="AT9" i="44"/>
  <c r="U25" i="44"/>
  <c r="AS25" i="44"/>
  <c r="AL22" i="44"/>
  <c r="AJ20" i="44"/>
  <c r="AJ15" i="44"/>
  <c r="AK13" i="44"/>
  <c r="Y24" i="44"/>
  <c r="AW24" i="44"/>
  <c r="AA23" i="44"/>
  <c r="AY23" i="44"/>
  <c r="AW21" i="44"/>
  <c r="AV17" i="44"/>
  <c r="AV16" i="44"/>
  <c r="AX9" i="44"/>
  <c r="BA8" i="44"/>
  <c r="AL14" i="44"/>
  <c r="AL11" i="44"/>
  <c r="BC11" i="44"/>
  <c r="AS19" i="44"/>
  <c r="AK18" i="44"/>
  <c r="AS12" i="44"/>
  <c r="AN10" i="44"/>
  <c r="AJ7" i="44"/>
  <c r="AX7" i="44"/>
  <c r="AG25" i="44"/>
  <c r="AV10" i="44"/>
  <c r="AZ20" i="44"/>
  <c r="BB14" i="44"/>
  <c r="AL12" i="44"/>
  <c r="AP19" i="44"/>
  <c r="AH22" i="44"/>
  <c r="AS21" i="44"/>
  <c r="AH14" i="44"/>
  <c r="Y25" i="44"/>
  <c r="AW25" i="44"/>
  <c r="AP22" i="44"/>
  <c r="AN20" i="44"/>
  <c r="AN15" i="44"/>
  <c r="AO13" i="44"/>
  <c r="AM6" i="44"/>
  <c r="BA24" i="44"/>
  <c r="AE23" i="44"/>
  <c r="BC23" i="44"/>
  <c r="BA21" i="44"/>
  <c r="AZ17" i="44"/>
  <c r="AZ16" i="44"/>
  <c r="BB9" i="44"/>
  <c r="AP14" i="44"/>
  <c r="AM11" i="44"/>
  <c r="AH11" i="44"/>
  <c r="AT19" i="44"/>
  <c r="AT12" i="44"/>
  <c r="AO10" i="44"/>
  <c r="AK7" i="44"/>
  <c r="AY7" i="44"/>
  <c r="BB22" i="44"/>
  <c r="BA13" i="44"/>
  <c r="AQ23" i="44"/>
  <c r="AN16" i="44"/>
  <c r="AP9" i="44"/>
  <c r="BC19" i="44"/>
  <c r="AQ7" i="44"/>
  <c r="Z25" i="44"/>
  <c r="AX25" i="44"/>
  <c r="AQ22" i="44"/>
  <c r="AO20" i="44"/>
  <c r="AO15" i="44"/>
  <c r="AP13" i="44"/>
  <c r="AN6" i="44"/>
  <c r="AD24" i="44"/>
  <c r="BB24" i="44"/>
  <c r="AF23" i="44"/>
  <c r="X23" i="44"/>
  <c r="BB21" i="44"/>
  <c r="BA17" i="44"/>
  <c r="BA16" i="44"/>
  <c r="BC9" i="44"/>
  <c r="AQ14" i="44"/>
  <c r="AO11" i="44"/>
  <c r="AF19" i="44"/>
  <c r="AU19" i="44"/>
  <c r="AU12" i="44"/>
  <c r="AQ10" i="44"/>
  <c r="AL7" i="44"/>
  <c r="AZ7" i="44"/>
  <c r="BB19" i="44"/>
  <c r="AF15" i="44"/>
  <c r="AB25" i="44"/>
  <c r="AZ25" i="44"/>
  <c r="AS22" i="44"/>
  <c r="AQ20" i="44"/>
  <c r="AQ15" i="44"/>
  <c r="AR13" i="44"/>
  <c r="AP6" i="44"/>
  <c r="W24" i="44"/>
  <c r="AH23" i="44"/>
  <c r="AF21" i="44"/>
  <c r="AD21" i="44"/>
  <c r="BC17" i="44"/>
  <c r="BC16" i="44"/>
  <c r="AJ8" i="44"/>
  <c r="AS14" i="44"/>
  <c r="AQ11" i="44"/>
  <c r="AG19" i="44"/>
  <c r="AW19" i="44"/>
  <c r="AE18" i="44"/>
  <c r="AW12" i="44"/>
  <c r="AS10" i="44"/>
  <c r="AM7" i="44"/>
  <c r="BA7" i="44"/>
  <c r="AU6" i="44"/>
  <c r="AM23" i="44"/>
  <c r="AK21" i="44"/>
  <c r="AJ17" i="44"/>
  <c r="AJ16" i="44"/>
  <c r="AO8" i="44"/>
  <c r="AX14" i="44"/>
  <c r="AK19" i="44"/>
  <c r="BB12" i="44"/>
  <c r="AP7" i="44"/>
  <c r="AK25" i="44"/>
  <c r="AO24" i="44"/>
  <c r="AS8" i="44"/>
  <c r="AU11" i="44"/>
  <c r="AT7" i="44"/>
  <c r="AW8" i="44"/>
  <c r="AC25" i="44"/>
  <c r="BA25" i="44"/>
  <c r="AT22" i="44"/>
  <c r="AR20" i="44"/>
  <c r="AR15" i="44"/>
  <c r="AS13" i="44"/>
  <c r="AQ6" i="44"/>
  <c r="AG24" i="44"/>
  <c r="AI23" i="44"/>
  <c r="AG21" i="44"/>
  <c r="AF17" i="44"/>
  <c r="AE17" i="44"/>
  <c r="AF16" i="44"/>
  <c r="AK8" i="44"/>
  <c r="AT14" i="44"/>
  <c r="AR11" i="44"/>
  <c r="AH19" i="44"/>
  <c r="AX19" i="44"/>
  <c r="AH12" i="44"/>
  <c r="AX12" i="44"/>
  <c r="AT10" i="44"/>
  <c r="AN7" i="44"/>
  <c r="BB7" i="44"/>
  <c r="AO21" i="44"/>
  <c r="BC12" i="44"/>
  <c r="AV8" i="44"/>
  <c r="AP12" i="44"/>
  <c r="AF20" i="44"/>
  <c r="BC6" i="44"/>
  <c r="AR17" i="44"/>
  <c r="AD25" i="44"/>
  <c r="BB25" i="44"/>
  <c r="AU22" i="44"/>
  <c r="AS20" i="44"/>
  <c r="AS15" i="44"/>
  <c r="AT13" i="44"/>
  <c r="AR6" i="44"/>
  <c r="AH24" i="44"/>
  <c r="AJ23" i="44"/>
  <c r="AH21" i="44"/>
  <c r="AG17" i="44"/>
  <c r="AG16" i="44"/>
  <c r="AI9" i="44"/>
  <c r="AL8" i="44"/>
  <c r="AU14" i="44"/>
  <c r="AS11" i="44"/>
  <c r="AI19" i="44"/>
  <c r="AZ19" i="44"/>
  <c r="AI12" i="44"/>
  <c r="AZ12" i="44"/>
  <c r="AU10" i="44"/>
  <c r="AO7" i="44"/>
  <c r="BC7" i="44"/>
  <c r="Z22" i="44"/>
  <c r="AX22" i="44"/>
  <c r="AV20" i="44"/>
  <c r="AV15" i="44"/>
  <c r="AW13" i="44"/>
  <c r="AK24" i="44"/>
  <c r="AL9" i="44"/>
  <c r="AT11" i="44"/>
  <c r="AK12" i="44"/>
  <c r="AI7" i="44"/>
  <c r="AD22" i="44"/>
  <c r="AZ15" i="44"/>
  <c r="AY6" i="44"/>
  <c r="AY29" i="44" s="1"/>
  <c r="AL19" i="44"/>
  <c r="AW10" i="44"/>
  <c r="AG22" i="44"/>
  <c r="BB6" i="44"/>
  <c r="AT23" i="44"/>
  <c r="AQ17" i="44"/>
  <c r="AQ16" i="44"/>
  <c r="AG14" i="44"/>
  <c r="AX11" i="44"/>
  <c r="AZ10" i="44"/>
  <c r="AD20" i="44"/>
  <c r="AL25" i="44"/>
  <c r="AE22" i="44"/>
  <c r="BC22" i="44"/>
  <c r="BA20" i="44"/>
  <c r="BA15" i="44"/>
  <c r="BB13" i="44"/>
  <c r="AZ6" i="44"/>
  <c r="AP24" i="44"/>
  <c r="AR23" i="44"/>
  <c r="AP21" i="44"/>
  <c r="AO17" i="44"/>
  <c r="AT8" i="44"/>
  <c r="BC14" i="44"/>
  <c r="AV11" i="44"/>
  <c r="AN19" i="44"/>
  <c r="AE19" i="44"/>
  <c r="AN12" i="44"/>
  <c r="AI10" i="44"/>
  <c r="AX10" i="44"/>
  <c r="AR7" i="44"/>
  <c r="AR16" i="44"/>
  <c r="AI11" i="44"/>
  <c r="AY11" i="44"/>
  <c r="AH18" i="44"/>
  <c r="AQ12" i="44"/>
  <c r="AQ19" i="44"/>
  <c r="AV7" i="44"/>
  <c r="AK10" i="44"/>
  <c r="BA10" i="44"/>
  <c r="AK5" i="44"/>
  <c r="AW5" i="44"/>
  <c r="AO4" i="44"/>
  <c r="BA4" i="44"/>
  <c r="AL5" i="44"/>
  <c r="AX5" i="44"/>
  <c r="AP4" i="44"/>
  <c r="BB4" i="44"/>
  <c r="AM5" i="44"/>
  <c r="AY5" i="44"/>
  <c r="AN5" i="44"/>
  <c r="AZ5" i="44"/>
  <c r="AR4" i="44"/>
  <c r="AK4" i="44"/>
  <c r="AO5" i="44"/>
  <c r="BA5" i="44"/>
  <c r="AS4" i="44"/>
  <c r="AP5" i="44"/>
  <c r="BB5" i="44"/>
  <c r="AT4" i="44"/>
  <c r="AQ5" i="44"/>
  <c r="BC5" i="44"/>
  <c r="AU4" i="44"/>
  <c r="AR5" i="44"/>
  <c r="AJ5" i="44"/>
  <c r="AV4" i="44"/>
  <c r="AS5" i="44"/>
  <c r="AW4" i="44"/>
  <c r="AV5" i="44"/>
  <c r="AN4" i="44"/>
  <c r="AZ4" i="44"/>
  <c r="AT5" i="44"/>
  <c r="AM4" i="44"/>
  <c r="AU5" i="44"/>
  <c r="AL4" i="44"/>
  <c r="AQ4" i="44"/>
  <c r="AX4" i="44"/>
  <c r="AY4" i="44"/>
  <c r="BC4" i="44"/>
  <c r="N8" i="38"/>
  <c r="O8" i="38" s="1"/>
  <c r="F39" i="43"/>
  <c r="G68" i="43"/>
  <c r="G69" i="43"/>
  <c r="G70" i="43"/>
  <c r="F67" i="43"/>
  <c r="U52" i="58" s="1"/>
  <c r="U51" i="58" s="1"/>
  <c r="AF18" i="44"/>
  <c r="R48" i="43"/>
  <c r="D43" i="33"/>
  <c r="C24" i="33"/>
  <c r="G43" i="43"/>
  <c r="F43" i="43" s="1"/>
  <c r="W48" i="58" s="1"/>
  <c r="W47" i="58" s="1"/>
  <c r="F42" i="43"/>
  <c r="Y48" i="43" l="1"/>
  <c r="X48" i="43"/>
  <c r="V48" i="58"/>
  <c r="V47" i="58" s="1"/>
  <c r="F55" i="43"/>
  <c r="W55" i="58" s="1"/>
  <c r="F54" i="43"/>
  <c r="J10" i="56"/>
  <c r="M10" i="56"/>
  <c r="W9" i="56"/>
  <c r="K10" i="56"/>
  <c r="N10" i="56"/>
  <c r="Q10" i="56"/>
  <c r="X9" i="56"/>
  <c r="O10" i="56"/>
  <c r="V9" i="56"/>
  <c r="G10" i="56"/>
  <c r="AX29" i="44"/>
  <c r="AU29" i="44"/>
  <c r="N30" i="58"/>
  <c r="O30" i="58"/>
  <c r="P30" i="58"/>
  <c r="E30" i="58"/>
  <c r="U30" i="58" s="1"/>
  <c r="L30" i="58"/>
  <c r="J30" i="58"/>
  <c r="V30" i="58" s="1"/>
  <c r="K30" i="58"/>
  <c r="R30" i="58"/>
  <c r="M30" i="58"/>
  <c r="Q30" i="58"/>
  <c r="AA42" i="43"/>
  <c r="AM42" i="43"/>
  <c r="AY42" i="43"/>
  <c r="AW42" i="43"/>
  <c r="AB42" i="43"/>
  <c r="AN42" i="43"/>
  <c r="AC42" i="43"/>
  <c r="AO42" i="43"/>
  <c r="AD42" i="43"/>
  <c r="AP42" i="43"/>
  <c r="AE42" i="43"/>
  <c r="AQ42" i="43"/>
  <c r="Y42" i="43"/>
  <c r="AF42" i="43"/>
  <c r="AR42" i="43"/>
  <c r="AG42" i="43"/>
  <c r="AS42" i="43"/>
  <c r="AH42" i="43"/>
  <c r="AT42" i="43"/>
  <c r="AI42" i="43"/>
  <c r="AU42" i="43"/>
  <c r="AK42" i="43"/>
  <c r="AJ42" i="43"/>
  <c r="AV42" i="43"/>
  <c r="AL42" i="43"/>
  <c r="AX42" i="43"/>
  <c r="AP43" i="43"/>
  <c r="AE43" i="43"/>
  <c r="AQ43" i="43"/>
  <c r="AF43" i="43"/>
  <c r="AR43" i="43"/>
  <c r="AG43" i="43"/>
  <c r="AS43" i="43"/>
  <c r="AH43" i="43"/>
  <c r="AT43" i="43"/>
  <c r="AN43" i="43"/>
  <c r="AI43" i="43"/>
  <c r="AU43" i="43"/>
  <c r="AD43" i="43"/>
  <c r="AC43" i="43"/>
  <c r="AJ43" i="43"/>
  <c r="AV43" i="43"/>
  <c r="AK43" i="43"/>
  <c r="AW43" i="43"/>
  <c r="AL43" i="43"/>
  <c r="AX43" i="43"/>
  <c r="AM43" i="43"/>
  <c r="AY43" i="43"/>
  <c r="AO43" i="43"/>
  <c r="AC39" i="43"/>
  <c r="AO39" i="43"/>
  <c r="AY39" i="43"/>
  <c r="AD39" i="43"/>
  <c r="AP39" i="43"/>
  <c r="X39" i="43"/>
  <c r="X47" i="43" s="1"/>
  <c r="AE39" i="43"/>
  <c r="AQ39" i="43"/>
  <c r="AF39" i="43"/>
  <c r="AR39" i="43"/>
  <c r="AG39" i="43"/>
  <c r="AS39" i="43"/>
  <c r="AM39" i="43"/>
  <c r="AH39" i="43"/>
  <c r="AT39" i="43"/>
  <c r="AA39" i="43"/>
  <c r="AI39" i="43"/>
  <c r="AU39" i="43"/>
  <c r="AJ39" i="43"/>
  <c r="AV39" i="43"/>
  <c r="AK39" i="43"/>
  <c r="AW39" i="43"/>
  <c r="Z39" i="43"/>
  <c r="AL39" i="43"/>
  <c r="AX39" i="43"/>
  <c r="AB39" i="43"/>
  <c r="AN39" i="43"/>
  <c r="AL29" i="44"/>
  <c r="AX27" i="44"/>
  <c r="AI29" i="44"/>
  <c r="AR28" i="44"/>
  <c r="AP27" i="44"/>
  <c r="AU28" i="44"/>
  <c r="AQ28" i="44"/>
  <c r="AI27" i="44"/>
  <c r="AQ29" i="44"/>
  <c r="AZ28" i="44"/>
  <c r="BC29" i="44"/>
  <c r="AX28" i="44"/>
  <c r="AP29" i="44"/>
  <c r="AN28" i="44"/>
  <c r="AT26" i="44"/>
  <c r="BB26" i="44"/>
  <c r="AP28" i="44"/>
  <c r="AL28" i="44"/>
  <c r="AT27" i="44"/>
  <c r="AU27" i="44"/>
  <c r="AW29" i="44"/>
  <c r="AW27" i="44"/>
  <c r="BB27" i="44"/>
  <c r="AT29" i="44"/>
  <c r="AS28" i="44"/>
  <c r="AN29" i="44"/>
  <c r="AH27" i="44"/>
  <c r="AZ27" i="44"/>
  <c r="AK29" i="44"/>
  <c r="AV27" i="44"/>
  <c r="BA28" i="44"/>
  <c r="AR27" i="44"/>
  <c r="BA29" i="44"/>
  <c r="AS29" i="44"/>
  <c r="BC28" i="44"/>
  <c r="AO28" i="44"/>
  <c r="AR29" i="44"/>
  <c r="AO29" i="44"/>
  <c r="AY27" i="44"/>
  <c r="AV28" i="44"/>
  <c r="AZ29" i="44"/>
  <c r="AS27" i="44"/>
  <c r="AV29" i="44"/>
  <c r="BC27" i="44"/>
  <c r="BA27" i="44"/>
  <c r="AJ29" i="44"/>
  <c r="BB29" i="44"/>
  <c r="AM29" i="44"/>
  <c r="BB28" i="44"/>
  <c r="AZ26" i="44"/>
  <c r="AP26" i="44"/>
  <c r="AS26" i="44"/>
  <c r="AT28" i="44"/>
  <c r="AW26" i="44"/>
  <c r="BA26" i="44"/>
  <c r="AW28" i="44"/>
  <c r="BC26" i="44"/>
  <c r="AY26" i="44"/>
  <c r="AV26" i="44"/>
  <c r="AX26" i="44"/>
  <c r="AR26" i="44"/>
  <c r="AY28" i="44"/>
  <c r="AK28" i="44"/>
  <c r="AU26" i="44"/>
  <c r="AM28" i="44"/>
  <c r="AG54" i="43"/>
  <c r="AS54" i="43"/>
  <c r="AH54" i="43"/>
  <c r="AT54" i="43"/>
  <c r="AI54" i="43"/>
  <c r="AU54" i="43"/>
  <c r="AJ54" i="43"/>
  <c r="AV54" i="43"/>
  <c r="AK54" i="43"/>
  <c r="AW54" i="43"/>
  <c r="AL54" i="43"/>
  <c r="AX54" i="43"/>
  <c r="AM54" i="43"/>
  <c r="AY54" i="43"/>
  <c r="AN54" i="43"/>
  <c r="AO54" i="43"/>
  <c r="AP54" i="43"/>
  <c r="AB54" i="43"/>
  <c r="AB59" i="43" s="1"/>
  <c r="AQ54" i="43"/>
  <c r="AF54" i="43"/>
  <c r="AR54" i="43"/>
  <c r="AD54" i="43"/>
  <c r="AC54" i="43"/>
  <c r="Z54" i="43"/>
  <c r="Z59" i="43" s="1"/>
  <c r="AA54" i="43"/>
  <c r="AA59" i="43" s="1"/>
  <c r="AE54" i="43"/>
  <c r="Z42" i="43"/>
  <c r="Y39" i="43"/>
  <c r="AP55" i="43"/>
  <c r="AQ55" i="43"/>
  <c r="AR55" i="43"/>
  <c r="AS55" i="43"/>
  <c r="AT55" i="43"/>
  <c r="AF55" i="43"/>
  <c r="AU55" i="43"/>
  <c r="AJ55" i="43"/>
  <c r="AV55" i="43"/>
  <c r="AK55" i="43"/>
  <c r="AW55" i="43"/>
  <c r="AL55" i="43"/>
  <c r="AX55" i="43"/>
  <c r="AM55" i="43"/>
  <c r="AY55" i="43"/>
  <c r="AN55" i="43"/>
  <c r="AO55" i="43"/>
  <c r="AG55" i="43"/>
  <c r="AH55" i="43"/>
  <c r="AD55" i="43"/>
  <c r="AE55" i="43"/>
  <c r="AI55" i="43"/>
  <c r="AF56" i="43"/>
  <c r="AU56" i="43"/>
  <c r="AJ56" i="43"/>
  <c r="AV56" i="43"/>
  <c r="AK56" i="43"/>
  <c r="AW56" i="43"/>
  <c r="AL56" i="43"/>
  <c r="AX56" i="43"/>
  <c r="AM56" i="43"/>
  <c r="AY56" i="43"/>
  <c r="AN56" i="43"/>
  <c r="AO56" i="43"/>
  <c r="AP56" i="43"/>
  <c r="AQ56" i="43"/>
  <c r="AR56" i="43"/>
  <c r="AS56" i="43"/>
  <c r="AT56" i="43"/>
  <c r="AH56" i="43"/>
  <c r="AG56" i="43"/>
  <c r="AD56" i="43"/>
  <c r="AE56" i="43"/>
  <c r="AI56" i="43"/>
  <c r="E47" i="33"/>
  <c r="E46" i="33" s="1"/>
  <c r="AC56" i="43"/>
  <c r="O44" i="44"/>
  <c r="O50" i="44" s="1"/>
  <c r="S44" i="44"/>
  <c r="S50" i="44" s="1"/>
  <c r="AE44" i="44"/>
  <c r="AE50" i="44" s="1"/>
  <c r="U44" i="44"/>
  <c r="U50" i="44" s="1"/>
  <c r="AG44" i="44"/>
  <c r="D12" i="56" s="1"/>
  <c r="D11" i="56" s="1"/>
  <c r="D9" i="56" s="1"/>
  <c r="V44" i="44"/>
  <c r="V50" i="44" s="1"/>
  <c r="T44" i="44"/>
  <c r="T50" i="44" s="1"/>
  <c r="AF44" i="44"/>
  <c r="C12" i="56" s="1"/>
  <c r="C11" i="56" s="1"/>
  <c r="C9" i="56" s="1"/>
  <c r="C13" i="33" s="1"/>
  <c r="W44" i="44"/>
  <c r="W50" i="44" s="1"/>
  <c r="P44" i="44"/>
  <c r="P50" i="44" s="1"/>
  <c r="X44" i="44"/>
  <c r="X50" i="44" s="1"/>
  <c r="Y44" i="44"/>
  <c r="Y50" i="44" s="1"/>
  <c r="AB44" i="44"/>
  <c r="AB50" i="44" s="1"/>
  <c r="R44" i="44"/>
  <c r="R50" i="44" s="1"/>
  <c r="Z44" i="44"/>
  <c r="Z50" i="44" s="1"/>
  <c r="AA44" i="44"/>
  <c r="AA50" i="44" s="1"/>
  <c r="Q44" i="44"/>
  <c r="Q50" i="44" s="1"/>
  <c r="AC44" i="44"/>
  <c r="AC50" i="44" s="1"/>
  <c r="AD44" i="44"/>
  <c r="AD50" i="44" s="1"/>
  <c r="W39" i="43"/>
  <c r="W47" i="43" s="1"/>
  <c r="AC55" i="43"/>
  <c r="Y54" i="43"/>
  <c r="Y59" i="43" s="1"/>
  <c r="AB43" i="43"/>
  <c r="AX67" i="43"/>
  <c r="AY67" i="43"/>
  <c r="AP67" i="43"/>
  <c r="AS67" i="43"/>
  <c r="AQ67" i="43"/>
  <c r="AR67" i="43"/>
  <c r="AT67" i="43"/>
  <c r="AO67" i="43"/>
  <c r="AU67" i="43"/>
  <c r="AV67" i="43"/>
  <c r="AW67" i="43"/>
  <c r="U67" i="43"/>
  <c r="U73" i="43" s="1"/>
  <c r="V67" i="43"/>
  <c r="V73" i="43" s="1"/>
  <c r="Z67" i="43"/>
  <c r="AC67" i="43"/>
  <c r="Y67" i="43"/>
  <c r="AA67" i="43"/>
  <c r="W67" i="43"/>
  <c r="W73" i="43" s="1"/>
  <c r="AI67" i="43"/>
  <c r="AG67" i="43"/>
  <c r="X67" i="43"/>
  <c r="X73" i="43" s="1"/>
  <c r="AB67" i="43"/>
  <c r="AK67" i="43"/>
  <c r="AD67" i="43"/>
  <c r="AH67" i="43"/>
  <c r="AL67" i="43"/>
  <c r="AE67" i="43"/>
  <c r="AN67" i="43"/>
  <c r="AJ67" i="43"/>
  <c r="AM67" i="43"/>
  <c r="AF67" i="43"/>
  <c r="AG11" i="44"/>
  <c r="Z11" i="44"/>
  <c r="Q11" i="44"/>
  <c r="AC11" i="44"/>
  <c r="R11" i="44"/>
  <c r="S11" i="44"/>
  <c r="AF11" i="44"/>
  <c r="AD11" i="44"/>
  <c r="AE11" i="44"/>
  <c r="P11" i="44"/>
  <c r="Y11" i="44"/>
  <c r="T11" i="44"/>
  <c r="U11" i="44"/>
  <c r="O11" i="44"/>
  <c r="V11" i="44"/>
  <c r="W11" i="44"/>
  <c r="X11" i="44"/>
  <c r="AB11" i="44"/>
  <c r="AA11" i="44"/>
  <c r="AG5" i="44"/>
  <c r="Z5" i="44"/>
  <c r="O5" i="44"/>
  <c r="AH5" i="44"/>
  <c r="Q5" i="44"/>
  <c r="AC5" i="44"/>
  <c r="R5" i="44"/>
  <c r="S5" i="44"/>
  <c r="Y5" i="44"/>
  <c r="AI5" i="44"/>
  <c r="AA5" i="44"/>
  <c r="W5" i="44"/>
  <c r="AB5" i="44"/>
  <c r="AE5" i="44"/>
  <c r="T5" i="44"/>
  <c r="U5" i="44"/>
  <c r="X5" i="44"/>
  <c r="AD5" i="44"/>
  <c r="P5" i="44"/>
  <c r="AF5" i="44"/>
  <c r="V5" i="44"/>
  <c r="Q21" i="44"/>
  <c r="AC21" i="44"/>
  <c r="T21" i="44"/>
  <c r="V21" i="44"/>
  <c r="AB21" i="44"/>
  <c r="AA21" i="44"/>
  <c r="P21" i="44"/>
  <c r="R21" i="44"/>
  <c r="W21" i="44"/>
  <c r="X21" i="44"/>
  <c r="S21" i="44"/>
  <c r="U21" i="44"/>
  <c r="O21" i="44"/>
  <c r="Z21" i="44"/>
  <c r="Y21" i="44"/>
  <c r="AG8" i="44"/>
  <c r="T8" i="44"/>
  <c r="AH8" i="44"/>
  <c r="W8" i="44"/>
  <c r="O8" i="44"/>
  <c r="X8" i="44"/>
  <c r="Y8" i="44"/>
  <c r="S8" i="44"/>
  <c r="U8" i="44"/>
  <c r="R8" i="44"/>
  <c r="AD8" i="44"/>
  <c r="V8" i="44"/>
  <c r="AE8" i="44"/>
  <c r="Z8" i="44"/>
  <c r="AF8" i="44"/>
  <c r="AA8" i="44"/>
  <c r="Q8" i="44"/>
  <c r="AB8" i="44"/>
  <c r="AC8" i="44"/>
  <c r="P8" i="44"/>
  <c r="AH4" i="44"/>
  <c r="P4" i="44"/>
  <c r="AB4" i="44"/>
  <c r="S4" i="44"/>
  <c r="T4" i="44"/>
  <c r="AD4" i="44"/>
  <c r="U4" i="44"/>
  <c r="AI4" i="44"/>
  <c r="W4" i="44"/>
  <c r="O4" i="44"/>
  <c r="X4" i="44"/>
  <c r="V4" i="44"/>
  <c r="Y4" i="44"/>
  <c r="AE4" i="44"/>
  <c r="Z4" i="44"/>
  <c r="AF4" i="44"/>
  <c r="AA4" i="44"/>
  <c r="AG4" i="44"/>
  <c r="AC4" i="44"/>
  <c r="AJ4" i="44"/>
  <c r="R4" i="44"/>
  <c r="Q4" i="44"/>
  <c r="R9" i="44"/>
  <c r="AF9" i="44"/>
  <c r="U9" i="44"/>
  <c r="AG9" i="44"/>
  <c r="V9" i="44"/>
  <c r="W9" i="44"/>
  <c r="Y9" i="44"/>
  <c r="Z9" i="44"/>
  <c r="AA9" i="44"/>
  <c r="AB9" i="44"/>
  <c r="AC9" i="44"/>
  <c r="P9" i="44"/>
  <c r="AD9" i="44"/>
  <c r="X9" i="44"/>
  <c r="AE9" i="44"/>
  <c r="Q9" i="44"/>
  <c r="T9" i="44"/>
  <c r="S9" i="44"/>
  <c r="O9" i="44"/>
  <c r="Z17" i="44"/>
  <c r="O17" i="44"/>
  <c r="Q17" i="44"/>
  <c r="AC17" i="44"/>
  <c r="R17" i="44"/>
  <c r="S17" i="44"/>
  <c r="U17" i="44"/>
  <c r="T17" i="44"/>
  <c r="V17" i="44"/>
  <c r="W17" i="44"/>
  <c r="AD17" i="44"/>
  <c r="X17" i="44"/>
  <c r="Y17" i="44"/>
  <c r="AA17" i="44"/>
  <c r="P17" i="44"/>
  <c r="AB17" i="44"/>
  <c r="R22" i="44"/>
  <c r="T22" i="44"/>
  <c r="O22" i="44"/>
  <c r="X22" i="44"/>
  <c r="P22" i="44"/>
  <c r="Q22" i="44"/>
  <c r="S22" i="44"/>
  <c r="U22" i="44"/>
  <c r="V22" i="44"/>
  <c r="W22" i="44"/>
  <c r="AC20" i="44"/>
  <c r="R20" i="44"/>
  <c r="U20" i="44"/>
  <c r="O20" i="44"/>
  <c r="W20" i="44"/>
  <c r="Z20" i="44"/>
  <c r="AA20" i="44"/>
  <c r="X20" i="44"/>
  <c r="AB20" i="44"/>
  <c r="S20" i="44"/>
  <c r="T20" i="44"/>
  <c r="P20" i="44"/>
  <c r="Q20" i="44"/>
  <c r="Y20" i="44"/>
  <c r="V20" i="44"/>
  <c r="R15" i="44"/>
  <c r="AE15" i="44"/>
  <c r="U15" i="44"/>
  <c r="V15" i="44"/>
  <c r="W15" i="44"/>
  <c r="AC15" i="44"/>
  <c r="AA15" i="44"/>
  <c r="O15" i="44"/>
  <c r="P15" i="44"/>
  <c r="Q15" i="44"/>
  <c r="AD15" i="44"/>
  <c r="S15" i="44"/>
  <c r="AB15" i="44"/>
  <c r="T15" i="44"/>
  <c r="X15" i="44"/>
  <c r="Y15" i="44"/>
  <c r="Z15" i="44"/>
  <c r="X18" i="44"/>
  <c r="AA18" i="44"/>
  <c r="P18" i="44"/>
  <c r="Q18" i="44"/>
  <c r="AC18" i="44"/>
  <c r="W18" i="44"/>
  <c r="Y18" i="44"/>
  <c r="V18" i="44"/>
  <c r="Z18" i="44"/>
  <c r="AB18" i="44"/>
  <c r="AD18" i="44"/>
  <c r="O18" i="44"/>
  <c r="R18" i="44"/>
  <c r="S18" i="44"/>
  <c r="U18" i="44"/>
  <c r="T18" i="44"/>
  <c r="P24" i="44"/>
  <c r="Q24" i="44"/>
  <c r="O24" i="44"/>
  <c r="R24" i="44"/>
  <c r="S24" i="44"/>
  <c r="T24" i="44"/>
  <c r="U24" i="44"/>
  <c r="V24" i="44"/>
  <c r="AH6" i="44"/>
  <c r="AH29" i="44" s="1"/>
  <c r="X6" i="44"/>
  <c r="AF6" i="44"/>
  <c r="AA6" i="44"/>
  <c r="AG6" i="44"/>
  <c r="AG29" i="44" s="1"/>
  <c r="P6" i="44"/>
  <c r="AB6" i="44"/>
  <c r="Q6" i="44"/>
  <c r="AC6" i="44"/>
  <c r="Z6" i="44"/>
  <c r="W6" i="44"/>
  <c r="R6" i="44"/>
  <c r="S6" i="44"/>
  <c r="V6" i="44"/>
  <c r="O6" i="44"/>
  <c r="T6" i="44"/>
  <c r="U6" i="44"/>
  <c r="AE6" i="44"/>
  <c r="AD6" i="44"/>
  <c r="Y6" i="44"/>
  <c r="V13" i="44"/>
  <c r="Y13" i="44"/>
  <c r="AD13" i="44"/>
  <c r="Z13" i="44"/>
  <c r="AE13" i="44"/>
  <c r="AA13" i="44"/>
  <c r="U13" i="44"/>
  <c r="O13" i="44"/>
  <c r="S13" i="44"/>
  <c r="AF13" i="44"/>
  <c r="W13" i="44"/>
  <c r="X13" i="44"/>
  <c r="AB13" i="44"/>
  <c r="AC13" i="44"/>
  <c r="P13" i="44"/>
  <c r="Q13" i="44"/>
  <c r="T13" i="44"/>
  <c r="R13" i="44"/>
  <c r="U19" i="44"/>
  <c r="X19" i="44"/>
  <c r="Z19" i="44"/>
  <c r="Y19" i="44"/>
  <c r="V19" i="44"/>
  <c r="AA19" i="44"/>
  <c r="S19" i="44"/>
  <c r="AB19" i="44"/>
  <c r="AC19" i="44"/>
  <c r="AD19" i="44"/>
  <c r="P19" i="44"/>
  <c r="O19" i="44"/>
  <c r="Q19" i="44"/>
  <c r="R19" i="44"/>
  <c r="T19" i="44"/>
  <c r="W19" i="44"/>
  <c r="T14" i="44"/>
  <c r="W14" i="44"/>
  <c r="X14" i="44"/>
  <c r="Y14" i="44"/>
  <c r="AA14" i="44"/>
  <c r="AB14" i="44"/>
  <c r="O14" i="44"/>
  <c r="R14" i="44"/>
  <c r="S14" i="44"/>
  <c r="Z14" i="44"/>
  <c r="AC14" i="44"/>
  <c r="AD14" i="44"/>
  <c r="AE14" i="44"/>
  <c r="P14" i="44"/>
  <c r="Q14" i="44"/>
  <c r="V14" i="44"/>
  <c r="U14" i="44"/>
  <c r="V7" i="44"/>
  <c r="Y7" i="44"/>
  <c r="Z7" i="44"/>
  <c r="AD7" i="44"/>
  <c r="AA7" i="44"/>
  <c r="AF7" i="44"/>
  <c r="Q7" i="44"/>
  <c r="P7" i="44"/>
  <c r="AG7" i="44"/>
  <c r="R7" i="44"/>
  <c r="AC7" i="44"/>
  <c r="AH7" i="44"/>
  <c r="S7" i="44"/>
  <c r="O7" i="44"/>
  <c r="T7" i="44"/>
  <c r="U7" i="44"/>
  <c r="W7" i="44"/>
  <c r="X7" i="44"/>
  <c r="AB7" i="44"/>
  <c r="AE7" i="44"/>
  <c r="S23" i="44"/>
  <c r="V23" i="44"/>
  <c r="W23" i="44"/>
  <c r="T23" i="44"/>
  <c r="O23" i="44"/>
  <c r="P23" i="44"/>
  <c r="Q23" i="44"/>
  <c r="R23" i="44"/>
  <c r="U23" i="44"/>
  <c r="X12" i="44"/>
  <c r="AF12" i="44"/>
  <c r="AA12" i="44"/>
  <c r="P12" i="44"/>
  <c r="AB12" i="44"/>
  <c r="Q12" i="44"/>
  <c r="AC12" i="44"/>
  <c r="S12" i="44"/>
  <c r="R12" i="44"/>
  <c r="AD12" i="44"/>
  <c r="T12" i="44"/>
  <c r="O12" i="44"/>
  <c r="AE12" i="44"/>
  <c r="U12" i="44"/>
  <c r="V12" i="44"/>
  <c r="W12" i="44"/>
  <c r="Y12" i="44"/>
  <c r="Z12" i="44"/>
  <c r="P10" i="44"/>
  <c r="AB10" i="44"/>
  <c r="S10" i="44"/>
  <c r="T10" i="44"/>
  <c r="AD10" i="44"/>
  <c r="U10" i="44"/>
  <c r="O10" i="44"/>
  <c r="AA10" i="44"/>
  <c r="Y10" i="44"/>
  <c r="AC10" i="44"/>
  <c r="V10" i="44"/>
  <c r="AE10" i="44"/>
  <c r="AF10" i="44"/>
  <c r="W10" i="44"/>
  <c r="Q10" i="44"/>
  <c r="R10" i="44"/>
  <c r="AG10" i="44"/>
  <c r="X10" i="44"/>
  <c r="Z10" i="44"/>
  <c r="P16" i="44"/>
  <c r="AB16" i="44"/>
  <c r="S16" i="44"/>
  <c r="T16" i="44"/>
  <c r="U16" i="44"/>
  <c r="Q16" i="44"/>
  <c r="R16" i="44"/>
  <c r="AA16" i="44"/>
  <c r="V16" i="44"/>
  <c r="O16" i="44"/>
  <c r="Z16" i="44"/>
  <c r="W16" i="44"/>
  <c r="X16" i="44"/>
  <c r="AD16" i="44"/>
  <c r="Y16" i="44"/>
  <c r="AE16" i="44"/>
  <c r="AC16" i="44"/>
  <c r="P25" i="44"/>
  <c r="O25" i="44"/>
  <c r="F45" i="43"/>
  <c r="C52" i="33"/>
  <c r="F57" i="43"/>
  <c r="F68" i="43"/>
  <c r="V52" i="58" s="1"/>
  <c r="V51" i="58" s="1"/>
  <c r="S7" i="43"/>
  <c r="R7" i="43"/>
  <c r="E42" i="33"/>
  <c r="D42" i="33"/>
  <c r="K38" i="33"/>
  <c r="AH28" i="44" l="1"/>
  <c r="W30" i="58"/>
  <c r="X30" i="58"/>
  <c r="D13" i="33"/>
  <c r="U13" i="33" s="1"/>
  <c r="E10" i="56"/>
  <c r="AU47" i="43"/>
  <c r="AU46" i="43" s="1"/>
  <c r="AF47" i="43"/>
  <c r="AF46" i="43" s="1"/>
  <c r="V56" i="58"/>
  <c r="V55" i="58" s="1"/>
  <c r="D47" i="33"/>
  <c r="D46" i="33" s="1"/>
  <c r="X10" i="56"/>
  <c r="X6" i="56"/>
  <c r="W10" i="56"/>
  <c r="AF50" i="44"/>
  <c r="AG50" i="44"/>
  <c r="N20" i="58"/>
  <c r="G20" i="58"/>
  <c r="O18" i="58"/>
  <c r="R18" i="58"/>
  <c r="F18" i="58"/>
  <c r="F11" i="58" s="1"/>
  <c r="Q18" i="58"/>
  <c r="Q11" i="58" s="1"/>
  <c r="N19" i="58"/>
  <c r="P18" i="58"/>
  <c r="I19" i="58"/>
  <c r="I13" i="58" s="1"/>
  <c r="R19" i="58"/>
  <c r="J19" i="58"/>
  <c r="Q19" i="58"/>
  <c r="H20" i="58"/>
  <c r="M19" i="58"/>
  <c r="M18" i="58"/>
  <c r="M11" i="58" s="1"/>
  <c r="P20" i="58"/>
  <c r="D20" i="58"/>
  <c r="R17" i="58"/>
  <c r="P17" i="58"/>
  <c r="O19" i="58"/>
  <c r="H19" i="58"/>
  <c r="H13" i="58" s="1"/>
  <c r="M17" i="58"/>
  <c r="E18" i="58"/>
  <c r="E11" i="58" s="1"/>
  <c r="Q17" i="58"/>
  <c r="F20" i="58"/>
  <c r="F14" i="58" s="1"/>
  <c r="L20" i="58"/>
  <c r="K20" i="58"/>
  <c r="K19" i="58"/>
  <c r="E20" i="58"/>
  <c r="E14" i="58" s="1"/>
  <c r="O17" i="58"/>
  <c r="O20" i="58"/>
  <c r="P19" i="58"/>
  <c r="M20" i="58"/>
  <c r="I20" i="58"/>
  <c r="J20" i="58"/>
  <c r="L19" i="58"/>
  <c r="Q20" i="58"/>
  <c r="R20" i="58"/>
  <c r="V72" i="43"/>
  <c r="I33" i="58"/>
  <c r="X46" i="43"/>
  <c r="K29" i="58"/>
  <c r="AB58" i="43"/>
  <c r="O37" i="58"/>
  <c r="W46" i="43"/>
  <c r="J29" i="58"/>
  <c r="V29" i="58" s="1"/>
  <c r="X72" i="43"/>
  <c r="K33" i="58"/>
  <c r="AA58" i="43"/>
  <c r="N37" i="58"/>
  <c r="N15" i="58" s="1"/>
  <c r="W72" i="43"/>
  <c r="J33" i="58"/>
  <c r="Z58" i="43"/>
  <c r="M37" i="58"/>
  <c r="M15" i="58" s="1"/>
  <c r="U72" i="43"/>
  <c r="H33" i="58"/>
  <c r="Y58" i="43"/>
  <c r="L37" i="58"/>
  <c r="Y47" i="43"/>
  <c r="AF29" i="44"/>
  <c r="AU30" i="44"/>
  <c r="AO47" i="43"/>
  <c r="AO46" i="43" s="1"/>
  <c r="AQ47" i="43"/>
  <c r="AQ46" i="43" s="1"/>
  <c r="AM47" i="43"/>
  <c r="AM46" i="43" s="1"/>
  <c r="S29" i="44"/>
  <c r="BA30" i="44"/>
  <c r="AX30" i="44"/>
  <c r="V29" i="44"/>
  <c r="BB30" i="44"/>
  <c r="T29" i="44"/>
  <c r="AY30" i="44"/>
  <c r="AS30" i="44"/>
  <c r="AR30" i="44"/>
  <c r="AV47" i="43"/>
  <c r="AV46" i="43" s="1"/>
  <c r="AA47" i="43"/>
  <c r="AM59" i="43"/>
  <c r="AM58" i="43" s="1"/>
  <c r="AI47" i="43"/>
  <c r="AI46" i="43" s="1"/>
  <c r="AD59" i="43"/>
  <c r="AS47" i="43"/>
  <c r="AS46" i="43" s="1"/>
  <c r="Z47" i="43"/>
  <c r="AN47" i="43"/>
  <c r="AN46" i="43" s="1"/>
  <c r="AT47" i="43"/>
  <c r="AT46" i="43" s="1"/>
  <c r="AY47" i="43"/>
  <c r="AY46" i="43" s="1"/>
  <c r="AC59" i="43"/>
  <c r="BC30" i="44"/>
  <c r="AZ30" i="44"/>
  <c r="AH47" i="43"/>
  <c r="AH46" i="43" s="1"/>
  <c r="AD47" i="43"/>
  <c r="AX47" i="43"/>
  <c r="AX46" i="43" s="1"/>
  <c r="AR47" i="43"/>
  <c r="AR46" i="43" s="1"/>
  <c r="AG47" i="43"/>
  <c r="AG46" i="43" s="1"/>
  <c r="AL47" i="43"/>
  <c r="AL46" i="43" s="1"/>
  <c r="AW47" i="43"/>
  <c r="AW46" i="43" s="1"/>
  <c r="AK47" i="43"/>
  <c r="AK46" i="43" s="1"/>
  <c r="AW30" i="44"/>
  <c r="AB29" i="44"/>
  <c r="AF27" i="44"/>
  <c r="AB47" i="43"/>
  <c r="AC47" i="43"/>
  <c r="AE47" i="43"/>
  <c r="AP47" i="43"/>
  <c r="AP46" i="43" s="1"/>
  <c r="AN59" i="43"/>
  <c r="AN58" i="43" s="1"/>
  <c r="AA29" i="44"/>
  <c r="AC27" i="44"/>
  <c r="AJ47" i="43"/>
  <c r="AJ46" i="43" s="1"/>
  <c r="AE59" i="43"/>
  <c r="AY59" i="43"/>
  <c r="AY58" i="43" s="1"/>
  <c r="AS59" i="43"/>
  <c r="AS58" i="43" s="1"/>
  <c r="AV30" i="44"/>
  <c r="AP30" i="44"/>
  <c r="W26" i="44"/>
  <c r="W28" i="44"/>
  <c r="AJ28" i="44"/>
  <c r="U29" i="44"/>
  <c r="P27" i="44"/>
  <c r="Q26" i="44"/>
  <c r="Q28" i="44"/>
  <c r="O26" i="44"/>
  <c r="O28" i="44"/>
  <c r="AH59" i="43"/>
  <c r="AH58" i="43" s="1"/>
  <c r="AG59" i="43"/>
  <c r="AG58" i="43" s="1"/>
  <c r="X29" i="44"/>
  <c r="AA27" i="44"/>
  <c r="AC28" i="44"/>
  <c r="U26" i="44"/>
  <c r="U28" i="44"/>
  <c r="AX59" i="43"/>
  <c r="AX58" i="43" s="1"/>
  <c r="Z27" i="44"/>
  <c r="AG28" i="44"/>
  <c r="AD28" i="44"/>
  <c r="AL59" i="43"/>
  <c r="AL58" i="43" s="1"/>
  <c r="R29" i="44"/>
  <c r="O27" i="44"/>
  <c r="Y27" i="44"/>
  <c r="AA26" i="44"/>
  <c r="AA28" i="44"/>
  <c r="T26" i="44"/>
  <c r="T28" i="44"/>
  <c r="AW59" i="43"/>
  <c r="AW58" i="43" s="1"/>
  <c r="W29" i="44"/>
  <c r="S27" i="44"/>
  <c r="W27" i="44"/>
  <c r="AF28" i="44"/>
  <c r="S26" i="44"/>
  <c r="S28" i="44"/>
  <c r="AR59" i="43"/>
  <c r="AR58" i="43" s="1"/>
  <c r="AK59" i="43"/>
  <c r="AK58" i="43" s="1"/>
  <c r="T27" i="44"/>
  <c r="V27" i="44"/>
  <c r="Z26" i="44"/>
  <c r="Z28" i="44"/>
  <c r="AB26" i="44"/>
  <c r="AB28" i="44"/>
  <c r="AF59" i="43"/>
  <c r="AF58" i="43" s="1"/>
  <c r="AV59" i="43"/>
  <c r="AV58" i="43" s="1"/>
  <c r="O29" i="44"/>
  <c r="Z29" i="44"/>
  <c r="AC29" i="44"/>
  <c r="Q27" i="44"/>
  <c r="AE26" i="44"/>
  <c r="AE28" i="44"/>
  <c r="P26" i="44"/>
  <c r="P28" i="44"/>
  <c r="AQ59" i="43"/>
  <c r="AQ58" i="43" s="1"/>
  <c r="AJ59" i="43"/>
  <c r="AJ58" i="43" s="1"/>
  <c r="AB27" i="44"/>
  <c r="Y29" i="44"/>
  <c r="Q29" i="44"/>
  <c r="AE27" i="44"/>
  <c r="U27" i="44"/>
  <c r="Y26" i="44"/>
  <c r="Y28" i="44"/>
  <c r="AH26" i="44"/>
  <c r="AU59" i="43"/>
  <c r="AU58" i="43" s="1"/>
  <c r="AT30" i="44"/>
  <c r="AD29" i="44"/>
  <c r="X27" i="44"/>
  <c r="V26" i="44"/>
  <c r="V28" i="44"/>
  <c r="AP59" i="43"/>
  <c r="AP58" i="43" s="1"/>
  <c r="AI59" i="43"/>
  <c r="AI58" i="43" s="1"/>
  <c r="R26" i="44"/>
  <c r="R28" i="44"/>
  <c r="AI26" i="44"/>
  <c r="AI28" i="44"/>
  <c r="AE29" i="44"/>
  <c r="P29" i="44"/>
  <c r="R27" i="44"/>
  <c r="X26" i="44"/>
  <c r="X28" i="44"/>
  <c r="AO59" i="43"/>
  <c r="AO58" i="43" s="1"/>
  <c r="AT59" i="43"/>
  <c r="AT58" i="43" s="1"/>
  <c r="BD44" i="44"/>
  <c r="BD8" i="44"/>
  <c r="AW68" i="43"/>
  <c r="AX68" i="43"/>
  <c r="AY68" i="43"/>
  <c r="AS68" i="43"/>
  <c r="AT68" i="43"/>
  <c r="AU68" i="43"/>
  <c r="AV68" i="43"/>
  <c r="Y68" i="43"/>
  <c r="Y73" i="43" s="1"/>
  <c r="AD68" i="43"/>
  <c r="Z68" i="43"/>
  <c r="Z73" i="43" s="1"/>
  <c r="AG68" i="43"/>
  <c r="AC68" i="43"/>
  <c r="AE68" i="43"/>
  <c r="AA68" i="43"/>
  <c r="AA73" i="43" s="1"/>
  <c r="AB68" i="43"/>
  <c r="AB73" i="43" s="1"/>
  <c r="AK68" i="43"/>
  <c r="AO68" i="43"/>
  <c r="AF68" i="43"/>
  <c r="AH68" i="43"/>
  <c r="AM68" i="43"/>
  <c r="AL68" i="43"/>
  <c r="AI68" i="43"/>
  <c r="AJ68" i="43"/>
  <c r="AR68" i="43"/>
  <c r="AN68" i="43"/>
  <c r="AQ68" i="43"/>
  <c r="AP68" i="43"/>
  <c r="AZ43" i="43"/>
  <c r="AZ39" i="43"/>
  <c r="A39" i="43" s="1"/>
  <c r="AZ67" i="43"/>
  <c r="A67" i="43" s="1"/>
  <c r="AZ42" i="43"/>
  <c r="BD14" i="44"/>
  <c r="BD15" i="44"/>
  <c r="BD5" i="44"/>
  <c r="BD4" i="44"/>
  <c r="BD19" i="44"/>
  <c r="BD22" i="44"/>
  <c r="BD18" i="44"/>
  <c r="BD12" i="44"/>
  <c r="BD20" i="44"/>
  <c r="BD25" i="44"/>
  <c r="BD10" i="44"/>
  <c r="BD13" i="44"/>
  <c r="BD11" i="44"/>
  <c r="BD7" i="44"/>
  <c r="BD6" i="44"/>
  <c r="C51" i="33"/>
  <c r="J36" i="33" s="1"/>
  <c r="J37" i="33"/>
  <c r="D52" i="33"/>
  <c r="D51" i="33" s="1"/>
  <c r="F70" i="43"/>
  <c r="X52" i="58" s="1"/>
  <c r="X51" i="58" s="1"/>
  <c r="F69" i="43"/>
  <c r="W52" i="58" s="1"/>
  <c r="W51" i="58" s="1"/>
  <c r="R47" i="43"/>
  <c r="T7" i="43"/>
  <c r="E41" i="33"/>
  <c r="D41" i="33"/>
  <c r="W19" i="58" l="1"/>
  <c r="V33" i="58"/>
  <c r="X19" i="58"/>
  <c r="X20" i="58"/>
  <c r="D14" i="58"/>
  <c r="U20" i="58"/>
  <c r="W20" i="58"/>
  <c r="X18" i="58"/>
  <c r="G14" i="58"/>
  <c r="V20" i="58"/>
  <c r="L15" i="58"/>
  <c r="W15" i="58" s="1"/>
  <c r="W37" i="58"/>
  <c r="O15" i="58"/>
  <c r="E14" i="33"/>
  <c r="D14" i="33"/>
  <c r="H14" i="58"/>
  <c r="U9" i="56"/>
  <c r="D10" i="56"/>
  <c r="K14" i="58"/>
  <c r="K13" i="58"/>
  <c r="U14" i="58"/>
  <c r="I14" i="58"/>
  <c r="P21" i="58"/>
  <c r="P16" i="58" s="1"/>
  <c r="C20" i="58"/>
  <c r="C14" i="58" s="1"/>
  <c r="D19" i="58"/>
  <c r="Q21" i="58"/>
  <c r="Q16" i="58" s="1"/>
  <c r="F19" i="58"/>
  <c r="F13" i="58" s="1"/>
  <c r="C19" i="58"/>
  <c r="C13" i="58" s="1"/>
  <c r="F17" i="58"/>
  <c r="E17" i="58"/>
  <c r="G19" i="58"/>
  <c r="E19" i="58"/>
  <c r="J13" i="58"/>
  <c r="M21" i="58"/>
  <c r="M16" i="58" s="1"/>
  <c r="C18" i="58"/>
  <c r="C11" i="58" s="1"/>
  <c r="O21" i="58"/>
  <c r="R21" i="58"/>
  <c r="R16" i="58" s="1"/>
  <c r="J14" i="58"/>
  <c r="AE46" i="43"/>
  <c r="R29" i="58"/>
  <c r="R13" i="58" s="1"/>
  <c r="AD46" i="43"/>
  <c r="Q29" i="58"/>
  <c r="Q13" i="58" s="1"/>
  <c r="AC46" i="43"/>
  <c r="P29" i="58"/>
  <c r="P13" i="58" s="1"/>
  <c r="AA46" i="43"/>
  <c r="N29" i="58"/>
  <c r="N13" i="58" s="1"/>
  <c r="AB46" i="43"/>
  <c r="O29" i="58"/>
  <c r="M36" i="58"/>
  <c r="J28" i="58"/>
  <c r="V28" i="58" s="1"/>
  <c r="Z72" i="43"/>
  <c r="M33" i="58"/>
  <c r="M14" i="58" s="1"/>
  <c r="AC58" i="43"/>
  <c r="P37" i="58"/>
  <c r="P15" i="58" s="1"/>
  <c r="Y46" i="43"/>
  <c r="L29" i="58"/>
  <c r="L13" i="58" s="1"/>
  <c r="J32" i="58"/>
  <c r="O36" i="58"/>
  <c r="AE58" i="43"/>
  <c r="R37" i="58"/>
  <c r="R15" i="58" s="1"/>
  <c r="Z46" i="43"/>
  <c r="M29" i="58"/>
  <c r="M13" i="58" s="1"/>
  <c r="L36" i="58"/>
  <c r="N36" i="58"/>
  <c r="K28" i="58"/>
  <c r="Y72" i="43"/>
  <c r="L33" i="58"/>
  <c r="L14" i="58" s="1"/>
  <c r="AB72" i="43"/>
  <c r="O33" i="58"/>
  <c r="AD58" i="43"/>
  <c r="Q37" i="58"/>
  <c r="Q15" i="58" s="1"/>
  <c r="R46" i="43"/>
  <c r="E29" i="58"/>
  <c r="U29" i="58" s="1"/>
  <c r="AA72" i="43"/>
  <c r="N33" i="58"/>
  <c r="N14" i="58" s="1"/>
  <c r="H32" i="58"/>
  <c r="K32" i="58"/>
  <c r="I32" i="58"/>
  <c r="Z30" i="44"/>
  <c r="AI30" i="44"/>
  <c r="AH30" i="44"/>
  <c r="Y30" i="44"/>
  <c r="X30" i="44"/>
  <c r="U30" i="44"/>
  <c r="O30" i="44"/>
  <c r="V30" i="44"/>
  <c r="Q30" i="44"/>
  <c r="P30" i="44"/>
  <c r="S30" i="44"/>
  <c r="T30" i="44"/>
  <c r="AE30" i="44"/>
  <c r="AB30" i="44"/>
  <c r="AA30" i="44"/>
  <c r="R30" i="44"/>
  <c r="W30" i="44"/>
  <c r="K36" i="33"/>
  <c r="AG70" i="43"/>
  <c r="AL70" i="43"/>
  <c r="AH70" i="43"/>
  <c r="AO70" i="43"/>
  <c r="AM70" i="43"/>
  <c r="AK70" i="43"/>
  <c r="AI70" i="43"/>
  <c r="AT70" i="43"/>
  <c r="AU70" i="43"/>
  <c r="AS70" i="43"/>
  <c r="AN70" i="43"/>
  <c r="AJ70" i="43"/>
  <c r="AW70" i="43"/>
  <c r="AP70" i="43"/>
  <c r="AX70" i="43"/>
  <c r="AV70" i="43"/>
  <c r="AY70" i="43"/>
  <c r="AR70" i="43"/>
  <c r="AQ70" i="43"/>
  <c r="AW69" i="43"/>
  <c r="AX69" i="43"/>
  <c r="AY69" i="43"/>
  <c r="AE69" i="43"/>
  <c r="AE73" i="43" s="1"/>
  <c r="AH69" i="43"/>
  <c r="AK69" i="43"/>
  <c r="AG69" i="43"/>
  <c r="AI69" i="43"/>
  <c r="AD69" i="43"/>
  <c r="AD73" i="43" s="1"/>
  <c r="AC69" i="43"/>
  <c r="AC73" i="43" s="1"/>
  <c r="AO69" i="43"/>
  <c r="AF69" i="43"/>
  <c r="AF73" i="43" s="1"/>
  <c r="AF72" i="43" s="1"/>
  <c r="AQ69" i="43"/>
  <c r="AJ69" i="43"/>
  <c r="AS69" i="43"/>
  <c r="AL69" i="43"/>
  <c r="AP69" i="43"/>
  <c r="AM69" i="43"/>
  <c r="AT69" i="43"/>
  <c r="AV69" i="43"/>
  <c r="AR69" i="43"/>
  <c r="AU69" i="43"/>
  <c r="AN69" i="43"/>
  <c r="K37" i="33"/>
  <c r="AZ68" i="43"/>
  <c r="A68" i="43" s="1"/>
  <c r="F52" i="33"/>
  <c r="E52" i="33"/>
  <c r="E51" i="33" s="1"/>
  <c r="F71" i="43"/>
  <c r="R6" i="43"/>
  <c r="T5" i="43"/>
  <c r="U7" i="43"/>
  <c r="S5" i="43"/>
  <c r="S6" i="43"/>
  <c r="B72" i="41" a="1"/>
  <c r="AG73" i="43" l="1"/>
  <c r="AG72" i="43" s="1"/>
  <c r="O16" i="58"/>
  <c r="X21" i="58"/>
  <c r="G13" i="58"/>
  <c r="V13" i="58" s="1"/>
  <c r="V19" i="58"/>
  <c r="D13" i="58"/>
  <c r="U19" i="58"/>
  <c r="V32" i="58"/>
  <c r="W36" i="58"/>
  <c r="W33" i="58"/>
  <c r="W29" i="58"/>
  <c r="O13" i="58"/>
  <c r="X13" i="58" s="1"/>
  <c r="X29" i="58"/>
  <c r="X37" i="58"/>
  <c r="O14" i="58"/>
  <c r="E13" i="58"/>
  <c r="U10" i="56"/>
  <c r="V10" i="56"/>
  <c r="V14" i="58"/>
  <c r="W13" i="58"/>
  <c r="X15" i="58"/>
  <c r="AX73" i="43"/>
  <c r="AX72" i="43" s="1"/>
  <c r="AH73" i="43"/>
  <c r="AH72" i="43" s="1"/>
  <c r="AL73" i="43"/>
  <c r="AL72" i="43" s="1"/>
  <c r="M12" i="58"/>
  <c r="M9" i="58" s="1"/>
  <c r="W14" i="58"/>
  <c r="E21" i="58"/>
  <c r="E16" i="58" s="1"/>
  <c r="AQ73" i="43"/>
  <c r="AQ72" i="43" s="1"/>
  <c r="F21" i="58"/>
  <c r="F16" i="58" s="1"/>
  <c r="F12" i="58" s="1"/>
  <c r="F9" i="58" s="1"/>
  <c r="F39" i="58" s="1"/>
  <c r="X16" i="58"/>
  <c r="AC72" i="43"/>
  <c r="P33" i="58"/>
  <c r="P14" i="58" s="1"/>
  <c r="M32" i="58"/>
  <c r="N28" i="58"/>
  <c r="M28" i="58"/>
  <c r="AD72" i="43"/>
  <c r="Q33" i="58"/>
  <c r="Q14" i="58" s="1"/>
  <c r="Q12" i="58" s="1"/>
  <c r="P28" i="58"/>
  <c r="L28" i="58"/>
  <c r="Q36" i="58"/>
  <c r="AE72" i="43"/>
  <c r="R33" i="58"/>
  <c r="R14" i="58" s="1"/>
  <c r="R12" i="58" s="1"/>
  <c r="N32" i="58"/>
  <c r="O28" i="58"/>
  <c r="Q28" i="58"/>
  <c r="O32" i="58"/>
  <c r="P36" i="58"/>
  <c r="X36" i="58" s="1"/>
  <c r="R36" i="58"/>
  <c r="L32" i="58"/>
  <c r="R5" i="43"/>
  <c r="E28" i="58"/>
  <c r="U28" i="58" s="1"/>
  <c r="R28" i="58"/>
  <c r="AY73" i="43"/>
  <c r="AY72" i="43" s="1"/>
  <c r="AN73" i="43"/>
  <c r="AN72" i="43" s="1"/>
  <c r="AM73" i="43"/>
  <c r="AM72" i="43" s="1"/>
  <c r="AJ73" i="43"/>
  <c r="AJ72" i="43" s="1"/>
  <c r="AV73" i="43"/>
  <c r="AV72" i="43" s="1"/>
  <c r="AW73" i="43"/>
  <c r="AW72" i="43" s="1"/>
  <c r="AO73" i="43"/>
  <c r="AO72" i="43" s="1"/>
  <c r="AP73" i="43"/>
  <c r="AP72" i="43" s="1"/>
  <c r="AT73" i="43"/>
  <c r="AT72" i="43" s="1"/>
  <c r="AS73" i="43"/>
  <c r="AS72" i="43" s="1"/>
  <c r="AU73" i="43"/>
  <c r="AU72" i="43" s="1"/>
  <c r="AI73" i="43"/>
  <c r="AI72" i="43" s="1"/>
  <c r="AK73" i="43"/>
  <c r="AK72" i="43" s="1"/>
  <c r="AR73" i="43"/>
  <c r="AR72" i="43" s="1"/>
  <c r="AZ69" i="43"/>
  <c r="A69" i="43" s="1"/>
  <c r="AZ70" i="43"/>
  <c r="A70" i="43" s="1"/>
  <c r="J102" i="41"/>
  <c r="J91" i="41"/>
  <c r="J103" i="41"/>
  <c r="J93" i="41"/>
  <c r="J105" i="41"/>
  <c r="J94" i="41"/>
  <c r="J106" i="41"/>
  <c r="J95" i="41"/>
  <c r="J107" i="41"/>
  <c r="J98" i="41"/>
  <c r="J110" i="41"/>
  <c r="J92" i="41"/>
  <c r="J108" i="41"/>
  <c r="J96" i="41"/>
  <c r="J97" i="41"/>
  <c r="J99" i="41"/>
  <c r="J111" i="41"/>
  <c r="J100" i="41"/>
  <c r="J101" i="41"/>
  <c r="J104" i="41"/>
  <c r="J109" i="41"/>
  <c r="J90" i="41"/>
  <c r="J89" i="41"/>
  <c r="F51" i="33"/>
  <c r="M36" i="33" s="1"/>
  <c r="M37" i="33"/>
  <c r="L36" i="33"/>
  <c r="L37" i="33"/>
  <c r="V7" i="43"/>
  <c r="T6" i="43"/>
  <c r="U5" i="43"/>
  <c r="U6" i="43"/>
  <c r="M89" i="41" a="1"/>
  <c r="M89" i="41" s="1"/>
  <c r="B72" i="41"/>
  <c r="J72" i="41" s="1"/>
  <c r="E83" i="40"/>
  <c r="K90" i="40"/>
  <c r="C6" i="33"/>
  <c r="D20" i="33"/>
  <c r="D28" i="33" s="1"/>
  <c r="M13" i="31"/>
  <c r="M15" i="31" s="1"/>
  <c r="N20" i="31"/>
  <c r="N21" i="31"/>
  <c r="N22" i="31"/>
  <c r="N23" i="31"/>
  <c r="N24" i="31"/>
  <c r="N25" i="31"/>
  <c r="N26" i="31"/>
  <c r="N27" i="31"/>
  <c r="U13" i="58" l="1"/>
  <c r="W32" i="58"/>
  <c r="E12" i="58"/>
  <c r="E9" i="58" s="1"/>
  <c r="W28" i="58"/>
  <c r="O12" i="58"/>
  <c r="X33" i="58"/>
  <c r="X28" i="58"/>
  <c r="G15" i="33"/>
  <c r="R15" i="33"/>
  <c r="F15" i="33"/>
  <c r="K15" i="33"/>
  <c r="H15" i="33"/>
  <c r="Q15" i="33"/>
  <c r="E15" i="33"/>
  <c r="P15" i="33"/>
  <c r="D15" i="33"/>
  <c r="O15" i="33"/>
  <c r="C15" i="33"/>
  <c r="C11" i="33"/>
  <c r="N15" i="33"/>
  <c r="J15" i="33"/>
  <c r="M15" i="33"/>
  <c r="L15" i="33"/>
  <c r="I15" i="33"/>
  <c r="R11" i="33"/>
  <c r="F11" i="33"/>
  <c r="Q11" i="33"/>
  <c r="E11" i="33"/>
  <c r="P11" i="33"/>
  <c r="D11" i="33"/>
  <c r="O11" i="33"/>
  <c r="N11" i="33"/>
  <c r="M11" i="33"/>
  <c r="L11" i="33"/>
  <c r="G11" i="33"/>
  <c r="K11" i="33"/>
  <c r="H11" i="33"/>
  <c r="J11" i="33"/>
  <c r="I11" i="33"/>
  <c r="X14" i="58"/>
  <c r="Q9" i="58"/>
  <c r="Q39" i="58" s="1"/>
  <c r="M39" i="58"/>
  <c r="Q32" i="58"/>
  <c r="P12" i="58"/>
  <c r="X12" i="58" s="1"/>
  <c r="P32" i="58"/>
  <c r="F10" i="58"/>
  <c r="R32" i="58"/>
  <c r="E39" i="58"/>
  <c r="A73" i="43"/>
  <c r="A72" i="43"/>
  <c r="N30" i="33"/>
  <c r="O30" i="33"/>
  <c r="M30" i="33"/>
  <c r="N25" i="33"/>
  <c r="V5" i="43"/>
  <c r="W7" i="43"/>
  <c r="V6" i="43"/>
  <c r="N89" i="41" a="1"/>
  <c r="N89" i="41" s="1"/>
  <c r="M27" i="33"/>
  <c r="N27" i="33"/>
  <c r="O27" i="33"/>
  <c r="M22" i="33"/>
  <c r="M25" i="33"/>
  <c r="M23" i="33"/>
  <c r="N26" i="33"/>
  <c r="O26" i="33"/>
  <c r="M26" i="33"/>
  <c r="N23" i="33"/>
  <c r="O25" i="33"/>
  <c r="O23" i="33"/>
  <c r="D26" i="33"/>
  <c r="D25" i="33"/>
  <c r="D23" i="33"/>
  <c r="E20" i="33"/>
  <c r="E28" i="33" s="1"/>
  <c r="D31" i="33"/>
  <c r="D30" i="33"/>
  <c r="D21" i="33"/>
  <c r="D22" i="33"/>
  <c r="D32" i="33"/>
  <c r="D29" i="33"/>
  <c r="N22" i="33"/>
  <c r="O22" i="33"/>
  <c r="M18" i="31"/>
  <c r="M17" i="31"/>
  <c r="M16" i="31"/>
  <c r="X32" i="58" l="1"/>
  <c r="W11" i="33"/>
  <c r="X15" i="33"/>
  <c r="X11" i="33"/>
  <c r="V11" i="33"/>
  <c r="V15" i="33"/>
  <c r="D16" i="33"/>
  <c r="W15" i="33"/>
  <c r="F12" i="33"/>
  <c r="Y7" i="43"/>
  <c r="X7" i="43"/>
  <c r="O89" i="41" a="1"/>
  <c r="O89" i="41" s="1"/>
  <c r="P89" i="41" s="1" a="1"/>
  <c r="P89" i="41" s="1"/>
  <c r="N24" i="33"/>
  <c r="D24" i="33"/>
  <c r="F20" i="33"/>
  <c r="F28" i="33" s="1"/>
  <c r="O24" i="33"/>
  <c r="M21" i="33"/>
  <c r="O21" i="33"/>
  <c r="N21" i="33"/>
  <c r="M24" i="33"/>
  <c r="E26" i="33"/>
  <c r="E25" i="33"/>
  <c r="E23" i="33"/>
  <c r="E31" i="33"/>
  <c r="E30" i="33"/>
  <c r="E29" i="33"/>
  <c r="E21" i="33"/>
  <c r="E32" i="33"/>
  <c r="E22" i="33"/>
  <c r="A2" i="21"/>
  <c r="X5" i="43" l="1"/>
  <c r="Z7" i="43"/>
  <c r="A44" i="43"/>
  <c r="A41" i="43"/>
  <c r="W5" i="43"/>
  <c r="W6" i="43"/>
  <c r="Q89" i="41" a="1"/>
  <c r="Q89" i="41" s="1"/>
  <c r="R89" i="41" s="1" a="1"/>
  <c r="R89" i="41" s="1"/>
  <c r="F26" i="33"/>
  <c r="F25" i="33"/>
  <c r="F30" i="33"/>
  <c r="F23" i="33"/>
  <c r="F21" i="33"/>
  <c r="G20" i="33"/>
  <c r="G28" i="33" s="1"/>
  <c r="F32" i="33"/>
  <c r="F29" i="33"/>
  <c r="F22" i="33"/>
  <c r="E24" i="33"/>
  <c r="F31" i="33"/>
  <c r="X6" i="43" l="1"/>
  <c r="Z6" i="43"/>
  <c r="AA7" i="43"/>
  <c r="A42" i="43"/>
  <c r="Y5" i="43"/>
  <c r="Y6" i="43"/>
  <c r="H20" i="33"/>
  <c r="H28" i="33" s="1"/>
  <c r="G29" i="33"/>
  <c r="G30" i="33"/>
  <c r="G21" i="33"/>
  <c r="G31" i="33"/>
  <c r="G32" i="33"/>
  <c r="G23" i="33"/>
  <c r="G26" i="33"/>
  <c r="G25" i="33"/>
  <c r="S89" i="41" a="1"/>
  <c r="S89" i="41" s="1"/>
  <c r="T89" i="41" s="1" a="1"/>
  <c r="T89" i="41" s="1"/>
  <c r="F24" i="33"/>
  <c r="G22" i="33"/>
  <c r="H21" i="33" l="1"/>
  <c r="H29" i="33"/>
  <c r="H26" i="33"/>
  <c r="H30" i="33"/>
  <c r="H23" i="33"/>
  <c r="H25" i="33"/>
  <c r="I20" i="33"/>
  <c r="I28" i="33" s="1"/>
  <c r="Z5" i="43"/>
  <c r="G24" i="33"/>
  <c r="H31" i="33"/>
  <c r="H32" i="33"/>
  <c r="H22" i="33"/>
  <c r="U89" i="41" a="1"/>
  <c r="U89" i="41" s="1"/>
  <c r="I26" i="33"/>
  <c r="I25" i="33"/>
  <c r="I29" i="33"/>
  <c r="I30" i="33"/>
  <c r="I31" i="33"/>
  <c r="I21" i="33"/>
  <c r="J20" i="33"/>
  <c r="J28" i="33" s="1"/>
  <c r="I32" i="33" l="1"/>
  <c r="I22" i="33"/>
  <c r="I23" i="33"/>
  <c r="H24" i="33"/>
  <c r="AA6" i="43"/>
  <c r="V89" i="41" a="1"/>
  <c r="V89" i="41" s="1"/>
  <c r="W89" i="41" s="1" a="1"/>
  <c r="W89" i="41" s="1"/>
  <c r="X89" i="41" s="1" a="1"/>
  <c r="X89" i="41" s="1"/>
  <c r="Y89" i="41" s="1" a="1"/>
  <c r="Y89" i="41" s="1"/>
  <c r="Z89" i="41" s="1" a="1"/>
  <c r="Z89" i="41" s="1"/>
  <c r="AA89" i="41" s="1" a="1"/>
  <c r="AA89" i="41" s="1"/>
  <c r="AB89" i="41" s="1" a="1"/>
  <c r="AB89" i="41" s="1"/>
  <c r="AC89" i="41" s="1" a="1"/>
  <c r="AC89" i="41" s="1"/>
  <c r="AD89" i="41" s="1" a="1"/>
  <c r="AD89" i="41" s="1"/>
  <c r="AE89" i="41" s="1" a="1"/>
  <c r="AE89" i="41" s="1"/>
  <c r="AF89" i="41" s="1" a="1"/>
  <c r="AF89" i="41" s="1"/>
  <c r="AG89" i="41" s="1" a="1"/>
  <c r="AG89" i="41" s="1"/>
  <c r="AH89" i="41" s="1" a="1"/>
  <c r="AH89" i="41" s="1"/>
  <c r="AI89" i="41" s="1" a="1"/>
  <c r="AI89" i="41" s="1"/>
  <c r="AJ89" i="41" s="1" a="1"/>
  <c r="AJ89" i="41" s="1"/>
  <c r="AK89" i="41" s="1" a="1"/>
  <c r="AK89" i="41" s="1"/>
  <c r="AL89" i="41" s="1" a="1"/>
  <c r="AL89" i="41" s="1"/>
  <c r="AM89" i="41" s="1" a="1"/>
  <c r="AM89" i="41" s="1"/>
  <c r="AN89" i="41" s="1" a="1"/>
  <c r="AN89" i="41" s="1"/>
  <c r="AO89" i="41" s="1" a="1"/>
  <c r="AO89" i="41" s="1"/>
  <c r="AP89" i="41" s="1" a="1"/>
  <c r="AP89" i="41" s="1"/>
  <c r="AQ89" i="41" s="1" a="1"/>
  <c r="AQ89" i="41" s="1"/>
  <c r="AR89" i="41" s="1" a="1"/>
  <c r="AR89" i="41" s="1"/>
  <c r="I24" i="33"/>
  <c r="J23" i="33"/>
  <c r="J26" i="33"/>
  <c r="J25" i="33"/>
  <c r="J29" i="33"/>
  <c r="J21" i="33"/>
  <c r="J22" i="33"/>
  <c r="J32" i="33"/>
  <c r="J30" i="33"/>
  <c r="J31" i="33"/>
  <c r="K20" i="33"/>
  <c r="K28" i="33" s="1"/>
  <c r="AD7" i="43" l="1"/>
  <c r="J24" i="33"/>
  <c r="K23" i="33"/>
  <c r="K26" i="33"/>
  <c r="K25" i="33"/>
  <c r="K29" i="33"/>
  <c r="K21" i="33"/>
  <c r="K32" i="33"/>
  <c r="K31" i="33"/>
  <c r="K30" i="33"/>
  <c r="K22" i="33"/>
  <c r="L20" i="33"/>
  <c r="L29" i="33" l="1"/>
  <c r="L30" i="33"/>
  <c r="AD6" i="43"/>
  <c r="L28" i="33"/>
  <c r="L22" i="33"/>
  <c r="L26" i="33"/>
  <c r="L25" i="33"/>
  <c r="L23" i="33"/>
  <c r="K24" i="33"/>
  <c r="L31" i="33"/>
  <c r="L32" i="33"/>
  <c r="M20" i="33"/>
  <c r="L21" i="33" l="1"/>
  <c r="L24" i="33"/>
  <c r="N20" i="33"/>
  <c r="AG7" i="43" l="1"/>
  <c r="O20" i="33"/>
  <c r="AG5" i="43" l="1"/>
  <c r="AH7" i="43"/>
  <c r="AG6" i="43" l="1"/>
  <c r="AI7" i="43"/>
  <c r="AH6" i="43" l="1"/>
  <c r="AJ7" i="43"/>
  <c r="AK7" i="43" l="1"/>
  <c r="AL7" i="43" l="1"/>
  <c r="AK6" i="43"/>
  <c r="AM7" i="43" l="1"/>
  <c r="AN7" i="43" l="1"/>
  <c r="AN5" i="43" l="1"/>
  <c r="AO7" i="43"/>
  <c r="AN6" i="43"/>
  <c r="AP7" i="43" l="1"/>
  <c r="AP5" i="43" l="1"/>
  <c r="AQ7" i="43"/>
  <c r="AP6" i="43"/>
  <c r="AQ5" i="43" l="1"/>
  <c r="AR7" i="43"/>
  <c r="AQ6" i="43" l="1"/>
  <c r="AS7" i="43"/>
  <c r="AR5" i="43"/>
  <c r="AR6" i="43" l="1"/>
  <c r="AS5" i="43"/>
  <c r="AT7" i="43"/>
  <c r="AS6" i="43" l="1"/>
  <c r="AT5" i="43"/>
  <c r="AU7" i="43"/>
  <c r="AT6" i="43" l="1"/>
  <c r="AU5" i="43"/>
  <c r="AV7" i="43"/>
  <c r="AU6" i="43" l="1"/>
  <c r="AV5" i="43"/>
  <c r="AW7" i="43"/>
  <c r="AV6" i="43" l="1"/>
  <c r="AW5" i="43"/>
  <c r="AX7" i="43"/>
  <c r="AX5" i="43" l="1"/>
  <c r="AW6" i="43"/>
  <c r="AZ38" i="43"/>
  <c r="A38" i="43" s="1"/>
  <c r="AY7" i="43"/>
  <c r="A43" i="43"/>
  <c r="AX6" i="43"/>
  <c r="AY5" i="43" l="1"/>
  <c r="AY6" i="43"/>
  <c r="AD23" i="44" l="1"/>
  <c r="AN9" i="44"/>
  <c r="AA21" i="43"/>
  <c r="AA23" i="43" s="1"/>
  <c r="AL16" i="44"/>
  <c r="AF18" i="43"/>
  <c r="AJ21" i="44"/>
  <c r="AB16" i="43"/>
  <c r="AB25" i="43" s="1"/>
  <c r="AL24" i="43"/>
  <c r="AL23" i="43" s="1"/>
  <c r="AK17" i="44"/>
  <c r="AH20" i="43"/>
  <c r="AH23" i="43" s="1"/>
  <c r="AH5" i="43" s="1"/>
  <c r="AC24" i="44"/>
  <c r="AC26" i="44" s="1"/>
  <c r="AC30" i="44" s="1"/>
  <c r="AO16" i="44"/>
  <c r="AC17" i="43"/>
  <c r="AC25" i="43" s="1"/>
  <c r="AA5" i="43" l="1"/>
  <c r="N24" i="58"/>
  <c r="W24" i="58" s="1"/>
  <c r="AB24" i="43"/>
  <c r="AB23" i="43" s="1"/>
  <c r="O26" i="58"/>
  <c r="AC24" i="43"/>
  <c r="P26" i="58"/>
  <c r="AK27" i="44"/>
  <c r="AK26" i="44"/>
  <c r="AJ27" i="44"/>
  <c r="AJ26" i="44"/>
  <c r="AL27" i="44"/>
  <c r="AL26" i="44"/>
  <c r="AO26" i="44"/>
  <c r="AO27" i="44"/>
  <c r="AD27" i="44"/>
  <c r="AD26" i="44"/>
  <c r="AB7" i="43"/>
  <c r="AC7" i="43"/>
  <c r="BD16" i="44"/>
  <c r="AN17" i="44"/>
  <c r="BD17" i="44" s="1"/>
  <c r="AF17" i="43"/>
  <c r="AF25" i="43" s="1"/>
  <c r="AF24" i="43" s="1"/>
  <c r="AF23" i="43" s="1"/>
  <c r="AI18" i="43"/>
  <c r="AI24" i="43" s="1"/>
  <c r="AI23" i="43" s="1"/>
  <c r="AD21" i="43"/>
  <c r="AB6" i="43"/>
  <c r="AG23" i="44"/>
  <c r="BD23" i="44" s="1"/>
  <c r="AK20" i="43"/>
  <c r="AK23" i="43" s="1"/>
  <c r="AZ55" i="43"/>
  <c r="A55" i="43" s="1"/>
  <c r="AF24" i="44"/>
  <c r="AF26" i="44" s="1"/>
  <c r="AQ9" i="44"/>
  <c r="AM21" i="44"/>
  <c r="AO24" i="43"/>
  <c r="AO23" i="43" s="1"/>
  <c r="AE16" i="43"/>
  <c r="AE25" i="43" s="1"/>
  <c r="G18" i="58" l="1"/>
  <c r="H18" i="58"/>
  <c r="H11" i="58" s="1"/>
  <c r="AF30" i="44"/>
  <c r="C17" i="58"/>
  <c r="L18" i="58"/>
  <c r="L11" i="58" s="1"/>
  <c r="L17" i="58"/>
  <c r="I17" i="58"/>
  <c r="H17" i="58"/>
  <c r="I18" i="58"/>
  <c r="I11" i="58" s="1"/>
  <c r="G17" i="58"/>
  <c r="AB5" i="43"/>
  <c r="O24" i="58"/>
  <c r="P25" i="58"/>
  <c r="P11" i="58" s="1"/>
  <c r="P9" i="58" s="1"/>
  <c r="AC23" i="43"/>
  <c r="O25" i="58"/>
  <c r="AE24" i="43"/>
  <c r="R26" i="58"/>
  <c r="X26" i="58" s="1"/>
  <c r="AO30" i="44"/>
  <c r="AL30" i="44"/>
  <c r="AD23" i="43"/>
  <c r="AD30" i="44"/>
  <c r="AJ30" i="44"/>
  <c r="AN26" i="44"/>
  <c r="AK30" i="44"/>
  <c r="AG27" i="44"/>
  <c r="AG26" i="44"/>
  <c r="AN27" i="44"/>
  <c r="AM27" i="44"/>
  <c r="AM26" i="44"/>
  <c r="AQ27" i="44"/>
  <c r="AQ26" i="44"/>
  <c r="AZ54" i="43"/>
  <c r="A54" i="43" s="1"/>
  <c r="AC6" i="43"/>
  <c r="AZ16" i="43"/>
  <c r="A16" i="43" s="1"/>
  <c r="AI6" i="43"/>
  <c r="AI5" i="43"/>
  <c r="AZ17" i="43"/>
  <c r="A17" i="43" s="1"/>
  <c r="BD21" i="44"/>
  <c r="AZ19" i="43"/>
  <c r="A19" i="43" s="1"/>
  <c r="AJ5" i="43"/>
  <c r="AJ6" i="43"/>
  <c r="AL5" i="43"/>
  <c r="AL6" i="43"/>
  <c r="BD24" i="44"/>
  <c r="AK5" i="43"/>
  <c r="AZ20" i="43"/>
  <c r="A20" i="43" s="1"/>
  <c r="AO6" i="43"/>
  <c r="AO5" i="43"/>
  <c r="AZ56" i="43"/>
  <c r="A56" i="43" s="1"/>
  <c r="AM5" i="43"/>
  <c r="AM6" i="43"/>
  <c r="BD9" i="44"/>
  <c r="AZ21" i="43"/>
  <c r="A21" i="43" s="1"/>
  <c r="AZ18" i="43"/>
  <c r="A18" i="43" s="1"/>
  <c r="C21" i="58" l="1"/>
  <c r="C16" i="58" s="1"/>
  <c r="C12" i="58" s="1"/>
  <c r="C39" i="58" s="1"/>
  <c r="G11" i="58"/>
  <c r="O11" i="58"/>
  <c r="O9" i="58" s="1"/>
  <c r="P10" i="58" s="1"/>
  <c r="I21" i="58"/>
  <c r="I16" i="58" s="1"/>
  <c r="I12" i="58" s="1"/>
  <c r="I9" i="58" s="1"/>
  <c r="J17" i="58"/>
  <c r="J18" i="58"/>
  <c r="J11" i="58" s="1"/>
  <c r="V11" i="58" s="1"/>
  <c r="U11" i="33"/>
  <c r="U12" i="33" s="1"/>
  <c r="D17" i="58"/>
  <c r="K18" i="58"/>
  <c r="D18" i="58"/>
  <c r="H21" i="58"/>
  <c r="H16" i="58" s="1"/>
  <c r="H12" i="58" s="1"/>
  <c r="H9" i="58" s="1"/>
  <c r="N17" i="58"/>
  <c r="L21" i="58"/>
  <c r="L16" i="58" s="1"/>
  <c r="L12" i="58" s="1"/>
  <c r="L9" i="58" s="1"/>
  <c r="K12" i="33"/>
  <c r="K17" i="58"/>
  <c r="N18" i="58"/>
  <c r="N11" i="58" s="1"/>
  <c r="G21" i="58"/>
  <c r="R25" i="58"/>
  <c r="R11" i="58" s="1"/>
  <c r="R9" i="58" s="1"/>
  <c r="AE23" i="43"/>
  <c r="P24" i="58"/>
  <c r="Q10" i="58"/>
  <c r="P39" i="58"/>
  <c r="AC5" i="43"/>
  <c r="AD5" i="43"/>
  <c r="Q24" i="58"/>
  <c r="AG30" i="44"/>
  <c r="H12" i="33"/>
  <c r="M12" i="33"/>
  <c r="AQ30" i="44"/>
  <c r="AN30" i="44"/>
  <c r="G12" i="33"/>
  <c r="AM30" i="44"/>
  <c r="I12" i="33"/>
  <c r="P12" i="33"/>
  <c r="Q12" i="33"/>
  <c r="AF7" i="43"/>
  <c r="AE7" i="43"/>
  <c r="X11" i="58" l="1"/>
  <c r="K11" i="58"/>
  <c r="W11" i="58" s="1"/>
  <c r="W18" i="58"/>
  <c r="D11" i="58"/>
  <c r="U11" i="58" s="1"/>
  <c r="U18" i="58"/>
  <c r="G16" i="58"/>
  <c r="G12" i="58" s="1"/>
  <c r="V18" i="58"/>
  <c r="X25" i="58"/>
  <c r="K21" i="58"/>
  <c r="I39" i="58"/>
  <c r="I10" i="58"/>
  <c r="D21" i="58"/>
  <c r="H39" i="58"/>
  <c r="L39" i="58"/>
  <c r="M10" i="58"/>
  <c r="W12" i="33"/>
  <c r="N21" i="58"/>
  <c r="N16" i="58" s="1"/>
  <c r="N12" i="58" s="1"/>
  <c r="N9" i="58" s="1"/>
  <c r="O10" i="58" s="1"/>
  <c r="L12" i="33"/>
  <c r="J21" i="58"/>
  <c r="J16" i="58" s="1"/>
  <c r="J12" i="58" s="1"/>
  <c r="J9" i="58" s="1"/>
  <c r="O39" i="58"/>
  <c r="X9" i="58"/>
  <c r="R24" i="58"/>
  <c r="X24" i="58" s="1"/>
  <c r="R10" i="58"/>
  <c r="R39" i="58"/>
  <c r="N12" i="33"/>
  <c r="O12" i="33"/>
  <c r="J12" i="33"/>
  <c r="D9" i="33"/>
  <c r="D10" i="33" s="1"/>
  <c r="D12" i="33"/>
  <c r="E12" i="33"/>
  <c r="AE5" i="43"/>
  <c r="AE6" i="43"/>
  <c r="Z11" i="33" s="1"/>
  <c r="AF5" i="43"/>
  <c r="AF6" i="43"/>
  <c r="D16" i="58" l="1"/>
  <c r="U21" i="58"/>
  <c r="V21" i="58"/>
  <c r="V16" i="58"/>
  <c r="K16" i="58"/>
  <c r="W16" i="58" s="1"/>
  <c r="W21" i="58"/>
  <c r="U16" i="58"/>
  <c r="D12" i="58"/>
  <c r="V12" i="58"/>
  <c r="G9" i="58"/>
  <c r="J10" i="58"/>
  <c r="J39" i="58"/>
  <c r="N10" i="58"/>
  <c r="N39" i="58"/>
  <c r="X6" i="58"/>
  <c r="V12" i="33"/>
  <c r="R12" i="33"/>
  <c r="K12" i="58" l="1"/>
  <c r="K9" i="58"/>
  <c r="W12" i="58"/>
  <c r="D9" i="58"/>
  <c r="U12" i="58"/>
  <c r="V9" i="58"/>
  <c r="G39" i="58"/>
  <c r="G10" i="58"/>
  <c r="H10" i="58"/>
  <c r="X12" i="33"/>
  <c r="T30" i="45"/>
  <c r="T7" i="45" s="1"/>
  <c r="S30" i="45"/>
  <c r="S7" i="45" s="1"/>
  <c r="U9" i="58" l="1"/>
  <c r="U10" i="58" s="1"/>
  <c r="D10" i="58"/>
  <c r="D39" i="58"/>
  <c r="E10" i="58"/>
  <c r="W9" i="58"/>
  <c r="K39" i="58"/>
  <c r="K10" i="58"/>
  <c r="L10" i="58"/>
  <c r="T29" i="45"/>
  <c r="T6" i="45" s="1"/>
  <c r="S29" i="45"/>
  <c r="S6" i="45" s="1"/>
  <c r="V10" i="58" l="1"/>
  <c r="W10" i="58"/>
  <c r="X10" i="58"/>
  <c r="T28" i="45"/>
  <c r="V30" i="45"/>
  <c r="V7" i="45" s="1"/>
  <c r="U30" i="45"/>
  <c r="U7" i="45" s="1"/>
  <c r="S28" i="45"/>
  <c r="V29" i="45" l="1"/>
  <c r="V6" i="45" s="1"/>
  <c r="W30" i="45"/>
  <c r="W7" i="45" s="1"/>
  <c r="U29" i="45"/>
  <c r="U6" i="45" s="1"/>
  <c r="W29" i="45" l="1"/>
  <c r="W6" i="45" s="1"/>
  <c r="U28" i="45"/>
  <c r="V28" i="45"/>
  <c r="X30" i="45"/>
  <c r="X7" i="45" s="1"/>
  <c r="X29" i="45" l="1"/>
  <c r="X6" i="45" s="1"/>
  <c r="W28" i="45"/>
  <c r="Y30" i="45" l="1"/>
  <c r="Y7" i="45" s="1"/>
  <c r="X28" i="45"/>
  <c r="Y29" i="45" l="1"/>
  <c r="Y6" i="45" s="1"/>
  <c r="Z30" i="45"/>
  <c r="Z7" i="45" s="1"/>
  <c r="AA30" i="45" l="1"/>
  <c r="AA7" i="45" s="1"/>
  <c r="Z29" i="45"/>
  <c r="Z6" i="45" s="1"/>
  <c r="Y28" i="45"/>
  <c r="AB30" i="45" l="1"/>
  <c r="AB7" i="45" s="1"/>
  <c r="Z28" i="45"/>
  <c r="AA29" i="45"/>
  <c r="AA6" i="45" s="1"/>
  <c r="AA28" i="45" l="1"/>
  <c r="AC30" i="45"/>
  <c r="AC7" i="45" s="1"/>
  <c r="AB29" i="45"/>
  <c r="AB6" i="45" s="1"/>
  <c r="AB28" i="45" l="1"/>
  <c r="AD30" i="45"/>
  <c r="AD7" i="45" s="1"/>
  <c r="AC29" i="45"/>
  <c r="AC6" i="45" s="1"/>
  <c r="AC28" i="45" l="1"/>
  <c r="AE30" i="45"/>
  <c r="AE7" i="45" s="1"/>
  <c r="AD29" i="45"/>
  <c r="AD6" i="45" s="1"/>
  <c r="AD28" i="45" l="1"/>
  <c r="AF30" i="45"/>
  <c r="AF7" i="45" s="1"/>
  <c r="AE29" i="45"/>
  <c r="AE6" i="45" s="1"/>
  <c r="AE28" i="45" l="1"/>
  <c r="AG30" i="45"/>
  <c r="AG7" i="45" s="1"/>
  <c r="AF29" i="45"/>
  <c r="AF6" i="45" s="1"/>
  <c r="AF28" i="45" l="1"/>
  <c r="AH30" i="45"/>
  <c r="AH7" i="45" s="1"/>
  <c r="AG29" i="45"/>
  <c r="AG6" i="45" s="1"/>
  <c r="AG28" i="45" l="1"/>
  <c r="AI30" i="45"/>
  <c r="AI7" i="45" s="1"/>
  <c r="AH29" i="45"/>
  <c r="AH6" i="45" s="1"/>
  <c r="AH28" i="45" l="1"/>
  <c r="AJ30" i="45"/>
  <c r="AJ7" i="45" s="1"/>
  <c r="AI29" i="45"/>
  <c r="AI6" i="45" s="1"/>
  <c r="AI28" i="45" l="1"/>
  <c r="AK30" i="45"/>
  <c r="AK7" i="45" s="1"/>
  <c r="AJ29" i="45"/>
  <c r="AJ6" i="45" s="1"/>
  <c r="AJ28" i="45" l="1"/>
  <c r="AL30" i="45"/>
  <c r="AL7" i="45" s="1"/>
  <c r="AK29" i="45"/>
  <c r="AK6" i="45" s="1"/>
  <c r="AK28" i="45" l="1"/>
  <c r="AM30" i="45"/>
  <c r="AM7" i="45" s="1"/>
  <c r="AL29" i="45"/>
  <c r="AL6" i="45" s="1"/>
  <c r="AL28" i="45" l="1"/>
  <c r="AN30" i="45"/>
  <c r="AN7" i="45" s="1"/>
  <c r="AM29" i="45"/>
  <c r="AM6" i="45" s="1"/>
  <c r="AM28" i="45" l="1"/>
  <c r="AO30" i="45"/>
  <c r="AO7" i="45" s="1"/>
  <c r="AN29" i="45"/>
  <c r="AN6" i="45" s="1"/>
  <c r="AP30" i="45" l="1"/>
  <c r="AP7" i="45" s="1"/>
  <c r="AN28" i="45"/>
  <c r="AO29" i="45"/>
  <c r="AO6" i="45" s="1"/>
  <c r="AO28" i="45" l="1"/>
  <c r="AQ30" i="45"/>
  <c r="AQ7" i="45" s="1"/>
  <c r="AP29" i="45"/>
  <c r="AP6" i="45" s="1"/>
  <c r="AP28" i="45" l="1"/>
  <c r="AR30" i="45"/>
  <c r="AR7" i="45" s="1"/>
  <c r="AQ29" i="45"/>
  <c r="AQ6" i="45" s="1"/>
  <c r="AQ28" i="45" l="1"/>
  <c r="AS30" i="45"/>
  <c r="AS7" i="45" s="1"/>
  <c r="AR29" i="45"/>
  <c r="AR6" i="45" s="1"/>
  <c r="AR28" i="45" l="1"/>
  <c r="AT30" i="45"/>
  <c r="AT7" i="45" s="1"/>
  <c r="AS29" i="45"/>
  <c r="AS6" i="45" s="1"/>
  <c r="AS28" i="45" l="1"/>
  <c r="AU30" i="45"/>
  <c r="AU7" i="45" s="1"/>
  <c r="AT29" i="45"/>
  <c r="AT6" i="45" s="1"/>
  <c r="AT28" i="45" l="1"/>
  <c r="AV30" i="45"/>
  <c r="AV7" i="45" s="1"/>
  <c r="AU29" i="45"/>
  <c r="AU6" i="45" s="1"/>
  <c r="AW30" i="45" l="1"/>
  <c r="AW7" i="45" s="1"/>
  <c r="AU28" i="45"/>
  <c r="AV29" i="45"/>
  <c r="AV6" i="45" s="1"/>
  <c r="AV28" i="45" l="1"/>
  <c r="AX30" i="45"/>
  <c r="AX7" i="45" s="1"/>
  <c r="AW29" i="45"/>
  <c r="AW6" i="45" s="1"/>
  <c r="AY30" i="45" l="1"/>
  <c r="AY7" i="45" s="1"/>
  <c r="AW28" i="45"/>
  <c r="AX29" i="45"/>
  <c r="AX6" i="45" s="1"/>
  <c r="AX28" i="45" l="1"/>
  <c r="AZ30" i="45"/>
  <c r="AZ7" i="45" s="1"/>
  <c r="A20" i="45"/>
  <c r="AY29" i="45"/>
  <c r="AY6" i="45" s="1"/>
  <c r="AY28" i="45" l="1"/>
  <c r="AZ29" i="45"/>
  <c r="AZ6" i="45" s="1"/>
  <c r="AZ28" i="45" l="1"/>
  <c r="S62" i="45" a="1"/>
  <c r="S62" i="45" s="1"/>
  <c r="S63" i="45" a="1"/>
  <c r="S63" i="45" s="1"/>
  <c r="T63" i="45" s="1" a="1"/>
  <c r="T63" i="45" s="1"/>
  <c r="H62" i="45"/>
  <c r="N41" i="33"/>
  <c r="H63" i="45"/>
  <c r="M41" i="33"/>
  <c r="U63" i="45" l="1" a="1"/>
  <c r="U63" i="45" s="1"/>
  <c r="T62" i="45" a="1"/>
  <c r="T62" i="45" s="1"/>
  <c r="T64" i="45" s="1"/>
  <c r="F25" i="57" s="1"/>
  <c r="S64" i="45"/>
  <c r="E25" i="57" s="1"/>
  <c r="T5" i="45" l="1"/>
  <c r="E9" i="33"/>
  <c r="E10" i="33" s="1"/>
  <c r="S5" i="45"/>
  <c r="U15" i="33"/>
  <c r="U16" i="33" s="1"/>
  <c r="F9" i="33"/>
  <c r="F16" i="33"/>
  <c r="U62" i="45" a="1"/>
  <c r="U62" i="45" s="1"/>
  <c r="V63" i="45" a="1"/>
  <c r="V63" i="45" s="1"/>
  <c r="E16" i="33" l="1"/>
  <c r="F10" i="33"/>
  <c r="U64" i="45"/>
  <c r="G25" i="57" s="1"/>
  <c r="W63" i="45" a="1"/>
  <c r="W63" i="45" s="1"/>
  <c r="V62" i="45" a="1"/>
  <c r="V62" i="45" s="1"/>
  <c r="U5" i="45" l="1"/>
  <c r="G16" i="33"/>
  <c r="G9" i="33"/>
  <c r="G10" i="33" s="1"/>
  <c r="V64" i="45"/>
  <c r="H25" i="57" s="1"/>
  <c r="W62" i="45" a="1"/>
  <c r="W62" i="45" s="1"/>
  <c r="W64" i="45" s="1"/>
  <c r="I25" i="57" s="1"/>
  <c r="X63" i="45" a="1"/>
  <c r="X63" i="45" s="1"/>
  <c r="H16" i="33" l="1"/>
  <c r="V5" i="45"/>
  <c r="W5" i="45"/>
  <c r="H9" i="33"/>
  <c r="H10" i="33" s="1"/>
  <c r="I16" i="33"/>
  <c r="I9" i="33"/>
  <c r="Y63" i="45" a="1"/>
  <c r="Y63" i="45" s="1"/>
  <c r="X62" i="45" a="1"/>
  <c r="X62" i="45" s="1"/>
  <c r="I10" i="33" l="1"/>
  <c r="Y62" i="45" a="1"/>
  <c r="Y62" i="45" s="1"/>
  <c r="Y64" i="45" s="1"/>
  <c r="K25" i="57" s="1"/>
  <c r="Z63" i="45" a="1"/>
  <c r="Z63" i="45" s="1"/>
  <c r="AA63" i="45" s="1" a="1"/>
  <c r="AA63" i="45" s="1"/>
  <c r="X64" i="45"/>
  <c r="J25" i="57" s="1"/>
  <c r="X5" i="45" l="1"/>
  <c r="Y5" i="45"/>
  <c r="J9" i="33"/>
  <c r="J10" i="33" s="1"/>
  <c r="J16" i="33"/>
  <c r="K9" i="33"/>
  <c r="K16" i="33"/>
  <c r="AB63" i="45" a="1"/>
  <c r="AB63" i="45" s="1"/>
  <c r="AC63" i="45" s="1" a="1"/>
  <c r="AC63" i="45" s="1"/>
  <c r="AD63" i="45" s="1" a="1"/>
  <c r="AD63" i="45" s="1"/>
  <c r="AE63" i="45" s="1" a="1"/>
  <c r="AE63" i="45" s="1"/>
  <c r="Z62" i="45" a="1"/>
  <c r="Z62" i="45" s="1"/>
  <c r="K10" i="33" l="1"/>
  <c r="V16" i="33"/>
  <c r="AF63" i="45" a="1"/>
  <c r="AF63" i="45" s="1"/>
  <c r="AG63" i="45" s="1" a="1"/>
  <c r="AG63" i="45" s="1"/>
  <c r="AH63" i="45" s="1" a="1"/>
  <c r="AH63" i="45" s="1"/>
  <c r="AI63" i="45" s="1" a="1"/>
  <c r="AI63" i="45" s="1"/>
  <c r="AJ63" i="45" s="1" a="1"/>
  <c r="AJ63" i="45" s="1"/>
  <c r="AK63" i="45" s="1" a="1"/>
  <c r="AK63" i="45" s="1"/>
  <c r="AL63" i="45" s="1" a="1"/>
  <c r="AL63" i="45" s="1"/>
  <c r="AM63" i="45" s="1" a="1"/>
  <c r="AM63" i="45" s="1"/>
  <c r="AN63" i="45" s="1" a="1"/>
  <c r="AN63" i="45" s="1"/>
  <c r="AO63" i="45" s="1" a="1"/>
  <c r="AO63" i="45" s="1"/>
  <c r="AP63" i="45" s="1" a="1"/>
  <c r="AP63" i="45" s="1"/>
  <c r="AQ63" i="45" s="1" a="1"/>
  <c r="AQ63" i="45" s="1"/>
  <c r="AR63" i="45" s="1" a="1"/>
  <c r="AR63" i="45" s="1"/>
  <c r="AS63" i="45" s="1" a="1"/>
  <c r="AS63" i="45" s="1"/>
  <c r="AT63" i="45" s="1" a="1"/>
  <c r="AT63" i="45" s="1"/>
  <c r="AU63" i="45" s="1" a="1"/>
  <c r="AU63" i="45" s="1"/>
  <c r="AV63" i="45" s="1" a="1"/>
  <c r="AV63" i="45" s="1"/>
  <c r="AW63" i="45" s="1" a="1"/>
  <c r="AW63" i="45" s="1"/>
  <c r="AX63" i="45" s="1" a="1"/>
  <c r="AX63" i="45" s="1"/>
  <c r="AY63" i="45" s="1" a="1"/>
  <c r="AY63" i="45" s="1"/>
  <c r="AZ63" i="45" s="1" a="1"/>
  <c r="AZ63" i="45" s="1"/>
  <c r="BA63" i="45" s="1"/>
  <c r="Z64" i="45"/>
  <c r="L25" i="57" s="1"/>
  <c r="AA62" i="45" a="1"/>
  <c r="AA62" i="45" s="1"/>
  <c r="Z5" i="45" l="1"/>
  <c r="L9" i="33"/>
  <c r="L10" i="33" s="1"/>
  <c r="L16" i="33"/>
  <c r="AA64" i="45"/>
  <c r="M25" i="57" s="1"/>
  <c r="AB62" i="45" a="1"/>
  <c r="AB62" i="45" s="1"/>
  <c r="M9" i="33" l="1"/>
  <c r="M10" i="33" s="1"/>
  <c r="AA5" i="45"/>
  <c r="AB64" i="45"/>
  <c r="N25" i="57" s="1"/>
  <c r="AC62" i="45" a="1"/>
  <c r="AC62" i="45" s="1"/>
  <c r="M16" i="33" l="1"/>
  <c r="W16" i="33"/>
  <c r="AB5" i="45"/>
  <c r="N9" i="33"/>
  <c r="N10" i="33" s="1"/>
  <c r="N16" i="33"/>
  <c r="AC64" i="45"/>
  <c r="O25" i="57" s="1"/>
  <c r="AD62" i="45" a="1"/>
  <c r="AD62" i="45" s="1"/>
  <c r="AC5" i="45" l="1"/>
  <c r="O9" i="33"/>
  <c r="O10" i="33" s="1"/>
  <c r="O16" i="33"/>
  <c r="AD64" i="45"/>
  <c r="P25" i="57" s="1"/>
  <c r="AE62" i="45" a="1"/>
  <c r="AE62" i="45" s="1"/>
  <c r="AD5" i="45" l="1"/>
  <c r="P9" i="33"/>
  <c r="P10" i="33" s="1"/>
  <c r="P16" i="33"/>
  <c r="AE64" i="45"/>
  <c r="Q25" i="57" s="1"/>
  <c r="AF62" i="45" a="1"/>
  <c r="AF62" i="45" s="1"/>
  <c r="Q16" i="33" l="1"/>
  <c r="AE5" i="45"/>
  <c r="AF64" i="45"/>
  <c r="R25" i="57" s="1"/>
  <c r="AG62" i="45" a="1"/>
  <c r="AG62" i="45" s="1"/>
  <c r="Q9" i="33" l="1"/>
  <c r="Q10" i="33" s="1"/>
  <c r="R16" i="33"/>
  <c r="AF5" i="45"/>
  <c r="R9" i="33"/>
  <c r="AG64" i="45"/>
  <c r="AG5" i="45" s="1"/>
  <c r="AH62" i="45" a="1"/>
  <c r="AH62" i="45" s="1"/>
  <c r="R10" i="33" l="1"/>
  <c r="X16" i="33"/>
  <c r="Z15" i="33"/>
  <c r="AH64" i="45"/>
  <c r="AH5" i="45" s="1"/>
  <c r="AI62" i="45" a="1"/>
  <c r="AI62" i="45" s="1"/>
  <c r="AI64" i="45" l="1"/>
  <c r="AI5" i="45" s="1"/>
  <c r="AJ62" i="45" a="1"/>
  <c r="AJ62" i="45" s="1"/>
  <c r="AJ64" i="45" l="1"/>
  <c r="AJ5" i="45" s="1"/>
  <c r="AK62" i="45" a="1"/>
  <c r="AK62" i="45" s="1"/>
  <c r="AK64" i="45" l="1"/>
  <c r="AK5" i="45" s="1"/>
  <c r="AL62" i="45" a="1"/>
  <c r="AL62" i="45" s="1"/>
  <c r="AL64" i="45" l="1"/>
  <c r="AL5" i="45" s="1"/>
  <c r="AM62" i="45" a="1"/>
  <c r="AM62" i="45" s="1"/>
  <c r="AM64" i="45" l="1"/>
  <c r="AM5" i="45" s="1"/>
  <c r="AN62" i="45" a="1"/>
  <c r="AN62" i="45" s="1"/>
  <c r="AN64" i="45" l="1"/>
  <c r="AN5" i="45" s="1"/>
  <c r="AO62" i="45" a="1"/>
  <c r="AO62" i="45" s="1"/>
  <c r="AO64" i="45" l="1"/>
  <c r="AO5" i="45" s="1"/>
  <c r="AP62" i="45" a="1"/>
  <c r="AP62" i="45" s="1"/>
  <c r="AP64" i="45" l="1"/>
  <c r="AP5" i="45" s="1"/>
  <c r="AQ62" i="45" a="1"/>
  <c r="AQ62" i="45" s="1"/>
  <c r="AQ64" i="45" l="1"/>
  <c r="AQ5" i="45" s="1"/>
  <c r="AR62" i="45" a="1"/>
  <c r="AR62" i="45" s="1"/>
  <c r="AR64" i="45" l="1"/>
  <c r="AR5" i="45" s="1"/>
  <c r="AS62" i="45" a="1"/>
  <c r="AS62" i="45" s="1"/>
  <c r="AS64" i="45" l="1"/>
  <c r="AS5" i="45" s="1"/>
  <c r="AT62" i="45" a="1"/>
  <c r="AT62" i="45" s="1"/>
  <c r="AT64" i="45" l="1"/>
  <c r="AT5" i="45" s="1"/>
  <c r="AU62" i="45" a="1"/>
  <c r="AU62" i="45" s="1"/>
  <c r="AU64" i="45" l="1"/>
  <c r="AU5" i="45" s="1"/>
  <c r="AV62" i="45" a="1"/>
  <c r="AV62" i="45" s="1"/>
  <c r="AV64" i="45" l="1"/>
  <c r="AV5" i="45" s="1"/>
  <c r="AW62" i="45" a="1"/>
  <c r="AW62" i="45" s="1"/>
  <c r="AW64" i="45" l="1"/>
  <c r="AW5" i="45" s="1"/>
  <c r="AX62" i="45" a="1"/>
  <c r="AX62" i="45" s="1"/>
  <c r="AX64" i="45" l="1"/>
  <c r="AX5" i="45" s="1"/>
  <c r="AY62" i="45" a="1"/>
  <c r="AY62" i="45" s="1"/>
  <c r="AY64" i="45" l="1"/>
  <c r="AY5" i="45" s="1"/>
  <c r="AZ62" i="45" a="1"/>
  <c r="AZ62" i="45" s="1"/>
  <c r="AZ64" i="45" l="1"/>
  <c r="AZ5" i="45" s="1"/>
  <c r="BA62" i="45"/>
  <c r="U9" i="33" l="1"/>
  <c r="U10" i="33" s="1"/>
  <c r="U14" i="33"/>
  <c r="H7" i="47" l="1"/>
  <c r="F6" i="49" s="1"/>
  <c r="V9" i="33"/>
  <c r="I7" i="47" s="1"/>
  <c r="G6" i="49" s="1"/>
  <c r="V14" i="33"/>
  <c r="H8" i="48" l="1"/>
  <c r="Y33" i="49"/>
  <c r="Y20" i="49" s="1"/>
  <c r="O8" i="49" s="1"/>
  <c r="G8" i="48"/>
  <c r="V10" i="33"/>
  <c r="W9" i="33"/>
  <c r="W10" i="33" s="1"/>
  <c r="W14" i="33"/>
  <c r="Z33" i="49"/>
  <c r="Z20" i="49" s="1"/>
  <c r="P8" i="49" s="1"/>
  <c r="Z44" i="49"/>
  <c r="Z45" i="49"/>
  <c r="Z43" i="49"/>
  <c r="Y44" i="49" l="1"/>
  <c r="Y43" i="49"/>
  <c r="H63" i="48"/>
  <c r="H39" i="48"/>
  <c r="H7" i="48"/>
  <c r="Y45" i="49"/>
  <c r="J7" i="47"/>
  <c r="H6" i="49" s="1"/>
  <c r="X9" i="33"/>
  <c r="X10" i="33" s="1"/>
  <c r="X14" i="33"/>
  <c r="AA33" i="49" l="1"/>
  <c r="AA20" i="49" s="1"/>
  <c r="Q8" i="49" s="1"/>
  <c r="I8" i="48"/>
  <c r="H76" i="48"/>
  <c r="H73" i="48" s="1"/>
  <c r="H38" i="48"/>
  <c r="H64" i="48"/>
  <c r="H61" i="48" s="1"/>
  <c r="AA45" i="49"/>
  <c r="AA43" i="49"/>
  <c r="AA44" i="49"/>
  <c r="Z9" i="33"/>
  <c r="K7" i="47"/>
  <c r="I6" i="49" s="1"/>
  <c r="AB43" i="49" l="1"/>
  <c r="J8" i="48"/>
  <c r="I39" i="48"/>
  <c r="I63" i="48"/>
  <c r="I7" i="48"/>
  <c r="I14" i="47"/>
  <c r="I11" i="47" s="1"/>
  <c r="G9" i="49" s="1"/>
  <c r="AB33" i="49"/>
  <c r="AB20" i="49" s="1"/>
  <c r="R8" i="49" s="1"/>
  <c r="AB44" i="49"/>
  <c r="AB45" i="49"/>
  <c r="I8" i="47"/>
  <c r="I9" i="47" l="1"/>
  <c r="G7" i="49"/>
  <c r="I76" i="48"/>
  <c r="I38" i="48"/>
  <c r="I64" i="48"/>
  <c r="I61" i="48" s="1"/>
  <c r="J8" i="47" s="1"/>
  <c r="J39" i="48"/>
  <c r="J63" i="48"/>
  <c r="J7" i="48"/>
  <c r="Z34" i="49"/>
  <c r="Z21" i="49" s="1"/>
  <c r="P9" i="49" s="1"/>
  <c r="I10" i="47"/>
  <c r="H7" i="49" l="1"/>
  <c r="AA34" i="49" s="1"/>
  <c r="J10" i="47"/>
  <c r="H8" i="49" s="1"/>
  <c r="I15" i="47"/>
  <c r="G8" i="49"/>
  <c r="J64" i="48"/>
  <c r="J61" i="48" s="1"/>
  <c r="J76" i="48"/>
  <c r="J73" i="48" s="1"/>
  <c r="J38" i="48"/>
  <c r="I73" i="48"/>
  <c r="J14" i="47"/>
  <c r="J11" i="47" s="1"/>
  <c r="H9" i="49" s="1"/>
  <c r="J9" i="47"/>
  <c r="Z22" i="49"/>
  <c r="Z23" i="49"/>
  <c r="Z24" i="49" s="1"/>
  <c r="K8" i="47" l="1"/>
  <c r="K10" i="47" s="1"/>
  <c r="I8" i="49" s="1"/>
  <c r="K14" i="47"/>
  <c r="K11" i="47" s="1"/>
  <c r="I9" i="49" s="1"/>
  <c r="AA23" i="49"/>
  <c r="Q18" i="49" s="1"/>
  <c r="Q16" i="49" s="1"/>
  <c r="Q23" i="49" s="1"/>
  <c r="AA21" i="49"/>
  <c r="Q9" i="49" s="1"/>
  <c r="G10" i="49"/>
  <c r="G11" i="49" s="1"/>
  <c r="Z7" i="49" s="1"/>
  <c r="I31" i="47"/>
  <c r="I16" i="47"/>
  <c r="I17" i="47"/>
  <c r="J15" i="47"/>
  <c r="J31" i="47" s="1"/>
  <c r="H15" i="49" s="1"/>
  <c r="AA16" i="49"/>
  <c r="Z25" i="49"/>
  <c r="P18" i="49"/>
  <c r="P16" i="49" s="1"/>
  <c r="P23" i="49" s="1"/>
  <c r="K9" i="47"/>
  <c r="I7" i="49" l="1"/>
  <c r="AB34" i="49" s="1"/>
  <c r="AA24" i="49"/>
  <c r="AA22" i="49"/>
  <c r="AB23" i="49"/>
  <c r="R18" i="49" s="1"/>
  <c r="R16" i="49" s="1"/>
  <c r="R23" i="49" s="1"/>
  <c r="AB21" i="49"/>
  <c r="R9" i="49" s="1"/>
  <c r="I32" i="47"/>
  <c r="G15" i="49"/>
  <c r="J17" i="47"/>
  <c r="I18" i="47"/>
  <c r="G25" i="49"/>
  <c r="G27" i="49" s="1"/>
  <c r="G28" i="49"/>
  <c r="H10" i="49"/>
  <c r="H11" i="49" s="1"/>
  <c r="AA7" i="49" s="1"/>
  <c r="J16" i="47"/>
  <c r="K15" i="47"/>
  <c r="J32" i="47"/>
  <c r="AB16" i="49"/>
  <c r="AA25" i="49"/>
  <c r="AA26" i="49" s="1"/>
  <c r="AB24" i="49"/>
  <c r="AB22" i="49"/>
  <c r="I10" i="49" l="1"/>
  <c r="I11" i="49" s="1"/>
  <c r="AB7" i="49" s="1"/>
  <c r="K31" i="47"/>
  <c r="I15" i="49" s="1"/>
  <c r="K16" i="47"/>
  <c r="H28" i="49"/>
  <c r="H25" i="49"/>
  <c r="H27" i="49" s="1"/>
  <c r="I34" i="47"/>
  <c r="G17" i="49" s="1"/>
  <c r="G19" i="49" s="1"/>
  <c r="G16" i="49"/>
  <c r="I33" i="47"/>
  <c r="Z8" i="49" s="1"/>
  <c r="Z9" i="49" s="1"/>
  <c r="Z10" i="49" s="1"/>
  <c r="J33" i="47"/>
  <c r="AA8" i="49" s="1"/>
  <c r="AA9" i="49" s="1"/>
  <c r="AA10" i="49" s="1"/>
  <c r="H16" i="49"/>
  <c r="J18" i="47"/>
  <c r="J34" i="47"/>
  <c r="H17" i="49" s="1"/>
  <c r="H19" i="49" s="1"/>
  <c r="H33" i="49" s="1"/>
  <c r="K17" i="47"/>
  <c r="AB25" i="49"/>
  <c r="AB26" i="49" s="1"/>
  <c r="AA12" i="49"/>
  <c r="AA14" i="49" s="1"/>
  <c r="K32" i="47"/>
  <c r="I16" i="49" s="1"/>
  <c r="AA11" i="49" l="1"/>
  <c r="I25" i="49"/>
  <c r="I27" i="49" s="1"/>
  <c r="AA15" i="49"/>
  <c r="AA17" i="49" s="1"/>
  <c r="P35" i="49"/>
  <c r="G22" i="49"/>
  <c r="G33" i="49"/>
  <c r="Q35" i="49"/>
  <c r="H22" i="49"/>
  <c r="I28" i="49"/>
  <c r="K18" i="47"/>
  <c r="K33" i="47"/>
  <c r="AB8" i="49" s="1"/>
  <c r="AB9" i="49" s="1"/>
  <c r="AB10" i="49" s="1"/>
  <c r="AB12" i="49"/>
  <c r="AB14" i="49" s="1"/>
  <c r="K34" i="47"/>
  <c r="I17" i="49" s="1"/>
  <c r="I19" i="49" s="1"/>
  <c r="R35" i="49" l="1"/>
  <c r="I22" i="49"/>
  <c r="I33" i="49"/>
  <c r="AB11" i="49"/>
  <c r="AB15" i="49"/>
  <c r="AB17" i="49" s="1"/>
  <c r="G39" i="48"/>
  <c r="G38" i="48" s="1"/>
  <c r="G63" i="48"/>
  <c r="G7" i="48"/>
  <c r="G64" i="48" l="1"/>
  <c r="G61" i="48" s="1"/>
  <c r="H8" i="47" s="1"/>
  <c r="F7" i="49" s="1"/>
  <c r="G76" i="48"/>
  <c r="H9" i="47" l="1"/>
  <c r="Y34" i="49"/>
  <c r="H10" i="47"/>
  <c r="F8" i="49" s="1"/>
  <c r="H14" i="47"/>
  <c r="H11" i="47" s="1"/>
  <c r="F9" i="49" s="1"/>
  <c r="G73" i="48"/>
  <c r="H15" i="47" l="1"/>
  <c r="F10" i="49" s="1"/>
  <c r="F11" i="49" s="1"/>
  <c r="Y7" i="49" s="1"/>
  <c r="Y23" i="49"/>
  <c r="Y21" i="49"/>
  <c r="O9" i="49" s="1"/>
  <c r="Y16" i="49" l="1"/>
  <c r="Y22" i="49"/>
  <c r="O18" i="49"/>
  <c r="O16" i="49" s="1"/>
  <c r="O23" i="49" s="1"/>
  <c r="Y24" i="49"/>
  <c r="F28" i="49"/>
  <c r="H17" i="47"/>
  <c r="F25" i="49" s="1"/>
  <c r="H16" i="47"/>
  <c r="H31" i="47"/>
  <c r="F15" i="49" s="1"/>
  <c r="H18" i="47" l="1"/>
  <c r="F27" i="49"/>
  <c r="Y25" i="49"/>
  <c r="H32" i="47"/>
  <c r="Z16" i="49"/>
  <c r="H34" i="47" l="1"/>
  <c r="F16" i="49"/>
  <c r="H33" i="47"/>
  <c r="Y8" i="49" s="1"/>
  <c r="Y9" i="49" s="1"/>
  <c r="Y10" i="49" s="1"/>
  <c r="Y26" i="49"/>
  <c r="Z26" i="49"/>
  <c r="F17" i="49" l="1"/>
  <c r="F19" i="49" s="1"/>
  <c r="Z12" i="49"/>
  <c r="Z14" i="49" s="1"/>
  <c r="Z15" i="49" s="1"/>
  <c r="Z17" i="49" s="1"/>
  <c r="Y12" i="49"/>
  <c r="Y14" i="49" s="1"/>
  <c r="Y15" i="49" s="1"/>
  <c r="Y17" i="49" s="1"/>
  <c r="Z11" i="49"/>
  <c r="Y11" i="49"/>
  <c r="O35" i="49" l="1"/>
  <c r="F22" i="49"/>
  <c r="F33" i="49"/>
  <c r="O27" i="49"/>
  <c r="O24" i="49" l="1"/>
  <c r="P27" i="49"/>
  <c r="Q27" i="49" s="1"/>
  <c r="R27" i="49" s="1"/>
  <c r="O28" i="49"/>
  <c r="O29" i="49" l="1"/>
  <c r="P28" i="49"/>
  <c r="P24" i="49"/>
  <c r="O47" i="49"/>
  <c r="F32" i="49"/>
  <c r="F53" i="49" s="1"/>
  <c r="G32" i="49"/>
  <c r="I32" i="49"/>
  <c r="H32" i="49"/>
  <c r="Q24" i="49" l="1"/>
  <c r="P47" i="49"/>
  <c r="Q28" i="49"/>
  <c r="P29" i="49"/>
  <c r="O7" i="49"/>
  <c r="O6" i="49" s="1"/>
  <c r="O15" i="49" s="1"/>
  <c r="O4" i="49" s="1"/>
  <c r="G51" i="49"/>
  <c r="G53" i="49" s="1"/>
  <c r="R28" i="49" l="1"/>
  <c r="Q29" i="49"/>
  <c r="R24" i="49"/>
  <c r="R47" i="49" s="1"/>
  <c r="Q47" i="49"/>
  <c r="P7" i="49"/>
  <c r="M47" i="25" s="1"/>
  <c r="H51" i="49"/>
  <c r="H53" i="49" s="1"/>
  <c r="R29" i="49" l="1"/>
  <c r="I51" i="49"/>
  <c r="Q7" i="49"/>
  <c r="N47" i="25" s="1"/>
  <c r="P6" i="49"/>
  <c r="P15" i="49" s="1"/>
  <c r="P4" i="49" s="1"/>
  <c r="M45" i="25"/>
  <c r="I53" i="49" l="1"/>
  <c r="R7" i="49" s="1"/>
  <c r="O47" i="25" s="1"/>
  <c r="P47" i="25" s="1"/>
  <c r="H10" i="25"/>
  <c r="H11" i="25" s="1"/>
  <c r="H13" i="25" s="1"/>
  <c r="H15" i="25" s="1"/>
  <c r="C10" i="25"/>
  <c r="C11" i="25" s="1"/>
  <c r="C13" i="25" s="1"/>
  <c r="C15" i="25" s="1"/>
  <c r="N45" i="25"/>
  <c r="Q6" i="49"/>
  <c r="Q15" i="49" s="1"/>
  <c r="Q4" i="49" s="1"/>
  <c r="R6" i="49" l="1"/>
  <c r="R15" i="49" s="1"/>
  <c r="R4" i="49" s="1"/>
  <c r="O45" i="25"/>
  <c r="H34" i="25" s="1"/>
  <c r="H35" i="25" s="1"/>
  <c r="H37" i="25" s="1"/>
  <c r="H39" i="25" s="1"/>
  <c r="C22" i="25"/>
  <c r="C23" i="25" s="1"/>
  <c r="C25" i="25" s="1"/>
  <c r="C27" i="25" s="1"/>
  <c r="H22" i="25"/>
  <c r="H23" i="25" s="1"/>
  <c r="H25" i="25" s="1"/>
  <c r="H27" i="25" s="1"/>
  <c r="P45" i="25" l="1"/>
  <c r="C34" i="25"/>
  <c r="C35" i="25" s="1"/>
  <c r="C37" i="25" s="1"/>
  <c r="C39" i="25" s="1"/>
  <c r="C45" i="25" l="1"/>
  <c r="H45" i="25"/>
  <c r="H46" i="25" l="1"/>
  <c r="H48" i="25" s="1"/>
  <c r="H50" i="25" s="1"/>
  <c r="C46" i="25"/>
  <c r="C48" i="25" s="1"/>
  <c r="C50" i="25" s="1"/>
  <c r="I88" i="41"/>
  <c r="H88" i="41"/>
  <c r="G88" i="41"/>
  <c r="F88" i="41"/>
  <c r="E88" i="41"/>
  <c r="D88" i="41"/>
  <c r="C88" i="41"/>
  <c r="B88" i="41"/>
  <c r="J88" i="41" s="1"/>
  <c r="I87" i="41"/>
  <c r="H87" i="41"/>
  <c r="G87" i="41"/>
  <c r="F87" i="41"/>
  <c r="E87" i="41"/>
  <c r="D87" i="41"/>
  <c r="C87" i="41"/>
  <c r="B87" i="41"/>
  <c r="J87" i="41" s="1"/>
  <c r="I86" i="41"/>
  <c r="H86" i="41"/>
  <c r="G86" i="41"/>
  <c r="F86" i="41"/>
  <c r="E86" i="41"/>
  <c r="M86" i="41" s="1" a="1"/>
  <c r="M86" i="41" s="1"/>
  <c r="D86" i="41"/>
  <c r="C86" i="41"/>
  <c r="B86" i="41"/>
  <c r="J86" i="41" s="1"/>
  <c r="I85" i="41"/>
  <c r="H85" i="41"/>
  <c r="G85" i="41"/>
  <c r="F85" i="41"/>
  <c r="E85" i="41"/>
  <c r="D85" i="41"/>
  <c r="C85" i="41"/>
  <c r="B85" i="41"/>
  <c r="J85" i="41" s="1"/>
  <c r="I84" i="41"/>
  <c r="H84" i="41"/>
  <c r="G84" i="41"/>
  <c r="F84" i="41"/>
  <c r="E84" i="41"/>
  <c r="M84" i="41" s="1" a="1"/>
  <c r="M84" i="41" s="1"/>
  <c r="D84" i="41"/>
  <c r="C84" i="41"/>
  <c r="B84" i="41"/>
  <c r="J84" i="41" s="1"/>
  <c r="I83" i="41"/>
  <c r="H83" i="41"/>
  <c r="G83" i="41"/>
  <c r="F83" i="41"/>
  <c r="E83" i="41"/>
  <c r="M83" i="41" s="1" a="1"/>
  <c r="M83" i="41" s="1"/>
  <c r="D83" i="41"/>
  <c r="C83" i="41"/>
  <c r="B83" i="41"/>
  <c r="J83" i="41" s="1"/>
  <c r="I82" i="41"/>
  <c r="H82" i="41"/>
  <c r="G82" i="41"/>
  <c r="F82" i="41"/>
  <c r="E82" i="41"/>
  <c r="D82" i="41"/>
  <c r="C82" i="41"/>
  <c r="B82" i="41"/>
  <c r="J82" i="41" s="1"/>
  <c r="I81" i="41"/>
  <c r="H81" i="41"/>
  <c r="G81" i="41"/>
  <c r="F81" i="41"/>
  <c r="E81" i="41"/>
  <c r="M81" i="41" s="1" a="1"/>
  <c r="M81" i="41" s="1"/>
  <c r="D81" i="41"/>
  <c r="C81" i="41"/>
  <c r="B81" i="41"/>
  <c r="J81" i="41" s="1"/>
  <c r="I80" i="41"/>
  <c r="H80" i="41"/>
  <c r="G80" i="41"/>
  <c r="F80" i="41"/>
  <c r="E80" i="41"/>
  <c r="M80" i="41" s="1" a="1"/>
  <c r="M80" i="41" s="1"/>
  <c r="D80" i="41"/>
  <c r="C80" i="41"/>
  <c r="B80" i="41"/>
  <c r="J80" i="41" s="1"/>
  <c r="I79" i="41"/>
  <c r="H79" i="41"/>
  <c r="G79" i="41"/>
  <c r="F79" i="41"/>
  <c r="E79" i="41"/>
  <c r="D79" i="41"/>
  <c r="C79" i="41"/>
  <c r="B79" i="41"/>
  <c r="J79" i="41" s="1"/>
  <c r="I78" i="41"/>
  <c r="H78" i="41"/>
  <c r="G78" i="41"/>
  <c r="F78" i="41"/>
  <c r="E78" i="41"/>
  <c r="M78" i="41" s="1" a="1"/>
  <c r="M78" i="41" s="1"/>
  <c r="D78" i="41"/>
  <c r="C78" i="41"/>
  <c r="B78" i="41"/>
  <c r="J78" i="41" s="1"/>
  <c r="I77" i="41"/>
  <c r="H77" i="41"/>
  <c r="G77" i="41"/>
  <c r="F77" i="41"/>
  <c r="E77" i="41"/>
  <c r="M77" i="41" s="1" a="1"/>
  <c r="M77" i="41" s="1"/>
  <c r="D77" i="41"/>
  <c r="C77" i="41"/>
  <c r="B77" i="41"/>
  <c r="J77" i="41" s="1"/>
  <c r="I76" i="41"/>
  <c r="H76" i="41"/>
  <c r="G76" i="41"/>
  <c r="F76" i="41"/>
  <c r="E76" i="41"/>
  <c r="D76" i="41"/>
  <c r="C76" i="41"/>
  <c r="B76" i="41"/>
  <c r="J76" i="41" s="1"/>
  <c r="I75" i="41"/>
  <c r="H75" i="41"/>
  <c r="G75" i="41"/>
  <c r="F75" i="41"/>
  <c r="E75" i="41"/>
  <c r="M75" i="41" s="1" a="1"/>
  <c r="M75" i="41" s="1"/>
  <c r="D75" i="41"/>
  <c r="C75" i="41"/>
  <c r="B75" i="41"/>
  <c r="J75" i="41" s="1"/>
  <c r="I74" i="41"/>
  <c r="H74" i="41"/>
  <c r="G74" i="41"/>
  <c r="F74" i="41"/>
  <c r="E74" i="41"/>
  <c r="M74" i="41" s="1" a="1"/>
  <c r="M74" i="41" s="1"/>
  <c r="D74" i="41"/>
  <c r="C74" i="41"/>
  <c r="B74" i="41"/>
  <c r="J74" i="41" s="1"/>
  <c r="I73" i="41"/>
  <c r="H73" i="41"/>
  <c r="G73" i="41"/>
  <c r="F73" i="41"/>
  <c r="E73" i="41"/>
  <c r="D73" i="41"/>
  <c r="C73" i="41"/>
  <c r="B73" i="41"/>
  <c r="J73" i="41" s="1"/>
  <c r="I72" i="41"/>
  <c r="H72" i="41"/>
  <c r="G72" i="41"/>
  <c r="F72" i="41"/>
  <c r="E72" i="41"/>
  <c r="M72" i="41" s="1" a="1"/>
  <c r="M72" i="41" s="1"/>
  <c r="D72" i="41"/>
  <c r="C72" i="41"/>
  <c r="N80" i="41" l="1" a="1"/>
  <c r="N80" i="41" s="1"/>
  <c r="O80" i="41" s="1" a="1"/>
  <c r="O80" i="41" s="1"/>
  <c r="P80" i="41" s="1" a="1"/>
  <c r="P80" i="41" s="1"/>
  <c r="Q80" i="41" s="1" a="1"/>
  <c r="Q80" i="41" s="1"/>
  <c r="R80" i="41" s="1" a="1"/>
  <c r="R80" i="41" s="1"/>
  <c r="S80" i="41" s="1" a="1"/>
  <c r="S80" i="41" s="1"/>
  <c r="T80" i="41" s="1" a="1"/>
  <c r="T80" i="41" s="1"/>
  <c r="U80" i="41" s="1" a="1"/>
  <c r="U80" i="41" s="1"/>
  <c r="V80" i="41" s="1" a="1"/>
  <c r="V80" i="41" s="1"/>
  <c r="W80" i="41" s="1" a="1"/>
  <c r="W80" i="41" s="1"/>
  <c r="X80" i="41" s="1" a="1"/>
  <c r="X80" i="41" s="1"/>
  <c r="Y80" i="41" s="1" a="1"/>
  <c r="Y80" i="41" s="1"/>
  <c r="Z80" i="41" s="1" a="1"/>
  <c r="Z80" i="41" s="1"/>
  <c r="AA80" i="41" s="1" a="1"/>
  <c r="AA80" i="41" s="1"/>
  <c r="AB80" i="41" s="1" a="1"/>
  <c r="AB80" i="41" s="1"/>
  <c r="AC80" i="41" s="1" a="1"/>
  <c r="AC80" i="41" s="1"/>
  <c r="AD80" i="41" s="1" a="1"/>
  <c r="AD80" i="41" s="1"/>
  <c r="AE80" i="41" s="1" a="1"/>
  <c r="AE80" i="41" s="1"/>
  <c r="AF80" i="41" s="1" a="1"/>
  <c r="AF80" i="41" s="1"/>
  <c r="AG80" i="41" s="1" a="1"/>
  <c r="AG80" i="41" s="1"/>
  <c r="AH80" i="41" s="1" a="1"/>
  <c r="AH80" i="41" s="1"/>
  <c r="AI80" i="41" s="1" a="1"/>
  <c r="AI80" i="41" s="1"/>
  <c r="AJ80" i="41" s="1" a="1"/>
  <c r="AJ80" i="41" s="1"/>
  <c r="AK80" i="41" s="1" a="1"/>
  <c r="AK80" i="41" s="1"/>
  <c r="AL80" i="41" s="1" a="1"/>
  <c r="AL80" i="41" s="1"/>
  <c r="AM80" i="41" s="1" a="1"/>
  <c r="AM80" i="41" s="1"/>
  <c r="AN80" i="41" s="1" a="1"/>
  <c r="AN80" i="41" s="1"/>
  <c r="AO80" i="41" s="1" a="1"/>
  <c r="AO80" i="41" s="1"/>
  <c r="AP80" i="41" s="1" a="1"/>
  <c r="AP80" i="41" s="1"/>
  <c r="AQ80" i="41" s="1" a="1"/>
  <c r="AQ80" i="41" s="1"/>
  <c r="AR80" i="41" s="1" a="1"/>
  <c r="AR80" i="41" s="1"/>
  <c r="M73" i="41" a="1"/>
  <c r="M73" i="41" s="1"/>
  <c r="M76" i="41" a="1"/>
  <c r="M76" i="41" s="1"/>
  <c r="M79" i="41" a="1"/>
  <c r="M79" i="41" s="1"/>
  <c r="M82" i="41" a="1"/>
  <c r="M82" i="41" s="1"/>
  <c r="M85" i="41" a="1"/>
  <c r="M85" i="41" s="1"/>
  <c r="M88" i="41" a="1"/>
  <c r="M88" i="41" s="1"/>
  <c r="N77" i="41" a="1"/>
  <c r="N77" i="41" s="1"/>
  <c r="O77" i="41" s="1" a="1"/>
  <c r="O77" i="41" s="1"/>
  <c r="P77" i="41" s="1" a="1"/>
  <c r="P77" i="41" s="1"/>
  <c r="Q77" i="41" s="1" a="1"/>
  <c r="Q77" i="41" s="1"/>
  <c r="R77" i="41" s="1" a="1"/>
  <c r="R77" i="41" s="1"/>
  <c r="S77" i="41" s="1" a="1"/>
  <c r="S77" i="41" s="1"/>
  <c r="T77" i="41" s="1" a="1"/>
  <c r="T77" i="41" s="1"/>
  <c r="U77" i="41" s="1" a="1"/>
  <c r="U77" i="41" s="1"/>
  <c r="V77" i="41" s="1" a="1"/>
  <c r="V77" i="41" s="1"/>
  <c r="W77" i="41" s="1" a="1"/>
  <c r="W77" i="41" s="1"/>
  <c r="X77" i="41" s="1" a="1"/>
  <c r="X77" i="41" s="1"/>
  <c r="Y77" i="41" s="1" a="1"/>
  <c r="Y77" i="41" s="1"/>
  <c r="Z77" i="41" s="1" a="1"/>
  <c r="Z77" i="41" s="1"/>
  <c r="AA77" i="41" s="1" a="1"/>
  <c r="AA77" i="41" s="1"/>
  <c r="AB77" i="41" s="1" a="1"/>
  <c r="AB77" i="41" s="1"/>
  <c r="AC77" i="41" s="1" a="1"/>
  <c r="AC77" i="41" s="1"/>
  <c r="AD77" i="41" s="1" a="1"/>
  <c r="AD77" i="41" s="1"/>
  <c r="AE77" i="41" s="1" a="1"/>
  <c r="AE77" i="41" s="1"/>
  <c r="AF77" i="41" s="1" a="1"/>
  <c r="AF77" i="41" s="1"/>
  <c r="AG77" i="41" s="1" a="1"/>
  <c r="AG77" i="41" s="1"/>
  <c r="AH77" i="41" s="1" a="1"/>
  <c r="AH77" i="41" s="1"/>
  <c r="AI77" i="41" s="1" a="1"/>
  <c r="AI77" i="41" s="1"/>
  <c r="AJ77" i="41" s="1" a="1"/>
  <c r="AJ77" i="41" s="1"/>
  <c r="AK77" i="41" s="1" a="1"/>
  <c r="AK77" i="41" s="1"/>
  <c r="AL77" i="41" s="1" a="1"/>
  <c r="AL77" i="41" s="1"/>
  <c r="AM77" i="41" s="1" a="1"/>
  <c r="AM77" i="41" s="1"/>
  <c r="AN77" i="41" s="1" a="1"/>
  <c r="AN77" i="41" s="1"/>
  <c r="AO77" i="41" s="1" a="1"/>
  <c r="AO77" i="41" s="1"/>
  <c r="AP77" i="41" s="1" a="1"/>
  <c r="AP77" i="41" s="1"/>
  <c r="AQ77" i="41" s="1" a="1"/>
  <c r="AQ77" i="41" s="1"/>
  <c r="AR77" i="41" s="1" a="1"/>
  <c r="AR77" i="41" s="1"/>
  <c r="N83" i="41" a="1"/>
  <c r="N83" i="41" s="1"/>
  <c r="O83" i="41" s="1" a="1"/>
  <c r="O83" i="41" s="1"/>
  <c r="P83" i="41" s="1" a="1"/>
  <c r="P83" i="41" s="1"/>
  <c r="Q83" i="41" s="1" a="1"/>
  <c r="Q83" i="41" s="1"/>
  <c r="R83" i="41" s="1" a="1"/>
  <c r="R83" i="41" s="1"/>
  <c r="S83" i="41" s="1" a="1"/>
  <c r="S83" i="41" s="1"/>
  <c r="T83" i="41" s="1" a="1"/>
  <c r="T83" i="41" s="1"/>
  <c r="U83" i="41" s="1" a="1"/>
  <c r="U83" i="41" s="1"/>
  <c r="V83" i="41" s="1" a="1"/>
  <c r="V83" i="41" s="1"/>
  <c r="W83" i="41" s="1" a="1"/>
  <c r="W83" i="41" s="1"/>
  <c r="X83" i="41" s="1" a="1"/>
  <c r="X83" i="41" s="1"/>
  <c r="Y83" i="41" s="1" a="1"/>
  <c r="Y83" i="41" s="1"/>
  <c r="Z83" i="41" s="1" a="1"/>
  <c r="Z83" i="41" s="1"/>
  <c r="AA83" i="41" s="1" a="1"/>
  <c r="AA83" i="41" s="1"/>
  <c r="AB83" i="41" s="1" a="1"/>
  <c r="AB83" i="41" s="1"/>
  <c r="AC83" i="41" s="1" a="1"/>
  <c r="AC83" i="41" s="1"/>
  <c r="AD83" i="41" s="1" a="1"/>
  <c r="AD83" i="41" s="1"/>
  <c r="AE83" i="41" s="1" a="1"/>
  <c r="AE83" i="41" s="1"/>
  <c r="AF83" i="41" s="1" a="1"/>
  <c r="AF83" i="41" s="1"/>
  <c r="AG83" i="41" s="1" a="1"/>
  <c r="AG83" i="41" s="1"/>
  <c r="AH83" i="41" s="1" a="1"/>
  <c r="AH83" i="41" s="1"/>
  <c r="AI83" i="41" s="1" a="1"/>
  <c r="AI83" i="41" s="1"/>
  <c r="AJ83" i="41" s="1" a="1"/>
  <c r="AJ83" i="41" s="1"/>
  <c r="AK83" i="41" s="1" a="1"/>
  <c r="AK83" i="41" s="1"/>
  <c r="AL83" i="41" s="1" a="1"/>
  <c r="AL83" i="41" s="1"/>
  <c r="AM83" i="41" s="1" a="1"/>
  <c r="AM83" i="41" s="1"/>
  <c r="AN83" i="41" s="1" a="1"/>
  <c r="AN83" i="41" s="1"/>
  <c r="AO83" i="41" s="1" a="1"/>
  <c r="AO83" i="41" s="1"/>
  <c r="AP83" i="41" s="1" a="1"/>
  <c r="AP83" i="41" s="1"/>
  <c r="AQ83" i="41" s="1" a="1"/>
  <c r="AQ83" i="41" s="1"/>
  <c r="AR83" i="41" s="1" a="1"/>
  <c r="AR83" i="41" s="1"/>
  <c r="N86" i="41" a="1"/>
  <c r="N86" i="41" s="1"/>
  <c r="O86" i="41" s="1" a="1"/>
  <c r="O86" i="41" s="1"/>
  <c r="P86" i="41" s="1" a="1"/>
  <c r="P86" i="41" s="1"/>
  <c r="Q86" i="41" s="1" a="1"/>
  <c r="Q86" i="41" s="1"/>
  <c r="R86" i="41" s="1" a="1"/>
  <c r="R86" i="41" s="1"/>
  <c r="S86" i="41" s="1" a="1"/>
  <c r="S86" i="41" s="1"/>
  <c r="T86" i="41" s="1" a="1"/>
  <c r="T86" i="41" s="1"/>
  <c r="U86" i="41" s="1" a="1"/>
  <c r="U86" i="41" s="1"/>
  <c r="V86" i="41" s="1" a="1"/>
  <c r="V86" i="41" s="1"/>
  <c r="W86" i="41" s="1" a="1"/>
  <c r="W86" i="41" s="1"/>
  <c r="X86" i="41" s="1" a="1"/>
  <c r="X86" i="41" s="1"/>
  <c r="Y86" i="41" s="1" a="1"/>
  <c r="Y86" i="41" s="1"/>
  <c r="Z86" i="41" s="1" a="1"/>
  <c r="Z86" i="41" s="1"/>
  <c r="AA86" i="41" s="1" a="1"/>
  <c r="AA86" i="41" s="1"/>
  <c r="AB86" i="41" s="1" a="1"/>
  <c r="AB86" i="41" s="1"/>
  <c r="AC86" i="41" s="1" a="1"/>
  <c r="AC86" i="41" s="1"/>
  <c r="AD86" i="41" s="1" a="1"/>
  <c r="AD86" i="41" s="1"/>
  <c r="AE86" i="41" s="1" a="1"/>
  <c r="AE86" i="41" s="1"/>
  <c r="AF86" i="41" s="1" a="1"/>
  <c r="AF86" i="41" s="1"/>
  <c r="AG86" i="41" s="1" a="1"/>
  <c r="AG86" i="41" s="1"/>
  <c r="AH86" i="41" s="1" a="1"/>
  <c r="AH86" i="41" s="1"/>
  <c r="AI86" i="41" s="1" a="1"/>
  <c r="AI86" i="41" s="1"/>
  <c r="AJ86" i="41" s="1" a="1"/>
  <c r="AJ86" i="41" s="1"/>
  <c r="AK86" i="41" s="1" a="1"/>
  <c r="AK86" i="41" s="1"/>
  <c r="AL86" i="41" s="1" a="1"/>
  <c r="AL86" i="41" s="1"/>
  <c r="AM86" i="41" s="1" a="1"/>
  <c r="AM86" i="41" s="1"/>
  <c r="AN86" i="41" s="1" a="1"/>
  <c r="AN86" i="41" s="1"/>
  <c r="AO86" i="41" s="1" a="1"/>
  <c r="AO86" i="41" s="1"/>
  <c r="AP86" i="41" s="1" a="1"/>
  <c r="AP86" i="41" s="1"/>
  <c r="AQ86" i="41" s="1" a="1"/>
  <c r="AQ86" i="41" s="1"/>
  <c r="AR86" i="41" s="1" a="1"/>
  <c r="AR86" i="41" s="1"/>
  <c r="N72" i="41" a="1"/>
  <c r="N72" i="41" s="1"/>
  <c r="O72" i="41" s="1" a="1"/>
  <c r="O72" i="41" s="1"/>
  <c r="P72" i="41" s="1" a="1"/>
  <c r="P72" i="41" s="1"/>
  <c r="Q72" i="41" s="1" a="1"/>
  <c r="Q72" i="41" s="1"/>
  <c r="R72" i="41" s="1" a="1"/>
  <c r="R72" i="41" s="1"/>
  <c r="S72" i="41" s="1" a="1"/>
  <c r="S72" i="41" s="1"/>
  <c r="T72" i="41" s="1" a="1"/>
  <c r="T72" i="41" s="1"/>
  <c r="U72" i="41" s="1" a="1"/>
  <c r="U72" i="41" s="1"/>
  <c r="V72" i="41" s="1" a="1"/>
  <c r="V72" i="41" s="1"/>
  <c r="W72" i="41" s="1" a="1"/>
  <c r="W72" i="41" s="1"/>
  <c r="X72" i="41" s="1" a="1"/>
  <c r="X72" i="41" s="1"/>
  <c r="Y72" i="41" s="1" a="1"/>
  <c r="Y72" i="41" s="1"/>
  <c r="Z72" i="41" s="1" a="1"/>
  <c r="Z72" i="41" s="1"/>
  <c r="AA72" i="41" s="1" a="1"/>
  <c r="AA72" i="41" s="1"/>
  <c r="AB72" i="41" s="1" a="1"/>
  <c r="AB72" i="41" s="1"/>
  <c r="AC72" i="41" s="1" a="1"/>
  <c r="AC72" i="41" s="1"/>
  <c r="AD72" i="41" s="1" a="1"/>
  <c r="AD72" i="41" s="1"/>
  <c r="AE72" i="41" s="1" a="1"/>
  <c r="AE72" i="41" s="1"/>
  <c r="AF72" i="41" s="1" a="1"/>
  <c r="AF72" i="41" s="1"/>
  <c r="AG72" i="41" s="1" a="1"/>
  <c r="AG72" i="41" s="1"/>
  <c r="AH72" i="41" s="1" a="1"/>
  <c r="AH72" i="41" s="1"/>
  <c r="AI72" i="41" s="1" a="1"/>
  <c r="AI72" i="41" s="1"/>
  <c r="AJ72" i="41" s="1" a="1"/>
  <c r="AJ72" i="41" s="1"/>
  <c r="AK72" i="41" s="1" a="1"/>
  <c r="AK72" i="41" s="1"/>
  <c r="AL72" i="41" s="1" a="1"/>
  <c r="AL72" i="41" s="1"/>
  <c r="AM72" i="41" s="1" a="1"/>
  <c r="AM72" i="41" s="1"/>
  <c r="AN72" i="41" s="1" a="1"/>
  <c r="AN72" i="41" s="1"/>
  <c r="AO72" i="41" s="1" a="1"/>
  <c r="AO72" i="41" s="1"/>
  <c r="AP72" i="41" s="1" a="1"/>
  <c r="AP72" i="41" s="1"/>
  <c r="AQ72" i="41" s="1" a="1"/>
  <c r="AQ72" i="41" s="1"/>
  <c r="AR72" i="41" s="1" a="1"/>
  <c r="AR72" i="41" s="1"/>
  <c r="N75" i="41" a="1"/>
  <c r="N75" i="41" s="1"/>
  <c r="O75" i="41" s="1" a="1"/>
  <c r="O75" i="41" s="1"/>
  <c r="P75" i="41" s="1" a="1"/>
  <c r="P75" i="41" s="1"/>
  <c r="Q75" i="41" s="1" a="1"/>
  <c r="Q75" i="41" s="1"/>
  <c r="R75" i="41" s="1" a="1"/>
  <c r="R75" i="41" s="1"/>
  <c r="S75" i="41" s="1" a="1"/>
  <c r="S75" i="41" s="1"/>
  <c r="T75" i="41" s="1" a="1"/>
  <c r="T75" i="41" s="1"/>
  <c r="U75" i="41" s="1" a="1"/>
  <c r="U75" i="41" s="1"/>
  <c r="V75" i="41" s="1" a="1"/>
  <c r="V75" i="41" s="1"/>
  <c r="W75" i="41" s="1" a="1"/>
  <c r="W75" i="41" s="1"/>
  <c r="X75" i="41" s="1" a="1"/>
  <c r="X75" i="41" s="1"/>
  <c r="Y75" i="41" s="1" a="1"/>
  <c r="Y75" i="41" s="1"/>
  <c r="Z75" i="41" s="1" a="1"/>
  <c r="Z75" i="41" s="1"/>
  <c r="AA75" i="41" s="1" a="1"/>
  <c r="AA75" i="41" s="1"/>
  <c r="AB75" i="41" s="1" a="1"/>
  <c r="AB75" i="41" s="1"/>
  <c r="AC75" i="41" s="1" a="1"/>
  <c r="AC75" i="41" s="1"/>
  <c r="AD75" i="41" s="1" a="1"/>
  <c r="AD75" i="41" s="1"/>
  <c r="AE75" i="41" s="1" a="1"/>
  <c r="AE75" i="41" s="1"/>
  <c r="AF75" i="41" s="1" a="1"/>
  <c r="AF75" i="41" s="1"/>
  <c r="AG75" i="41" s="1" a="1"/>
  <c r="AG75" i="41" s="1"/>
  <c r="AH75" i="41" s="1" a="1"/>
  <c r="AH75" i="41" s="1"/>
  <c r="AI75" i="41" s="1" a="1"/>
  <c r="AI75" i="41" s="1"/>
  <c r="AJ75" i="41" s="1" a="1"/>
  <c r="AJ75" i="41" s="1"/>
  <c r="AK75" i="41" s="1" a="1"/>
  <c r="AK75" i="41" s="1"/>
  <c r="AL75" i="41" s="1" a="1"/>
  <c r="AL75" i="41" s="1"/>
  <c r="AM75" i="41" s="1" a="1"/>
  <c r="AM75" i="41" s="1"/>
  <c r="AN75" i="41" s="1" a="1"/>
  <c r="AN75" i="41" s="1"/>
  <c r="AO75" i="41" s="1" a="1"/>
  <c r="AO75" i="41" s="1"/>
  <c r="AP75" i="41" s="1" a="1"/>
  <c r="AP75" i="41" s="1"/>
  <c r="AQ75" i="41" s="1" a="1"/>
  <c r="AQ75" i="41" s="1"/>
  <c r="AR75" i="41" s="1" a="1"/>
  <c r="AR75" i="41" s="1"/>
  <c r="N78" i="41" a="1"/>
  <c r="N78" i="41" s="1"/>
  <c r="O78" i="41" s="1" a="1"/>
  <c r="O78" i="41" s="1"/>
  <c r="P78" i="41" s="1" a="1"/>
  <c r="P78" i="41" s="1"/>
  <c r="Q78" i="41" a="1"/>
  <c r="Q78" i="41" s="1"/>
  <c r="R78" i="41" s="1" a="1"/>
  <c r="R78" i="41" s="1"/>
  <c r="S78" i="41" s="1" a="1"/>
  <c r="S78" i="41" s="1"/>
  <c r="T78" i="41" s="1" a="1"/>
  <c r="T78" i="41" s="1"/>
  <c r="U78" i="41" s="1" a="1"/>
  <c r="U78" i="41" s="1"/>
  <c r="V78" i="41" s="1" a="1"/>
  <c r="V78" i="41" s="1"/>
  <c r="W78" i="41" s="1" a="1"/>
  <c r="W78" i="41" s="1"/>
  <c r="X78" i="41" s="1" a="1"/>
  <c r="X78" i="41" s="1"/>
  <c r="Y78" i="41" s="1" a="1"/>
  <c r="Y78" i="41" s="1"/>
  <c r="Z78" i="41" s="1" a="1"/>
  <c r="Z78" i="41" s="1"/>
  <c r="AA78" i="41" s="1" a="1"/>
  <c r="AA78" i="41" s="1"/>
  <c r="AB78" i="41" s="1" a="1"/>
  <c r="AB78" i="41" s="1"/>
  <c r="AC78" i="41" s="1" a="1"/>
  <c r="AC78" i="41" s="1"/>
  <c r="AD78" i="41" s="1" a="1"/>
  <c r="AD78" i="41" s="1"/>
  <c r="AE78" i="41" s="1" a="1"/>
  <c r="AE78" i="41" s="1"/>
  <c r="AF78" i="41" s="1" a="1"/>
  <c r="AF78" i="41" s="1"/>
  <c r="AG78" i="41" s="1" a="1"/>
  <c r="AG78" i="41" s="1"/>
  <c r="AH78" i="41" s="1" a="1"/>
  <c r="AH78" i="41" s="1"/>
  <c r="AI78" i="41" s="1" a="1"/>
  <c r="AI78" i="41" s="1"/>
  <c r="AJ78" i="41" s="1" a="1"/>
  <c r="AJ78" i="41" s="1"/>
  <c r="AK78" i="41" s="1" a="1"/>
  <c r="AK78" i="41" s="1"/>
  <c r="AL78" i="41" s="1" a="1"/>
  <c r="AL78" i="41" s="1"/>
  <c r="AM78" i="41" s="1" a="1"/>
  <c r="AM78" i="41" s="1"/>
  <c r="AN78" i="41" s="1" a="1"/>
  <c r="AN78" i="41" s="1"/>
  <c r="AO78" i="41" s="1" a="1"/>
  <c r="AO78" i="41" s="1"/>
  <c r="AP78" i="41" s="1" a="1"/>
  <c r="AP78" i="41" s="1"/>
  <c r="AQ78" i="41" s="1" a="1"/>
  <c r="AQ78" i="41" s="1"/>
  <c r="AR78" i="41" s="1" a="1"/>
  <c r="AR78" i="41" s="1"/>
  <c r="N81" i="41" a="1"/>
  <c r="N81" i="41" s="1"/>
  <c r="O81" i="41" s="1" a="1"/>
  <c r="O81" i="41" s="1"/>
  <c r="P81" i="41" s="1" a="1"/>
  <c r="P81" i="41" s="1"/>
  <c r="Q81" i="41" s="1" a="1"/>
  <c r="Q81" i="41" s="1"/>
  <c r="R81" i="41" s="1" a="1"/>
  <c r="R81" i="41" s="1"/>
  <c r="S81" i="41" s="1" a="1"/>
  <c r="S81" i="41" s="1"/>
  <c r="T81" i="41" s="1" a="1"/>
  <c r="T81" i="41" s="1"/>
  <c r="U81" i="41" s="1" a="1"/>
  <c r="U81" i="41" s="1"/>
  <c r="V81" i="41" s="1" a="1"/>
  <c r="V81" i="41" s="1"/>
  <c r="W81" i="41" s="1" a="1"/>
  <c r="W81" i="41" s="1"/>
  <c r="X81" i="41" s="1" a="1"/>
  <c r="X81" i="41" s="1"/>
  <c r="Y81" i="41" s="1" a="1"/>
  <c r="Y81" i="41" s="1"/>
  <c r="Z81" i="41" s="1" a="1"/>
  <c r="Z81" i="41" s="1"/>
  <c r="AA81" i="41" s="1" a="1"/>
  <c r="AA81" i="41" s="1"/>
  <c r="AB81" i="41" s="1" a="1"/>
  <c r="AB81" i="41" s="1"/>
  <c r="AC81" i="41" s="1" a="1"/>
  <c r="AC81" i="41" s="1"/>
  <c r="AD81" i="41" s="1" a="1"/>
  <c r="AD81" i="41" s="1"/>
  <c r="AE81" i="41" s="1" a="1"/>
  <c r="AE81" i="41" s="1"/>
  <c r="AF81" i="41" s="1" a="1"/>
  <c r="AF81" i="41" s="1"/>
  <c r="AG81" i="41" s="1" a="1"/>
  <c r="AG81" i="41" s="1"/>
  <c r="AH81" i="41" s="1" a="1"/>
  <c r="AH81" i="41" s="1"/>
  <c r="AI81" i="41" s="1" a="1"/>
  <c r="AI81" i="41" s="1"/>
  <c r="AJ81" i="41" s="1" a="1"/>
  <c r="AJ81" i="41" s="1"/>
  <c r="AK81" i="41" s="1" a="1"/>
  <c r="AK81" i="41" s="1"/>
  <c r="AL81" i="41" s="1" a="1"/>
  <c r="AL81" i="41" s="1"/>
  <c r="AM81" i="41" s="1" a="1"/>
  <c r="AM81" i="41" s="1"/>
  <c r="AN81" i="41" s="1" a="1"/>
  <c r="AN81" i="41" s="1"/>
  <c r="AO81" i="41" s="1" a="1"/>
  <c r="AO81" i="41" s="1"/>
  <c r="AP81" i="41" s="1" a="1"/>
  <c r="AP81" i="41" s="1"/>
  <c r="AQ81" i="41" s="1" a="1"/>
  <c r="AQ81" i="41" s="1"/>
  <c r="AR81" i="41" s="1" a="1"/>
  <c r="AR81" i="41" s="1"/>
  <c r="N84" i="41" a="1"/>
  <c r="N84" i="41" s="1"/>
  <c r="O84" i="41" s="1" a="1"/>
  <c r="O84" i="41" s="1"/>
  <c r="P84" i="41" s="1" a="1"/>
  <c r="P84" i="41" s="1"/>
  <c r="Q84" i="41" s="1" a="1"/>
  <c r="Q84" i="41" s="1"/>
  <c r="R84" i="41" s="1" a="1"/>
  <c r="R84" i="41" s="1"/>
  <c r="S84" i="41" s="1" a="1"/>
  <c r="S84" i="41" s="1"/>
  <c r="T84" i="41" s="1" a="1"/>
  <c r="T84" i="41" s="1"/>
  <c r="U84" i="41" s="1" a="1"/>
  <c r="U84" i="41" s="1"/>
  <c r="V84" i="41" s="1" a="1"/>
  <c r="V84" i="41" s="1"/>
  <c r="W84" i="41" s="1" a="1"/>
  <c r="W84" i="41" s="1"/>
  <c r="X84" i="41" s="1" a="1"/>
  <c r="X84" i="41" s="1"/>
  <c r="Y84" i="41" s="1" a="1"/>
  <c r="Y84" i="41" s="1"/>
  <c r="Z84" i="41" s="1" a="1"/>
  <c r="Z84" i="41" s="1"/>
  <c r="AA84" i="41" s="1" a="1"/>
  <c r="AA84" i="41" s="1"/>
  <c r="AB84" i="41" s="1" a="1"/>
  <c r="AB84" i="41" s="1"/>
  <c r="AC84" i="41" s="1" a="1"/>
  <c r="AC84" i="41" s="1"/>
  <c r="AD84" i="41" s="1" a="1"/>
  <c r="AD84" i="41" s="1"/>
  <c r="AE84" i="41" s="1" a="1"/>
  <c r="AE84" i="41" s="1"/>
  <c r="AF84" i="41" s="1" a="1"/>
  <c r="AF84" i="41" s="1"/>
  <c r="AG84" i="41" s="1" a="1"/>
  <c r="AG84" i="41" s="1"/>
  <c r="AH84" i="41" s="1" a="1"/>
  <c r="AH84" i="41" s="1"/>
  <c r="AI84" i="41" s="1" a="1"/>
  <c r="AI84" i="41" s="1"/>
  <c r="AJ84" i="41" s="1" a="1"/>
  <c r="AJ84" i="41" s="1"/>
  <c r="AK84" i="41" s="1" a="1"/>
  <c r="AK84" i="41" s="1"/>
  <c r="AL84" i="41" s="1" a="1"/>
  <c r="AL84" i="41" s="1"/>
  <c r="AM84" i="41" s="1" a="1"/>
  <c r="AM84" i="41" s="1"/>
  <c r="AN84" i="41" s="1" a="1"/>
  <c r="AN84" i="41" s="1"/>
  <c r="AO84" i="41" s="1" a="1"/>
  <c r="AO84" i="41" s="1"/>
  <c r="AP84" i="41" s="1" a="1"/>
  <c r="AP84" i="41" s="1"/>
  <c r="AQ84" i="41" s="1" a="1"/>
  <c r="AQ84" i="41" s="1"/>
  <c r="AR84" i="41" s="1" a="1"/>
  <c r="AR84" i="41" s="1"/>
  <c r="M87" i="41" a="1"/>
  <c r="M87" i="41" s="1"/>
  <c r="N74" i="41" a="1"/>
  <c r="N74" i="41" s="1"/>
  <c r="O74" i="41" a="1"/>
  <c r="O74" i="41" s="1"/>
  <c r="P74" i="41" a="1"/>
  <c r="P74" i="41" s="1"/>
  <c r="Q74" i="41" s="1" a="1"/>
  <c r="Q74" i="41" s="1"/>
  <c r="R74" i="41" s="1" a="1"/>
  <c r="R74" i="41" s="1"/>
  <c r="S74" i="41" s="1" a="1"/>
  <c r="S74" i="41" s="1"/>
  <c r="T74" i="41" s="1" a="1"/>
  <c r="T74" i="41" s="1"/>
  <c r="U74" i="41" s="1" a="1"/>
  <c r="U74" i="41" s="1"/>
  <c r="V74" i="41" s="1" a="1"/>
  <c r="V74" i="41" s="1"/>
  <c r="W74" i="41" s="1" a="1"/>
  <c r="W74" i="41" s="1"/>
  <c r="X74" i="41" s="1" a="1"/>
  <c r="X74" i="41" s="1"/>
  <c r="Y74" i="41" s="1" a="1"/>
  <c r="Y74" i="41" s="1"/>
  <c r="Z74" i="41" s="1" a="1"/>
  <c r="Z74" i="41" s="1"/>
  <c r="AA74" i="41" s="1" a="1"/>
  <c r="AA74" i="41" s="1"/>
  <c r="AB74" i="41" s="1" a="1"/>
  <c r="AB74" i="41" s="1"/>
  <c r="AC74" i="41" s="1" a="1"/>
  <c r="AC74" i="41" s="1"/>
  <c r="AD74" i="41" s="1" a="1"/>
  <c r="AD74" i="41" s="1"/>
  <c r="AE74" i="41" s="1" a="1"/>
  <c r="AE74" i="41" s="1"/>
  <c r="AF74" i="41" s="1" a="1"/>
  <c r="AF74" i="41" s="1"/>
  <c r="AG74" i="41" s="1" a="1"/>
  <c r="AG74" i="41" s="1"/>
  <c r="AH74" i="41" s="1" a="1"/>
  <c r="AH74" i="41" s="1"/>
  <c r="AI74" i="41" s="1" a="1"/>
  <c r="AI74" i="41" s="1"/>
  <c r="AJ74" i="41" s="1" a="1"/>
  <c r="AJ74" i="41" s="1"/>
  <c r="AK74" i="41" s="1" a="1"/>
  <c r="AK74" i="41" s="1"/>
  <c r="AL74" i="41" s="1" a="1"/>
  <c r="AL74" i="41" s="1"/>
  <c r="AM74" i="41" s="1" a="1"/>
  <c r="AM74" i="41" s="1"/>
  <c r="AN74" i="41" s="1" a="1"/>
  <c r="AN74" i="41" s="1"/>
  <c r="AO74" i="41" s="1" a="1"/>
  <c r="AO74" i="41" s="1"/>
  <c r="AP74" i="41" s="1" a="1"/>
  <c r="AP74" i="41" s="1"/>
  <c r="AQ74" i="41" s="1" a="1"/>
  <c r="AQ74" i="41" s="1"/>
  <c r="AR74" i="41" s="1" a="1"/>
  <c r="AR74" i="41" s="1"/>
  <c r="N82" i="41" l="1" a="1"/>
  <c r="N82" i="41" s="1"/>
  <c r="O82" i="41" s="1" a="1"/>
  <c r="O82" i="41" s="1"/>
  <c r="P82" i="41" s="1" a="1"/>
  <c r="P82" i="41" s="1"/>
  <c r="Q82" i="41" s="1" a="1"/>
  <c r="Q82" i="41" s="1"/>
  <c r="R82" i="41" s="1" a="1"/>
  <c r="R82" i="41" s="1"/>
  <c r="S82" i="41" s="1" a="1"/>
  <c r="S82" i="41" s="1"/>
  <c r="T82" i="41" s="1" a="1"/>
  <c r="T82" i="41" s="1"/>
  <c r="U82" i="41" s="1" a="1"/>
  <c r="U82" i="41" s="1"/>
  <c r="V82" i="41" s="1" a="1"/>
  <c r="V82" i="41" s="1"/>
  <c r="W82" i="41" s="1" a="1"/>
  <c r="W82" i="41" s="1"/>
  <c r="X82" i="41" s="1" a="1"/>
  <c r="X82" i="41" s="1"/>
  <c r="Y82" i="41" s="1" a="1"/>
  <c r="Y82" i="41" s="1"/>
  <c r="Z82" i="41" s="1" a="1"/>
  <c r="Z82" i="41" s="1"/>
  <c r="AA82" i="41" s="1" a="1"/>
  <c r="AA82" i="41" s="1"/>
  <c r="AB82" i="41" s="1" a="1"/>
  <c r="AB82" i="41" s="1"/>
  <c r="AC82" i="41" s="1" a="1"/>
  <c r="AC82" i="41" s="1"/>
  <c r="AD82" i="41" s="1" a="1"/>
  <c r="AD82" i="41" s="1"/>
  <c r="AE82" i="41" s="1" a="1"/>
  <c r="AE82" i="41" s="1"/>
  <c r="AF82" i="41" s="1" a="1"/>
  <c r="AF82" i="41" s="1"/>
  <c r="AG82" i="41" s="1" a="1"/>
  <c r="AG82" i="41" s="1"/>
  <c r="AH82" i="41" s="1" a="1"/>
  <c r="AH82" i="41" s="1"/>
  <c r="AI82" i="41" s="1" a="1"/>
  <c r="AI82" i="41" s="1"/>
  <c r="AJ82" i="41" s="1" a="1"/>
  <c r="AJ82" i="41" s="1"/>
  <c r="AK82" i="41" s="1" a="1"/>
  <c r="AK82" i="41" s="1"/>
  <c r="AL82" i="41" s="1" a="1"/>
  <c r="AL82" i="41" s="1"/>
  <c r="AM82" i="41" s="1" a="1"/>
  <c r="AM82" i="41" s="1"/>
  <c r="AN82" i="41" s="1" a="1"/>
  <c r="AN82" i="41" s="1"/>
  <c r="AO82" i="41" s="1" a="1"/>
  <c r="AO82" i="41" s="1"/>
  <c r="AP82" i="41" s="1" a="1"/>
  <c r="AP82" i="41" s="1"/>
  <c r="AQ82" i="41" s="1" a="1"/>
  <c r="AQ82" i="41" s="1"/>
  <c r="AR82" i="41" s="1" a="1"/>
  <c r="AR82" i="41" s="1"/>
  <c r="N85" i="41" a="1"/>
  <c r="N85" i="41" s="1"/>
  <c r="O85" i="41" s="1" a="1"/>
  <c r="O85" i="41" s="1"/>
  <c r="P85" i="41" s="1" a="1"/>
  <c r="P85" i="41" s="1"/>
  <c r="Q85" i="41" s="1" a="1"/>
  <c r="Q85" i="41" s="1"/>
  <c r="R85" i="41" s="1" a="1"/>
  <c r="R85" i="41" s="1"/>
  <c r="S85" i="41" s="1" a="1"/>
  <c r="S85" i="41" s="1"/>
  <c r="T85" i="41" s="1" a="1"/>
  <c r="T85" i="41" s="1"/>
  <c r="U85" i="41" s="1" a="1"/>
  <c r="U85" i="41" s="1"/>
  <c r="V85" i="41" s="1" a="1"/>
  <c r="V85" i="41" s="1"/>
  <c r="W85" i="41" s="1" a="1"/>
  <c r="W85" i="41" s="1"/>
  <c r="X85" i="41" s="1" a="1"/>
  <c r="X85" i="41" s="1"/>
  <c r="Y85" i="41" s="1" a="1"/>
  <c r="Y85" i="41" s="1"/>
  <c r="Z85" i="41" s="1" a="1"/>
  <c r="Z85" i="41" s="1"/>
  <c r="AA85" i="41" s="1" a="1"/>
  <c r="AA85" i="41" s="1"/>
  <c r="AB85" i="41" s="1" a="1"/>
  <c r="AB85" i="41" s="1"/>
  <c r="AC85" i="41" s="1" a="1"/>
  <c r="AC85" i="41" s="1"/>
  <c r="AD85" i="41" s="1" a="1"/>
  <c r="AD85" i="41" s="1"/>
  <c r="AE85" i="41" s="1" a="1"/>
  <c r="AE85" i="41" s="1"/>
  <c r="AF85" i="41" s="1" a="1"/>
  <c r="AF85" i="41" s="1"/>
  <c r="AG85" i="41" s="1" a="1"/>
  <c r="AG85" i="41" s="1"/>
  <c r="AH85" i="41" s="1" a="1"/>
  <c r="AH85" i="41" s="1"/>
  <c r="AI85" i="41" s="1" a="1"/>
  <c r="AI85" i="41" s="1"/>
  <c r="AJ85" i="41" s="1" a="1"/>
  <c r="AJ85" i="41" s="1"/>
  <c r="AK85" i="41" s="1" a="1"/>
  <c r="AK85" i="41" s="1"/>
  <c r="AL85" i="41" s="1" a="1"/>
  <c r="AL85" i="41" s="1"/>
  <c r="AM85" i="41" s="1" a="1"/>
  <c r="AM85" i="41" s="1"/>
  <c r="AN85" i="41" s="1" a="1"/>
  <c r="AN85" i="41" s="1"/>
  <c r="AO85" i="41" s="1" a="1"/>
  <c r="AO85" i="41" s="1"/>
  <c r="AP85" i="41" s="1" a="1"/>
  <c r="AP85" i="41" s="1"/>
  <c r="AQ85" i="41" s="1" a="1"/>
  <c r="AQ85" i="41" s="1"/>
  <c r="AR85" i="41" s="1" a="1"/>
  <c r="AR85" i="41" s="1"/>
  <c r="N79" i="41" a="1"/>
  <c r="N79" i="41" s="1"/>
  <c r="O79" i="41" s="1" a="1"/>
  <c r="O79" i="41" s="1"/>
  <c r="P79" i="41" s="1" a="1"/>
  <c r="P79" i="41" s="1"/>
  <c r="Q79" i="41" s="1" a="1"/>
  <c r="Q79" i="41" s="1"/>
  <c r="R79" i="41" s="1" a="1"/>
  <c r="R79" i="41" s="1"/>
  <c r="S79" i="41" s="1" a="1"/>
  <c r="S79" i="41" s="1"/>
  <c r="T79" i="41" s="1" a="1"/>
  <c r="T79" i="41" s="1"/>
  <c r="U79" i="41" s="1" a="1"/>
  <c r="U79" i="41" s="1"/>
  <c r="V79" i="41" s="1" a="1"/>
  <c r="V79" i="41" s="1"/>
  <c r="W79" i="41" s="1" a="1"/>
  <c r="W79" i="41" s="1"/>
  <c r="X79" i="41" s="1" a="1"/>
  <c r="X79" i="41" s="1"/>
  <c r="Y79" i="41" s="1" a="1"/>
  <c r="Y79" i="41" s="1"/>
  <c r="Z79" i="41" s="1" a="1"/>
  <c r="Z79" i="41" s="1"/>
  <c r="AA79" i="41" s="1" a="1"/>
  <c r="AA79" i="41" s="1"/>
  <c r="AB79" i="41" s="1" a="1"/>
  <c r="AB79" i="41" s="1"/>
  <c r="AC79" i="41" s="1" a="1"/>
  <c r="AC79" i="41" s="1"/>
  <c r="AD79" i="41" s="1" a="1"/>
  <c r="AD79" i="41" s="1"/>
  <c r="AE79" i="41" s="1" a="1"/>
  <c r="AE79" i="41" s="1"/>
  <c r="AF79" i="41" s="1" a="1"/>
  <c r="AF79" i="41" s="1"/>
  <c r="AG79" i="41" s="1" a="1"/>
  <c r="AG79" i="41" s="1"/>
  <c r="AH79" i="41" s="1" a="1"/>
  <c r="AH79" i="41" s="1"/>
  <c r="AI79" i="41" s="1" a="1"/>
  <c r="AI79" i="41" s="1"/>
  <c r="AJ79" i="41" s="1" a="1"/>
  <c r="AJ79" i="41" s="1"/>
  <c r="AK79" i="41" s="1" a="1"/>
  <c r="AK79" i="41" s="1"/>
  <c r="AL79" i="41" s="1" a="1"/>
  <c r="AL79" i="41" s="1"/>
  <c r="AM79" i="41" s="1" a="1"/>
  <c r="AM79" i="41" s="1"/>
  <c r="AN79" i="41" s="1" a="1"/>
  <c r="AN79" i="41" s="1"/>
  <c r="AO79" i="41" s="1" a="1"/>
  <c r="AO79" i="41" s="1"/>
  <c r="AP79" i="41" s="1" a="1"/>
  <c r="AP79" i="41" s="1"/>
  <c r="AQ79" i="41" s="1" a="1"/>
  <c r="AQ79" i="41" s="1"/>
  <c r="AR79" i="41" s="1" a="1"/>
  <c r="AR79" i="41" s="1"/>
  <c r="N87" i="41" a="1"/>
  <c r="N87" i="41" s="1"/>
  <c r="O87" i="41" s="1" a="1"/>
  <c r="O87" i="41" s="1"/>
  <c r="P87" i="41" s="1" a="1"/>
  <c r="P87" i="41" s="1"/>
  <c r="Q87" i="41" s="1" a="1"/>
  <c r="Q87" i="41" s="1"/>
  <c r="R87" i="41" s="1" a="1"/>
  <c r="R87" i="41" s="1"/>
  <c r="S87" i="41" s="1" a="1"/>
  <c r="S87" i="41" s="1"/>
  <c r="T87" i="41" s="1" a="1"/>
  <c r="T87" i="41" s="1"/>
  <c r="U87" i="41" s="1" a="1"/>
  <c r="U87" i="41" s="1"/>
  <c r="V87" i="41" s="1" a="1"/>
  <c r="V87" i="41" s="1"/>
  <c r="W87" i="41" s="1" a="1"/>
  <c r="W87" i="41" s="1"/>
  <c r="X87" i="41" s="1" a="1"/>
  <c r="X87" i="41" s="1"/>
  <c r="Y87" i="41" s="1" a="1"/>
  <c r="Y87" i="41" s="1"/>
  <c r="Z87" i="41" s="1" a="1"/>
  <c r="Z87" i="41" s="1"/>
  <c r="AA87" i="41" s="1" a="1"/>
  <c r="AA87" i="41" s="1"/>
  <c r="AB87" i="41" s="1" a="1"/>
  <c r="AB87" i="41" s="1"/>
  <c r="AC87" i="41" s="1" a="1"/>
  <c r="AC87" i="41" s="1"/>
  <c r="AD87" i="41" s="1" a="1"/>
  <c r="AD87" i="41" s="1"/>
  <c r="AE87" i="41" s="1" a="1"/>
  <c r="AE87" i="41" s="1"/>
  <c r="AF87" i="41" s="1" a="1"/>
  <c r="AF87" i="41" s="1"/>
  <c r="AG87" i="41" s="1" a="1"/>
  <c r="AG87" i="41" s="1"/>
  <c r="AH87" i="41" s="1" a="1"/>
  <c r="AH87" i="41" s="1"/>
  <c r="AI87" i="41" s="1" a="1"/>
  <c r="AI87" i="41" s="1"/>
  <c r="AJ87" i="41" s="1" a="1"/>
  <c r="AJ87" i="41" s="1"/>
  <c r="AK87" i="41" s="1" a="1"/>
  <c r="AK87" i="41" s="1"/>
  <c r="AL87" i="41" s="1" a="1"/>
  <c r="AL87" i="41" s="1"/>
  <c r="AM87" i="41" s="1" a="1"/>
  <c r="AM87" i="41" s="1"/>
  <c r="AN87" i="41" s="1" a="1"/>
  <c r="AN87" i="41" s="1"/>
  <c r="AO87" i="41" s="1" a="1"/>
  <c r="AO87" i="41" s="1"/>
  <c r="AP87" i="41" s="1" a="1"/>
  <c r="AP87" i="41" s="1"/>
  <c r="AQ87" i="41" s="1" a="1"/>
  <c r="AQ87" i="41" s="1"/>
  <c r="AR87" i="41" s="1" a="1"/>
  <c r="AR87" i="41" s="1"/>
  <c r="N76" i="41" a="1"/>
  <c r="N76" i="41" s="1"/>
  <c r="O76" i="41" s="1" a="1"/>
  <c r="O76" i="41" s="1"/>
  <c r="P76" i="41" s="1" a="1"/>
  <c r="P76" i="41" s="1"/>
  <c r="Q76" i="41" s="1" a="1"/>
  <c r="Q76" i="41" s="1"/>
  <c r="R76" i="41" s="1" a="1"/>
  <c r="R76" i="41" s="1"/>
  <c r="S76" i="41" s="1" a="1"/>
  <c r="S76" i="41" s="1"/>
  <c r="T76" i="41" s="1" a="1"/>
  <c r="T76" i="41" s="1"/>
  <c r="U76" i="41" s="1" a="1"/>
  <c r="U76" i="41" s="1"/>
  <c r="V76" i="41" s="1" a="1"/>
  <c r="V76" i="41" s="1"/>
  <c r="W76" i="41" s="1" a="1"/>
  <c r="W76" i="41" s="1"/>
  <c r="X76" i="41" s="1" a="1"/>
  <c r="X76" i="41" s="1"/>
  <c r="Y76" i="41" s="1" a="1"/>
  <c r="Y76" i="41" s="1"/>
  <c r="Z76" i="41" s="1" a="1"/>
  <c r="Z76" i="41" s="1"/>
  <c r="AA76" i="41" s="1" a="1"/>
  <c r="AA76" i="41" s="1"/>
  <c r="AB76" i="41" s="1" a="1"/>
  <c r="AB76" i="41" s="1"/>
  <c r="AC76" i="41" s="1" a="1"/>
  <c r="AC76" i="41" s="1"/>
  <c r="AD76" i="41" s="1" a="1"/>
  <c r="AD76" i="41" s="1"/>
  <c r="AE76" i="41" s="1" a="1"/>
  <c r="AE76" i="41" s="1"/>
  <c r="AF76" i="41" s="1" a="1"/>
  <c r="AF76" i="41" s="1"/>
  <c r="AG76" i="41" s="1" a="1"/>
  <c r="AG76" i="41" s="1"/>
  <c r="AH76" i="41" s="1" a="1"/>
  <c r="AH76" i="41" s="1"/>
  <c r="AI76" i="41" s="1" a="1"/>
  <c r="AI76" i="41" s="1"/>
  <c r="AJ76" i="41" s="1" a="1"/>
  <c r="AJ76" i="41" s="1"/>
  <c r="AK76" i="41" s="1" a="1"/>
  <c r="AK76" i="41" s="1"/>
  <c r="AL76" i="41" s="1" a="1"/>
  <c r="AL76" i="41" s="1"/>
  <c r="AM76" i="41" s="1" a="1"/>
  <c r="AM76" i="41" s="1"/>
  <c r="AN76" i="41" s="1" a="1"/>
  <c r="AN76" i="41" s="1"/>
  <c r="AO76" i="41" s="1" a="1"/>
  <c r="AO76" i="41" s="1"/>
  <c r="AP76" i="41" s="1" a="1"/>
  <c r="AP76" i="41" s="1"/>
  <c r="AQ76" i="41" s="1" a="1"/>
  <c r="AQ76" i="41" s="1"/>
  <c r="AR76" i="41" s="1" a="1"/>
  <c r="AR76" i="41" s="1"/>
  <c r="N73" i="41" a="1"/>
  <c r="N73" i="41" s="1"/>
  <c r="O73" i="41" s="1" a="1"/>
  <c r="O73" i="41" s="1"/>
  <c r="P73" i="41" s="1" a="1"/>
  <c r="P73" i="41" s="1"/>
  <c r="Q73" i="41" s="1" a="1"/>
  <c r="Q73" i="41" s="1"/>
  <c r="R73" i="41" s="1" a="1"/>
  <c r="R73" i="41" s="1"/>
  <c r="S73" i="41" s="1" a="1"/>
  <c r="S73" i="41" s="1"/>
  <c r="T73" i="41" s="1" a="1"/>
  <c r="T73" i="41" s="1"/>
  <c r="U73" i="41" s="1" a="1"/>
  <c r="U73" i="41" s="1"/>
  <c r="V73" i="41" s="1" a="1"/>
  <c r="V73" i="41" s="1"/>
  <c r="W73" i="41" s="1" a="1"/>
  <c r="W73" i="41" s="1"/>
  <c r="X73" i="41" s="1" a="1"/>
  <c r="X73" i="41" s="1"/>
  <c r="Y73" i="41" s="1" a="1"/>
  <c r="Y73" i="41" s="1"/>
  <c r="Z73" i="41" s="1" a="1"/>
  <c r="Z73" i="41" s="1"/>
  <c r="AA73" i="41" s="1" a="1"/>
  <c r="AA73" i="41" s="1"/>
  <c r="AB73" i="41" s="1" a="1"/>
  <c r="AB73" i="41" s="1"/>
  <c r="AC73" i="41" s="1" a="1"/>
  <c r="AC73" i="41" s="1"/>
  <c r="AD73" i="41" s="1" a="1"/>
  <c r="AD73" i="41" s="1"/>
  <c r="AE73" i="41" s="1" a="1"/>
  <c r="AE73" i="41" s="1"/>
  <c r="AF73" i="41" s="1" a="1"/>
  <c r="AF73" i="41" s="1"/>
  <c r="AG73" i="41" s="1" a="1"/>
  <c r="AG73" i="41" s="1"/>
  <c r="AH73" i="41" s="1" a="1"/>
  <c r="AH73" i="41" s="1"/>
  <c r="AI73" i="41" s="1" a="1"/>
  <c r="AI73" i="41" s="1"/>
  <c r="AJ73" i="41" s="1" a="1"/>
  <c r="AJ73" i="41" s="1"/>
  <c r="AK73" i="41" s="1" a="1"/>
  <c r="AK73" i="41" s="1"/>
  <c r="AL73" i="41" s="1" a="1"/>
  <c r="AL73" i="41" s="1"/>
  <c r="AM73" i="41" s="1" a="1"/>
  <c r="AM73" i="41" s="1"/>
  <c r="AN73" i="41" s="1" a="1"/>
  <c r="AN73" i="41" s="1"/>
  <c r="AO73" i="41" s="1" a="1"/>
  <c r="AO73" i="41" s="1"/>
  <c r="AP73" i="41" s="1" a="1"/>
  <c r="AP73" i="41" s="1"/>
  <c r="AQ73" i="41" s="1" a="1"/>
  <c r="AQ73" i="41" s="1"/>
  <c r="AR73" i="41" s="1" a="1"/>
  <c r="AR73" i="41" s="1"/>
  <c r="N88" i="41" a="1"/>
  <c r="N88" i="41" s="1"/>
  <c r="O88" i="41" s="1" a="1"/>
  <c r="O88" i="41" s="1"/>
  <c r="P88" i="41" s="1" a="1"/>
  <c r="P88" i="41" s="1"/>
  <c r="Q88" i="41" s="1" a="1"/>
  <c r="Q88" i="41" s="1"/>
  <c r="R88" i="41" s="1" a="1"/>
  <c r="R88" i="41" s="1"/>
  <c r="S88" i="41" s="1" a="1"/>
  <c r="S88" i="41" s="1"/>
  <c r="T88" i="41" s="1" a="1"/>
  <c r="T88" i="41" s="1"/>
  <c r="U88" i="41" s="1" a="1"/>
  <c r="U88" i="41" s="1"/>
  <c r="V88" i="41" s="1" a="1"/>
  <c r="V88" i="41" s="1"/>
  <c r="W88" i="41" s="1" a="1"/>
  <c r="W88" i="41" s="1"/>
  <c r="X88" i="41" s="1" a="1"/>
  <c r="X88" i="41" s="1"/>
  <c r="Y88" i="41" s="1" a="1"/>
  <c r="Y88" i="41" s="1"/>
  <c r="Z88" i="41" s="1" a="1"/>
  <c r="Z88" i="41" s="1"/>
  <c r="AA88" i="41" s="1" a="1"/>
  <c r="AA88" i="41" s="1"/>
  <c r="AB88" i="41" s="1" a="1"/>
  <c r="AB88" i="41" s="1"/>
  <c r="AC88" i="41" s="1" a="1"/>
  <c r="AC88" i="41" s="1"/>
  <c r="AD88" i="41" s="1" a="1"/>
  <c r="AD88" i="41" s="1"/>
  <c r="AE88" i="41" s="1" a="1"/>
  <c r="AE88" i="41" s="1"/>
  <c r="AF88" i="41" s="1" a="1"/>
  <c r="AF88" i="41" s="1"/>
  <c r="AG88" i="41" s="1" a="1"/>
  <c r="AG88" i="41" s="1"/>
  <c r="AH88" i="41" s="1" a="1"/>
  <c r="AH88" i="41" s="1"/>
  <c r="AI88" i="41" s="1" a="1"/>
  <c r="AI88" i="41" s="1"/>
  <c r="AJ88" i="41" s="1" a="1"/>
  <c r="AJ88" i="41" s="1"/>
  <c r="AK88" i="41" s="1" a="1"/>
  <c r="AK88" i="41" s="1"/>
  <c r="AL88" i="41" s="1" a="1"/>
  <c r="AL88" i="41" s="1"/>
  <c r="AM88" i="41" s="1" a="1"/>
  <c r="AM88" i="41" s="1"/>
  <c r="AN88" i="41" s="1" a="1"/>
  <c r="AN88" i="41" s="1"/>
  <c r="AO88" i="41" s="1" a="1"/>
  <c r="AO88" i="41" s="1"/>
  <c r="AP88" i="41" s="1" a="1"/>
  <c r="AP88" i="41" s="1"/>
  <c r="AQ88" i="41" s="1" a="1"/>
  <c r="AQ88" i="41" s="1"/>
  <c r="AR88" i="41" s="1" a="1"/>
  <c r="AR88" i="4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고은진</author>
  </authors>
  <commentList>
    <comment ref="Z13" authorId="0" shapeId="0" xr:uid="{5021FCEA-4C38-4768-B064-11B298E0F01E}">
      <text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>, 3</t>
        </r>
        <r>
          <rPr>
            <sz val="9"/>
            <color indexed="81"/>
            <rFont val="돋움"/>
            <family val="3"/>
            <charset val="129"/>
          </rPr>
          <t>개년</t>
        </r>
        <r>
          <rPr>
            <sz val="9"/>
            <color indexed="81"/>
            <rFont val="Tahoma"/>
            <family val="2"/>
          </rPr>
          <t xml:space="preserve"> CAGR </t>
        </r>
        <r>
          <rPr>
            <sz val="9"/>
            <color indexed="81"/>
            <rFont val="돋움"/>
            <family val="3"/>
            <charset val="129"/>
          </rPr>
          <t>이용해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암모니아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혼소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매출인식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예정인</t>
        </r>
        <r>
          <rPr>
            <sz val="9"/>
            <color indexed="81"/>
            <rFont val="Tahoma"/>
            <family val="2"/>
          </rPr>
          <t xml:space="preserve"> San Migeul </t>
        </r>
        <r>
          <rPr>
            <sz val="9"/>
            <color indexed="81"/>
            <rFont val="돋움"/>
            <family val="3"/>
            <charset val="129"/>
          </rPr>
          <t>진행률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</text>
    </comment>
    <comment ref="D17" authorId="0" shapeId="0" xr:uid="{ACADB28D-5018-4F5F-ABAB-709AB0908DF8}">
      <text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경향성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없음으로</t>
        </r>
        <r>
          <rPr>
            <sz val="9"/>
            <color indexed="81"/>
            <rFont val="Tahoma"/>
            <family val="2"/>
          </rPr>
          <t xml:space="preserve"> 1Q25 </t>
        </r>
        <r>
          <rPr>
            <sz val="9"/>
            <color indexed="81"/>
            <rFont val="돋움"/>
            <family val="3"/>
            <charset val="129"/>
          </rPr>
          <t>수준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</text>
    </comment>
    <comment ref="O21" authorId="0" shapeId="0" xr:uid="{35D52D85-1A3D-4A2A-99D8-E998B783F783}">
      <text>
        <r>
          <rPr>
            <sz val="9"/>
            <color indexed="81"/>
            <rFont val="돋움"/>
            <family val="3"/>
            <charset val="129"/>
          </rPr>
          <t>국가별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</t>
        </r>
        <r>
          <rPr>
            <sz val="9"/>
            <color indexed="81"/>
            <rFont val="Tahoma"/>
            <family val="2"/>
          </rPr>
          <t>, 2028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인식되는</t>
        </r>
        <r>
          <rPr>
            <sz val="9"/>
            <color indexed="81"/>
            <rFont val="Tahoma"/>
            <family val="2"/>
          </rPr>
          <t xml:space="preserve"> 2026~2027</t>
        </r>
        <r>
          <rPr>
            <sz val="9"/>
            <color indexed="81"/>
            <rFont val="돋움"/>
            <family val="3"/>
            <charset val="129"/>
          </rPr>
          <t>까지의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집중적으로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Microsoft Office User</author>
  </authors>
  <commentList>
    <comment ref="N10" authorId="0" shapeId="0" xr:uid="{F6FF4401-88FB-45E7-9F3B-B3E6FED44129}">
      <text>
        <r>
          <rPr>
            <b/>
            <sz val="9"/>
            <color rgb="FF000000"/>
            <rFont val="돋움"/>
            <family val="2"/>
            <charset val="129"/>
          </rPr>
          <t>대차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맞추려고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기타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유동자산에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털어넣음</t>
        </r>
        <r>
          <rPr>
            <b/>
            <sz val="9"/>
            <color rgb="FF000000"/>
            <rFont val="Tahoma"/>
            <family val="2"/>
          </rPr>
          <t xml:space="preserve">. </t>
        </r>
        <r>
          <rPr>
            <b/>
            <sz val="9"/>
            <color rgb="FF000000"/>
            <rFont val="돋움"/>
            <family val="2"/>
            <charset val="129"/>
          </rPr>
          <t>유동비율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추이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보면서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추정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진행할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것</t>
        </r>
      </text>
    </comment>
    <comment ref="U37" authorId="1" shapeId="0" xr:uid="{762FCD5E-C84A-49AD-A54E-A300621D8CDD}">
      <text>
        <r>
          <rPr>
            <b/>
            <sz val="10"/>
            <color rgb="FF000000"/>
            <rFont val="Malgun Gothic"/>
            <family val="2"/>
            <charset val="129"/>
          </rPr>
          <t>무형자산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비율이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미미하므로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유형자산만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있다고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가정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고은진</author>
  </authors>
  <commentList>
    <comment ref="C16" authorId="0" shapeId="0" xr:uid="{C5B3BE4A-ED78-469F-8689-872977D3E9F1}">
      <text>
        <r>
          <rPr>
            <b/>
            <sz val="9"/>
            <color indexed="81"/>
            <rFont val="돋움"/>
            <family val="3"/>
            <charset val="129"/>
          </rPr>
          <t>비공시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D16" authorId="0" shapeId="0" xr:uid="{4C1C786D-88C1-4B47-9D41-AC667E0201FC}">
      <text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신규수주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가정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고은진</author>
  </authors>
  <commentList>
    <comment ref="AF18" authorId="0" shapeId="0" xr:uid="{D43FD50F-C5BA-4537-9F27-2C1CE4042474}">
      <text>
        <r>
          <rPr>
            <sz val="9"/>
            <color indexed="81"/>
            <rFont val="Tahoma"/>
            <family val="2"/>
          </rPr>
          <t xml:space="preserve">1Q25 </t>
        </r>
        <r>
          <rPr>
            <sz val="9"/>
            <color indexed="81"/>
            <rFont val="돋움"/>
            <family val="3"/>
            <charset val="129"/>
          </rPr>
          <t>진행률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정체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20" authorId="0" shapeId="0" xr:uid="{4D986E66-F5D4-4DEF-A239-732A95BA8A63}">
      <text>
        <r>
          <rPr>
            <b/>
            <sz val="9"/>
            <color indexed="81"/>
            <rFont val="Tahoma"/>
            <family val="2"/>
          </rPr>
          <t>2011.11.30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정정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2" authorId="0" shapeId="0" xr:uid="{4BABE61A-49BB-4D70-BEB5-EEE9948D91F5}">
      <text>
        <r>
          <rPr>
            <b/>
            <sz val="9"/>
            <color indexed="81"/>
            <rFont val="KoPubWorld돋움체 Light"/>
            <family val="3"/>
            <charset val="129"/>
          </rPr>
          <t>발표자료 및 기초계획 참고(혹은착공 이후  4년 가정)</t>
        </r>
      </text>
    </comment>
    <comment ref="I13" authorId="0" shapeId="0" xr:uid="{86C2FDD3-3EC0-44D9-8CC3-AF47CF396C2E}">
      <text>
        <r>
          <rPr>
            <b/>
            <sz val="9"/>
            <color indexed="81"/>
            <rFont val="Tahoma"/>
            <family val="2"/>
          </rPr>
          <t>1400MW * 2</t>
        </r>
        <r>
          <rPr>
            <b/>
            <sz val="9"/>
            <color indexed="81"/>
            <rFont val="돋움"/>
            <family val="3"/>
            <charset val="129"/>
          </rPr>
          <t>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I16" authorId="0" shapeId="0" xr:uid="{94439D20-D84F-4F6A-9B87-C61CD3F71807}">
      <text>
        <r>
          <rPr>
            <b/>
            <sz val="9"/>
            <color indexed="81"/>
            <rFont val="돋움"/>
            <family val="3"/>
            <charset val="129"/>
          </rPr>
          <t>착공시점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몇분기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계약하는지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BL17" authorId="0" shapeId="0" xr:uid="{07E16073-5F96-4F71-95C5-A044944946A9}">
      <text>
        <r>
          <rPr>
            <b/>
            <sz val="9"/>
            <color indexed="81"/>
            <rFont val="Tahoma"/>
            <family val="2"/>
          </rPr>
          <t>1400MW * 2</t>
        </r>
        <r>
          <rPr>
            <b/>
            <sz val="9"/>
            <color indexed="81"/>
            <rFont val="돋움"/>
            <family val="3"/>
            <charset val="129"/>
          </rPr>
          <t>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G36" authorId="0" shapeId="0" xr:uid="{5860A5D3-2C57-4FFF-8D86-98A456481200}">
      <text>
        <r>
          <rPr>
            <b/>
            <sz val="9"/>
            <color indexed="81"/>
            <rFont val="돋움"/>
            <family val="3"/>
            <charset val="129"/>
          </rPr>
          <t>추정금액
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품복은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프로젝트의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패키징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돋움"/>
            <family val="3"/>
            <charset val="129"/>
          </rPr>
          <t>발주처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</t>
        </r>
        <r>
          <rPr>
            <b/>
            <sz val="9"/>
            <color indexed="81"/>
            <rFont val="Tahoma"/>
            <family val="2"/>
          </rPr>
          <t xml:space="preserve"> NDA(</t>
        </r>
        <r>
          <rPr>
            <b/>
            <sz val="9"/>
            <color indexed="81"/>
            <rFont val="돋움"/>
            <family val="3"/>
            <charset val="129"/>
          </rPr>
          <t>비공개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약정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세부단가정보가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공개되지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공시금액</t>
        </r>
        <r>
          <rPr>
            <b/>
            <sz val="9"/>
            <color indexed="81"/>
            <rFont val="Tahoma"/>
            <family val="2"/>
          </rPr>
          <t xml:space="preserve"> X</t>
        </r>
      </text>
    </comment>
    <comment ref="M44" authorId="0" shapeId="0" xr:uid="{1327C9B3-9C33-4EDB-89E5-90C75918C0E0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인허가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절차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마무리
</t>
        </r>
        <r>
          <rPr>
            <b/>
            <sz val="9"/>
            <color indexed="81"/>
            <rFont val="Tahoma"/>
            <family val="2"/>
          </rPr>
          <t>26~27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주기기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계악사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선정</t>
        </r>
      </text>
    </comment>
    <comment ref="I60" authorId="0" shapeId="0" xr:uid="{9B086031-79A3-4C45-B193-0DCEC5F5548C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사업자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웨스팅하우스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유력</t>
        </r>
        <r>
          <rPr>
            <b/>
            <sz val="9"/>
            <color indexed="81"/>
            <rFont val="Tahoma"/>
            <family val="2"/>
          </rPr>
          <t>)
28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I61" authorId="0" shapeId="0" xr:uid="{C0690A2F-525F-46B4-B100-21A423FFD9E1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년말</t>
        </r>
        <r>
          <rPr>
            <b/>
            <sz val="9"/>
            <color indexed="81"/>
            <rFont val="Tahoma"/>
            <family val="2"/>
          </rPr>
          <t xml:space="preserve">: EPC </t>
        </r>
        <r>
          <rPr>
            <b/>
            <sz val="9"/>
            <color indexed="81"/>
            <rFont val="돋움"/>
            <family val="3"/>
            <charset val="129"/>
          </rPr>
          <t xml:space="preserve">계약
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 xml:space="preserve">착공시점
</t>
        </r>
        <r>
          <rPr>
            <b/>
            <sz val="9"/>
            <color indexed="81"/>
            <rFont val="Tahoma"/>
            <family val="2"/>
          </rPr>
          <t>35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 xml:space="preserve">완공목표
</t>
        </r>
      </text>
    </comment>
    <comment ref="G62" authorId="0" shapeId="0" xr:uid="{7A252C40-CDE3-4230-ADDB-5ADF3344D6D6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타당성조사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  <r>
          <rPr>
            <b/>
            <sz val="9"/>
            <color indexed="81"/>
            <rFont val="Tahoma"/>
            <family val="2"/>
          </rPr>
          <t>,
28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투자결정</t>
        </r>
        <r>
          <rPr>
            <b/>
            <sz val="9"/>
            <color indexed="81"/>
            <rFont val="Tahoma"/>
            <family val="2"/>
          </rPr>
          <t>, 29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37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완공목표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3" authorId="0" shapeId="0" xr:uid="{EF31D3F2-B2DA-4EB2-A15A-F24DA1040B72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사전업무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착수계약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초기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부지평가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)
-&gt; </t>
        </r>
        <r>
          <rPr>
            <b/>
            <sz val="9"/>
            <color indexed="81"/>
            <rFont val="돋움"/>
            <family val="3"/>
            <charset val="129"/>
          </rPr>
          <t>원전의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타임라인을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>, 30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착공예상</t>
        </r>
      </text>
    </comment>
    <comment ref="B68" authorId="0" shapeId="0" xr:uid="{F0A68ECA-63BB-47AA-AEAA-61E12795ACA8}">
      <text>
        <r>
          <rPr>
            <b/>
            <sz val="9"/>
            <color indexed="81"/>
            <rFont val="Tahoma"/>
            <family val="2"/>
          </rPr>
          <t>2030</t>
        </r>
        <r>
          <rPr>
            <b/>
            <sz val="9"/>
            <color indexed="81"/>
            <rFont val="돋움"/>
            <family val="3"/>
            <charset val="129"/>
          </rPr>
          <t>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대형원전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SMR 10</t>
        </r>
        <r>
          <rPr>
            <b/>
            <sz val="9"/>
            <color indexed="81"/>
            <rFont val="돋움"/>
            <family val="3"/>
            <charset val="129"/>
          </rPr>
          <t>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착공목표
단</t>
        </r>
        <r>
          <rPr>
            <b/>
            <sz val="9"/>
            <color indexed="81"/>
            <rFont val="Tahoma"/>
            <family val="2"/>
          </rPr>
          <t>, 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월기준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프로젝트는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인허가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후보지만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조사중
연방정부의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조기착공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투자지원에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힘입어</t>
        </r>
        <r>
          <rPr>
            <b/>
            <sz val="9"/>
            <color indexed="81"/>
            <rFont val="Tahoma"/>
            <family val="2"/>
          </rPr>
          <t xml:space="preserve"> 27~28</t>
        </r>
        <r>
          <rPr>
            <b/>
            <sz val="9"/>
            <color indexed="81"/>
            <rFont val="돋움"/>
            <family val="3"/>
            <charset val="129"/>
          </rPr>
          <t>년부터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공사개시가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기대됨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웨스팅하우스는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년내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진행중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고은진</author>
  </authors>
  <commentList>
    <comment ref="F44" authorId="0" shapeId="0" xr:uid="{4459C00B-F794-46FD-BB82-BF7FA697C6B2}">
      <text>
        <r>
          <rPr>
            <sz val="9"/>
            <color indexed="81"/>
            <rFont val="Tahoma"/>
            <family val="2"/>
          </rPr>
          <t xml:space="preserve">NFW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규모</t>
        </r>
        <r>
          <rPr>
            <sz val="9"/>
            <color indexed="81"/>
            <rFont val="Tahoma"/>
            <family val="2"/>
          </rPr>
          <t xml:space="preserve"> $10bn * NFE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C&amp;T </t>
        </r>
        <r>
          <rPr>
            <sz val="9"/>
            <color indexed="81"/>
            <rFont val="돋움"/>
            <family val="3"/>
            <charset val="129"/>
          </rPr>
          <t>패키지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7% * </t>
        </r>
        <r>
          <rPr>
            <sz val="9"/>
            <color indexed="81"/>
            <rFont val="돋움"/>
            <family val="3"/>
            <charset val="129"/>
          </rPr>
          <t>발전소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HRSG </t>
        </r>
        <r>
          <rPr>
            <sz val="9"/>
            <color indexed="81"/>
            <rFont val="돋움"/>
            <family val="3"/>
            <charset val="129"/>
          </rPr>
          <t>공사비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비중</t>
        </r>
        <r>
          <rPr>
            <sz val="9"/>
            <color indexed="81"/>
            <rFont val="Tahoma"/>
            <family val="2"/>
          </rPr>
          <t xml:space="preserve"> 10% * 1350 ($/\)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<sst xmlns="http://schemas.openxmlformats.org/spreadsheetml/2006/main" count="4375" uniqueCount="1786">
  <si>
    <t>1Q24</t>
    <phoneticPr fontId="2" type="noConversion"/>
  </si>
  <si>
    <t>2Q24</t>
    <phoneticPr fontId="2" type="noConversion"/>
  </si>
  <si>
    <t>3Q24</t>
    <phoneticPr fontId="2" type="noConversion"/>
  </si>
  <si>
    <t>(단위: 백만 원)</t>
    <phoneticPr fontId="2" type="noConversion"/>
  </si>
  <si>
    <t>기타</t>
    <phoneticPr fontId="2" type="noConversion"/>
  </si>
  <si>
    <t>지급수수료</t>
  </si>
  <si>
    <t>기타</t>
  </si>
  <si>
    <t>(단위: 백만 원)</t>
  </si>
  <si>
    <t>매출원가</t>
    <phoneticPr fontId="2" type="noConversion"/>
  </si>
  <si>
    <t>판매관리비</t>
    <phoneticPr fontId="2" type="noConversion"/>
  </si>
  <si>
    <t>매출액</t>
    <phoneticPr fontId="2" type="noConversion"/>
  </si>
  <si>
    <t>매출총이익</t>
    <phoneticPr fontId="2" type="noConversion"/>
  </si>
  <si>
    <t>판매비와 관리비</t>
    <phoneticPr fontId="2" type="noConversion"/>
  </si>
  <si>
    <t>영업이익</t>
    <phoneticPr fontId="2" type="noConversion"/>
  </si>
  <si>
    <t>1Q23</t>
    <phoneticPr fontId="2" type="noConversion"/>
  </si>
  <si>
    <t>2Q23</t>
    <phoneticPr fontId="2" type="noConversion"/>
  </si>
  <si>
    <t>3Q23</t>
    <phoneticPr fontId="2" type="noConversion"/>
  </si>
  <si>
    <t>4Q23</t>
    <phoneticPr fontId="2" type="noConversion"/>
  </si>
  <si>
    <t>금융수익</t>
    <phoneticPr fontId="2" type="noConversion"/>
  </si>
  <si>
    <t>원재료 및 상품의 사용/매출액</t>
    <phoneticPr fontId="2" type="noConversion"/>
  </si>
  <si>
    <t>(B)</t>
    <phoneticPr fontId="2" type="noConversion"/>
  </si>
  <si>
    <t>(A)</t>
    <phoneticPr fontId="2" type="noConversion"/>
  </si>
  <si>
    <t>(In KRW millions)</t>
    <phoneticPr fontId="7" type="noConversion"/>
  </si>
  <si>
    <r>
      <t>Estimate Sheets (</t>
    </r>
    <r>
      <rPr>
        <b/>
        <sz val="18"/>
        <color indexed="9"/>
        <rFont val="맑은 고딕"/>
        <family val="2"/>
        <charset val="129"/>
      </rPr>
      <t>추정재무제표</t>
    </r>
    <r>
      <rPr>
        <b/>
        <sz val="18"/>
        <color indexed="9"/>
        <rFont val="Arial"/>
        <family val="2"/>
      </rPr>
      <t xml:space="preserve"> </t>
    </r>
    <r>
      <rPr>
        <b/>
        <sz val="18"/>
        <color indexed="9"/>
        <rFont val="맑은 고딕"/>
        <family val="2"/>
        <charset val="129"/>
      </rPr>
      <t>작성)</t>
    </r>
    <r>
      <rPr>
        <b/>
        <sz val="18"/>
        <color indexed="9"/>
        <rFont val="Arial"/>
        <family val="2"/>
      </rPr>
      <t xml:space="preserve"> &gt;&gt;&gt; </t>
    </r>
    <phoneticPr fontId="7" type="noConversion"/>
  </si>
  <si>
    <t>발행주식수</t>
    <phoneticPr fontId="2" type="noConversion"/>
  </si>
  <si>
    <t>4Q24</t>
    <phoneticPr fontId="2" type="noConversion"/>
  </si>
  <si>
    <t>외주가공비</t>
    <phoneticPr fontId="2" type="noConversion"/>
  </si>
  <si>
    <t>인건비</t>
    <phoneticPr fontId="2" type="noConversion"/>
  </si>
  <si>
    <t>인당급여(백만 원/ 명)</t>
    <phoneticPr fontId="2" type="noConversion"/>
  </si>
  <si>
    <t>-</t>
  </si>
  <si>
    <t>전년대비 증가인원(명)</t>
    <phoneticPr fontId="2" type="noConversion"/>
  </si>
  <si>
    <t>매출원가 인건비</t>
    <phoneticPr fontId="2" type="noConversion"/>
  </si>
  <si>
    <t>판관비 인건비</t>
  </si>
  <si>
    <t>%of 인건비</t>
    <phoneticPr fontId="2" type="noConversion"/>
  </si>
  <si>
    <t>비율</t>
  </si>
  <si>
    <t>1Q23</t>
  </si>
  <si>
    <t>2Q23</t>
  </si>
  <si>
    <t>3Q23</t>
  </si>
  <si>
    <t>4Q23</t>
  </si>
  <si>
    <t>1Q24</t>
  </si>
  <si>
    <t>2Q24</t>
  </si>
  <si>
    <t>3Q24</t>
  </si>
  <si>
    <t>4Q24</t>
  </si>
  <si>
    <t>기계장치</t>
  </si>
  <si>
    <t>차량운반구</t>
  </si>
  <si>
    <t>공구와기구</t>
  </si>
  <si>
    <t>비품</t>
  </si>
  <si>
    <t xml:space="preserve">주요 원재료 가격 변동 추이 및 비율 </t>
    <phoneticPr fontId="2" type="noConversion"/>
  </si>
  <si>
    <t>Target EV/EBITDA</t>
    <phoneticPr fontId="2" type="noConversion"/>
  </si>
  <si>
    <t>유무형자산상각비</t>
    <phoneticPr fontId="2" type="noConversion"/>
  </si>
  <si>
    <t>EBITDA</t>
    <phoneticPr fontId="2" type="noConversion"/>
  </si>
  <si>
    <t>순차입금</t>
    <phoneticPr fontId="2" type="noConversion"/>
  </si>
  <si>
    <t>비에이치아이(083650.KQ)</t>
    <phoneticPr fontId="7" type="noConversion"/>
  </si>
  <si>
    <t>HRSG</t>
  </si>
  <si>
    <t>HRSG</t>
    <phoneticPr fontId="2" type="noConversion"/>
  </si>
  <si>
    <t>BOP</t>
  </si>
  <si>
    <t>BOP</t>
    <phoneticPr fontId="2" type="noConversion"/>
  </si>
  <si>
    <t>1Q25</t>
  </si>
  <si>
    <t>1Q25</t>
    <phoneticPr fontId="2" type="noConversion"/>
  </si>
  <si>
    <t>2Q25</t>
    <phoneticPr fontId="2" type="noConversion"/>
  </si>
  <si>
    <t>3Q25</t>
    <phoneticPr fontId="2" type="noConversion"/>
  </si>
  <si>
    <t>4Q25</t>
    <phoneticPr fontId="2" type="noConversion"/>
  </si>
  <si>
    <t>열 숨기기 취소</t>
    <phoneticPr fontId="2" type="noConversion"/>
  </si>
  <si>
    <t>Ctrl + Shift + 0</t>
    <phoneticPr fontId="2" type="noConversion"/>
  </si>
  <si>
    <t>행숨기기 취소</t>
    <phoneticPr fontId="2" type="noConversion"/>
  </si>
  <si>
    <t>Ctrl + Shift + 9</t>
    <phoneticPr fontId="2" type="noConversion"/>
  </si>
  <si>
    <t>선택하여 붙여넣기</t>
    <phoneticPr fontId="2" type="noConversion"/>
  </si>
  <si>
    <t>Ctrl + Alt + V</t>
    <phoneticPr fontId="2" type="noConversion"/>
  </si>
  <si>
    <t>현재 시간 입력</t>
    <phoneticPr fontId="2" type="noConversion"/>
  </si>
  <si>
    <t>Ctrl + Shift + ;</t>
    <phoneticPr fontId="2" type="noConversion"/>
  </si>
  <si>
    <t>윗셀 값 그대로 입력</t>
    <phoneticPr fontId="2" type="noConversion"/>
  </si>
  <si>
    <t>Ctrl + Shift + "</t>
    <phoneticPr fontId="2" type="noConversion"/>
  </si>
  <si>
    <t>요약행 활성/비활성화</t>
    <phoneticPr fontId="2" type="noConversion"/>
  </si>
  <si>
    <t>Ctrl + Shift + T</t>
    <phoneticPr fontId="2" type="noConversion"/>
  </si>
  <si>
    <t>전체화면 모드</t>
    <phoneticPr fontId="2" type="noConversion"/>
  </si>
  <si>
    <t>Ctrl + Shift + F1</t>
    <phoneticPr fontId="2" type="noConversion"/>
  </si>
  <si>
    <t>메모가 입력된 셀 선택</t>
    <phoneticPr fontId="2" type="noConversion"/>
  </si>
  <si>
    <t xml:space="preserve">Ctrl + Shift + O </t>
    <phoneticPr fontId="2" type="noConversion"/>
  </si>
  <si>
    <t>모든 테두리 지우기</t>
    <phoneticPr fontId="2" type="noConversion"/>
  </si>
  <si>
    <t>Ctrl + Shift + _</t>
    <phoneticPr fontId="2" type="noConversion"/>
  </si>
  <si>
    <t>일반 서식 적용</t>
    <phoneticPr fontId="2" type="noConversion"/>
  </si>
  <si>
    <t>Ctrl + Shift + ~</t>
    <phoneticPr fontId="2" type="noConversion"/>
  </si>
  <si>
    <t>행 숨기기 취소</t>
    <phoneticPr fontId="2" type="noConversion"/>
  </si>
  <si>
    <t>Ctrl + Shift + 8</t>
  </si>
  <si>
    <t>바깥쪽 테두리 추가</t>
    <phoneticPr fontId="2" type="noConversion"/>
  </si>
  <si>
    <t>Ctrl + Shift + 7</t>
  </si>
  <si>
    <t>실행취소</t>
    <phoneticPr fontId="2" type="noConversion"/>
  </si>
  <si>
    <t>Ctrl + Z</t>
    <phoneticPr fontId="2" type="noConversion"/>
  </si>
  <si>
    <t>지수 서식 적용</t>
    <phoneticPr fontId="2" type="noConversion"/>
  </si>
  <si>
    <t>Ctrl + Shift + 6</t>
  </si>
  <si>
    <t>다시 실행</t>
    <phoneticPr fontId="2" type="noConversion"/>
  </si>
  <si>
    <t>Ctrl + Y</t>
    <phoneticPr fontId="2" type="noConversion"/>
  </si>
  <si>
    <t>백분율 서식 적용</t>
    <phoneticPr fontId="2" type="noConversion"/>
  </si>
  <si>
    <t>Ctrl + Shift + 5</t>
  </si>
  <si>
    <t>잘라내기</t>
    <phoneticPr fontId="2" type="noConversion"/>
  </si>
  <si>
    <t>Ctrl + X</t>
    <phoneticPr fontId="2" type="noConversion"/>
  </si>
  <si>
    <t>통화 서식 적용</t>
    <phoneticPr fontId="2" type="noConversion"/>
  </si>
  <si>
    <t>Ctrl + Shift + 4</t>
  </si>
  <si>
    <t>닫기</t>
    <phoneticPr fontId="2" type="noConversion"/>
  </si>
  <si>
    <t>Ctrl + W</t>
    <phoneticPr fontId="2" type="noConversion"/>
  </si>
  <si>
    <t>날짜 서식 적용</t>
    <phoneticPr fontId="2" type="noConversion"/>
  </si>
  <si>
    <t>Ctrl + Shift + 3</t>
  </si>
  <si>
    <t>붙여넣기</t>
    <phoneticPr fontId="2" type="noConversion"/>
  </si>
  <si>
    <t>Ctrl + V</t>
    <phoneticPr fontId="2" type="noConversion"/>
  </si>
  <si>
    <t>시간 서식 적용</t>
    <phoneticPr fontId="2" type="noConversion"/>
  </si>
  <si>
    <t>Ctrl + Shift + 2</t>
    <phoneticPr fontId="2" type="noConversion"/>
  </si>
  <si>
    <t>밑줄</t>
    <phoneticPr fontId="2" type="noConversion"/>
  </si>
  <si>
    <t>Ctrl + U</t>
    <phoneticPr fontId="2" type="noConversion"/>
  </si>
  <si>
    <t>숫자 서식 적용</t>
    <phoneticPr fontId="2" type="noConversion"/>
  </si>
  <si>
    <t>Ctrl + Shift + 1</t>
    <phoneticPr fontId="2" type="noConversion"/>
  </si>
  <si>
    <t>저장하기</t>
    <phoneticPr fontId="2" type="noConversion"/>
  </si>
  <si>
    <t>Ctrl + S</t>
    <phoneticPr fontId="2" type="noConversion"/>
  </si>
  <si>
    <t>오른쪽으로 자동채우기</t>
    <phoneticPr fontId="2" type="noConversion"/>
  </si>
  <si>
    <t>Ctrl + R</t>
    <phoneticPr fontId="2" type="noConversion"/>
  </si>
  <si>
    <t>인쇄</t>
    <phoneticPr fontId="2" type="noConversion"/>
  </si>
  <si>
    <t>Ctrl + P</t>
    <phoneticPr fontId="2" type="noConversion"/>
  </si>
  <si>
    <t>수식에 사용된 셀 선택</t>
    <phoneticPr fontId="2" type="noConversion"/>
  </si>
  <si>
    <t>Ctrl + [</t>
    <phoneticPr fontId="2" type="noConversion"/>
  </si>
  <si>
    <t>열기</t>
    <phoneticPr fontId="2" type="noConversion"/>
  </si>
  <si>
    <t>Ctrl + O</t>
    <phoneticPr fontId="2" type="noConversion"/>
  </si>
  <si>
    <t>수식으로 참조하는 셀 선택</t>
    <phoneticPr fontId="2" type="noConversion"/>
  </si>
  <si>
    <t>Ctrl + ]</t>
    <phoneticPr fontId="2" type="noConversion"/>
  </si>
  <si>
    <t>새로만들기</t>
    <phoneticPr fontId="2" type="noConversion"/>
  </si>
  <si>
    <t>Ctrl + N</t>
    <phoneticPr fontId="2" type="noConversion"/>
  </si>
  <si>
    <t>수식에 사용된 모든 셀 선택</t>
    <phoneticPr fontId="2" type="noConversion"/>
  </si>
  <si>
    <t>Ctrl + Shift + [</t>
    <phoneticPr fontId="2" type="noConversion"/>
  </si>
  <si>
    <t>목록만들기</t>
    <phoneticPr fontId="2" type="noConversion"/>
  </si>
  <si>
    <t>Ctrl + L</t>
    <phoneticPr fontId="2" type="noConversion"/>
  </si>
  <si>
    <t>수식으로 참조하는 모든 셀 선택</t>
    <phoneticPr fontId="2" type="noConversion"/>
  </si>
  <si>
    <t>Ctrl + Shift + ]</t>
    <phoneticPr fontId="2" type="noConversion"/>
  </si>
  <si>
    <t>하이퍼링크 삽입</t>
    <phoneticPr fontId="2" type="noConversion"/>
  </si>
  <si>
    <t>Ctrl + K</t>
    <phoneticPr fontId="2" type="noConversion"/>
  </si>
  <si>
    <t>기울임꼴</t>
    <phoneticPr fontId="2" type="noConversion"/>
  </si>
  <si>
    <t>Ctrl + I</t>
    <phoneticPr fontId="2" type="noConversion"/>
  </si>
  <si>
    <t>한 페이지 오른쪽으로 선택</t>
    <phoneticPr fontId="2" type="noConversion"/>
  </si>
  <si>
    <t>Alt + Shift + PgUp</t>
    <phoneticPr fontId="2" type="noConversion"/>
  </si>
  <si>
    <t>바꾸기</t>
    <phoneticPr fontId="2" type="noConversion"/>
  </si>
  <si>
    <t>Ctrl + H</t>
    <phoneticPr fontId="2" type="noConversion"/>
  </si>
  <si>
    <t>한 페이지 왼쪽으로 선택</t>
    <phoneticPr fontId="2" type="noConversion"/>
  </si>
  <si>
    <t>Alt + Shift + Pgdn</t>
    <phoneticPr fontId="2" type="noConversion"/>
  </si>
  <si>
    <t>이동</t>
    <phoneticPr fontId="2" type="noConversion"/>
  </si>
  <si>
    <t>Ctrl + G</t>
    <phoneticPr fontId="2" type="noConversion"/>
  </si>
  <si>
    <t>AI 셀까지 선택</t>
    <phoneticPr fontId="2" type="noConversion"/>
  </si>
  <si>
    <t>Ctrl + Shift + Home</t>
    <phoneticPr fontId="2" type="noConversion"/>
  </si>
  <si>
    <t>찾기</t>
    <phoneticPr fontId="2" type="noConversion"/>
  </si>
  <si>
    <t>Ctrl + F</t>
    <phoneticPr fontId="2" type="noConversion"/>
  </si>
  <si>
    <t>마지막 셀까지 선택</t>
    <phoneticPr fontId="2" type="noConversion"/>
  </si>
  <si>
    <t>Ctrl + Shift + Enter</t>
    <phoneticPr fontId="2" type="noConversion"/>
  </si>
  <si>
    <t>빠른 채우기</t>
    <phoneticPr fontId="2" type="noConversion"/>
  </si>
  <si>
    <t>Ctrl + E</t>
    <phoneticPr fontId="2" type="noConversion"/>
  </si>
  <si>
    <t>아래쪽 채우기</t>
    <phoneticPr fontId="2" type="noConversion"/>
  </si>
  <si>
    <t>Ctrl + D</t>
    <phoneticPr fontId="2" type="noConversion"/>
  </si>
  <si>
    <t>아래쪽 데이터 전체 선택</t>
    <phoneticPr fontId="2" type="noConversion"/>
  </si>
  <si>
    <t>Ctrl + Shift + ↓</t>
    <phoneticPr fontId="2" type="noConversion"/>
  </si>
  <si>
    <t>복사</t>
    <phoneticPr fontId="2" type="noConversion"/>
  </si>
  <si>
    <t>Ctrl + C</t>
    <phoneticPr fontId="2" type="noConversion"/>
  </si>
  <si>
    <t>위쪽 데이터 전체 선택</t>
    <phoneticPr fontId="2" type="noConversion"/>
  </si>
  <si>
    <t>Ctrl + Shift + ↑</t>
    <phoneticPr fontId="2" type="noConversion"/>
  </si>
  <si>
    <t>굵게</t>
    <phoneticPr fontId="2" type="noConversion"/>
  </si>
  <si>
    <t>Ctrl + B</t>
    <phoneticPr fontId="2" type="noConversion"/>
  </si>
  <si>
    <t>왼쪽 데이터 전체 선택</t>
    <phoneticPr fontId="2" type="noConversion"/>
  </si>
  <si>
    <t>Ctrl + Shift + ←</t>
    <phoneticPr fontId="2" type="noConversion"/>
  </si>
  <si>
    <t>전체 선택</t>
    <phoneticPr fontId="2" type="noConversion"/>
  </si>
  <si>
    <t>Ctrl + A</t>
    <phoneticPr fontId="2" type="noConversion"/>
  </si>
  <si>
    <t>오른쪽 데이터 전체선택</t>
    <phoneticPr fontId="2" type="noConversion"/>
  </si>
  <si>
    <t>Ctrl + Shift + →</t>
    <phoneticPr fontId="2" type="noConversion"/>
  </si>
  <si>
    <t>열 숨기기</t>
    <phoneticPr fontId="2" type="noConversion"/>
  </si>
  <si>
    <t>Ctrl + 0</t>
    <phoneticPr fontId="2" type="noConversion"/>
  </si>
  <si>
    <t>Ctrl + Shift + F12</t>
    <phoneticPr fontId="2" type="noConversion"/>
  </si>
  <si>
    <t>행 숨기기</t>
    <phoneticPr fontId="2" type="noConversion"/>
  </si>
  <si>
    <t>Ctrl + 9</t>
  </si>
  <si>
    <t>Ctrl + Shift +F3</t>
    <phoneticPr fontId="2" type="noConversion"/>
  </si>
  <si>
    <t>글꼴 취소선</t>
    <phoneticPr fontId="2" type="noConversion"/>
  </si>
  <si>
    <t>Ctrl + 5</t>
    <phoneticPr fontId="2" type="noConversion"/>
  </si>
  <si>
    <t>셀 서식 대화상자 실행</t>
    <phoneticPr fontId="2" type="noConversion"/>
  </si>
  <si>
    <t>Ctrl + 1</t>
    <phoneticPr fontId="2" type="noConversion"/>
  </si>
  <si>
    <t>한 페이지 오른쪽으로 이동</t>
    <phoneticPr fontId="2" type="noConversion"/>
  </si>
  <si>
    <t>Alt + PgDn</t>
    <phoneticPr fontId="2" type="noConversion"/>
  </si>
  <si>
    <t>한 페이지 왼쪽으로 이동</t>
    <phoneticPr fontId="2" type="noConversion"/>
  </si>
  <si>
    <t>Alt + Pgup</t>
    <phoneticPr fontId="2" type="noConversion"/>
  </si>
  <si>
    <t>윗셀 수식 그대로 입력</t>
    <phoneticPr fontId="2" type="noConversion"/>
  </si>
  <si>
    <t>Ctrl + `</t>
    <phoneticPr fontId="2" type="noConversion"/>
  </si>
  <si>
    <t>셀 내 줄 바꿈</t>
    <phoneticPr fontId="2" type="noConversion"/>
  </si>
  <si>
    <t>Alt + Enter</t>
    <phoneticPr fontId="2" type="noConversion"/>
  </si>
  <si>
    <t>모든 테두리 추가</t>
    <phoneticPr fontId="2" type="noConversion"/>
  </si>
  <si>
    <t>Alt + H + B + A</t>
    <phoneticPr fontId="2" type="noConversion"/>
  </si>
  <si>
    <t>소수 두 자리의 숫자서식, 1000단위 구분기호, 음수의 경우 (-)기호로 숫자서식 적용</t>
    <phoneticPr fontId="2" type="noConversion"/>
  </si>
  <si>
    <t>Ctrl + !</t>
    <phoneticPr fontId="2" type="noConversion"/>
  </si>
  <si>
    <t>가운데 정렬</t>
    <phoneticPr fontId="2" type="noConversion"/>
  </si>
  <si>
    <t>Alt + H + A + C</t>
    <phoneticPr fontId="2" type="noConversion"/>
  </si>
  <si>
    <t>소수 두 자리의 지수 숫자 서식 적용</t>
    <phoneticPr fontId="2" type="noConversion"/>
  </si>
  <si>
    <t>Ctrl + ^</t>
    <phoneticPr fontId="2" type="noConversion"/>
  </si>
  <si>
    <t>오른쪽 정렬</t>
    <phoneticPr fontId="2" type="noConversion"/>
  </si>
  <si>
    <t>Alt + H + R</t>
    <phoneticPr fontId="2" type="noConversion"/>
  </si>
  <si>
    <t>소수 자릿수 없이 백분율 서식 적용</t>
    <phoneticPr fontId="2" type="noConversion"/>
  </si>
  <si>
    <t>Ctrl + %</t>
    <phoneticPr fontId="2" type="noConversion"/>
  </si>
  <si>
    <t>왼쪽 정렬</t>
    <phoneticPr fontId="2" type="noConversion"/>
  </si>
  <si>
    <t>Alt + H + A + L</t>
    <phoneticPr fontId="2" type="noConversion"/>
  </si>
  <si>
    <t>열 높이 자동맞춤</t>
    <phoneticPr fontId="2" type="noConversion"/>
  </si>
  <si>
    <t>Alt + H + O + I</t>
    <phoneticPr fontId="2" type="noConversion"/>
  </si>
  <si>
    <t>소수 두 자리의 통화 서식 적용
(음수는 괄호표시)</t>
    <phoneticPr fontId="2" type="noConversion"/>
  </si>
  <si>
    <t>Ctrl + $</t>
    <phoneticPr fontId="2" type="noConversion"/>
  </si>
  <si>
    <t>행 높이 자동맞춤</t>
    <phoneticPr fontId="2" type="noConversion"/>
  </si>
  <si>
    <t>Alt + H + O + A</t>
    <phoneticPr fontId="2" type="noConversion"/>
  </si>
  <si>
    <t>시간, 분, am/pm으로 시간 서식 적용</t>
    <phoneticPr fontId="2" type="noConversion"/>
  </si>
  <si>
    <t>Ctrl + @</t>
    <phoneticPr fontId="2" type="noConversion"/>
  </si>
  <si>
    <t>자동완성 목록 펼치기</t>
    <phoneticPr fontId="2" type="noConversion"/>
  </si>
  <si>
    <t>Alt + ↓</t>
    <phoneticPr fontId="2" type="noConversion"/>
  </si>
  <si>
    <t>년, 월, 일 날짜서식 적용</t>
    <phoneticPr fontId="2" type="noConversion"/>
  </si>
  <si>
    <t>Ctrl + #</t>
    <phoneticPr fontId="2" type="noConversion"/>
  </si>
  <si>
    <t>보이는 셀만 선택</t>
    <phoneticPr fontId="2" type="noConversion"/>
  </si>
  <si>
    <t>Alt + ;</t>
    <phoneticPr fontId="2" type="noConversion"/>
  </si>
  <si>
    <t>일반 숫자 서식 적용</t>
    <phoneticPr fontId="2" type="noConversion"/>
  </si>
  <si>
    <t>Ctrl + ~</t>
    <phoneticPr fontId="2" type="noConversion"/>
  </si>
  <si>
    <t>=index(A1:D100, E1, F2)</t>
    <phoneticPr fontId="2" type="noConversion"/>
  </si>
  <si>
    <t>선택한 셀 삭제창 표시</t>
    <phoneticPr fontId="2" type="noConversion"/>
  </si>
  <si>
    <t>Ctrl + -</t>
    <phoneticPr fontId="2" type="noConversion"/>
  </si>
  <si>
    <t>=index(A1:D100, E1, 5)</t>
    <phoneticPr fontId="2" type="noConversion"/>
  </si>
  <si>
    <t>Office 단추</t>
    <phoneticPr fontId="2" type="noConversion"/>
  </si>
  <si>
    <t>Alt + F</t>
    <phoneticPr fontId="2" type="noConversion"/>
  </si>
  <si>
    <t>선택한 셀 윤곽선 테두리 제거</t>
    <phoneticPr fontId="2" type="noConversion"/>
  </si>
  <si>
    <t>Ctrl + _</t>
    <phoneticPr fontId="2" type="noConversion"/>
  </si>
  <si>
    <t>=index(A1:D100, 5, 5)</t>
    <phoneticPr fontId="2" type="noConversion"/>
  </si>
  <si>
    <t>슬라이서 초기화</t>
    <phoneticPr fontId="2" type="noConversion"/>
  </si>
  <si>
    <t>Alt + C</t>
    <phoneticPr fontId="2" type="noConversion"/>
  </si>
  <si>
    <t>선택한 셀 윤곽선 테두리 적용</t>
    <phoneticPr fontId="2" type="noConversion"/>
  </si>
  <si>
    <t>Ctrl + '+'</t>
    <phoneticPr fontId="2" type="noConversion"/>
  </si>
  <si>
    <t>: 셀 범위나 데이터 배열에서, 행 번호와 열 번호가 교차하는 셀의 데이터 출력</t>
    <phoneticPr fontId="2" type="noConversion"/>
  </si>
  <si>
    <t>매크로</t>
    <phoneticPr fontId="2" type="noConversion"/>
  </si>
  <si>
    <t>Alt + F8</t>
    <phoneticPr fontId="2" type="noConversion"/>
  </si>
  <si>
    <t>Ctrl + &amp;</t>
    <phoneticPr fontId="2" type="noConversion"/>
  </si>
  <si>
    <t>3. 인덱스 함수 활용</t>
    <phoneticPr fontId="2" type="noConversion"/>
  </si>
  <si>
    <t>끝내기</t>
    <phoneticPr fontId="2" type="noConversion"/>
  </si>
  <si>
    <t>Alt + F4</t>
    <phoneticPr fontId="2" type="noConversion"/>
  </si>
  <si>
    <t>선택 영역 안의 숨겨진 열 모두 표시</t>
    <phoneticPr fontId="2" type="noConversion"/>
  </si>
  <si>
    <t>Ctrl + )</t>
    <phoneticPr fontId="2" type="noConversion"/>
  </si>
  <si>
    <t>다른 이름으로 저장</t>
    <phoneticPr fontId="2" type="noConversion"/>
  </si>
  <si>
    <t>Alt + F2</t>
    <phoneticPr fontId="2" type="noConversion"/>
  </si>
  <si>
    <t>선택 영역 안의 숨겨진 행 모두 표시</t>
    <phoneticPr fontId="2" type="noConversion"/>
  </si>
  <si>
    <t>Ctrl + (</t>
    <phoneticPr fontId="2" type="noConversion"/>
  </si>
  <si>
    <t xml:space="preserve">https://www.oppadu.com/%EC%97%91%EC%85%80-%EB%8B%A8%EC%B6%95%ED%82%A4-%EB%AA%A8%EC%9D%8C/ </t>
    <phoneticPr fontId="2" type="noConversion"/>
  </si>
  <si>
    <t>차트 삽입(현재시트)</t>
    <phoneticPr fontId="2" type="noConversion"/>
  </si>
  <si>
    <t>Alt + F1</t>
    <phoneticPr fontId="2" type="noConversion"/>
  </si>
  <si>
    <t>현재 시간 삽입</t>
    <phoneticPr fontId="2" type="noConversion"/>
  </si>
  <si>
    <t>Ctrl + ;</t>
    <phoneticPr fontId="2" type="noConversion"/>
  </si>
  <si>
    <t xml:space="preserve">참고) </t>
    <phoneticPr fontId="2" type="noConversion"/>
  </si>
  <si>
    <t>날짜에서 일만 추출</t>
    <phoneticPr fontId="2" type="noConversion"/>
  </si>
  <si>
    <t>=DAY(TODAY())</t>
    <phoneticPr fontId="2" type="noConversion"/>
  </si>
  <si>
    <t>DAY</t>
    <phoneticPr fontId="2" type="noConversion"/>
  </si>
  <si>
    <t>현재 날짜 삽입</t>
    <phoneticPr fontId="2" type="noConversion"/>
  </si>
  <si>
    <t>Ctrl + :</t>
    <phoneticPr fontId="2" type="noConversion"/>
  </si>
  <si>
    <t>날짜에서 월만 추출</t>
    <phoneticPr fontId="2" type="noConversion"/>
  </si>
  <si>
    <t>=MONTH(TODAY())</t>
    <phoneticPr fontId="2" type="noConversion"/>
  </si>
  <si>
    <t>MONTH</t>
    <phoneticPr fontId="2" type="noConversion"/>
  </si>
  <si>
    <t>그룹 해제 및 숨기기 해제</t>
    <phoneticPr fontId="2" type="noConversion"/>
  </si>
  <si>
    <t>Shift + Alt + ←</t>
    <phoneticPr fontId="2" type="noConversion"/>
  </si>
  <si>
    <t>날짜에서 연도만 추출</t>
    <phoneticPr fontId="2" type="noConversion"/>
  </si>
  <si>
    <t>=YEAR(TODAY())</t>
    <phoneticPr fontId="2" type="noConversion"/>
  </si>
  <si>
    <t>YEAR</t>
    <phoneticPr fontId="2" type="noConversion"/>
  </si>
  <si>
    <t>그룹 설정 및 숨기기</t>
    <phoneticPr fontId="2" type="noConversion"/>
  </si>
  <si>
    <t>Shift + Alt + →</t>
    <phoneticPr fontId="2" type="noConversion"/>
  </si>
  <si>
    <t>다음창</t>
    <phoneticPr fontId="2" type="noConversion"/>
  </si>
  <si>
    <t>Ctrl + Tab</t>
    <phoneticPr fontId="2" type="noConversion"/>
  </si>
  <si>
    <t>날짜 서식으로 변환</t>
    <phoneticPr fontId="2" type="noConversion"/>
  </si>
  <si>
    <t>=DATE(2018,01,01)</t>
    <phoneticPr fontId="2" type="noConversion"/>
  </si>
  <si>
    <t>DATE</t>
    <phoneticPr fontId="2" type="noConversion"/>
  </si>
  <si>
    <t>한 페이지 위로 선택</t>
    <phoneticPr fontId="2" type="noConversion"/>
  </si>
  <si>
    <t>Shift + PgUp</t>
    <phoneticPr fontId="2" type="noConversion"/>
  </si>
  <si>
    <t>열 전체 선택</t>
    <phoneticPr fontId="2" type="noConversion"/>
  </si>
  <si>
    <t>Ctrl + Space Bar</t>
    <phoneticPr fontId="2" type="noConversion"/>
  </si>
  <si>
    <t>기준일로부터 전후 월말</t>
    <phoneticPr fontId="2" type="noConversion"/>
  </si>
  <si>
    <t>=EOMONTH(TODAY(),-1)</t>
    <phoneticPr fontId="2" type="noConversion"/>
  </si>
  <si>
    <t>EOMONTH</t>
    <phoneticPr fontId="2" type="noConversion"/>
  </si>
  <si>
    <t>한 페이지 아래로 선택</t>
    <phoneticPr fontId="2" type="noConversion"/>
  </si>
  <si>
    <t>Shift + PgDn</t>
    <phoneticPr fontId="2" type="noConversion"/>
  </si>
  <si>
    <t>아래쪽 끝 데이터</t>
    <phoneticPr fontId="2" type="noConversion"/>
  </si>
  <si>
    <t>Ctrl + ↓</t>
    <phoneticPr fontId="2" type="noConversion"/>
  </si>
  <si>
    <t>한 페이지 아래로 이동</t>
    <phoneticPr fontId="2" type="noConversion"/>
  </si>
  <si>
    <t>PgDn</t>
    <phoneticPr fontId="2" type="noConversion"/>
  </si>
  <si>
    <t>기준일로부터 전후 월</t>
    <phoneticPr fontId="2" type="noConversion"/>
  </si>
  <si>
    <t>=EDATE(TODAY(),-1)</t>
    <phoneticPr fontId="2" type="noConversion"/>
  </si>
  <si>
    <t>EDATE</t>
    <phoneticPr fontId="2" type="noConversion"/>
  </si>
  <si>
    <t>위 셀</t>
    <phoneticPr fontId="2" type="noConversion"/>
  </si>
  <si>
    <t>Shift + Enter</t>
    <phoneticPr fontId="2" type="noConversion"/>
  </si>
  <si>
    <t>위쪽 끝 데이터</t>
    <phoneticPr fontId="2" type="noConversion"/>
  </si>
  <si>
    <t>Ctrl + ↑</t>
    <phoneticPr fontId="2" type="noConversion"/>
  </si>
  <si>
    <t>한 페이지 위로 이동</t>
    <phoneticPr fontId="2" type="noConversion"/>
  </si>
  <si>
    <t>PgUp</t>
    <phoneticPr fontId="2" type="noConversion"/>
  </si>
  <si>
    <t>영업일 기준 날짜</t>
    <phoneticPr fontId="2" type="noConversion"/>
  </si>
  <si>
    <t>=WORKDAY(TODAY(),-1)</t>
    <phoneticPr fontId="2" type="noConversion"/>
  </si>
  <si>
    <t>WORKDAY</t>
    <phoneticPr fontId="2" type="noConversion"/>
  </si>
  <si>
    <t>이전 셀</t>
    <phoneticPr fontId="2" type="noConversion"/>
  </si>
  <si>
    <t>Shift + Tab</t>
    <phoneticPr fontId="2" type="noConversion"/>
  </si>
  <si>
    <t>왼쪽 끝 데이터</t>
    <phoneticPr fontId="2" type="noConversion"/>
  </si>
  <si>
    <t>Ctrl + ←</t>
    <phoneticPr fontId="2" type="noConversion"/>
  </si>
  <si>
    <t>행의 처음으로 이동</t>
    <phoneticPr fontId="2" type="noConversion"/>
  </si>
  <si>
    <t>Home</t>
    <phoneticPr fontId="2" type="noConversion"/>
  </si>
  <si>
    <t xml:space="preserve">오늘 날짜 </t>
    <phoneticPr fontId="2" type="noConversion"/>
  </si>
  <si>
    <t>=TODAY()</t>
    <phoneticPr fontId="2" type="noConversion"/>
  </si>
  <si>
    <t>TODAY</t>
    <phoneticPr fontId="2" type="noConversion"/>
  </si>
  <si>
    <t>행 전체 선택</t>
    <phoneticPr fontId="2" type="noConversion"/>
  </si>
  <si>
    <t>Shift + Space Bar</t>
    <phoneticPr fontId="2" type="noConversion"/>
  </si>
  <si>
    <t>오른쪽 끝 데이터</t>
    <phoneticPr fontId="2" type="noConversion"/>
  </si>
  <si>
    <t>Ctrl + →</t>
    <phoneticPr fontId="2" type="noConversion"/>
  </si>
  <si>
    <t>위로 이동</t>
    <phoneticPr fontId="2" type="noConversion"/>
  </si>
  <si>
    <t>아래쪽으로 영역 선택</t>
    <phoneticPr fontId="2" type="noConversion"/>
  </si>
  <si>
    <t>Shift + ↓</t>
    <phoneticPr fontId="2" type="noConversion"/>
  </si>
  <si>
    <t>다음 시트</t>
    <phoneticPr fontId="2" type="noConversion"/>
  </si>
  <si>
    <t>Ctrl + Page Down</t>
    <phoneticPr fontId="2" type="noConversion"/>
  </si>
  <si>
    <t>왼쪽으로 이동</t>
    <phoneticPr fontId="2" type="noConversion"/>
  </si>
  <si>
    <t>O14-(WEEKDAY(O14,16))</t>
    <phoneticPr fontId="2" type="noConversion"/>
  </si>
  <si>
    <t>전주말</t>
    <phoneticPr fontId="2" type="noConversion"/>
  </si>
  <si>
    <t>위쪽으로 영역 선택</t>
    <phoneticPr fontId="2" type="noConversion"/>
  </si>
  <si>
    <t>Shift + ↑</t>
    <phoneticPr fontId="2" type="noConversion"/>
  </si>
  <si>
    <t>이전 시트</t>
    <phoneticPr fontId="2" type="noConversion"/>
  </si>
  <si>
    <t>Ctrl + Page Up</t>
    <phoneticPr fontId="2" type="noConversion"/>
  </si>
  <si>
    <t>오른쪽으로 이동</t>
    <phoneticPr fontId="2" type="noConversion"/>
  </si>
  <si>
    <t>Tab</t>
    <phoneticPr fontId="2" type="noConversion"/>
  </si>
  <si>
    <t>O14-7</t>
    <phoneticPr fontId="2" type="noConversion"/>
  </si>
  <si>
    <t>전주</t>
    <phoneticPr fontId="2" type="noConversion"/>
  </si>
  <si>
    <t>왼쪽으로 영역 선택</t>
    <phoneticPr fontId="2" type="noConversion"/>
  </si>
  <si>
    <t>Shift + ←</t>
    <phoneticPr fontId="2" type="noConversion"/>
  </si>
  <si>
    <t>시트 마지막으로</t>
    <phoneticPr fontId="2" type="noConversion"/>
  </si>
  <si>
    <t>Ctrl + End</t>
    <phoneticPr fontId="2" type="noConversion"/>
  </si>
  <si>
    <t>아래로 이동</t>
    <phoneticPr fontId="2" type="noConversion"/>
  </si>
  <si>
    <t>Enter</t>
    <phoneticPr fontId="2" type="noConversion"/>
  </si>
  <si>
    <t>EOMONTH(O14,-1)</t>
    <phoneticPr fontId="2" type="noConversion"/>
  </si>
  <si>
    <t>전월말</t>
    <phoneticPr fontId="2" type="noConversion"/>
  </si>
  <si>
    <t>오른쪽으로 영역 선택</t>
    <phoneticPr fontId="2" type="noConversion"/>
  </si>
  <si>
    <t>Shift + →</t>
    <phoneticPr fontId="2" type="noConversion"/>
  </si>
  <si>
    <t>시트 처음으로(A1)</t>
    <phoneticPr fontId="2" type="noConversion"/>
  </si>
  <si>
    <t>Ctrl + Home</t>
    <phoneticPr fontId="2" type="noConversion"/>
  </si>
  <si>
    <t>DATE(YEAR(O14)-1,12,31)</t>
    <phoneticPr fontId="2" type="noConversion"/>
  </si>
  <si>
    <t>전년말</t>
    <phoneticPr fontId="2" type="noConversion"/>
  </si>
  <si>
    <t>저장</t>
    <phoneticPr fontId="2" type="noConversion"/>
  </si>
  <si>
    <t>Shift + F12</t>
  </si>
  <si>
    <t>Ctrl + F12</t>
  </si>
  <si>
    <t>F12</t>
  </si>
  <si>
    <t>새 시트 삽입</t>
    <phoneticPr fontId="2" type="noConversion"/>
  </si>
  <si>
    <t>Shift + F11</t>
  </si>
  <si>
    <t>새 매크로시트 삽입</t>
    <phoneticPr fontId="2" type="noConversion"/>
  </si>
  <si>
    <t>Ctrl + F11</t>
  </si>
  <si>
    <t>새 차트 삽입</t>
    <phoneticPr fontId="2" type="noConversion"/>
  </si>
  <si>
    <t>F11</t>
  </si>
  <si>
    <t>기준일</t>
    <phoneticPr fontId="2" type="noConversion"/>
  </si>
  <si>
    <t>바로가기 메뉴</t>
    <phoneticPr fontId="2" type="noConversion"/>
  </si>
  <si>
    <t>Shift + F10</t>
  </si>
  <si>
    <t>창 복원</t>
    <phoneticPr fontId="2" type="noConversion"/>
  </si>
  <si>
    <t>Ctrl + F10</t>
  </si>
  <si>
    <t>모든 시트 계산</t>
    <phoneticPr fontId="2" type="noConversion"/>
  </si>
  <si>
    <t>F10</t>
  </si>
  <si>
    <t xml:space="preserve">2. 날짜함수 만들기 </t>
    <phoneticPr fontId="2" type="noConversion"/>
  </si>
  <si>
    <t>시트 재계산</t>
    <phoneticPr fontId="2" type="noConversion"/>
  </si>
  <si>
    <t>Shift + F9</t>
  </si>
  <si>
    <t>창 최소화</t>
    <phoneticPr fontId="2" type="noConversion"/>
  </si>
  <si>
    <t>Ctrl + F9</t>
  </si>
  <si>
    <t>F9</t>
  </si>
  <si>
    <t>추가 선택</t>
    <phoneticPr fontId="2" type="noConversion"/>
  </si>
  <si>
    <t>Shift + F8</t>
  </si>
  <si>
    <t>창 크기 조절</t>
    <phoneticPr fontId="2" type="noConversion"/>
  </si>
  <si>
    <t>Ctrl + F8</t>
  </si>
  <si>
    <t>선택 영역 확장</t>
    <phoneticPr fontId="2" type="noConversion"/>
  </si>
  <si>
    <t>F8</t>
  </si>
  <si>
    <t>동의어 사전</t>
    <phoneticPr fontId="2" type="noConversion"/>
  </si>
  <si>
    <t>Shift + F7</t>
  </si>
  <si>
    <t>창 이동</t>
    <phoneticPr fontId="2" type="noConversion"/>
  </si>
  <si>
    <t>Ctrl + F7</t>
  </si>
  <si>
    <t>맞춤법 검사</t>
    <phoneticPr fontId="2" type="noConversion"/>
  </si>
  <si>
    <t>F7</t>
  </si>
  <si>
    <t>이전 창틀로</t>
    <phoneticPr fontId="2" type="noConversion"/>
  </si>
  <si>
    <t>Shift + F6</t>
  </si>
  <si>
    <t>다음 통합문서로 이동</t>
    <phoneticPr fontId="2" type="noConversion"/>
  </si>
  <si>
    <t>Ctrl + F6</t>
  </si>
  <si>
    <t>다음 창틀로 이동</t>
    <phoneticPr fontId="2" type="noConversion"/>
  </si>
  <si>
    <t>F6</t>
  </si>
  <si>
    <t>(전체 적용)</t>
    <phoneticPr fontId="2" type="noConversion"/>
  </si>
  <si>
    <t>Ctrl + Enter</t>
    <phoneticPr fontId="2" type="noConversion"/>
  </si>
  <si>
    <t>Shift + F5</t>
  </si>
  <si>
    <t>창 이전 크기로</t>
    <phoneticPr fontId="2" type="noConversion"/>
  </si>
  <si>
    <t>Ctrl + F5</t>
  </si>
  <si>
    <t>F5</t>
  </si>
  <si>
    <t>옵션 &gt; 빈셀 &gt; 데이터입력</t>
    <phoneticPr fontId="2" type="noConversion"/>
  </si>
  <si>
    <t>다음 찾기</t>
    <phoneticPr fontId="2" type="noConversion"/>
  </si>
  <si>
    <t>Shift + F4</t>
  </si>
  <si>
    <t>창 닫기</t>
    <phoneticPr fontId="2" type="noConversion"/>
  </si>
  <si>
    <t>Ctrl + F4</t>
  </si>
  <si>
    <t>마지막 작업 반복</t>
    <phoneticPr fontId="2" type="noConversion"/>
  </si>
  <si>
    <t>F4</t>
  </si>
  <si>
    <t>(이동)</t>
    <phoneticPr fontId="2" type="noConversion"/>
  </si>
  <si>
    <t>Ctrrl + G</t>
    <phoneticPr fontId="2" type="noConversion"/>
  </si>
  <si>
    <t>함수마법사</t>
    <phoneticPr fontId="2" type="noConversion"/>
  </si>
  <si>
    <t>Shift + F3</t>
    <phoneticPr fontId="2" type="noConversion"/>
  </si>
  <si>
    <t>이름 정의</t>
    <phoneticPr fontId="2" type="noConversion"/>
  </si>
  <si>
    <t>Ctrl + F3</t>
    <phoneticPr fontId="2" type="noConversion"/>
  </si>
  <si>
    <t>이름 붙여넣기</t>
    <phoneticPr fontId="2" type="noConversion"/>
  </si>
  <si>
    <t>F3</t>
  </si>
  <si>
    <t>(셀 영역 전체 선택)</t>
    <phoneticPr fontId="2" type="noConversion"/>
  </si>
  <si>
    <t>Ctrrl + A</t>
    <phoneticPr fontId="2" type="noConversion"/>
  </si>
  <si>
    <t>메모 삽입</t>
    <phoneticPr fontId="2" type="noConversion"/>
  </si>
  <si>
    <t>Shift + F2</t>
    <phoneticPr fontId="2" type="noConversion"/>
  </si>
  <si>
    <t>인쇄 미리보기</t>
    <phoneticPr fontId="2" type="noConversion"/>
  </si>
  <si>
    <t>Ctrl + F2</t>
    <phoneticPr fontId="2" type="noConversion"/>
  </si>
  <si>
    <t>셀 내용 편집</t>
    <phoneticPr fontId="2" type="noConversion"/>
  </si>
  <si>
    <t>F2</t>
    <phoneticPr fontId="2" type="noConversion"/>
  </si>
  <si>
    <t>1. 빈셀을 특정 데이터로 채우기</t>
    <phoneticPr fontId="2" type="noConversion"/>
  </si>
  <si>
    <t>설명</t>
    <phoneticPr fontId="2" type="noConversion"/>
  </si>
  <si>
    <t>Shift + F1</t>
    <phoneticPr fontId="2" type="noConversion"/>
  </si>
  <si>
    <t>리본 메뉴 최소화</t>
    <phoneticPr fontId="2" type="noConversion"/>
  </si>
  <si>
    <t>Crtl + F1</t>
    <phoneticPr fontId="2" type="noConversion"/>
  </si>
  <si>
    <t>도움말</t>
    <phoneticPr fontId="2" type="noConversion"/>
  </si>
  <si>
    <t>F1</t>
    <phoneticPr fontId="2" type="noConversion"/>
  </si>
  <si>
    <t xml:space="preserve">** 단축키 활용 응용 버전 ** </t>
    <phoneticPr fontId="2" type="noConversion"/>
  </si>
  <si>
    <t>엑셀 단축키 모음</t>
  </si>
  <si>
    <t>부채비율</t>
    <phoneticPr fontId="2" type="noConversion"/>
  </si>
  <si>
    <t>재고자산</t>
    <phoneticPr fontId="2" type="noConversion"/>
  </si>
  <si>
    <t>단기초과청구공사</t>
    <phoneticPr fontId="2" type="noConversion"/>
  </si>
  <si>
    <t>선수금</t>
    <phoneticPr fontId="2" type="noConversion"/>
  </si>
  <si>
    <t>OPM %</t>
    <phoneticPr fontId="2" type="noConversion"/>
  </si>
  <si>
    <t>판관비</t>
    <phoneticPr fontId="2" type="noConversion"/>
  </si>
  <si>
    <t>수출비중</t>
    <phoneticPr fontId="2" type="noConversion"/>
  </si>
  <si>
    <t>수출</t>
    <phoneticPr fontId="2" type="noConversion"/>
  </si>
  <si>
    <t>내수</t>
    <phoneticPr fontId="2" type="noConversion"/>
  </si>
  <si>
    <t>YoY %</t>
    <phoneticPr fontId="2" type="noConversion"/>
  </si>
  <si>
    <t>x</t>
    <phoneticPr fontId="2" type="noConversion"/>
  </si>
  <si>
    <t>EPC</t>
    <phoneticPr fontId="2" type="noConversion"/>
  </si>
  <si>
    <t>Boiler</t>
    <phoneticPr fontId="2" type="noConversion"/>
  </si>
  <si>
    <t>동남아</t>
    <phoneticPr fontId="2" type="noConversion"/>
  </si>
  <si>
    <t>중동</t>
    <phoneticPr fontId="2" type="noConversion"/>
  </si>
  <si>
    <t>일본</t>
    <phoneticPr fontId="2" type="noConversion"/>
  </si>
  <si>
    <t>해외</t>
    <phoneticPr fontId="2" type="noConversion"/>
  </si>
  <si>
    <t>국내</t>
    <phoneticPr fontId="2" type="noConversion"/>
  </si>
  <si>
    <t>신규수주</t>
    <phoneticPr fontId="2" type="noConversion"/>
  </si>
  <si>
    <t>YoY</t>
    <phoneticPr fontId="2" type="noConversion"/>
  </si>
  <si>
    <t>기납품액</t>
    <phoneticPr fontId="2" type="noConversion"/>
  </si>
  <si>
    <t>수량</t>
    <phoneticPr fontId="2" type="noConversion"/>
  </si>
  <si>
    <t>수주총액</t>
    <phoneticPr fontId="2" type="noConversion"/>
  </si>
  <si>
    <t>총 수주잔고</t>
    <phoneticPr fontId="2" type="noConversion"/>
  </si>
  <si>
    <t>CAGR</t>
    <phoneticPr fontId="2" type="noConversion"/>
  </si>
  <si>
    <t>4Q28</t>
    <phoneticPr fontId="2" type="noConversion"/>
  </si>
  <si>
    <t>3Q28</t>
    <phoneticPr fontId="2" type="noConversion"/>
  </si>
  <si>
    <t>2Q28</t>
    <phoneticPr fontId="2" type="noConversion"/>
  </si>
  <si>
    <t>1Q28</t>
    <phoneticPr fontId="2" type="noConversion"/>
  </si>
  <si>
    <t>4Q27</t>
    <phoneticPr fontId="2" type="noConversion"/>
  </si>
  <si>
    <t>3Q27</t>
    <phoneticPr fontId="2" type="noConversion"/>
  </si>
  <si>
    <t>2Q27</t>
    <phoneticPr fontId="2" type="noConversion"/>
  </si>
  <si>
    <t>1Q27</t>
    <phoneticPr fontId="2" type="noConversion"/>
  </si>
  <si>
    <t>4Q26</t>
    <phoneticPr fontId="2" type="noConversion"/>
  </si>
  <si>
    <t>3Q26</t>
    <phoneticPr fontId="2" type="noConversion"/>
  </si>
  <si>
    <t>2Q26</t>
    <phoneticPr fontId="2" type="noConversion"/>
  </si>
  <si>
    <t>1Q26</t>
    <phoneticPr fontId="2" type="noConversion"/>
  </si>
  <si>
    <t>미국</t>
    <phoneticPr fontId="2" type="noConversion"/>
  </si>
  <si>
    <t>국가</t>
    <phoneticPr fontId="2" type="noConversion"/>
  </si>
  <si>
    <t>Scenario Number</t>
    <phoneticPr fontId="2" type="noConversion"/>
  </si>
  <si>
    <t>사업부</t>
    <phoneticPr fontId="2" type="noConversion"/>
  </si>
  <si>
    <t>Active Scenario</t>
    <phoneticPr fontId="2" type="noConversion"/>
  </si>
  <si>
    <t>대우건설</t>
  </si>
  <si>
    <t>한국전력공사</t>
  </si>
  <si>
    <t>삼성물산</t>
  </si>
  <si>
    <t>Amal Industrial Plant</t>
  </si>
  <si>
    <t>Boiler</t>
  </si>
  <si>
    <t>(주)포스코건설</t>
  </si>
  <si>
    <t>한국수력원자력㈜ 새울원자력본부</t>
    <phoneticPr fontId="2" type="noConversion"/>
  </si>
  <si>
    <t>FARAB INTERNATIONAL FZE</t>
  </si>
  <si>
    <t>SEPCO3</t>
  </si>
  <si>
    <t>쿠웨이트</t>
    <phoneticPr fontId="2" type="noConversion"/>
  </si>
  <si>
    <t>Alghanim International General Trading &amp; Construction</t>
  </si>
  <si>
    <t>TOSHIBA</t>
  </si>
  <si>
    <t>TIE JUN INTERNATIONAL (HK) LTD</t>
  </si>
  <si>
    <t>KC코트렐</t>
  </si>
  <si>
    <t>JO SKE AND CO LTD</t>
  </si>
  <si>
    <t>현대건설</t>
  </si>
  <si>
    <t>두산에너빌리티</t>
  </si>
  <si>
    <t>Siemens</t>
  </si>
  <si>
    <t>세아STX엔테크</t>
  </si>
  <si>
    <t>한화건설</t>
    <phoneticPr fontId="2" type="noConversion"/>
  </si>
  <si>
    <t>OPC Sorek 2 Ltd (OPC)</t>
  </si>
  <si>
    <t>MHPS-TAKASAGO</t>
  </si>
  <si>
    <t>(주)포스코</t>
  </si>
  <si>
    <t>현대제철</t>
  </si>
  <si>
    <t>현대엔지니어링</t>
    <phoneticPr fontId="2" type="noConversion"/>
  </si>
  <si>
    <t>(주)포스코이앤씨</t>
    <phoneticPr fontId="2" type="noConversion"/>
  </si>
  <si>
    <t>에스케이에코엔지니어링㈜</t>
    <phoneticPr fontId="2" type="noConversion"/>
  </si>
  <si>
    <t>MC-HDEC-CC1 Consortium</t>
  </si>
  <si>
    <t>2024-07 해지, 1Q25 15.3%인식</t>
    <phoneticPr fontId="2" type="noConversion"/>
  </si>
  <si>
    <t>FORMOSA HEAVY INDUSTRIES CORP.</t>
  </si>
  <si>
    <t>씨지앤대산전력</t>
    <phoneticPr fontId="2" type="noConversion"/>
  </si>
  <si>
    <t>Toshiba-TPSC</t>
  </si>
  <si>
    <t>사우디 Qassim, 600MW * 3</t>
    <phoneticPr fontId="2" type="noConversion"/>
  </si>
  <si>
    <t>사우디 Taiba, 600MW * 3</t>
    <phoneticPr fontId="2" type="noConversion"/>
  </si>
  <si>
    <t>한화에너지</t>
  </si>
  <si>
    <t>두산에너빌리티</t>
    <phoneticPr fontId="2" type="noConversion"/>
  </si>
  <si>
    <t>일본 지타 &amp; 오사카 난코, 600MW * 5</t>
    <phoneticPr fontId="2" type="noConversion"/>
  </si>
  <si>
    <t>삼성물산</t>
    <phoneticPr fontId="2" type="noConversion"/>
  </si>
  <si>
    <t>Toshiba-TPSC</t>
    <phoneticPr fontId="2" type="noConversion"/>
  </si>
  <si>
    <t xml:space="preserve">삼성C&amp;T </t>
  </si>
  <si>
    <t>없음</t>
  </si>
  <si>
    <t>한국지역난방 수원지사</t>
    <phoneticPr fontId="2" type="noConversion"/>
  </si>
  <si>
    <t>한국수력원자력</t>
    <phoneticPr fontId="2" type="noConversion"/>
  </si>
  <si>
    <t>포스코</t>
    <phoneticPr fontId="2" type="noConversion"/>
  </si>
  <si>
    <t>쿠웨이트 Sabiya, 700MW * 2</t>
    <phoneticPr fontId="2" type="noConversion"/>
  </si>
  <si>
    <t>Alghanim International General Trading &amp; Construction</t>
    <phoneticPr fontId="2" type="noConversion"/>
  </si>
  <si>
    <t>사우디 Dhuruma, 600MW * 3</t>
    <phoneticPr fontId="2" type="noConversion"/>
  </si>
  <si>
    <t>한국남동발전</t>
    <phoneticPr fontId="2" type="noConversion"/>
  </si>
  <si>
    <t>사우디 Nairiyah2</t>
    <phoneticPr fontId="2" type="noConversion"/>
  </si>
  <si>
    <t>하얼빈일렉트릭(HEI)</t>
    <phoneticPr fontId="2" type="noConversion"/>
  </si>
  <si>
    <t>사우디 Rumah2</t>
    <phoneticPr fontId="2" type="noConversion"/>
  </si>
  <si>
    <t>하얼빈일렉트릭(HEI)</t>
  </si>
  <si>
    <t>훗카이도 이시카리완 신향발전소, 570MW * 1</t>
    <phoneticPr fontId="2" type="noConversion"/>
  </si>
  <si>
    <t>FuJi Electric</t>
    <phoneticPr fontId="2" type="noConversion"/>
  </si>
  <si>
    <t>사우디 Rabigh2, 총 2200MW HRSG 업그레이드</t>
    <phoneticPr fontId="2" type="noConversion"/>
  </si>
  <si>
    <t>JV of PSP, PCI, PC</t>
  </si>
  <si>
    <t>San Miguel Global Power Holdings(SMCGP)</t>
    <phoneticPr fontId="2" type="noConversion"/>
  </si>
  <si>
    <t>.</t>
    <phoneticPr fontId="2" type="noConversion"/>
  </si>
  <si>
    <t>4Q22</t>
  </si>
  <si>
    <t>3Q22</t>
  </si>
  <si>
    <t>2Q22</t>
  </si>
  <si>
    <t>메모</t>
    <phoneticPr fontId="2" type="noConversion"/>
  </si>
  <si>
    <t>공사기한</t>
    <phoneticPr fontId="2" type="noConversion"/>
  </si>
  <si>
    <t>수주연도</t>
    <phoneticPr fontId="2" type="noConversion"/>
  </si>
  <si>
    <t>계약시기</t>
    <phoneticPr fontId="2" type="noConversion"/>
  </si>
  <si>
    <t>계약금액(백만원)</t>
    <phoneticPr fontId="2" type="noConversion"/>
  </si>
  <si>
    <t>지역</t>
    <phoneticPr fontId="2" type="noConversion"/>
  </si>
  <si>
    <t>계약명</t>
    <phoneticPr fontId="2" type="noConversion"/>
  </si>
  <si>
    <t>계약일</t>
    <phoneticPr fontId="2" type="noConversion"/>
  </si>
  <si>
    <t>국내</t>
  </si>
  <si>
    <t>잠재</t>
    <phoneticPr fontId="2" type="noConversion"/>
  </si>
  <si>
    <t>가능</t>
    <phoneticPr fontId="2" type="noConversion"/>
  </si>
  <si>
    <t>확실</t>
    <phoneticPr fontId="2" type="noConversion"/>
  </si>
  <si>
    <t>중동</t>
  </si>
  <si>
    <t>매출인식</t>
    <phoneticPr fontId="2" type="noConversion"/>
  </si>
  <si>
    <t>선금 10%</t>
  </si>
  <si>
    <t>'32.12</t>
  </si>
  <si>
    <t>'22.06</t>
  </si>
  <si>
    <t>10차</t>
  </si>
  <si>
    <t>남양주열병합</t>
  </si>
  <si>
    <t>'28.12</t>
  </si>
  <si>
    <t>'24.06</t>
  </si>
  <si>
    <t>용인반도체클러스터#2</t>
  </si>
  <si>
    <t>한국중부발전</t>
  </si>
  <si>
    <t>한국지역난방기술</t>
    <phoneticPr fontId="2" type="noConversion"/>
  </si>
  <si>
    <t>'30.12</t>
  </si>
  <si>
    <t>용인반도체클러스터#1</t>
  </si>
  <si>
    <t>'26.0</t>
  </si>
  <si>
    <t>'26.05</t>
  </si>
  <si>
    <t>'10.09</t>
  </si>
  <si>
    <t>9차</t>
  </si>
  <si>
    <t>송산빛그린</t>
  </si>
  <si>
    <t>한국남동발전</t>
  </si>
  <si>
    <t>'93.07</t>
  </si>
  <si>
    <t>대전열병합</t>
  </si>
  <si>
    <t>대전열병합발전</t>
  </si>
  <si>
    <t>비에이치아이</t>
    <phoneticPr fontId="2" type="noConversion"/>
  </si>
  <si>
    <t>'93.10</t>
  </si>
  <si>
    <t>수원 집단에너지</t>
  </si>
  <si>
    <t>한국지역난방공사</t>
  </si>
  <si>
    <t>-</t>
    <phoneticPr fontId="2" type="noConversion"/>
  </si>
  <si>
    <t>'27.10</t>
  </si>
  <si>
    <t>'11.03</t>
  </si>
  <si>
    <t>6차</t>
  </si>
  <si>
    <t>마곡열병합</t>
  </si>
  <si>
    <t>서울에너지공사</t>
  </si>
  <si>
    <t>집단</t>
    <phoneticPr fontId="2" type="noConversion"/>
  </si>
  <si>
    <t>'36.12</t>
  </si>
  <si>
    <t>'26.02</t>
  </si>
  <si>
    <t>11차</t>
  </si>
  <si>
    <t>봉화양수</t>
  </si>
  <si>
    <t>'34.12</t>
  </si>
  <si>
    <t>구례양수</t>
  </si>
  <si>
    <t>'33.12</t>
  </si>
  <si>
    <t>'25.08</t>
  </si>
  <si>
    <t>'25.06</t>
  </si>
  <si>
    <t>'22.03</t>
  </si>
  <si>
    <t>8차</t>
  </si>
  <si>
    <t>포천양수#2</t>
  </si>
  <si>
    <t>한국수력원자력</t>
  </si>
  <si>
    <t>삼안</t>
    <phoneticPr fontId="2" type="noConversion"/>
  </si>
  <si>
    <t>'33.09</t>
  </si>
  <si>
    <t>포천양수#1</t>
  </si>
  <si>
    <t>홍천양수#2</t>
  </si>
  <si>
    <t>유신</t>
    <phoneticPr fontId="2" type="noConversion"/>
  </si>
  <si>
    <t>'32.09</t>
  </si>
  <si>
    <t>홍천양수#1</t>
  </si>
  <si>
    <t>양수</t>
    <phoneticPr fontId="2" type="noConversion"/>
  </si>
  <si>
    <t>DL이앤씨</t>
    <phoneticPr fontId="2" type="noConversion"/>
  </si>
  <si>
    <t>한국전력기술</t>
    <phoneticPr fontId="2" type="noConversion"/>
  </si>
  <si>
    <t>'32.02</t>
  </si>
  <si>
    <t>'25.12</t>
  </si>
  <si>
    <t>'25.10</t>
  </si>
  <si>
    <t>'23.11</t>
  </si>
  <si>
    <t>분당복합 현대화</t>
  </si>
  <si>
    <t>'28.09</t>
  </si>
  <si>
    <t>'24.04</t>
  </si>
  <si>
    <t>제주청정에너지복합</t>
  </si>
  <si>
    <t>한국동서발전</t>
  </si>
  <si>
    <t>'29.12</t>
  </si>
  <si>
    <t>'21.04</t>
  </si>
  <si>
    <t>신호남복합발전</t>
  </si>
  <si>
    <t>여수 천연가스</t>
  </si>
  <si>
    <t>한국서부발전</t>
  </si>
  <si>
    <t>'27.12</t>
  </si>
  <si>
    <t>'24.12</t>
  </si>
  <si>
    <t>제주복합#3</t>
  </si>
  <si>
    <t>24.07</t>
    <phoneticPr fontId="2" type="noConversion"/>
  </si>
  <si>
    <t>'21.03</t>
  </si>
  <si>
    <t>함안복합</t>
  </si>
  <si>
    <t>복합</t>
    <phoneticPr fontId="2" type="noConversion"/>
  </si>
  <si>
    <t>미착공</t>
    <phoneticPr fontId="2" type="noConversion"/>
  </si>
  <si>
    <t>'29.10</t>
  </si>
  <si>
    <t>'23.02</t>
  </si>
  <si>
    <t>'23.08</t>
  </si>
  <si>
    <t>'20.09</t>
  </si>
  <si>
    <t>부천 열병합#2</t>
  </si>
  <si>
    <t>GS파워</t>
  </si>
  <si>
    <t>'28.10</t>
  </si>
  <si>
    <t>부천 열병합#1</t>
  </si>
  <si>
    <t>'22.12</t>
  </si>
  <si>
    <t>'18.02</t>
  </si>
  <si>
    <t>영동양수#2</t>
  </si>
  <si>
    <t>'26.12</t>
  </si>
  <si>
    <t>영동양수#1</t>
  </si>
  <si>
    <t>'23.03</t>
  </si>
  <si>
    <t>'21.06</t>
  </si>
  <si>
    <t>울산지에프씨</t>
  </si>
  <si>
    <t>'24.03</t>
  </si>
  <si>
    <t>'23.06</t>
  </si>
  <si>
    <t>울산천연가스</t>
  </si>
  <si>
    <t>씨지엔에너지솔루션</t>
  </si>
  <si>
    <t>'19.11</t>
  </si>
  <si>
    <t>보령천연가스#2</t>
  </si>
  <si>
    <t>한국남부발전</t>
  </si>
  <si>
    <t>보령천연가스#1</t>
  </si>
  <si>
    <t>'24.02</t>
  </si>
  <si>
    <t>고성천연가스</t>
  </si>
  <si>
    <t>공주천연가스</t>
  </si>
  <si>
    <t>'24.09</t>
  </si>
  <si>
    <t>'23.09</t>
  </si>
  <si>
    <t>'18.03</t>
  </si>
  <si>
    <t>음성천연가스#2</t>
  </si>
  <si>
    <t>착공</t>
  </si>
  <si>
    <t>'21.12</t>
  </si>
  <si>
    <t>음성천연가스#1</t>
  </si>
  <si>
    <t>'33.10</t>
  </si>
  <si>
    <t>'23.10</t>
  </si>
  <si>
    <t>'17.02</t>
  </si>
  <si>
    <t>7차</t>
  </si>
  <si>
    <t>신한울#4</t>
  </si>
  <si>
    <t>'32.10</t>
  </si>
  <si>
    <t>신한울#3</t>
  </si>
  <si>
    <t>'26.11</t>
  </si>
  <si>
    <t>'16.11</t>
  </si>
  <si>
    <t>'14.01</t>
  </si>
  <si>
    <t>'13.09</t>
  </si>
  <si>
    <t>4차</t>
  </si>
  <si>
    <t>신울진#4 (기존: 신고리#6)</t>
  </si>
  <si>
    <t>16.11</t>
    <phoneticPr fontId="2" type="noConversion"/>
  </si>
  <si>
    <t>신울진#3 (기존: 신고리#5)</t>
  </si>
  <si>
    <t>원자력</t>
    <phoneticPr fontId="2" type="noConversion"/>
  </si>
  <si>
    <t>착공</t>
    <phoneticPr fontId="2" type="noConversion"/>
  </si>
  <si>
    <t>주설비
시공</t>
    <phoneticPr fontId="2" type="noConversion"/>
  </si>
  <si>
    <t>주기기
공급</t>
    <phoneticPr fontId="2" type="noConversion"/>
  </si>
  <si>
    <t>종합
설계
담당</t>
    <phoneticPr fontId="2" type="noConversion"/>
  </si>
  <si>
    <t>준공</t>
    <phoneticPr fontId="2" type="noConversion"/>
  </si>
  <si>
    <t>공사
계획
인가</t>
    <phoneticPr fontId="2" type="noConversion"/>
  </si>
  <si>
    <t>개발
행위
허가</t>
    <phoneticPr fontId="2" type="noConversion"/>
  </si>
  <si>
    <t>발전
사업
허가</t>
    <phoneticPr fontId="2" type="noConversion"/>
  </si>
  <si>
    <t>수급 
계획 
확정</t>
    <phoneticPr fontId="2" type="noConversion"/>
  </si>
  <si>
    <t>용량[MW]</t>
    <phoneticPr fontId="2" type="noConversion"/>
  </si>
  <si>
    <t>설비명</t>
    <phoneticPr fontId="2" type="noConversion"/>
  </si>
  <si>
    <t>회사명</t>
    <phoneticPr fontId="2" type="noConversion"/>
  </si>
  <si>
    <t>형식</t>
    <phoneticPr fontId="2" type="noConversion"/>
  </si>
  <si>
    <t>현황</t>
    <phoneticPr fontId="2" type="noConversion"/>
  </si>
  <si>
    <t>NO</t>
    <phoneticPr fontId="2" type="noConversion"/>
  </si>
  <si>
    <t>주요 발전소 건설사업 추진 현황표</t>
    <phoneticPr fontId="2" type="noConversion"/>
  </si>
  <si>
    <t>Bear</t>
    <phoneticPr fontId="2" type="noConversion"/>
  </si>
  <si>
    <t>Base</t>
    <phoneticPr fontId="2" type="noConversion"/>
  </si>
  <si>
    <t>Bull</t>
    <phoneticPr fontId="2" type="noConversion"/>
  </si>
  <si>
    <t>일본</t>
  </si>
  <si>
    <t>노후화 LNG 발전소 교체</t>
    <phoneticPr fontId="2" type="noConversion"/>
  </si>
  <si>
    <t>2Q30</t>
    <phoneticPr fontId="2" type="noConversion"/>
  </si>
  <si>
    <t>홋카이도</t>
    <phoneticPr fontId="2" type="noConversion"/>
  </si>
  <si>
    <t>History</t>
    <phoneticPr fontId="2" type="noConversion"/>
  </si>
  <si>
    <t>지타 &amp; 오사카 난코</t>
    <phoneticPr fontId="2" type="noConversion"/>
  </si>
  <si>
    <t>카타르 North Field West (NFW)</t>
    <phoneticPr fontId="2" type="noConversion"/>
  </si>
  <si>
    <t>쿠웨이트 Nuwaiseeb Power Plant Phase I</t>
    <phoneticPr fontId="2" type="noConversion"/>
  </si>
  <si>
    <t>쿠웨이트 AI-Khiran Phase I</t>
    <phoneticPr fontId="2" type="noConversion"/>
  </si>
  <si>
    <t>쿠웨이트 Al-Zour North Phase II &amp; III</t>
    <phoneticPr fontId="2" type="noConversion"/>
  </si>
  <si>
    <t>쿠웨이트 Sabiya</t>
    <phoneticPr fontId="2" type="noConversion"/>
  </si>
  <si>
    <t>카타르 Facility E</t>
    <phoneticPr fontId="2" type="noConversion"/>
  </si>
  <si>
    <t>사우디 Rabigh</t>
    <phoneticPr fontId="2" type="noConversion"/>
  </si>
  <si>
    <t>사우디 Nairiyah 2</t>
    <phoneticPr fontId="2" type="noConversion"/>
  </si>
  <si>
    <t>사우디 Rumah 2</t>
    <phoneticPr fontId="2" type="noConversion"/>
  </si>
  <si>
    <t>사우디 Dhuruma</t>
    <phoneticPr fontId="2" type="noConversion"/>
  </si>
  <si>
    <t>사우디 Qassim</t>
    <phoneticPr fontId="2" type="noConversion"/>
  </si>
  <si>
    <t>사우디 Taiba</t>
    <phoneticPr fontId="2" type="noConversion"/>
  </si>
  <si>
    <t>용인반도체클러스터#2</t>
    <phoneticPr fontId="2" type="noConversion"/>
  </si>
  <si>
    <t>용인반도체클러스터#1</t>
    <phoneticPr fontId="2" type="noConversion"/>
  </si>
  <si>
    <t>분당복합현대화</t>
    <phoneticPr fontId="2" type="noConversion"/>
  </si>
  <si>
    <t>신호남복합발전</t>
    <phoneticPr fontId="2" type="noConversion"/>
  </si>
  <si>
    <t>여수천연가스</t>
    <phoneticPr fontId="2" type="noConversion"/>
  </si>
  <si>
    <t>수원집단에너지</t>
    <phoneticPr fontId="2" type="noConversion"/>
  </si>
  <si>
    <t>삼천포화력발전소</t>
    <phoneticPr fontId="2" type="noConversion"/>
  </si>
  <si>
    <t>보령천연가스#2</t>
    <phoneticPr fontId="2" type="noConversion"/>
  </si>
  <si>
    <t xml:space="preserve">국내 </t>
    <phoneticPr fontId="2" type="noConversion"/>
  </si>
  <si>
    <t>보령천연가스#1</t>
    <phoneticPr fontId="2" type="noConversion"/>
  </si>
  <si>
    <t>ASP</t>
    <phoneticPr fontId="2" type="noConversion"/>
  </si>
  <si>
    <t>규모</t>
    <phoneticPr fontId="2" type="noConversion"/>
  </si>
  <si>
    <t>총 화력발전소 폐지 계획 38.66GW * LNG CCPP 비중 30% * 업그레이드 비율 80% = 9.3GW</t>
    <phoneticPr fontId="2" type="noConversion"/>
  </si>
  <si>
    <t>~2035</t>
    <phoneticPr fontId="2" type="noConversion"/>
  </si>
  <si>
    <t>일본 노후화 LNG 발전소 업그레이드</t>
    <phoneticPr fontId="2" type="noConversion"/>
  </si>
  <si>
    <t>예정</t>
    <phoneticPr fontId="2" type="noConversion"/>
  </si>
  <si>
    <t>2033-2034</t>
    <phoneticPr fontId="2" type="noConversion"/>
  </si>
  <si>
    <t>Toyama Shinko Power Plant</t>
    <phoneticPr fontId="2" type="noConversion"/>
  </si>
  <si>
    <t>EPC-JERA</t>
    <phoneticPr fontId="2" type="noConversion"/>
  </si>
  <si>
    <t>평가준비</t>
    <phoneticPr fontId="2" type="noConversion"/>
  </si>
  <si>
    <t>Sodegaura LNG Power Plant Repowering</t>
    <phoneticPr fontId="2" type="noConversion"/>
  </si>
  <si>
    <t>평가진행</t>
    <phoneticPr fontId="2" type="noConversion"/>
  </si>
  <si>
    <t>Sakaide LNG Power Station</t>
    <phoneticPr fontId="2" type="noConversion"/>
  </si>
  <si>
    <t>EPC-Toshiba, GT-GEV, ST-Toshiba</t>
    <phoneticPr fontId="2" type="noConversion"/>
  </si>
  <si>
    <t>완료</t>
    <phoneticPr fontId="2" type="noConversion"/>
  </si>
  <si>
    <t>2024-2025</t>
    <phoneticPr fontId="2" type="noConversion"/>
  </si>
  <si>
    <t>Goi Thermal Power Station Replacement</t>
    <phoneticPr fontId="2" type="noConversion"/>
  </si>
  <si>
    <t>EPC-JERA, GT-Mitsubishi</t>
    <phoneticPr fontId="2" type="noConversion"/>
  </si>
  <si>
    <t>Anegasaki Thermal Power Station Replacement</t>
    <phoneticPr fontId="2" type="noConversion"/>
  </si>
  <si>
    <t>EPC-Mitsubishi, GT-Mitsubishi</t>
    <phoneticPr fontId="2" type="noConversion"/>
  </si>
  <si>
    <t>EPC계약 체결</t>
    <phoneticPr fontId="2" type="noConversion"/>
  </si>
  <si>
    <t>Chiba-Sodegaura Power Plant</t>
    <phoneticPr fontId="2" type="noConversion"/>
  </si>
  <si>
    <t>EPC-Hokkaido Electric, GT-Fuji Electric, HRSG-BHI</t>
    <phoneticPr fontId="2" type="noConversion"/>
  </si>
  <si>
    <t>건설계약 체결</t>
    <phoneticPr fontId="2" type="noConversion"/>
  </si>
  <si>
    <t>Ishikariwan Shinko Power Plant</t>
    <phoneticPr fontId="2" type="noConversion"/>
  </si>
  <si>
    <t>EPC-Toshiba, GT-GEV, ST-Toshiba, HRSG-BHI</t>
    <phoneticPr fontId="2" type="noConversion"/>
  </si>
  <si>
    <t>2029-2030</t>
    <phoneticPr fontId="2" type="noConversion"/>
  </si>
  <si>
    <t>Chita Thernal Power Station Units 7&amp;8</t>
    <phoneticPr fontId="2" type="noConversion"/>
  </si>
  <si>
    <t>EPC-Kyushu Electric Power</t>
    <phoneticPr fontId="2" type="noConversion"/>
  </si>
  <si>
    <t>건설중</t>
    <phoneticPr fontId="2" type="noConversion"/>
  </si>
  <si>
    <t>Hibiki LNG Power Plant</t>
    <phoneticPr fontId="2" type="noConversion"/>
  </si>
  <si>
    <t>수주예상</t>
    <phoneticPr fontId="2" type="noConversion"/>
  </si>
  <si>
    <t>입찰예정</t>
    <phoneticPr fontId="2" type="noConversion"/>
  </si>
  <si>
    <t>North Field East (NFE)</t>
    <phoneticPr fontId="2" type="noConversion"/>
  </si>
  <si>
    <t>카타르</t>
    <phoneticPr fontId="2" type="noConversion"/>
  </si>
  <si>
    <t>North Field South (NFS)</t>
    <phoneticPr fontId="2" type="noConversion"/>
  </si>
  <si>
    <t>2026-2027</t>
    <phoneticPr fontId="2" type="noConversion"/>
  </si>
  <si>
    <t>삼성물산(EPC), BHI 1600억 규모 수주계약 체결</t>
    <phoneticPr fontId="2" type="noConversion"/>
  </si>
  <si>
    <t>Facility E 담수발전플랜트</t>
    <phoneticPr fontId="2" type="noConversion"/>
  </si>
  <si>
    <t>Nuwaiseeb Power Plant Phase I</t>
    <phoneticPr fontId="2" type="noConversion"/>
  </si>
  <si>
    <t>Phase I 현대중공업, 두산중공업 참여, 수주예상</t>
    <phoneticPr fontId="2" type="noConversion"/>
  </si>
  <si>
    <t>입찰진행</t>
    <phoneticPr fontId="2" type="noConversion"/>
  </si>
  <si>
    <t>Al-Zour North Phase II &amp; III</t>
    <phoneticPr fontId="2" type="noConversion"/>
  </si>
  <si>
    <t>허가</t>
    <phoneticPr fontId="2" type="noConversion"/>
  </si>
  <si>
    <t>AI-Khiran Phase I</t>
    <phoneticPr fontId="2" type="noConversion"/>
  </si>
  <si>
    <t>BHI HRSG 2기 공급</t>
    <phoneticPr fontId="2" type="noConversion"/>
  </si>
  <si>
    <t>Sabiya Power Plant Phase IV</t>
    <phoneticPr fontId="2" type="noConversion"/>
  </si>
  <si>
    <t>자문</t>
    <phoneticPr fontId="2" type="noConversion"/>
  </si>
  <si>
    <t>2028-2030</t>
    <phoneticPr fontId="2" type="noConversion"/>
  </si>
  <si>
    <t>Al-Shuqaiq</t>
    <phoneticPr fontId="2" type="noConversion"/>
  </si>
  <si>
    <t>사우디아라비아</t>
    <phoneticPr fontId="2" type="noConversion"/>
  </si>
  <si>
    <t>Shoaiba</t>
    <phoneticPr fontId="2" type="noConversion"/>
  </si>
  <si>
    <t>입찰 취소</t>
    <phoneticPr fontId="2" type="noConversion"/>
  </si>
  <si>
    <t>Riyadh 16 IPP</t>
    <phoneticPr fontId="2" type="noConversion"/>
  </si>
  <si>
    <t>Al-Rais IPP</t>
    <phoneticPr fontId="2" type="noConversion"/>
  </si>
  <si>
    <t>Qurayyah IPP Expansion</t>
    <phoneticPr fontId="2" type="noConversion"/>
  </si>
  <si>
    <t>Hajar Power Expansion</t>
    <phoneticPr fontId="2" type="noConversion"/>
  </si>
  <si>
    <t>Ghazlan 2 Expansion</t>
    <phoneticPr fontId="2" type="noConversion"/>
  </si>
  <si>
    <t>Harbin Electirc (EPC), BHI (HRSG)</t>
    <phoneticPr fontId="2" type="noConversion"/>
  </si>
  <si>
    <t>2027-2028</t>
    <phoneticPr fontId="2" type="noConversion"/>
  </si>
  <si>
    <t>Rumah 2 &amp; Nairiyah 2</t>
    <phoneticPr fontId="2" type="noConversion"/>
  </si>
  <si>
    <t>두산에너빌리티&amp; SEPCO-3 (EPC), BHI (HRSG)</t>
    <phoneticPr fontId="2" type="noConversion"/>
  </si>
  <si>
    <t>Rumah 1 (Dhuruma) &amp; Nairiyah 1</t>
    <phoneticPr fontId="2" type="noConversion"/>
  </si>
  <si>
    <t>Taiba 2 &amp; Qassim 2</t>
    <phoneticPr fontId="2" type="noConversion"/>
  </si>
  <si>
    <t>BHI HRSG 6기 공급</t>
    <phoneticPr fontId="2" type="noConversion"/>
  </si>
  <si>
    <t>Taiba 1 &amp; Qassim 1</t>
    <phoneticPr fontId="2" type="noConversion"/>
  </si>
  <si>
    <t>HRSG 6기 업그레이드 수주 계약</t>
    <phoneticPr fontId="2" type="noConversion"/>
  </si>
  <si>
    <t>운영중</t>
    <phoneticPr fontId="2" type="noConversion"/>
  </si>
  <si>
    <t>상태</t>
    <phoneticPr fontId="2" type="noConversion"/>
  </si>
  <si>
    <t>설비용량(MW)</t>
    <phoneticPr fontId="2" type="noConversion"/>
  </si>
  <si>
    <t>준공예정</t>
    <phoneticPr fontId="2" type="noConversion"/>
  </si>
  <si>
    <t>프로젝트 명</t>
    <phoneticPr fontId="2" type="noConversion"/>
  </si>
  <si>
    <t>재생에너지</t>
  </si>
  <si>
    <t>신에너지</t>
  </si>
  <si>
    <t>하동#4 대체</t>
  </si>
  <si>
    <t>하동#4 (폐지)</t>
  </si>
  <si>
    <t>여수천연가스(태안#3 대체)</t>
  </si>
  <si>
    <t>태안#3 (폐지)</t>
  </si>
  <si>
    <t>삼천포#5 대체</t>
  </si>
  <si>
    <t>삼천포#5 (폐지)</t>
  </si>
  <si>
    <t>부천복합#2-2</t>
  </si>
  <si>
    <t>부천복합 (폐지)</t>
  </si>
  <si>
    <t>수원열병합 대체</t>
  </si>
  <si>
    <t>용인#6복합(태안#6 대체)</t>
  </si>
  <si>
    <t>수원열병합 (폐지)</t>
  </si>
  <si>
    <t>태안#6 (폐지)</t>
  </si>
  <si>
    <t>용인#5복합(태안#5 대체)</t>
  </si>
  <si>
    <t>태안#5 (폐지)</t>
  </si>
  <si>
    <t>하동복합#1(하동#2·3 대체)</t>
  </si>
  <si>
    <t>하동#3 (폐지)</t>
  </si>
  <si>
    <t>하동#2 (폐지)</t>
  </si>
  <si>
    <t>봉화양수(보령#4 대체)</t>
  </si>
  <si>
    <t>신규 열병합</t>
  </si>
  <si>
    <t>함안천연가스(보령#6 대체)</t>
  </si>
  <si>
    <t>분당복합#2 대체</t>
  </si>
  <si>
    <t>보령#6 (폐지)</t>
  </si>
  <si>
    <t>분당복합#2 (폐지)</t>
  </si>
  <si>
    <t>제주청정에너지복합ST</t>
  </si>
  <si>
    <t>신규 발전설비 (무탄소시장)</t>
  </si>
  <si>
    <t>제주복합#3ST</t>
  </si>
  <si>
    <t>영양양수</t>
  </si>
  <si>
    <t>분당복합#1 대체</t>
  </si>
  <si>
    <t>당진#6 대체</t>
  </si>
  <si>
    <t>용인#4복합(하동#6 대체)</t>
  </si>
  <si>
    <t>분당복합#1 (폐지)</t>
  </si>
  <si>
    <t>당진#6 (폐지)</t>
  </si>
  <si>
    <t>하동#6 (폐지)</t>
  </si>
  <si>
    <t>당진#5 대체</t>
  </si>
  <si>
    <t>당진#5 (폐지)</t>
  </si>
  <si>
    <t>제주청정에너지복합GT</t>
  </si>
  <si>
    <t>제주복합#3GT</t>
  </si>
  <si>
    <t>용인#3복합(하동#5 대체)</t>
  </si>
  <si>
    <t>고성천연가스(삼천포#3,4 대체)</t>
  </si>
  <si>
    <t>하동#5 (폐지)</t>
  </si>
  <si>
    <t>삼천포#4 (폐지)</t>
  </si>
  <si>
    <t>삼천포#3 (폐지)</t>
  </si>
  <si>
    <t>신규SMR #1 (모듈 4)</t>
  </si>
  <si>
    <t>신규SMR #1 (모듈 3)</t>
  </si>
  <si>
    <t>용인#2복합(당진#4 대체)</t>
  </si>
  <si>
    <t>대산복합 대체</t>
  </si>
  <si>
    <t>당진#4 (폐지)</t>
  </si>
  <si>
    <t>대산복합 (폐지)</t>
  </si>
  <si>
    <t>용인#1복합(당진#3 대체)</t>
  </si>
  <si>
    <t>청주열병합 대체</t>
  </si>
  <si>
    <t>신규SMR #1 (모듈 2)</t>
  </si>
  <si>
    <t>당진#3 (폐지)</t>
  </si>
  <si>
    <t>공주천연가스(태안#2 대체)</t>
  </si>
  <si>
    <t>제주 BESS#2</t>
  </si>
  <si>
    <t>합천양수</t>
  </si>
  <si>
    <t>태안#2 (폐지)</t>
  </si>
  <si>
    <t>제주 BESS#1</t>
  </si>
  <si>
    <t>재생에너지</t>
    <phoneticPr fontId="2" type="noConversion"/>
  </si>
  <si>
    <t>새울#4</t>
  </si>
  <si>
    <t>평택#4 (폐지)</t>
  </si>
  <si>
    <t>영흥#2 대체</t>
  </si>
  <si>
    <t>여수그린에너지</t>
  </si>
  <si>
    <t>평택#3 (폐지)</t>
  </si>
  <si>
    <t>영흥#2 (폐지)</t>
  </si>
  <si>
    <t>평택#2 (폐지)</t>
  </si>
  <si>
    <t>신규SMR #1 (모듈 1)</t>
  </si>
  <si>
    <t>평택#1 (폐지)</t>
  </si>
  <si>
    <t>신호남복합(당진#1,2 대체)</t>
  </si>
  <si>
    <t>보령천연가스(보령#5 대체)</t>
  </si>
  <si>
    <t>삼척#2</t>
  </si>
  <si>
    <t>당진#2 (폐지)</t>
  </si>
  <si>
    <t>보령#5 (폐지)</t>
  </si>
  <si>
    <t>신규 발전설비 (전원 유보)</t>
  </si>
  <si>
    <t>당진#1 (폐지)</t>
  </si>
  <si>
    <t>안동복합#2(하동#1 대체)</t>
  </si>
  <si>
    <t>영흥#1 대체</t>
  </si>
  <si>
    <t>태안#4 대체</t>
  </si>
  <si>
    <t>하동#1 (폐지)</t>
  </si>
  <si>
    <t>울산GPS복합</t>
  </si>
  <si>
    <t>영흥#1 (폐지)</t>
  </si>
  <si>
    <t>태안#4 (폐지)</t>
  </si>
  <si>
    <t>새울#3</t>
  </si>
  <si>
    <t>통영천연가스</t>
  </si>
  <si>
    <t>삼천포#6 대체</t>
  </si>
  <si>
    <t>대구열병합 대체</t>
  </si>
  <si>
    <t>삼천포#6 (폐지)</t>
  </si>
  <si>
    <t>동해#1,2 대체</t>
  </si>
  <si>
    <t>구미천연가스(태안#1 대체)</t>
  </si>
  <si>
    <t>신한울#4</t>
    <phoneticPr fontId="2" type="noConversion"/>
  </si>
  <si>
    <t>동해#2 (폐지)</t>
  </si>
  <si>
    <t>태안#1 (폐지)</t>
  </si>
  <si>
    <t>신세종복합</t>
  </si>
  <si>
    <t>동해#1 (폐지)</t>
  </si>
  <si>
    <t>부천복합#2-1</t>
  </si>
  <si>
    <t>삼척#1</t>
  </si>
  <si>
    <t>대구열병합 (폐지)</t>
  </si>
  <si>
    <t>제주 BESS#3</t>
  </si>
  <si>
    <t>제주내연#2 (폐지)</t>
  </si>
  <si>
    <t>성림에너지</t>
  </si>
  <si>
    <t>김포열병합(GT교체)</t>
  </si>
  <si>
    <t>신한울#2</t>
  </si>
  <si>
    <t>빌전설비</t>
    <phoneticPr fontId="2" type="noConversion"/>
  </si>
  <si>
    <t>월</t>
    <phoneticPr fontId="2" type="noConversion"/>
  </si>
  <si>
    <t>연도</t>
    <phoneticPr fontId="2" type="noConversion"/>
  </si>
  <si>
    <t>발전설비</t>
    <phoneticPr fontId="2" type="noConversion"/>
  </si>
  <si>
    <t>설비용량(MW)</t>
  </si>
  <si>
    <t>발전설비</t>
  </si>
  <si>
    <t>월</t>
  </si>
  <si>
    <t>연도</t>
  </si>
  <si>
    <t>장기</t>
    <phoneticPr fontId="2" type="noConversion"/>
  </si>
  <si>
    <t>중기</t>
    <phoneticPr fontId="2" type="noConversion"/>
  </si>
  <si>
    <t>단기</t>
    <phoneticPr fontId="2" type="noConversion"/>
  </si>
  <si>
    <t>과거</t>
    <phoneticPr fontId="2" type="noConversion"/>
  </si>
  <si>
    <t>HRSG 중동</t>
    <phoneticPr fontId="2" type="noConversion"/>
  </si>
  <si>
    <t>HRSG 일본</t>
    <phoneticPr fontId="2" type="noConversion"/>
  </si>
  <si>
    <t>HRSG 국내</t>
    <phoneticPr fontId="2" type="noConversion"/>
  </si>
  <si>
    <t>HRSG 전체</t>
    <phoneticPr fontId="2" type="noConversion"/>
  </si>
  <si>
    <t>Sabiya Phase IV (900MW)</t>
    <phoneticPr fontId="2" type="noConversion"/>
  </si>
  <si>
    <t>Al-Khiran Phase I (1800MW)</t>
    <phoneticPr fontId="2" type="noConversion"/>
  </si>
  <si>
    <t>Phase II (1800MW)</t>
    <phoneticPr fontId="2" type="noConversion"/>
  </si>
  <si>
    <t>Phase III (1800MW)</t>
    <phoneticPr fontId="2" type="noConversion"/>
  </si>
  <si>
    <t>Al-Zour Northh Phase II &amp; III (통합진행, 2700MW)</t>
    <phoneticPr fontId="2" type="noConversion"/>
  </si>
  <si>
    <t>Phase IV &amp; V (추후확정)</t>
    <phoneticPr fontId="2" type="noConversion"/>
  </si>
  <si>
    <t>Nuwaiseeb Phase I (3600MW)</t>
    <phoneticPr fontId="2" type="noConversion"/>
  </si>
  <si>
    <t>Phase II (3600MW)</t>
    <phoneticPr fontId="2" type="noConversion"/>
  </si>
  <si>
    <t>Gulf Spic</t>
    <phoneticPr fontId="2" type="noConversion"/>
  </si>
  <si>
    <t>허가 진행</t>
    <phoneticPr fontId="2" type="noConversion"/>
  </si>
  <si>
    <t>설계</t>
    <phoneticPr fontId="2" type="noConversion"/>
  </si>
  <si>
    <t>EPC-Kiewit Power</t>
    <phoneticPr fontId="2" type="noConversion"/>
  </si>
  <si>
    <t>Homer City Energy Campus (펜실베이니아)</t>
    <phoneticPr fontId="2" type="noConversion"/>
  </si>
  <si>
    <t>Kingston Energy Complex (테네시)</t>
    <phoneticPr fontId="2" type="noConversion"/>
  </si>
  <si>
    <t>Mill Creek 5 (켄터키)</t>
    <phoneticPr fontId="2" type="noConversion"/>
  </si>
  <si>
    <t>EPC-Kiewit, GT-GEV, HRSG-Vogt Power*</t>
    <phoneticPr fontId="2" type="noConversion"/>
  </si>
  <si>
    <t>EPC-Kiewit Power, GT-GEV, HRSG-Vogt Power*</t>
    <phoneticPr fontId="2" type="noConversion"/>
  </si>
  <si>
    <t>FGE Texas Westbrook Phase I</t>
    <phoneticPr fontId="2" type="noConversion"/>
  </si>
  <si>
    <t>착공예정</t>
    <phoneticPr fontId="2" type="noConversion"/>
  </si>
  <si>
    <t>EPC-SNC Lavalin, GT-Siemens</t>
    <phoneticPr fontId="2" type="noConversion"/>
  </si>
  <si>
    <t xml:space="preserve">FGE Texas Phase II </t>
    <phoneticPr fontId="2" type="noConversion"/>
  </si>
  <si>
    <t>Monroe County CCPP (조지아)</t>
    <phoneticPr fontId="2" type="noConversion"/>
  </si>
  <si>
    <t>허가신청</t>
    <phoneticPr fontId="2" type="noConversion"/>
  </si>
  <si>
    <t>Oglethorpe Power, EPC-GEV</t>
    <phoneticPr fontId="2" type="noConversion"/>
  </si>
  <si>
    <t>Oglethorpe Power</t>
    <phoneticPr fontId="2" type="noConversion"/>
  </si>
  <si>
    <t>TVA Kingston (테네시)</t>
    <phoneticPr fontId="2" type="noConversion"/>
  </si>
  <si>
    <t>Oglethorpe Talbot Unit 7 (조지아)</t>
    <phoneticPr fontId="2" type="noConversion"/>
  </si>
  <si>
    <t>TVA, GEV</t>
    <phoneticPr fontId="2" type="noConversion"/>
  </si>
  <si>
    <t>Duke Energy Anderson</t>
    <phoneticPr fontId="2" type="noConversion"/>
  </si>
  <si>
    <t>Duke Energy Roxboro (노스캐롤라이나)</t>
    <phoneticPr fontId="2" type="noConversion"/>
  </si>
  <si>
    <t>2028-2029</t>
    <phoneticPr fontId="2" type="noConversion"/>
  </si>
  <si>
    <t>FW 네트워크 활용</t>
    <phoneticPr fontId="2" type="noConversion"/>
  </si>
  <si>
    <t>미국</t>
  </si>
  <si>
    <t>Siemens</t>
    <phoneticPr fontId="2" type="noConversion"/>
  </si>
  <si>
    <t>HRSG 미국</t>
    <phoneticPr fontId="2" type="noConversion"/>
  </si>
  <si>
    <t>현재</t>
    <phoneticPr fontId="2" type="noConversion"/>
  </si>
  <si>
    <t>2027 (NFE)</t>
    <phoneticPr fontId="2" type="noConversion"/>
  </si>
  <si>
    <t>2028 (NFS)</t>
    <phoneticPr fontId="2" type="noConversion"/>
  </si>
  <si>
    <t>2030 (NFW)</t>
    <phoneticPr fontId="2" type="noConversion"/>
  </si>
  <si>
    <t>24년 쿠웨이트 수주규모</t>
    <phoneticPr fontId="2" type="noConversion"/>
  </si>
  <si>
    <t>Alghanim</t>
    <phoneticPr fontId="2" type="noConversion"/>
  </si>
  <si>
    <t>Sayed Hamid</t>
    <phoneticPr fontId="2" type="noConversion"/>
  </si>
  <si>
    <t>Spetco</t>
    <phoneticPr fontId="2" type="noConversion"/>
  </si>
  <si>
    <t>Combined Group</t>
    <phoneticPr fontId="2" type="noConversion"/>
  </si>
  <si>
    <t>2Q26</t>
  </si>
  <si>
    <t>4Q26</t>
  </si>
  <si>
    <t>3Q27</t>
  </si>
  <si>
    <t>4Q27</t>
  </si>
  <si>
    <t>1Q27</t>
  </si>
  <si>
    <t>2Q27</t>
  </si>
  <si>
    <t>1Q28</t>
  </si>
  <si>
    <t>2Q28</t>
  </si>
  <si>
    <t>1Q29</t>
  </si>
  <si>
    <t>1Q29</t>
    <phoneticPr fontId="2" type="noConversion"/>
  </si>
  <si>
    <t>4Q28</t>
  </si>
  <si>
    <t>삼천포#5</t>
    <phoneticPr fontId="2" type="noConversion"/>
  </si>
  <si>
    <t>보일러(Boiler)</t>
    <phoneticPr fontId="2" type="noConversion"/>
  </si>
  <si>
    <t>% of sale</t>
    <phoneticPr fontId="2" type="noConversion"/>
  </si>
  <si>
    <t>1Q26</t>
  </si>
  <si>
    <t>3Q26</t>
  </si>
  <si>
    <t>3Q28</t>
  </si>
  <si>
    <t>2Q29</t>
  </si>
  <si>
    <t>3Q29</t>
  </si>
  <si>
    <t>4Q29</t>
  </si>
  <si>
    <t>.</t>
  </si>
  <si>
    <t>1Q30</t>
  </si>
  <si>
    <t>2Q30</t>
  </si>
  <si>
    <t>3Q30</t>
  </si>
  <si>
    <t>4Q30</t>
  </si>
  <si>
    <t>1Q31</t>
  </si>
  <si>
    <t>2Q31</t>
  </si>
  <si>
    <t>3Q31</t>
  </si>
  <si>
    <t>4Q31</t>
  </si>
  <si>
    <t>1Q32</t>
  </si>
  <si>
    <t>2Q32</t>
  </si>
  <si>
    <t>3Q32</t>
  </si>
  <si>
    <t>4Q32</t>
  </si>
  <si>
    <t>1Q33</t>
  </si>
  <si>
    <t>2Q33</t>
  </si>
  <si>
    <t>3Q33</t>
  </si>
  <si>
    <t>4Q33</t>
  </si>
  <si>
    <t>4Q29</t>
    <phoneticPr fontId="2" type="noConversion"/>
  </si>
  <si>
    <t>1Q32</t>
    <phoneticPr fontId="2" type="noConversion"/>
  </si>
  <si>
    <t>4Q30</t>
    <phoneticPr fontId="2" type="noConversion"/>
  </si>
  <si>
    <t>BULL</t>
    <phoneticPr fontId="2" type="noConversion"/>
  </si>
  <si>
    <t>BEAR</t>
    <phoneticPr fontId="2" type="noConversion"/>
  </si>
  <si>
    <t>BASE</t>
    <phoneticPr fontId="2" type="noConversion"/>
  </si>
  <si>
    <t>4Q25</t>
  </si>
  <si>
    <t>인식Q</t>
    <phoneticPr fontId="2" type="noConversion"/>
  </si>
  <si>
    <t>2Q29</t>
    <phoneticPr fontId="2" type="noConversion"/>
  </si>
  <si>
    <t>1Q21</t>
    <phoneticPr fontId="2" type="noConversion"/>
  </si>
  <si>
    <t>2Q21</t>
    <phoneticPr fontId="2" type="noConversion"/>
  </si>
  <si>
    <t>3Q21</t>
    <phoneticPr fontId="2" type="noConversion"/>
  </si>
  <si>
    <t>1Q30</t>
    <phoneticPr fontId="2" type="noConversion"/>
  </si>
  <si>
    <t>전체</t>
    <phoneticPr fontId="2" type="noConversion"/>
  </si>
  <si>
    <t>3Q25</t>
  </si>
  <si>
    <t>계약기간(Q)</t>
    <phoneticPr fontId="2" type="noConversion"/>
  </si>
  <si>
    <t>4Q20</t>
    <phoneticPr fontId="2" type="noConversion"/>
  </si>
  <si>
    <t>4Q21</t>
    <phoneticPr fontId="2" type="noConversion"/>
  </si>
  <si>
    <t>1Q22</t>
    <phoneticPr fontId="2" type="noConversion"/>
  </si>
  <si>
    <t>2Q22</t>
    <phoneticPr fontId="2" type="noConversion"/>
  </si>
  <si>
    <t>3Q22</t>
    <phoneticPr fontId="2" type="noConversion"/>
  </si>
  <si>
    <t>4Q22</t>
    <phoneticPr fontId="2" type="noConversion"/>
  </si>
  <si>
    <t>3Q29</t>
    <phoneticPr fontId="2" type="noConversion"/>
  </si>
  <si>
    <t>3Q30</t>
    <phoneticPr fontId="2" type="noConversion"/>
  </si>
  <si>
    <t>선금10%</t>
    <phoneticPr fontId="2" type="noConversion"/>
  </si>
  <si>
    <t>진행률</t>
    <phoneticPr fontId="2" type="noConversion"/>
  </si>
  <si>
    <t>Rabigh2 Upgrade</t>
    <phoneticPr fontId="2" type="noConversion"/>
  </si>
  <si>
    <t>6개 패키지 (4 on shore, 2 off shore), $13bn / $2bn (삼성C&amp;T) / $1bn, Total On-shore Pck $28.8bn</t>
    <phoneticPr fontId="2" type="noConversion"/>
  </si>
  <si>
    <t>Total On-shore Pck $10bn</t>
    <phoneticPr fontId="2" type="noConversion"/>
  </si>
  <si>
    <t>Total On-shore Pck (E) $10bn, 삼성C&amp;T 7%, HRSG 설비 비중 10%</t>
    <phoneticPr fontId="2" type="noConversion"/>
  </si>
  <si>
    <t>사우디 Shoaiba</t>
    <phoneticPr fontId="2" type="noConversion"/>
  </si>
  <si>
    <t>사우디 Al-Shuqaiq</t>
    <phoneticPr fontId="2" type="noConversion"/>
  </si>
  <si>
    <t>확실</t>
  </si>
  <si>
    <t>사우디 발전소 업그레이드</t>
    <phoneticPr fontId="2" type="noConversion"/>
  </si>
  <si>
    <t>행 레이블</t>
  </si>
  <si>
    <t>합계 : 계약금액(백만원)</t>
  </si>
  <si>
    <t>(비어 있음)</t>
  </si>
  <si>
    <t>총합계</t>
  </si>
  <si>
    <t>(주)포스코이앤씨</t>
  </si>
  <si>
    <t>FuJi Electric</t>
  </si>
  <si>
    <t>San Miguel Global Power Holdings(SMCGP)</t>
  </si>
  <si>
    <t>씨지앤대산전력</t>
  </si>
  <si>
    <t>에스케이에코엔지니어링㈜</t>
  </si>
  <si>
    <t>포스코</t>
  </si>
  <si>
    <t>한국수력원자력㈜ 새울원자력본부</t>
  </si>
  <si>
    <t>한국지역난방 수원지사</t>
  </si>
  <si>
    <t>한화건설</t>
  </si>
  <si>
    <t>현대엔지니어링</t>
  </si>
  <si>
    <t>1Q31</t>
    <phoneticPr fontId="2" type="noConversion"/>
  </si>
  <si>
    <t>#3번 시나리오 2배 기간으로 적용</t>
    <phoneticPr fontId="2" type="noConversion"/>
  </si>
  <si>
    <t>1Q33</t>
    <phoneticPr fontId="2" type="noConversion"/>
  </si>
  <si>
    <t>1Q34</t>
    <phoneticPr fontId="2" type="noConversion"/>
  </si>
  <si>
    <t>Base</t>
  </si>
  <si>
    <t>YoY %</t>
    <phoneticPr fontId="43" type="noConversion"/>
  </si>
  <si>
    <t>공사기한 10개월</t>
    <phoneticPr fontId="2" type="noConversion"/>
  </si>
  <si>
    <t>발주처</t>
    <phoneticPr fontId="2" type="noConversion"/>
  </si>
  <si>
    <t>선금 30%</t>
    <phoneticPr fontId="2" type="noConversion"/>
  </si>
  <si>
    <t>착공시점</t>
    <phoneticPr fontId="2" type="noConversion"/>
  </si>
  <si>
    <t>가동목표시점</t>
    <phoneticPr fontId="2" type="noConversion"/>
  </si>
  <si>
    <t xml:space="preserve">보조기기 공급계약 시점 추정 논리 </t>
    <phoneticPr fontId="2" type="noConversion"/>
  </si>
  <si>
    <t>공급계약시점(착공기준 몇분기 이전인지)</t>
    <phoneticPr fontId="2" type="noConversion"/>
  </si>
  <si>
    <t>SSLW</t>
    <phoneticPr fontId="2" type="noConversion"/>
  </si>
  <si>
    <t>CLP, CPP</t>
    <phoneticPr fontId="2" type="noConversion"/>
  </si>
  <si>
    <t>Condenser</t>
    <phoneticPr fontId="2" type="noConversion"/>
  </si>
  <si>
    <t>Feedwater Heaters &amp; Deaerators</t>
    <phoneticPr fontId="2" type="noConversion"/>
  </si>
  <si>
    <t>한수원</t>
    <phoneticPr fontId="2" type="noConversion"/>
  </si>
  <si>
    <t>새울 3,4호기 SSLW</t>
    <phoneticPr fontId="2" type="noConversion"/>
  </si>
  <si>
    <t xml:space="preserve">선급금 </t>
    <phoneticPr fontId="2" type="noConversion"/>
  </si>
  <si>
    <t>한수원</t>
  </si>
  <si>
    <t>새울 3,4호기 CLP</t>
    <phoneticPr fontId="2" type="noConversion"/>
  </si>
  <si>
    <r>
      <rPr>
        <b/>
        <sz val="11"/>
        <color theme="1"/>
        <rFont val="KoPubWorld돋움체 Light"/>
        <family val="3"/>
        <charset val="129"/>
      </rPr>
      <t>결론:</t>
    </r>
    <r>
      <rPr>
        <sz val="11"/>
        <color theme="1"/>
        <rFont val="KoPubWorld돋움체 Light"/>
        <family val="3"/>
        <charset val="129"/>
      </rPr>
      <t xml:space="preserve"> 통상적인 BOP 계약시기 및 과거 수주 사례(UAE 바라카 프로젝트 및 미국 보글 3,4호기-섬머 3,4호기)의 수주 시점을 고려하여, 다음과 같이 추정하였다. 					
</t>
    </r>
    <r>
      <rPr>
        <u/>
        <sz val="11"/>
        <color theme="1"/>
        <rFont val="KoPubWorld돋움체 Light"/>
        <family val="3"/>
        <charset val="129"/>
      </rPr>
      <t>근거1</t>
    </r>
    <r>
      <rPr>
        <sz val="11"/>
        <color theme="1"/>
        <rFont val="KoPubWorld돋움체 Light"/>
        <family val="3"/>
        <charset val="129"/>
      </rPr>
      <t xml:space="preserve">. 보조기기는 주로 시공사 및 주기기 공급업체 선정 1,2년 후 ~ 구조물 공사 시작(착공)전 12~18개월 전에 공급 계약을 진행한다. 또한 구조물의 시공 단계별로 수주가 진행되며, 보통 격납건물용인 SSLW, CLP, CPP가 먼저 발주되고, 다음으로 복수기가 발주되며, 마지막으로 착공 이전 급수가열기 및 탈기기의 발주가 진행된다. 					
</t>
    </r>
    <r>
      <rPr>
        <u/>
        <sz val="11"/>
        <color theme="1"/>
        <rFont val="KoPubWorld돋움체 Light"/>
        <family val="3"/>
        <charset val="129"/>
      </rPr>
      <t>근거2.</t>
    </r>
    <r>
      <rPr>
        <sz val="11"/>
        <color theme="1"/>
        <rFont val="KoPubWorld돋움체 Light"/>
        <family val="3"/>
        <charset val="129"/>
      </rPr>
      <t xml:space="preserve"> 한편 국내에서 진행되는 프로젝트와 달리, 해외 프로젝트는 대형부품의 출하 및 선적, 현지 공급망 통과, 설계사 검안 등의 이유로 추가적인 시간이 소요된다. 따라서 통상적인 수주시기보다 이른 시점에 발주가 진행된다.
</t>
    </r>
    <r>
      <rPr>
        <sz val="10"/>
        <color rgb="FFFF0000"/>
        <rFont val="KoPubWorld돋움체 Light"/>
        <family val="3"/>
        <charset val="129"/>
      </rPr>
      <t xml:space="preserve">
* 단, 폴란드는 동사가 현지업체 ZKE Ferrum과 폴란드 원전 보조기기 개발 및 공급 협력을 체결했기 때문에, CLP, CPP, SSLW의 패키징이 가능하다고 가정하였다</t>
    </r>
    <r>
      <rPr>
        <sz val="11"/>
        <color theme="1"/>
        <rFont val="KoPubWorld돋움체 Light"/>
        <family val="3"/>
        <charset val="129"/>
      </rPr>
      <t>.</t>
    </r>
    <phoneticPr fontId="2" type="noConversion"/>
  </si>
  <si>
    <t>4Q</t>
    <phoneticPr fontId="2" type="noConversion"/>
  </si>
  <si>
    <t>2Q</t>
    <phoneticPr fontId="2" type="noConversion"/>
  </si>
  <si>
    <t>1Q</t>
    <phoneticPr fontId="2" type="noConversion"/>
  </si>
  <si>
    <t>새울 3,4호기 Feedwater Heater &amp; Deareators</t>
    <phoneticPr fontId="2" type="noConversion"/>
  </si>
  <si>
    <t>평균 공급기간</t>
    <phoneticPr fontId="2" type="noConversion"/>
  </si>
  <si>
    <t>CLP 및 CPP</t>
    <phoneticPr fontId="2" type="noConversion"/>
  </si>
  <si>
    <t>FH &amp; D</t>
    <phoneticPr fontId="2" type="noConversion"/>
  </si>
  <si>
    <t>해외(한수원 향)</t>
    <phoneticPr fontId="2" type="noConversion"/>
  </si>
  <si>
    <t>6Q</t>
    <phoneticPr fontId="2" type="noConversion"/>
  </si>
  <si>
    <t>3Q</t>
    <phoneticPr fontId="2" type="noConversion"/>
  </si>
  <si>
    <t>신한울 3,4호기 CLP, CPP</t>
    <phoneticPr fontId="2" type="noConversion"/>
  </si>
  <si>
    <t>개월</t>
    <phoneticPr fontId="2" type="noConversion"/>
  </si>
  <si>
    <t>해외(웨스팅하우스 향)</t>
    <phoneticPr fontId="2" type="noConversion"/>
  </si>
  <si>
    <t>신한울 3,4호기 SSLW</t>
    <phoneticPr fontId="2" type="noConversion"/>
  </si>
  <si>
    <t>신한울 3,4호기 Condenser</t>
    <phoneticPr fontId="2" type="noConversion"/>
  </si>
  <si>
    <t>품목별 평균 공급기간</t>
    <phoneticPr fontId="2" type="noConversion"/>
  </si>
  <si>
    <t>신한울 3,4호기 Feedwater Heater &amp; Deareators</t>
    <phoneticPr fontId="2" type="noConversion"/>
  </si>
  <si>
    <t>신규 원전 2기 CLP, CPP</t>
  </si>
  <si>
    <t>2Q31</t>
    <phoneticPr fontId="2" type="noConversion"/>
  </si>
  <si>
    <t>신규 원전 2기 SSLW</t>
  </si>
  <si>
    <t>신규 원전 2기 Condenser</t>
  </si>
  <si>
    <t>신규 원전 2기 Feedwater Heater &amp; Deareators</t>
    <phoneticPr fontId="2" type="noConversion"/>
  </si>
  <si>
    <t>유럽</t>
    <phoneticPr fontId="2" type="noConversion"/>
  </si>
  <si>
    <t>총사업비</t>
    <phoneticPr fontId="2" type="noConversion"/>
  </si>
  <si>
    <t>신한울 ASP</t>
    <phoneticPr fontId="2" type="noConversion"/>
  </si>
  <si>
    <t>새울 ASP</t>
    <phoneticPr fontId="2" type="noConversion"/>
  </si>
  <si>
    <t>적용 ASP</t>
    <phoneticPr fontId="2" type="noConversion"/>
  </si>
  <si>
    <t>History</t>
  </si>
  <si>
    <t>웨스팅하우스</t>
    <phoneticPr fontId="2" type="noConversion"/>
  </si>
  <si>
    <t>미국 보글 3,4호기, 썸머 2,3호기 Condenser</t>
  </si>
  <si>
    <t>새울 3,4호기</t>
    <phoneticPr fontId="2" type="noConversion"/>
  </si>
  <si>
    <t>웨스팅하우스</t>
  </si>
  <si>
    <t>미국 보글 3,4호기, 썸머 2,3호기 Water Box</t>
  </si>
  <si>
    <t>신한울 3,4호기</t>
    <phoneticPr fontId="2" type="noConversion"/>
  </si>
  <si>
    <t>미국 보글 3,4호기, 썸머 2,3호기 CPP</t>
  </si>
  <si>
    <t>두코바니</t>
    <phoneticPr fontId="2" type="noConversion"/>
  </si>
  <si>
    <t>한국전력공사</t>
    <phoneticPr fontId="2" type="noConversion"/>
  </si>
  <si>
    <t>UAE 바라카 1~4호기 SSLW</t>
  </si>
  <si>
    <t>포메라니아</t>
    <phoneticPr fontId="2" type="noConversion"/>
  </si>
  <si>
    <t>UAE 바라카 1~4호기 Feedwater Heater &amp; Deareators</t>
    <phoneticPr fontId="2" type="noConversion"/>
  </si>
  <si>
    <t xml:space="preserve">보조기기 공급 품목 추정 논리 </t>
    <phoneticPr fontId="2" type="noConversion"/>
  </si>
  <si>
    <t>체코</t>
    <phoneticPr fontId="2" type="noConversion"/>
  </si>
  <si>
    <t xml:space="preserve"> 두코바니 5,6호기 SSLW</t>
  </si>
  <si>
    <t xml:space="preserve">1. 국내 및 해외 한수원향 수주는 BOP 패키징으로 수주가 진행되어, 주요 품목인 SSLW, CLP, CCP, Condenser, FH&amp;D 모두 수주되는 것으로 가정하였다. 
2. 해외 웨스팅하우스 향 수주는 CLP 및 CPP, Condenser의 수주만 가정한다. 웨스팅하우스는 "Buy where we build"라는 슬로건을 내세워 현지중심 공급망 확보에 주력한다. 따라서 주요설비 외 품목들은 현지기업을 통해 조달할 가능성이 높다. 다만 CLP, CPP, Condenser 등은 원전의 안전과 관련된 고도의 기술력을 요구하며 과거 납품 레퍼런스가 있는 제품이기에 수주 가능성이 높다고 판단한다. </t>
    <phoneticPr fontId="2" type="noConversion"/>
  </si>
  <si>
    <t xml:space="preserve"> 두코바니 5,6호기 CLP, CPP</t>
  </si>
  <si>
    <t xml:space="preserve"> 두코바니 5,6호기 Condenser</t>
  </si>
  <si>
    <t xml:space="preserve"> 두코바니 5,6호기 Feedwater Heater &amp; Deareators</t>
  </si>
  <si>
    <t xml:space="preserve"> 테믈린 3,4호기 SSLW</t>
  </si>
  <si>
    <t xml:space="preserve"> 테믈린 3,4호기 CLP, CPP</t>
  </si>
  <si>
    <t xml:space="preserve"> 테믈린 3,4호기 Condenser</t>
  </si>
  <si>
    <t xml:space="preserve"> 테믈린 3,4호기 Feedwater Heater &amp; Deareators</t>
  </si>
  <si>
    <t>4Q31</t>
    <phoneticPr fontId="2" type="noConversion"/>
  </si>
  <si>
    <t>폴란드</t>
    <phoneticPr fontId="2" type="noConversion"/>
  </si>
  <si>
    <t xml:space="preserve"> 포메라니아 1단계 원전 SSLW</t>
  </si>
  <si>
    <t xml:space="preserve"> 포메라니아 1단계 원전 CLP, CPP</t>
  </si>
  <si>
    <t xml:space="preserve"> 포메라니아 1단계 원전 Condenser</t>
  </si>
  <si>
    <t xml:space="preserve"> 포메라니아 1단계 원전 Feedwater Heater &amp; Deareators</t>
  </si>
  <si>
    <t>네덜란드</t>
    <phoneticPr fontId="2" type="noConversion"/>
  </si>
  <si>
    <t>보르셀 원자력 발전소</t>
    <phoneticPr fontId="2" type="noConversion"/>
  </si>
  <si>
    <t>불가리아</t>
    <phoneticPr fontId="2" type="noConversion"/>
  </si>
  <si>
    <t>웨스팅하우스(현대건설)</t>
    <phoneticPr fontId="2" type="noConversion"/>
  </si>
  <si>
    <t>코즐로두이 원자력 발전소</t>
    <phoneticPr fontId="2" type="noConversion"/>
  </si>
  <si>
    <t>슬로베니아</t>
    <phoneticPr fontId="2" type="noConversion"/>
  </si>
  <si>
    <t>크루슈코 원전 2호기</t>
    <phoneticPr fontId="2" type="noConversion"/>
  </si>
  <si>
    <t>2Q32</t>
    <phoneticPr fontId="2" type="noConversion"/>
  </si>
  <si>
    <t>핀란드</t>
    <phoneticPr fontId="2" type="noConversion"/>
  </si>
  <si>
    <t>국영기업 Fortum의 신규 원전 프로젝트</t>
    <phoneticPr fontId="2" type="noConversion"/>
  </si>
  <si>
    <t>북미</t>
    <phoneticPr fontId="2" type="noConversion"/>
  </si>
  <si>
    <t>패키징 수주, 1년마다 1개 프로젝트씩, 대형원전과 SMR 총합 10기이므로 7:3 비중을 가정</t>
    <phoneticPr fontId="2" type="noConversion"/>
  </si>
  <si>
    <t>뉴욕 원전 프로젝트(CPP, SSLW, Condenser)</t>
    <phoneticPr fontId="2" type="noConversion"/>
  </si>
  <si>
    <t>2,3호기(CPP, SSLW, Condenser)</t>
    <phoneticPr fontId="2" type="noConversion"/>
  </si>
  <si>
    <t>4,5호기(CPP, SSLW, Condenser)</t>
    <phoneticPr fontId="2" type="noConversion"/>
  </si>
  <si>
    <t>6,7호기(CPP, SSLW, Condenser)</t>
    <phoneticPr fontId="2" type="noConversion"/>
  </si>
  <si>
    <t>중동지역은 한국전력공사가 담당하므로, UAE 바라카와 유사한 규모의 수주 예상</t>
    <phoneticPr fontId="2" type="noConversion"/>
  </si>
  <si>
    <t>튀르키예</t>
    <phoneticPr fontId="2" type="noConversion"/>
  </si>
  <si>
    <t>Sinop지역 원전 프로젝트 - 25년말 계약사 선정.</t>
    <phoneticPr fontId="2" type="noConversion"/>
  </si>
  <si>
    <t>UAE</t>
    <phoneticPr fontId="2" type="noConversion"/>
  </si>
  <si>
    <t>바라카 5,6호기 프로젝트(계획 및 검토단계, 최대 20조원 규모, 25년안에 입찰 시작. 32년 가동 목표)</t>
    <phoneticPr fontId="2" type="noConversion"/>
  </si>
  <si>
    <t>사우디</t>
    <phoneticPr fontId="2" type="noConversion"/>
  </si>
  <si>
    <t>계약사 입찰 진행중(22년 5월. 한국/프랑스/러시아 참여) - 2030년</t>
    <phoneticPr fontId="2" type="noConversion"/>
  </si>
  <si>
    <t>품목</t>
    <phoneticPr fontId="2" type="noConversion"/>
  </si>
  <si>
    <t>원전 BOP</t>
    <phoneticPr fontId="2" type="noConversion"/>
  </si>
  <si>
    <t>한국수력원자력(2)</t>
  </si>
  <si>
    <t>미국 보글, 섬머</t>
    <phoneticPr fontId="2" type="noConversion"/>
  </si>
  <si>
    <t>UAE 바라카</t>
    <phoneticPr fontId="2" type="noConversion"/>
  </si>
  <si>
    <t>한국수력원자력(3)</t>
  </si>
  <si>
    <t>O</t>
    <phoneticPr fontId="2" type="noConversion"/>
  </si>
  <si>
    <t>화력 BOP</t>
    <phoneticPr fontId="2" type="noConversion"/>
  </si>
  <si>
    <t>군산 G-2 보일러 연료 이송 시스템</t>
    <phoneticPr fontId="2" type="noConversion"/>
  </si>
  <si>
    <t>CLP</t>
    <phoneticPr fontId="2" type="noConversion"/>
  </si>
  <si>
    <t>이스라엘 LNG 복합화력 발전소 BOP</t>
    <phoneticPr fontId="2" type="noConversion"/>
  </si>
  <si>
    <t>화력발전소 환경설비 공급</t>
    <phoneticPr fontId="2" type="noConversion"/>
  </si>
  <si>
    <t>FH &amp;D</t>
    <phoneticPr fontId="2" type="noConversion"/>
  </si>
  <si>
    <t>Toshiba</t>
    <phoneticPr fontId="2" type="noConversion"/>
  </si>
  <si>
    <t>보글, 섬머 CPP(추정)</t>
    <phoneticPr fontId="2" type="noConversion"/>
  </si>
  <si>
    <t>새울 3,4호기 FH &amp; D</t>
    <phoneticPr fontId="2" type="noConversion"/>
  </si>
  <si>
    <t>한국수력원자력㈜ 새울원자력본부(2)</t>
  </si>
  <si>
    <t>한국수력원자력㈜ 새울원자력본부(3)</t>
  </si>
  <si>
    <t>원전 Strainer</t>
    <phoneticPr fontId="2" type="noConversion"/>
  </si>
  <si>
    <t>UAE 바라카 FH &amp; D</t>
    <phoneticPr fontId="2" type="noConversion"/>
  </si>
  <si>
    <t>보글, 섬머 ?</t>
    <phoneticPr fontId="2" type="noConversion"/>
  </si>
  <si>
    <t>한국전력공사(2)</t>
  </si>
  <si>
    <t>UAE 바라카 SSLW(CPP 포함인지 모름)</t>
    <phoneticPr fontId="2" type="noConversion"/>
  </si>
  <si>
    <t>보글, 섬머 Water box</t>
    <phoneticPr fontId="2" type="noConversion"/>
  </si>
  <si>
    <t>보글, 섬머 Condenser(추정)</t>
    <phoneticPr fontId="2" type="noConversion"/>
  </si>
  <si>
    <t>한국전력공사(경주 ARA 프로젝트)</t>
    <phoneticPr fontId="2" type="noConversion"/>
  </si>
  <si>
    <t>해양용 SMR 개발 원자로</t>
    <phoneticPr fontId="2" type="noConversion"/>
  </si>
  <si>
    <t xml:space="preserve"> 퐁트누프 2단계 원전 Condenser</t>
  </si>
  <si>
    <t xml:space="preserve"> 퐁트누프 2단계 원전 Feedwater Heater &amp; Deareators</t>
  </si>
  <si>
    <t xml:space="preserve"> 퐁트누프 2단계 원전 SSLW</t>
  </si>
  <si>
    <t xml:space="preserve"> 퐁트누프 2단계 원전 CLP, CPP</t>
  </si>
  <si>
    <t xml:space="preserve"> 퐁트누프 2단계 원전 SSLW</t>
    <phoneticPr fontId="2" type="noConversion"/>
  </si>
  <si>
    <t>BOP 전체</t>
    <phoneticPr fontId="2" type="noConversion"/>
  </si>
  <si>
    <t>2025</t>
    <phoneticPr fontId="2" type="noConversion"/>
  </si>
  <si>
    <t>2Q25</t>
  </si>
  <si>
    <t>222,332,44</t>
  </si>
  <si>
    <t>합   계</t>
  </si>
  <si>
    <t>사용권자산</t>
  </si>
  <si>
    <t>건설중인자산</t>
  </si>
  <si>
    <t>금융손익</t>
    <phoneticPr fontId="2" type="noConversion"/>
  </si>
  <si>
    <t>백만원</t>
  </si>
  <si>
    <t xml:space="preserve">    기타금융원가(*)</t>
  </si>
  <si>
    <t>구축물</t>
  </si>
  <si>
    <t xml:space="preserve">    파생상품손실(*)</t>
  </si>
  <si>
    <t>건물</t>
  </si>
  <si>
    <t xml:space="preserve">    금융자산손상차손(*)</t>
  </si>
  <si>
    <t>토지</t>
  </si>
  <si>
    <t xml:space="preserve">    금융자산평가손실(*)</t>
  </si>
  <si>
    <t>장부금액</t>
  </si>
  <si>
    <t>손상차손누계액</t>
  </si>
  <si>
    <t>감가상각누계액</t>
  </si>
  <si>
    <t>정부보조금</t>
  </si>
  <si>
    <t>취득원가</t>
  </si>
  <si>
    <t>구   분</t>
  </si>
  <si>
    <t xml:space="preserve">    매출채권처분손실</t>
  </si>
  <si>
    <t>(단위 : 천원)</t>
  </si>
  <si>
    <t xml:space="preserve">    외환손실(*)</t>
  </si>
  <si>
    <t>유형자산</t>
    <phoneticPr fontId="2" type="noConversion"/>
  </si>
  <si>
    <t xml:space="preserve">    이자비용</t>
  </si>
  <si>
    <t>금융원가(*)</t>
  </si>
  <si>
    <t>합  계</t>
  </si>
  <si>
    <t xml:space="preserve">    파생상품이익(*)</t>
  </si>
  <si>
    <t>잡비</t>
  </si>
  <si>
    <t xml:space="preserve">    금융자산평가이익(*)</t>
  </si>
  <si>
    <t>보상비</t>
  </si>
  <si>
    <t xml:space="preserve">    외환이익(*)</t>
  </si>
  <si>
    <t>경조비</t>
  </si>
  <si>
    <t xml:space="preserve">    배당금수익</t>
  </si>
  <si>
    <t>대손상각비</t>
  </si>
  <si>
    <t xml:space="preserve">    이자수익</t>
  </si>
  <si>
    <t>국  내</t>
  </si>
  <si>
    <t>SUS </t>
  </si>
  <si>
    <t>원가</t>
    <phoneticPr fontId="2" type="noConversion"/>
  </si>
  <si>
    <t>소모품비</t>
  </si>
  <si>
    <t>금융수익(*)</t>
  </si>
  <si>
    <t>C/S </t>
  </si>
  <si>
    <t>PLATE</t>
  </si>
  <si>
    <t>사무용품비</t>
  </si>
  <si>
    <t>운반비</t>
  </si>
  <si>
    <t>단위</t>
  </si>
  <si>
    <t>계정명</t>
  </si>
  <si>
    <t>SUS (ERW)</t>
  </si>
  <si>
    <t>판관</t>
    <phoneticPr fontId="2" type="noConversion"/>
  </si>
  <si>
    <t>도서인쇄비</t>
  </si>
  <si>
    <t>외주가공비</t>
  </si>
  <si>
    <t>SUS(SML‘S)</t>
  </si>
  <si>
    <t>교육훈련비</t>
  </si>
  <si>
    <t>지급임차료</t>
  </si>
  <si>
    <t xml:space="preserve">    기타</t>
  </si>
  <si>
    <t>PIPE</t>
  </si>
  <si>
    <t>차량유지비</t>
  </si>
  <si>
    <t xml:space="preserve">    관리비(*)</t>
  </si>
  <si>
    <t>해  외</t>
  </si>
  <si>
    <t>Ti(관세포함)</t>
  </si>
  <si>
    <t>보험료</t>
  </si>
  <si>
    <t>무형자산상각비</t>
  </si>
  <si>
    <t xml:space="preserve">    판매비(*)</t>
  </si>
  <si>
    <t>SUS</t>
  </si>
  <si>
    <t>수선비</t>
  </si>
  <si>
    <t>감가상각비</t>
  </si>
  <si>
    <t xml:space="preserve">    유무형자산상각비(*)</t>
  </si>
  <si>
    <t>ALLOY</t>
  </si>
  <si>
    <t>세금과공과</t>
  </si>
  <si>
    <t>종업원급여</t>
  </si>
  <si>
    <t xml:space="preserve">    인건비(*)</t>
  </si>
  <si>
    <t>따라서 현재의 매출원가 대비 원재료 사용액 비중 최근 2개년 평균값으로 원재료 비중 설정</t>
    <phoneticPr fontId="2" type="noConversion"/>
  </si>
  <si>
    <t>C/S</t>
  </si>
  <si>
    <t>전력비</t>
  </si>
  <si>
    <t>원재료 사용액</t>
  </si>
  <si>
    <t>판매비와관리비(*)</t>
  </si>
  <si>
    <t>또한, 동사의 구매력 강화로 원재료비 절감 추세를 고려하면 보수적 추정</t>
    <phoneticPr fontId="2" type="noConversion"/>
  </si>
  <si>
    <t>수도광열비</t>
  </si>
  <si>
    <t>주요 원래료인 철강 가격은 중국 수요 둔화 및 공급과잉으로 하향압력 예상, 따라서 보수적 추정을 위해 현재 가격 유지</t>
    <phoneticPr fontId="2" type="noConversion"/>
  </si>
  <si>
    <t>TUBE</t>
  </si>
  <si>
    <t xml:space="preserve">지급수수료 </t>
  </si>
  <si>
    <t>통신비</t>
  </si>
  <si>
    <t>전망</t>
    <phoneticPr fontId="2" type="noConversion"/>
  </si>
  <si>
    <t>품 목</t>
  </si>
  <si>
    <t>접대비</t>
  </si>
  <si>
    <t>감가상각비 및 무형자산상각비</t>
  </si>
  <si>
    <t>여비교통비</t>
  </si>
  <si>
    <t>지급임차료</t>
    <phoneticPr fontId="2" type="noConversion"/>
  </si>
  <si>
    <t xml:space="preserve">지급수수료 </t>
    <phoneticPr fontId="2" type="noConversion"/>
  </si>
  <si>
    <t>&amp; 설치</t>
  </si>
  <si>
    <t>운반비</t>
    <phoneticPr fontId="2" type="noConversion"/>
  </si>
  <si>
    <t>가공 및 제작</t>
  </si>
  <si>
    <t>가공·제작</t>
  </si>
  <si>
    <t>외주가공비 등</t>
  </si>
  <si>
    <t>감가상각비 및 무형자산상각비</t>
    <phoneticPr fontId="2" type="noConversion"/>
  </si>
  <si>
    <t>종업원급여</t>
    <phoneticPr fontId="2" type="noConversion"/>
  </si>
  <si>
    <t>Forging</t>
  </si>
  <si>
    <t>Pipe</t>
  </si>
  <si>
    <t>원재료 사용액</t>
  </si>
  <si>
    <t>복리후생비</t>
  </si>
  <si>
    <t>원재료 사용액</t>
    <phoneticPr fontId="2" type="noConversion"/>
  </si>
  <si>
    <t>필요한 원재료</t>
  </si>
  <si>
    <t>Plate</t>
  </si>
  <si>
    <t>매출원가(*)</t>
  </si>
  <si>
    <t>퇴직급여</t>
  </si>
  <si>
    <t>제품 제작에</t>
  </si>
  <si>
    <t>Tube</t>
  </si>
  <si>
    <t>원재료</t>
  </si>
  <si>
    <t>비에이치아이</t>
  </si>
  <si>
    <t>매출액(수익)(*)</t>
  </si>
  <si>
    <t>직원급여</t>
  </si>
  <si>
    <t>매입액</t>
  </si>
  <si>
    <t>구체적용도</t>
  </si>
  <si>
    <t>품   목</t>
  </si>
  <si>
    <t>매입유형</t>
  </si>
  <si>
    <t>사업부문</t>
  </si>
  <si>
    <t>구  분</t>
  </si>
  <si>
    <t>매출원가+판관비</t>
    <phoneticPr fontId="2" type="noConversion"/>
  </si>
  <si>
    <t>당기순이익(손실)</t>
  </si>
  <si>
    <t>법인세비용</t>
  </si>
  <si>
    <t>법인세비용차감전계속사업이익</t>
  </si>
  <si>
    <t>종속기업,공동지배기업및관계기업관련손익(*)</t>
  </si>
  <si>
    <t>기타손익</t>
    <phoneticPr fontId="2" type="noConversion"/>
  </si>
  <si>
    <t>매출액(수익)(*)</t>
    <phoneticPr fontId="2" type="noConversion"/>
  </si>
  <si>
    <t>영업이익률(%)</t>
    <phoneticPr fontId="2" type="noConversion"/>
  </si>
  <si>
    <t>영업이익(손실)</t>
  </si>
  <si>
    <t>매출총이익(손실)</t>
  </si>
  <si>
    <t>매출원가율(%)</t>
    <phoneticPr fontId="2" type="noConversion"/>
  </si>
  <si>
    <t>IFRS(연결)</t>
  </si>
  <si>
    <t xml:space="preserve">  유효법인세율(%)</t>
    <phoneticPr fontId="2" type="noConversion"/>
  </si>
  <si>
    <t>경향성이 없어 flat</t>
    <phoneticPr fontId="2" type="noConversion"/>
  </si>
  <si>
    <t xml:space="preserve">  기타</t>
    <phoneticPr fontId="2" type="noConversion"/>
  </si>
  <si>
    <t xml:space="preserve">  파생상품손실</t>
    <phoneticPr fontId="2" type="noConversion"/>
  </si>
  <si>
    <t>환율 하락으로 환손실 반영하여 최근 크게 발생한 값으로 flat</t>
    <phoneticPr fontId="2" type="noConversion"/>
  </si>
  <si>
    <t xml:space="preserve">  외환손실</t>
    <phoneticPr fontId="2" type="noConversion"/>
  </si>
  <si>
    <t xml:space="preserve">  이자비용</t>
    <phoneticPr fontId="2" type="noConversion"/>
  </si>
  <si>
    <t>금융원가</t>
    <phoneticPr fontId="2" type="noConversion"/>
  </si>
  <si>
    <t xml:space="preserve">  파생상품이익</t>
    <phoneticPr fontId="2" type="noConversion"/>
  </si>
  <si>
    <t xml:space="preserve">  외환이익</t>
    <phoneticPr fontId="2" type="noConversion"/>
  </si>
  <si>
    <t xml:space="preserve">  이자수익</t>
    <phoneticPr fontId="2" type="noConversion"/>
  </si>
  <si>
    <t>영업외손익</t>
    <phoneticPr fontId="2" type="noConversion"/>
  </si>
  <si>
    <t>경향성 없음. 3개년 평균Flat</t>
    <phoneticPr fontId="2" type="noConversion"/>
  </si>
  <si>
    <t xml:space="preserve">   지급수수료/매출액</t>
    <phoneticPr fontId="2" type="noConversion"/>
  </si>
  <si>
    <t>다양한 기관들의 예측을 종합한 평균치.</t>
  </si>
  <si>
    <t>$74/bbl</t>
  </si>
  <si>
    <t>$75/bbl</t>
  </si>
  <si>
    <t>$71/bbl</t>
  </si>
  <si>
    <t>$73/bbl</t>
  </si>
  <si>
    <t>Bloomberg Consensus</t>
  </si>
  <si>
    <t>장기적인 수요 약세와 공급 과잉 상태 지속.</t>
  </si>
  <si>
    <t>$46-50/bbl</t>
  </si>
  <si>
    <t>CoinPriceForecast</t>
  </si>
  <si>
    <t>운반비/매출액</t>
    <phoneticPr fontId="2" type="noConversion"/>
  </si>
  <si>
    <t>경기 침체 가능성 또는 에너지 부문의 기술적 변화로 인한 수요 약세.</t>
  </si>
  <si>
    <t>$40-60/bbl</t>
  </si>
  <si>
    <t>LongForecast</t>
  </si>
  <si>
    <t>비OPEC+의 생산 증가로 인한 재고 누적 및 장기적인 수요 정체.</t>
  </si>
  <si>
    <t>$66/bbl</t>
  </si>
  <si>
    <t>미국 에너지정보청 (EIA)</t>
  </si>
  <si>
    <t>비OPEC+ 국가들의 꾸준한 생산량 증가와 점진적인 수요 둔화의 균형.</t>
  </si>
  <si>
    <t>$81/bbl</t>
  </si>
  <si>
    <t>$82/bbl</t>
  </si>
  <si>
    <t>BMI (Fitch Solutions)</t>
  </si>
  <si>
    <t>상관계수</t>
    <phoneticPr fontId="2" type="noConversion"/>
  </si>
  <si>
    <t>유가(Brent/USD)</t>
    <phoneticPr fontId="2" type="noConversion"/>
  </si>
  <si>
    <t>주요 근거</t>
  </si>
  <si>
    <t>2028년</t>
  </si>
  <si>
    <t>2027년</t>
  </si>
  <si>
    <t>2026년</t>
  </si>
  <si>
    <t>2025년</t>
  </si>
  <si>
    <t>기관</t>
  </si>
  <si>
    <t>기타 매출원가</t>
    <phoneticPr fontId="2" type="noConversion"/>
  </si>
  <si>
    <t>4. 기타</t>
    <phoneticPr fontId="2" type="noConversion"/>
  </si>
  <si>
    <t xml:space="preserve">  녀</t>
    <phoneticPr fontId="2" type="noConversion"/>
  </si>
  <si>
    <t xml:space="preserve">  남</t>
    <phoneticPr fontId="2" type="noConversion"/>
  </si>
  <si>
    <t>직원별 평균 임금</t>
    <phoneticPr fontId="2" type="noConversion"/>
  </si>
  <si>
    <t>종업원수</t>
    <phoneticPr fontId="2" type="noConversion"/>
  </si>
  <si>
    <t>3. 인건비 추정</t>
    <phoneticPr fontId="2" type="noConversion"/>
  </si>
  <si>
    <t>외주가공비/매출액</t>
    <phoneticPr fontId="2" type="noConversion"/>
  </si>
  <si>
    <t>2. 외주가공비</t>
    <phoneticPr fontId="2" type="noConversion"/>
  </si>
  <si>
    <t>제품 제작에 필요한 원재료</t>
    <phoneticPr fontId="2" type="noConversion"/>
  </si>
  <si>
    <t>주요 원재료인 철강 가격은 중국 수요 둔화 및 공급과잉으로 하향압력 예상, 따라서 보수적 추정을 위해 현재 가격 유지</t>
    <phoneticPr fontId="2" type="noConversion"/>
  </si>
  <si>
    <t>1. 원재료 및 상품의 사용</t>
    <phoneticPr fontId="2" type="noConversion"/>
  </si>
  <si>
    <t>매출원가 및 비용 세부항목 추정</t>
    <phoneticPr fontId="2" type="noConversion"/>
  </si>
  <si>
    <t>삼척블루파워 (CFBC)</t>
    <phoneticPr fontId="2" type="noConversion"/>
  </si>
  <si>
    <t>당진화력발전소(PC)</t>
    <phoneticPr fontId="2" type="noConversion"/>
  </si>
  <si>
    <t>2027</t>
  </si>
  <si>
    <t>2028</t>
  </si>
  <si>
    <t>2026</t>
  </si>
  <si>
    <t>(억원)</t>
    <phoneticPr fontId="2" type="noConversion"/>
  </si>
  <si>
    <t>(배)</t>
  </si>
  <si>
    <t>EV</t>
    <phoneticPr fontId="2" type="noConversion"/>
  </si>
  <si>
    <t>(억원)</t>
  </si>
  <si>
    <t>비영업가치</t>
    <phoneticPr fontId="2" type="noConversion"/>
  </si>
  <si>
    <t>(C)</t>
    <phoneticPr fontId="2" type="noConversion"/>
  </si>
  <si>
    <t>주주가치</t>
    <phoneticPr fontId="2" type="noConversion"/>
  </si>
  <si>
    <t>(A)+(B)-(C)-(D)</t>
    <phoneticPr fontId="2" type="noConversion"/>
  </si>
  <si>
    <t>Target Price</t>
  </si>
  <si>
    <t>Current Price</t>
  </si>
  <si>
    <t>Upside</t>
  </si>
  <si>
    <t>EV/EBITDA Valuation Sheet</t>
    <phoneticPr fontId="7" type="noConversion"/>
  </si>
  <si>
    <t>EV/EBITDA Valuation Table</t>
    <phoneticPr fontId="2" type="noConversion"/>
  </si>
  <si>
    <t>예상 포괄손익계산서 (요약)</t>
  </si>
  <si>
    <t>2025E</t>
    <phoneticPr fontId="43" type="noConversion"/>
  </si>
  <si>
    <t>2026E</t>
  </si>
  <si>
    <t>예상 재무상태표 (요약)</t>
  </si>
  <si>
    <t>Projection</t>
    <phoneticPr fontId="2" type="noConversion"/>
  </si>
  <si>
    <t>매출액</t>
  </si>
  <si>
    <t>유동자산</t>
  </si>
  <si>
    <t>in KRW Mn</t>
    <phoneticPr fontId="2" type="noConversion"/>
  </si>
  <si>
    <t>매출원가</t>
  </si>
  <si>
    <t>현금 및 현금성자산</t>
  </si>
  <si>
    <t>EBIT</t>
    <phoneticPr fontId="7" type="noConversion"/>
  </si>
  <si>
    <t>FCFF = NI + NCC + Int*(1-tex rate) - Capex -WC</t>
    <phoneticPr fontId="43" type="noConversion"/>
  </si>
  <si>
    <t>매출총이익</t>
  </si>
  <si>
    <t>매출채권</t>
    <phoneticPr fontId="2" type="noConversion"/>
  </si>
  <si>
    <t xml:space="preserve">  % effective tax rate</t>
    <phoneticPr fontId="2" type="noConversion"/>
  </si>
  <si>
    <t>FCF = NI + NCC - Capex -WC</t>
    <phoneticPr fontId="43" type="noConversion"/>
  </si>
  <si>
    <t>판매비와관리비</t>
  </si>
  <si>
    <t>재고자산</t>
  </si>
  <si>
    <t>FCF = FCFF - Int*(1-tex rate)</t>
    <phoneticPr fontId="43" type="noConversion"/>
  </si>
  <si>
    <t>조정영업이익</t>
  </si>
  <si>
    <t>기타유동자산</t>
  </si>
  <si>
    <t>NOPAT(세후영업이익)</t>
    <phoneticPr fontId="7" type="noConversion"/>
  </si>
  <si>
    <t>영업이익</t>
  </si>
  <si>
    <t>비유동자산</t>
  </si>
  <si>
    <t xml:space="preserve">  % Yoy Growth</t>
    <phoneticPr fontId="2" type="noConversion"/>
  </si>
  <si>
    <t>비영업손익</t>
  </si>
  <si>
    <t>Change in NWC</t>
    <phoneticPr fontId="7" type="noConversion"/>
  </si>
  <si>
    <t>금융손익</t>
  </si>
  <si>
    <t>유형자산</t>
  </si>
  <si>
    <t>Net Capex</t>
    <phoneticPr fontId="7" type="noConversion"/>
  </si>
  <si>
    <t>관계기업등 투자손익</t>
  </si>
  <si>
    <t>무형자산</t>
  </si>
  <si>
    <t>(-) Reinvestment</t>
    <phoneticPr fontId="7" type="noConversion"/>
  </si>
  <si>
    <t>세전계속사업손익</t>
  </si>
  <si>
    <t>자산총계</t>
  </si>
  <si>
    <t>FCFF(기업잉여현금흐름)</t>
    <phoneticPr fontId="7" type="noConversion"/>
  </si>
  <si>
    <t>법인세 비용</t>
    <phoneticPr fontId="43" type="noConversion"/>
  </si>
  <si>
    <t>유동부채</t>
  </si>
  <si>
    <t>이자비용</t>
    <phoneticPr fontId="2" type="noConversion"/>
  </si>
  <si>
    <t>계속사업이익</t>
  </si>
  <si>
    <t>FCF(잉여현금흐름)</t>
    <phoneticPr fontId="7" type="noConversion"/>
  </si>
  <si>
    <t>중단사업이익</t>
  </si>
  <si>
    <t>당기순이익</t>
  </si>
  <si>
    <t>기타유동부채</t>
    <phoneticPr fontId="2" type="noConversion"/>
  </si>
  <si>
    <t xml:space="preserve">Change in Net Working Capital </t>
    <phoneticPr fontId="2" type="noConversion"/>
  </si>
  <si>
    <t>지배주주</t>
  </si>
  <si>
    <t>비유동부채</t>
  </si>
  <si>
    <t>비지배주주</t>
  </si>
  <si>
    <t>총포괄이익</t>
  </si>
  <si>
    <t>기타비유동부채</t>
  </si>
  <si>
    <t>영업용 유동자산</t>
    <phoneticPr fontId="91" type="noConversion"/>
  </si>
  <si>
    <t>부채총계</t>
  </si>
  <si>
    <t>매입채무</t>
    <phoneticPr fontId="91" type="noConversion"/>
  </si>
  <si>
    <t>지배주주지분</t>
  </si>
  <si>
    <t>영업용 유동부채</t>
    <phoneticPr fontId="91" type="noConversion"/>
  </si>
  <si>
    <t>EBITDA</t>
  </si>
  <si>
    <t>자본금</t>
  </si>
  <si>
    <t>순운전자본</t>
    <phoneticPr fontId="91" type="noConversion"/>
  </si>
  <si>
    <t>FCF</t>
  </si>
  <si>
    <t>자본잉여금</t>
  </si>
  <si>
    <t>순운전자본의 변동</t>
    <phoneticPr fontId="91" type="noConversion"/>
  </si>
  <si>
    <t>EBITDA 마진율 (%)</t>
  </si>
  <si>
    <t>이익잉여금</t>
  </si>
  <si>
    <t>Ratio &amp; Assumption</t>
    <phoneticPr fontId="2" type="noConversion"/>
  </si>
  <si>
    <t>영업이익률 (%)</t>
  </si>
  <si>
    <t>비지배주주지분</t>
  </si>
  <si>
    <t xml:space="preserve">회전일수 </t>
    <phoneticPr fontId="2" type="noConversion"/>
  </si>
  <si>
    <t>지배주주귀속 순이익률 (%)</t>
  </si>
  <si>
    <t>자본총계</t>
  </si>
  <si>
    <t>매출채권회전일수</t>
    <phoneticPr fontId="2" type="noConversion"/>
  </si>
  <si>
    <t>재고자산회전일수</t>
    <phoneticPr fontId="2" type="noConversion"/>
  </si>
  <si>
    <t>예상 현금흐름표 (요약) (십억원)</t>
  </si>
  <si>
    <t>예상 주당가치 및 valuation (요약)</t>
  </si>
  <si>
    <t>매입채무회전일수</t>
    <phoneticPr fontId="2" type="noConversion"/>
  </si>
  <si>
    <t>P/E (x)</t>
  </si>
  <si>
    <t>현금전환주기</t>
    <phoneticPr fontId="91" type="noConversion"/>
  </si>
  <si>
    <t>P/B (x)</t>
  </si>
  <si>
    <t>EV/EBITDA (x)</t>
  </si>
  <si>
    <t>발행주식총수</t>
    <phoneticPr fontId="43" type="noConversion"/>
  </si>
  <si>
    <t>Net Capex</t>
    <phoneticPr fontId="2" type="noConversion"/>
  </si>
  <si>
    <t>EPS (원)</t>
  </si>
  <si>
    <t>기초 유형자산</t>
    <phoneticPr fontId="2" type="noConversion"/>
  </si>
  <si>
    <t>BPS (원)</t>
  </si>
  <si>
    <t>Capex</t>
    <phoneticPr fontId="2" type="noConversion"/>
  </si>
  <si>
    <t>DPS (원)</t>
  </si>
  <si>
    <t>감가상각비</t>
    <phoneticPr fontId="2" type="noConversion"/>
  </si>
  <si>
    <t>배당성향 (%)</t>
  </si>
  <si>
    <t>시총(십억)</t>
    <phoneticPr fontId="43" type="noConversion"/>
  </si>
  <si>
    <t>기말 유형자산</t>
    <phoneticPr fontId="91" type="noConversion"/>
  </si>
  <si>
    <t>매출액증가율 (%)</t>
  </si>
  <si>
    <t>EBITDA증가율 (%)</t>
  </si>
  <si>
    <t>조정영업이익증가율 (%)</t>
  </si>
  <si>
    <t>% Net Capex / Sales</t>
    <phoneticPr fontId="2" type="noConversion"/>
  </si>
  <si>
    <t>EPS증가율 (%)</t>
  </si>
  <si>
    <t>% Capex / Sales</t>
    <phoneticPr fontId="2" type="noConversion"/>
  </si>
  <si>
    <t>매출채권 회전일수</t>
    <phoneticPr fontId="43" type="noConversion"/>
  </si>
  <si>
    <t>% D&amp;A / Sales</t>
    <phoneticPr fontId="2" type="noConversion"/>
  </si>
  <si>
    <t>재고자산 회전일수</t>
    <phoneticPr fontId="43" type="noConversion"/>
  </si>
  <si>
    <t>% Capex / D&amp;A</t>
    <phoneticPr fontId="2" type="noConversion"/>
  </si>
  <si>
    <t>매입채무 회전일수</t>
    <phoneticPr fontId="43" type="noConversion"/>
  </si>
  <si>
    <t>ROA (%)</t>
  </si>
  <si>
    <t>ROE (%)</t>
  </si>
  <si>
    <t>ROIC (%)</t>
  </si>
  <si>
    <t>부채비율 (%)</t>
  </si>
  <si>
    <t>유동비율 (%)</t>
  </si>
  <si>
    <t>당좌비율 (%)</t>
    <phoneticPr fontId="43" type="noConversion"/>
  </si>
  <si>
    <t>자기자본비율 (%)</t>
    <phoneticPr fontId="43" type="noConversion"/>
  </si>
  <si>
    <t>영업활동으로 인한 현금흐름</t>
  </si>
  <si>
    <t>투자활동으로 인한 현금흐름</t>
  </si>
  <si>
    <t>유무형자산처분(취득)</t>
  </si>
  <si>
    <t>재무활동으로 인한 현금흐름</t>
  </si>
  <si>
    <t>외화단기차입금의 순증감</t>
  </si>
  <si>
    <t>장단기금융부채의 증가(감소)</t>
  </si>
  <si>
    <t>이자지급(재무)</t>
  </si>
  <si>
    <t>배당금의 지급</t>
  </si>
  <si>
    <t>기타재무활동</t>
  </si>
  <si>
    <t>현금의 증가</t>
  </si>
  <si>
    <t>기초현금</t>
  </si>
  <si>
    <t>환율변동효과</t>
  </si>
  <si>
    <t>기말현금</t>
  </si>
  <si>
    <t>자산(*)</t>
  </si>
  <si>
    <t xml:space="preserve">    유동자산(*)</t>
  </si>
  <si>
    <t xml:space="preserve">        재고자산(*)</t>
  </si>
  <si>
    <t xml:space="preserve">        유동금융자산(*)</t>
  </si>
  <si>
    <t xml:space="preserve">        매출채권및기타유동채권(*)</t>
  </si>
  <si>
    <t xml:space="preserve">        당기법인세자산(선급법인세)</t>
  </si>
  <si>
    <t xml:space="preserve">        기타유동자산(*)</t>
  </si>
  <si>
    <t xml:space="preserve">        현금및현금성자산(*)</t>
  </si>
  <si>
    <t xml:space="preserve">    비유동자산(*)</t>
  </si>
  <si>
    <t xml:space="preserve">        유형자산(*)</t>
  </si>
  <si>
    <t xml:space="preserve">        무형자산(*)</t>
  </si>
  <si>
    <t xml:space="preserve">        장기금융자산(*)</t>
  </si>
  <si>
    <t xml:space="preserve">        관계기업등지분관련투자자산(*)</t>
  </si>
  <si>
    <t xml:space="preserve">        장기매출채권및기타비유동채권(*)</t>
  </si>
  <si>
    <t xml:space="preserve">        이연법인세자산</t>
  </si>
  <si>
    <t xml:space="preserve">        기타비유동자산(*)</t>
  </si>
  <si>
    <t>부채(*)</t>
  </si>
  <si>
    <t xml:space="preserve">    유동부채(*)</t>
  </si>
  <si>
    <t xml:space="preserve">        단기차입금(*)</t>
  </si>
  <si>
    <t xml:space="preserve">        유동성장기부채(*)</t>
  </si>
  <si>
    <t xml:space="preserve">        유동금융부채(*)</t>
  </si>
  <si>
    <t xml:space="preserve">        매입채무및기타유동채무(*)</t>
  </si>
  <si>
    <t xml:space="preserve">        기타단기충당부채(*)</t>
  </si>
  <si>
    <t xml:space="preserve">        당기법인세부채(미지급법인세)</t>
  </si>
  <si>
    <t xml:space="preserve">        기타유동부채(*)</t>
  </si>
  <si>
    <t xml:space="preserve">    비유동부채(*)</t>
  </si>
  <si>
    <t xml:space="preserve">        사채(*)</t>
  </si>
  <si>
    <t xml:space="preserve">        장기차입금(*)</t>
  </si>
  <si>
    <t xml:space="preserve">        비유동금융부채(*)</t>
  </si>
  <si>
    <t xml:space="preserve">        비유동종업원급여충당부채(*)</t>
  </si>
  <si>
    <t xml:space="preserve">        기타장기충당부채(*)</t>
  </si>
  <si>
    <t xml:space="preserve">        이연법인세부채</t>
  </si>
  <si>
    <t>자본(*)</t>
  </si>
  <si>
    <t>주</t>
  </si>
  <si>
    <t>*발행한주식총수(*)</t>
  </si>
  <si>
    <t xml:space="preserve">    지배기업주주지분(*)</t>
  </si>
  <si>
    <t xml:space="preserve">        자본금(*)</t>
  </si>
  <si>
    <t xml:space="preserve">        자본잉여금(*)</t>
  </si>
  <si>
    <t xml:space="preserve">        기타자본(*)</t>
  </si>
  <si>
    <t xml:space="preserve">        기타포괄손익누계액(*)</t>
  </si>
  <si>
    <t xml:space="preserve">        이익잉여금(결손금)(*)</t>
  </si>
  <si>
    <t xml:space="preserve">    비지배주주지분</t>
  </si>
  <si>
    <t xml:space="preserve">    *(비지배)당기순손익</t>
  </si>
  <si>
    <t>유효법인세율</t>
    <phoneticPr fontId="2" type="noConversion"/>
  </si>
  <si>
    <t>TOTAL</t>
    <phoneticPr fontId="2" type="noConversion"/>
  </si>
  <si>
    <t>27F EBITDA (Bull)</t>
    <phoneticPr fontId="2" type="noConversion"/>
  </si>
  <si>
    <t>27F EBITDA (Base)</t>
    <phoneticPr fontId="2" type="noConversion"/>
  </si>
  <si>
    <t>28F EBITDA (Bull)</t>
    <phoneticPr fontId="2" type="noConversion"/>
  </si>
  <si>
    <t>28F EBITDA (Base)</t>
    <phoneticPr fontId="2" type="noConversion"/>
  </si>
  <si>
    <t>27-28F avg. EBITDA (Bull)</t>
    <phoneticPr fontId="2" type="noConversion"/>
  </si>
  <si>
    <t>27-28F avg. EBITDA (Base)</t>
    <phoneticPr fontId="2" type="noConversion"/>
  </si>
  <si>
    <t>Target EV/EBITDA Multiple</t>
    <phoneticPr fontId="2" type="noConversion"/>
  </si>
  <si>
    <t>EBITDA Margin(%)</t>
    <phoneticPr fontId="2" type="noConversion"/>
  </si>
  <si>
    <t>EBITDA - Bull Case</t>
    <phoneticPr fontId="2" type="noConversion"/>
  </si>
  <si>
    <t>EBITDA - Base Case</t>
    <phoneticPr fontId="2" type="noConversion"/>
  </si>
  <si>
    <t>Avg</t>
    <phoneticPr fontId="2" type="noConversion"/>
  </si>
  <si>
    <t>순차입급</t>
    <phoneticPr fontId="2" type="noConversion"/>
  </si>
  <si>
    <t>현재주가 (07.30)</t>
    <phoneticPr fontId="2" type="noConversion"/>
  </si>
  <si>
    <t>EV</t>
    <phoneticPr fontId="43" type="noConversion"/>
  </si>
  <si>
    <t>(-) EBIT법인세</t>
    <phoneticPr fontId="7" type="noConversion"/>
  </si>
  <si>
    <t>이자부부채 - 현금 및 현금성 자산</t>
    <phoneticPr fontId="2" type="noConversion"/>
  </si>
  <si>
    <t>현금 및 현금성 자산</t>
    <phoneticPr fontId="2" type="noConversion"/>
  </si>
  <si>
    <t>이자부 부채</t>
    <phoneticPr fontId="2" type="noConversion"/>
  </si>
  <si>
    <t>매출액 (Base)</t>
    <phoneticPr fontId="2" type="noConversion"/>
  </si>
  <si>
    <t>추정논리</t>
    <phoneticPr fontId="2" type="noConversion"/>
  </si>
  <si>
    <t>중동 HRSG 수주계약 추정 논리</t>
    <phoneticPr fontId="2" type="noConversion"/>
  </si>
  <si>
    <t>24년 계약 진행한 사우디 메가 프로젝트 수주계약의 매출인식 기반</t>
    <phoneticPr fontId="2" type="noConversion"/>
  </si>
  <si>
    <t>계약 체결 후 3~6개월 내 선금 10% 수령 (선급금), 2분기 후 매출 인식 시작</t>
    <phoneticPr fontId="2" type="noConversion"/>
  </si>
  <si>
    <t>중동 지역 수주 전반이 계약부터 7분기 이내를 공사기한으로 명시하나,</t>
    <phoneticPr fontId="2" type="noConversion"/>
  </si>
  <si>
    <t>이후 수주계약의 공사 기한이 정정되는 사례 다수 존재, 최대 2분기까지 연장 가능성</t>
    <phoneticPr fontId="2" type="noConversion"/>
  </si>
  <si>
    <t>기존 SEPCO(사우디 지역) 수주 계약의 진행률을 이용하여 매출인식</t>
    <phoneticPr fontId="2" type="noConversion"/>
  </si>
  <si>
    <t>하얼빈일렉트릭(HEI)(2)</t>
  </si>
  <si>
    <t>삼성물산(2)</t>
  </si>
  <si>
    <t>Toshiba-TPSC(2)</t>
  </si>
  <si>
    <t>두산에너빌리티(2)</t>
  </si>
  <si>
    <t>SEPCO3(2)</t>
  </si>
  <si>
    <t>Toshiba-TPSC(3)</t>
  </si>
  <si>
    <t>두산에너빌리티(3)</t>
  </si>
  <si>
    <t>대우건설(2)</t>
  </si>
  <si>
    <t>삼성물산(3)</t>
  </si>
  <si>
    <t>해외</t>
  </si>
  <si>
    <t>현대건설(2)</t>
  </si>
  <si>
    <t>4Q20</t>
  </si>
  <si>
    <t>1Q21</t>
  </si>
  <si>
    <t/>
  </si>
  <si>
    <t>동남아</t>
  </si>
  <si>
    <t>ASP는 기존 국가의 레퍼런스를 반영</t>
    <phoneticPr fontId="2" type="noConversion"/>
  </si>
  <si>
    <t>NFW 총 규모 * 한국 EPC사 침투율 * HRSG 공사비 비중 * 환율</t>
    <phoneticPr fontId="2" type="noConversion"/>
  </si>
  <si>
    <t>미국 HRSG 수주계약 추정 논리</t>
    <phoneticPr fontId="2" type="noConversion"/>
  </si>
  <si>
    <t>기존 Foster Wheeler 네트워크 기반 Duke Energy 수주 가능성 반영</t>
    <phoneticPr fontId="2" type="noConversion"/>
  </si>
  <si>
    <t>Bull Case의 경우 미국에서 입찰 대기중인 Monroe CCPP 수주 가정</t>
    <phoneticPr fontId="2" type="noConversion"/>
  </si>
  <si>
    <t>ASP는 기존 Siemens 향 수주 계약분 반영, 가격 상승 예상되나 보수적 추정</t>
    <phoneticPr fontId="2" type="noConversion"/>
  </si>
  <si>
    <t>일본 HRSG 수주계약 추정 논리</t>
    <phoneticPr fontId="2" type="noConversion"/>
  </si>
  <si>
    <t>일본 노후화 발전소 9.3GW 중 Toshiba, Fuji Electric의 점유율 30% 수주 가정</t>
    <phoneticPr fontId="2" type="noConversion"/>
  </si>
  <si>
    <t>가장 최근 홋카이도 이시카리완 향 수주 매출 규모의 계약이 매년 존재함을 가정</t>
    <phoneticPr fontId="2" type="noConversion"/>
  </si>
  <si>
    <t>일본 수주 레퍼런스 및 통상적인 HRSG 리드타임 (1.5~2년) 적용</t>
    <phoneticPr fontId="2" type="noConversion"/>
  </si>
  <si>
    <t>국내 HRSG 수주계약 추정 논리</t>
    <phoneticPr fontId="2" type="noConversion"/>
  </si>
  <si>
    <t>채워주세요!!! 대충 한 줄 채워지면 밑에 셀로 넘어가서 써줘</t>
    <phoneticPr fontId="2" type="noConversion"/>
  </si>
  <si>
    <t>기존 수주의 경우 공시된 수주에 한해 진행률을 기반으로 분기별 매출액을 추정. 진행률은 지역과 공사기간을 중심으로 기존 수주 진행률 시나리오를 반영</t>
    <phoneticPr fontId="2" type="noConversion"/>
  </si>
  <si>
    <t>#1 중동 수주, 5~7개 분기</t>
  </si>
  <si>
    <t>본래 계약으로 공시된 공사 기한보다 1~2개 분기 연장되는 사례가 잦아, 보수적 추정을 위해 진행률은 공사 기간+2~3개 분기로 반영</t>
    <phoneticPr fontId="2" type="noConversion"/>
  </si>
  <si>
    <t>#2 국내 수주, 5~7개 분기</t>
    <phoneticPr fontId="2" type="noConversion"/>
  </si>
  <si>
    <t>HRSG 기존수주 매출 추정논리</t>
    <phoneticPr fontId="2" type="noConversion"/>
  </si>
  <si>
    <t>Boiler 기존수주 매출 추정논리</t>
    <phoneticPr fontId="2" type="noConversion"/>
  </si>
  <si>
    <t>HRSG와 같은 논리로 진행률 반영</t>
    <phoneticPr fontId="2" type="noConversion"/>
  </si>
  <si>
    <t>삼척블루파워, 당진화력발전소(암모니아 혼소 보일러) 의 경우 26년 설치부터 진행률로 반영하여 공사 기한인 3개년 간 매출 인식 가정</t>
    <phoneticPr fontId="2" type="noConversion"/>
  </si>
  <si>
    <t>YoY / QoQ %</t>
    <phoneticPr fontId="2" type="noConversion"/>
  </si>
  <si>
    <t>매입채무</t>
    <phoneticPr fontId="2" type="noConversion"/>
  </si>
  <si>
    <t>장기차입금</t>
    <phoneticPr fontId="2" type="noConversion"/>
  </si>
  <si>
    <t>단기차입금 및 유동성장기부채</t>
    <phoneticPr fontId="2" type="noConversion"/>
  </si>
  <si>
    <t>2027E</t>
    <phoneticPr fontId="2" type="noConversion"/>
  </si>
  <si>
    <t>2028E</t>
    <phoneticPr fontId="2" type="noConversion"/>
  </si>
  <si>
    <t>장단기 차입금, 유동성 장기부채</t>
    <phoneticPr fontId="2" type="noConversion"/>
  </si>
  <si>
    <t>Historical</t>
    <phoneticPr fontId="2" type="noConversion"/>
  </si>
  <si>
    <t>기타비유동자산</t>
    <phoneticPr fontId="2" type="noConversion"/>
  </si>
  <si>
    <t>영업활동으로인한현금흐름(간접법)(*)</t>
  </si>
  <si>
    <t xml:space="preserve">    당기순손익</t>
  </si>
  <si>
    <t xml:space="preserve">    법인세비용차감전계속사업이익</t>
  </si>
  <si>
    <t xml:space="preserve">    현금유출이없는비용등가산(*)</t>
  </si>
  <si>
    <t xml:space="preserve">    (현금유입이없는수익등차감)(*)</t>
  </si>
  <si>
    <t xml:space="preserve">    영업활동으로인한자산부채변동(운전자본변동)(*)</t>
  </si>
  <si>
    <t xml:space="preserve">        자산의감소(증가)(*)</t>
  </si>
  <si>
    <t xml:space="preserve">        부채의증가(감소)(*)</t>
  </si>
  <si>
    <t xml:space="preserve">        정부보조금등의변동</t>
  </si>
  <si>
    <t xml:space="preserve">        기타운전자본의변동</t>
  </si>
  <si>
    <t xml:space="preserve">    *영업에서창출된현금흐름</t>
  </si>
  <si>
    <t xml:space="preserve">    이자수입</t>
  </si>
  <si>
    <t xml:space="preserve">    이자지급(-)</t>
  </si>
  <si>
    <t xml:space="preserve">    배당금수입</t>
  </si>
  <si>
    <t xml:space="preserve">    배당금지급(-)</t>
  </si>
  <si>
    <t xml:space="preserve">    법인세환입</t>
  </si>
  <si>
    <t xml:space="preserve">    법인세납부(-)</t>
  </si>
  <si>
    <t xml:space="preserve">    중단영업관련현금흐름</t>
  </si>
  <si>
    <t>투자활동으로인한현금흐름(*)</t>
  </si>
  <si>
    <t xml:space="preserve">    투자활동으로인한현금유입액(*)</t>
  </si>
  <si>
    <t xml:space="preserve">    (투자활동으로인한현금유출액)(*)</t>
  </si>
  <si>
    <t>재무활동으로인한현금흐름(*)</t>
  </si>
  <si>
    <t xml:space="preserve">    재무활동으로인한현금유입액(*)</t>
  </si>
  <si>
    <t xml:space="preserve">    (재무활동으로인한현금유출액)(*)</t>
  </si>
  <si>
    <t>영업투자재무활동기타현금흐름</t>
  </si>
  <si>
    <t>연결범위변동으로인한현금의증가</t>
  </si>
  <si>
    <t>현금및현금성자산의증가</t>
  </si>
  <si>
    <t>기초현금및현금성자산</t>
  </si>
  <si>
    <t>기말현금및현금성자산</t>
  </si>
  <si>
    <t xml:space="preserve">    연구개발비</t>
  </si>
  <si>
    <t xml:space="preserve">    광고선전비</t>
  </si>
  <si>
    <t xml:space="preserve">    기타원가성비용(*)</t>
  </si>
  <si>
    <t xml:space="preserve">    대손충당금환입액</t>
  </si>
  <si>
    <t xml:space="preserve">    매출채권처분이익</t>
  </si>
  <si>
    <t xml:space="preserve">    당기손익-공정가치측정 금융자산관련이익</t>
  </si>
  <si>
    <t xml:space="preserve">    금융자산처분이익(*)</t>
  </si>
  <si>
    <t xml:space="preserve">    금융자산손상차손환입(*)</t>
  </si>
  <si>
    <t xml:space="preserve">    기타금융수익(*)</t>
  </si>
  <si>
    <t xml:space="preserve">    대손상각비</t>
  </si>
  <si>
    <t xml:space="preserve">    당기손익-공정가치측정 금융자산관련손실</t>
  </si>
  <si>
    <t xml:space="preserve">    금융자산처분손실(*)</t>
  </si>
  <si>
    <t>기타수익(*)</t>
  </si>
  <si>
    <t xml:space="preserve">    재고자산폐기(처분)이익</t>
  </si>
  <si>
    <t xml:space="preserve">    당기손익-공정가치측정 금융자산평가이익</t>
  </si>
  <si>
    <t xml:space="preserve">    자산처분(폐기)이익(*)</t>
  </si>
  <si>
    <t xml:space="preserve">    자산평가이익</t>
  </si>
  <si>
    <t xml:space="preserve">    자산손상차손환입(*)</t>
  </si>
  <si>
    <t xml:space="preserve">    임대료수익</t>
  </si>
  <si>
    <t xml:space="preserve">    로열티수익</t>
  </si>
  <si>
    <t xml:space="preserve">    수수료수익</t>
  </si>
  <si>
    <t xml:space="preserve">    대손충당금환입</t>
  </si>
  <si>
    <t xml:space="preserve">    충당부채환입액</t>
  </si>
  <si>
    <t xml:space="preserve">    기타(*)</t>
  </si>
  <si>
    <t>기타비용(*)</t>
  </si>
  <si>
    <t xml:space="preserve">    재고자산감모손실</t>
  </si>
  <si>
    <t xml:space="preserve">    재고자산폐기(처분)손실</t>
  </si>
  <si>
    <t xml:space="preserve">    당기손익-공정가치측정 금융자산평가손실</t>
  </si>
  <si>
    <t xml:space="preserve">    자산처분(폐기)손실(*)</t>
  </si>
  <si>
    <t xml:space="preserve">    자산평가손실</t>
  </si>
  <si>
    <t xml:space="preserve">    자산손상차손(*)</t>
  </si>
  <si>
    <t xml:space="preserve">    기타대손상각비</t>
  </si>
  <si>
    <t xml:space="preserve">    충당부채전입액</t>
  </si>
  <si>
    <t xml:space="preserve">    지분법손익(*)</t>
  </si>
  <si>
    <t xml:space="preserve">    종속기업,공동지배기업및관계기업투자주식처분손익(*)</t>
  </si>
  <si>
    <t xml:space="preserve">    종속기업,공동지배기업및관계기업투자주식손상관련손익(*)</t>
  </si>
  <si>
    <t>종속회사매수일전순손익</t>
  </si>
  <si>
    <t>처분된종속회사순손익</t>
  </si>
  <si>
    <t>계속영업이익(손실)</t>
  </si>
  <si>
    <t>중단영업이익(손실)</t>
  </si>
  <si>
    <t>기타포괄손익(*)</t>
  </si>
  <si>
    <t>총포괄손익</t>
  </si>
  <si>
    <t>(당기순손익귀속)지배기업주주지분</t>
  </si>
  <si>
    <t>(당기순손익귀속)비지배주주지분</t>
  </si>
  <si>
    <t>(총포괄손익귀속)지배기업주주지분</t>
  </si>
  <si>
    <t>(총포괄손익귀속)비지배주주지분</t>
  </si>
  <si>
    <t>주당계속영업이익</t>
  </si>
  <si>
    <t>원</t>
  </si>
  <si>
    <t>희석주당계속영업이익</t>
  </si>
  <si>
    <t>희석주당순손익</t>
  </si>
  <si>
    <t>(지배기업주주지분)주당계속영업이익</t>
  </si>
  <si>
    <t>(지배기업주주지분)주당순손익</t>
  </si>
  <si>
    <t>(지배기업주주지분)희석주당계속영업이익</t>
  </si>
  <si>
    <t>(지배기업주주지분)희석주당순손익</t>
  </si>
  <si>
    <t xml:space="preserve">    재고자산감모손실환입</t>
    <phoneticPr fontId="2" type="noConversion"/>
  </si>
  <si>
    <t>주당순손익</t>
    <phoneticPr fontId="2" type="noConversion"/>
  </si>
  <si>
    <r>
      <t>Raw Data</t>
    </r>
    <r>
      <rPr>
        <b/>
        <sz val="18"/>
        <color indexed="9"/>
        <rFont val="Arial"/>
        <family val="2"/>
      </rPr>
      <t xml:space="preserve"> &gt;&gt;&gt; </t>
    </r>
    <phoneticPr fontId="7" type="noConversion"/>
  </si>
  <si>
    <t>26F EBITDA (Bull)</t>
    <phoneticPr fontId="2" type="noConversion"/>
  </si>
  <si>
    <t>26F EBITDA (Base)</t>
    <phoneticPr fontId="2" type="noConversion"/>
  </si>
  <si>
    <t>2024</t>
    <phoneticPr fontId="2" type="noConversion"/>
  </si>
  <si>
    <t>기타 영업현금흐름</t>
    <phoneticPr fontId="2" type="noConversion"/>
  </si>
  <si>
    <t>Bull</t>
  </si>
  <si>
    <t>Active Scenario</t>
  </si>
  <si>
    <t>Scenario Number</t>
  </si>
  <si>
    <t>x</t>
  </si>
  <si>
    <t>2024</t>
  </si>
  <si>
    <t>2025</t>
  </si>
  <si>
    <t>YoY %</t>
  </si>
  <si>
    <t>기존수주 매출 (추정)</t>
    <phoneticPr fontId="2" type="noConversion"/>
  </si>
  <si>
    <t>1Q25A</t>
  </si>
  <si>
    <t>1Q25A</t>
    <phoneticPr fontId="2" type="noConversion"/>
  </si>
  <si>
    <t>HRSG 신규수주</t>
    <phoneticPr fontId="2" type="noConversion"/>
  </si>
  <si>
    <t>HRSG 신규수주 추정 논리</t>
    <phoneticPr fontId="2" type="noConversion"/>
  </si>
  <si>
    <t>24년 계약 진행한 사우디 메가 프로젝트 수주계약의 매출인식 기반, '계약 체결 후 3~6개월 내 선금 10% 수령 (선급금), 2분기 후 매출 인식 시작</t>
    <phoneticPr fontId="2" type="noConversion"/>
  </si>
  <si>
    <t>중동 지역 수주 전반이 계약부터 7분기 이내를 공사기한으로 명시하나, 이후 수주계약의 공사 기한이 정정되는 사례 다수 존재, 최대 2분기까지 연장 가능성</t>
    <phoneticPr fontId="2" type="noConversion"/>
  </si>
  <si>
    <t>24-28 CAGR</t>
    <phoneticPr fontId="2" type="noConversion"/>
  </si>
  <si>
    <t>추정 논리</t>
    <phoneticPr fontId="2" type="noConversion"/>
  </si>
  <si>
    <t>기존 SEPCO(사우디 지역) 수주 계약의 진행률을 이용하여 매출인식, ASP는 기존 국가 수주계약 반영</t>
    <phoneticPr fontId="2" type="noConversion"/>
  </si>
  <si>
    <t>기존 Foster Wheeler 네트워크 기반 Duke Energy 수주 가능성 반영</t>
  </si>
  <si>
    <t>Bull Case의 경우 미국에서 입찰 대기중인 Monroe CCPP 수주 가정</t>
  </si>
  <si>
    <t>ASP는 기존 Siemens 향 수주 계약분 반영, 가격 상승 예상되나 보수적 추정</t>
  </si>
  <si>
    <t>일본 노후화 발전소 9.3GW 중 Toshiba, Fuji Electric의 점유율 30% 수주 가정</t>
  </si>
  <si>
    <t>가장 최근 홋카이도 이시카리완 향 수주 매출 규모의 계약이 매년 존재함을 가정</t>
  </si>
  <si>
    <t>일본 수주 레퍼런스 및 통상적인 HRSG 리드타임 (1.5~2년) 적용</t>
  </si>
  <si>
    <t>신규 수주 매출 (추정)</t>
    <phoneticPr fontId="2" type="noConversion"/>
  </si>
  <si>
    <t>25년 4월 수주 계약을 맺은 필리핀향 CFBC 보일러 매출 인식은 3Q25에 시작될 것으로 전망. 유사한 사례가 없어 진행률 일괄 적용.</t>
    <phoneticPr fontId="2" type="noConversion"/>
  </si>
  <si>
    <t>삼척블루파워, 당진화력발전소(암모니아 혼소 보일러)의 경우 26 실증사업 진행 후 27년 설치부터 공사 기한인 3개년 간 매출 인식 가정. 유사한 사례가 없어 진행률 일괄 적용</t>
    <phoneticPr fontId="2" type="noConversion"/>
  </si>
  <si>
    <t>국내 (한수원 신한울 3,4호기)</t>
    <phoneticPr fontId="2" type="noConversion"/>
  </si>
  <si>
    <t>필리핀 San Miguel CFBC 보일러</t>
    <phoneticPr fontId="2" type="noConversion"/>
  </si>
  <si>
    <t>삼척블루파워 CFBC 보일러</t>
    <phoneticPr fontId="2" type="noConversion"/>
  </si>
  <si>
    <t>당진화력발전소 PC보일러</t>
    <phoneticPr fontId="2" type="noConversion"/>
  </si>
  <si>
    <t>기타 BOP (원전 외)</t>
    <phoneticPr fontId="2" type="noConversion"/>
  </si>
  <si>
    <t>기타 보일러 매출</t>
    <phoneticPr fontId="2" type="noConversion"/>
  </si>
  <si>
    <t>근거2. 한편 국내에서 진행되는 프로젝트와 달리, 해외 프로젝트는 대형부품의 출하 및 선적, 현지 공급망 통과, 설계사 검안 등의 이유로 추가적인 시간이 소요된다. 따라서 통상적인 수주시기보다 이른 시점에 발주가 진행된다.</t>
  </si>
  <si>
    <t>* 단, 폴란드는 동사가 현지업체 ZKE Ferrum과 폴란드 원전 보조기기 개발 및 공급 협력을 체결했기 때문에, CLP, CPP, SSLW의 패키징이 가능하다고 가정하였다.</t>
  </si>
  <si>
    <t xml:space="preserve">보조기기 공급계약 시점 추정 논리 </t>
  </si>
  <si>
    <t xml:space="preserve">결론: 통상적인 BOP 계약시기 및 과거 수주 사례(UAE 바라카 프로젝트 및 미국 보글 3,4호기-섬머 3,4호기)의 수주 시점을 고려하여, 다음과 같이 추정하였다. </t>
    <phoneticPr fontId="2" type="noConversion"/>
  </si>
  <si>
    <t xml:space="preserve">근거1. 보조기기는 주로 시공사 및 주기기 공급업체 선정 1,2년 후 ~ 구조물 공사 시작(착공)전 12~18개월 전에 공급 계약을 진행한다. </t>
    <phoneticPr fontId="2" type="noConversion"/>
  </si>
  <si>
    <t xml:space="preserve">또한 구조물의 시공 단계별로 수주가 진행되며, 보통 격납건물용인 SSLW, CLP, CPP가 먼저 발주되고, 다음으로 복수기가 발주되며, 마지막으로 착공 이전 급수가열기 및 탈기기의 발주가 진행된다. </t>
  </si>
  <si>
    <t xml:space="preserve">보조기기 공급 품목 추정 논리 </t>
  </si>
  <si>
    <t xml:space="preserve">1. 국내 및 해외 한수원향 수주는 BOP 패키징으로 수주가 진행되어, 주요 품목인 SSLW, CLP, CCP, Condenser, FH&amp;D 모두 수주되는 것으로 가정하였다. </t>
  </si>
  <si>
    <t xml:space="preserve">2. 해외 웨스팅하우스 향 수주는 CLP 및 CPP, Condenser의 수주만 가정한다. </t>
    <phoneticPr fontId="2" type="noConversion"/>
  </si>
  <si>
    <t xml:space="preserve">웨스팅하우스는 "Buy where we build"라는 슬로건을 내세워 현지중심 공급망 확보에 주력한다. 따라서 주요설비 외 품목들은 현지기업을 통해 조달할 가능성이 높다. </t>
    <phoneticPr fontId="2" type="noConversion"/>
  </si>
  <si>
    <t xml:space="preserve">다만 CLP, CPP, Condenser 등은 원전의 안전과 관련된 고도의 기술력을 요구하며 과거 납품 레퍼런스가 있는 제품이기에 수주 가능성이 높다고 판단한다. </t>
  </si>
  <si>
    <r>
      <t xml:space="preserve">Valuation Sheets </t>
    </r>
    <r>
      <rPr>
        <b/>
        <sz val="18"/>
        <color indexed="9"/>
        <rFont val="Arial"/>
        <family val="2"/>
      </rPr>
      <t xml:space="preserve">&gt;&gt;&gt; </t>
    </r>
    <phoneticPr fontId="7" type="noConversion"/>
  </si>
  <si>
    <t>Bear case: 동사의 과거 동일 프로젝트 수주율 기반 가정</t>
  </si>
  <si>
    <t>Bull case: EPC 래퍼런스 반영하여 용인집단발전 6기 중 2기 선정</t>
  </si>
  <si>
    <t>정부 주도 노후화 석탄화력발전소 대체  프로젝트 수주 계약의 매출인식 기반 28기의 프로젝트 중 주기기공급자 미선정 건 반영</t>
    <phoneticPr fontId="2" type="noConversion"/>
  </si>
  <si>
    <t>동사의 구매력 강화로 원재료비 감소 추세가 확인되나, 보수적 추정을 위해 매출 대비 원재료 사용액 비중의 2개년 평균값을 적용</t>
    <phoneticPr fontId="2" type="noConversion"/>
  </si>
  <si>
    <t>동사 제품의 생산은 매출이 늘어날 때 외주인력을 동원해 매출증감에 대처함. 따라서 외주가공비는 매출액 변화와 함께 증감. 특히 캐파증설 없이 외주가공을 통해 생산 확대한다는 점을 고려해 매출액 대비 외주가공비 비중이 확대될 것으로 가정</t>
    <phoneticPr fontId="2" type="noConversion"/>
  </si>
  <si>
    <t>또한 2028년 매출이 2025년 대비 약 2배 증가하지만, ①대량발주를 통한 단가 협상력 강화, ②고정비 분산효과, ③공정 표준화를 통한 효율성 개선 등으로 외주가공비 비중은 47%→50%로 제한적 증가에 그칠 것으로 예상</t>
  </si>
  <si>
    <t>따라서 매출 대비 외주가공비 비중 최근 2개년 평균값에 매출 성장이 2배였던 시기의 비중 성장률을 적용</t>
    <phoneticPr fontId="2" type="noConversion"/>
  </si>
  <si>
    <t>대규모 충원 계획이 없고, 부족한 인력은 외주로 보충하기에 종업원 수는 현재의 증가세인 5%를 유지할 것으로 추정</t>
    <phoneticPr fontId="2" type="noConversion"/>
  </si>
  <si>
    <t>급여 수준은 3개년 평균 임금에 평균 임금상승률을 적용해 산출</t>
    <phoneticPr fontId="2" type="noConversion"/>
  </si>
  <si>
    <t>감가상각비의 경우 일시적 변동이 있던 24년을 제외하고 매년 일정하기에 3개년 이동평균값으로 적용. 동사 제품 제조의 핵심은 설계인력이며, 실제로 유형자산 중 기계장치의 비중은 10%에 불과하고 대부분 토지 및 건물임을 고려해 현재의 비중이 유지될 것으로 판단함.</t>
    <phoneticPr fontId="2" type="noConversion"/>
  </si>
  <si>
    <t>운반비는 유가와 연동되는 경향을 보이며, 유가 전망치는 28년까지 하향 안정세를 이룰 것으로 예상. 따라서 현재의 가격대와 % of sales을 유지할 것으로 가정</t>
    <phoneticPr fontId="2" type="noConversion"/>
  </si>
  <si>
    <t>지급수수료는 매출이 커지며 외주인력에 지급하는 비용도 증가하기에 % of sales 3개년 이동평균 적용</t>
    <phoneticPr fontId="2" type="noConversion"/>
  </si>
  <si>
    <t>인건비는 매출원가의 인건비와 동일한 방식으로 추정</t>
    <phoneticPr fontId="2" type="noConversion"/>
  </si>
  <si>
    <t>유무형자산상각비는 추가 설비 증대 계획 없음을 고려해 3개년 평균 적용</t>
    <phoneticPr fontId="2" type="noConversion"/>
  </si>
  <si>
    <t>경향성 없음. 3개년 % of sales 평균Flat</t>
    <phoneticPr fontId="2" type="noConversion"/>
  </si>
  <si>
    <t>금리 하락기인점을 반영하여 더 증가하지 않고 최근 3개년 평균값 flat</t>
    <phoneticPr fontId="2" type="noConversion"/>
  </si>
  <si>
    <t>외환이익은 환율 하락을 반영해 최근 상승분을 제외한 3개년 평균값 flat</t>
    <phoneticPr fontId="2" type="noConversion"/>
  </si>
  <si>
    <t>이자비용또한 금리 하락기이나 보수적 관점에서 현재 수준을 유지하고, 전환사채가 25년부터 사라짐을 감안해 최근 3개년 평균값을 flat</t>
    <phoneticPr fontId="2" type="noConversion"/>
  </si>
  <si>
    <t>종속기업관련손익은 종속기업 중 하나인 아레테자원환경의 지분율이 55%에서 100%로 변화했고, 수익환경이 개선된 추세를 반영해 최근 값으로 적용</t>
    <phoneticPr fontId="2" type="noConversion"/>
  </si>
  <si>
    <t>적자로 인해 법인세 비용을 지불한 경우가 드물어 세무조정을 배제하고 회계이익을 과세소득으로 가정하여 과세표준을 바탕으로 법인세율을 적용</t>
    <phoneticPr fontId="2" type="noConversion"/>
  </si>
  <si>
    <t>운전자본의 변동</t>
    <phoneticPr fontId="2" type="noConversion"/>
  </si>
  <si>
    <t>이자수취(지급)</t>
    <phoneticPr fontId="2" type="noConversion"/>
  </si>
  <si>
    <t>배당금수입(지급)</t>
    <phoneticPr fontId="2" type="noConversion"/>
  </si>
  <si>
    <t>법인세환입(납부)</t>
    <phoneticPr fontId="2" type="noConversion"/>
  </si>
  <si>
    <t>투자자산의 감소(증가)</t>
    <phoneticPr fontId="2" type="noConversion"/>
  </si>
  <si>
    <t>(단위: 억원), Base</t>
    <phoneticPr fontId="43" type="noConversion"/>
  </si>
  <si>
    <t>N/A</t>
    <phoneticPr fontId="2" type="noConversion"/>
  </si>
  <si>
    <t>(A)+(B)</t>
    <phoneticPr fontId="2" type="noConversion"/>
  </si>
  <si>
    <t>Case Summary</t>
    <phoneticPr fontId="2" type="noConversion"/>
  </si>
  <si>
    <t>GEV</t>
    <phoneticPr fontId="43" type="noConversion"/>
  </si>
  <si>
    <t>GE Vernova</t>
    <phoneticPr fontId="43" type="noConversion"/>
  </si>
  <si>
    <t>Ticker</t>
    <phoneticPr fontId="2" type="noConversion"/>
  </si>
  <si>
    <t>기업명</t>
    <phoneticPr fontId="2" type="noConversion"/>
  </si>
  <si>
    <t>시가총액</t>
    <phoneticPr fontId="2" type="noConversion"/>
  </si>
  <si>
    <t>Peer Group Valuation Table</t>
    <phoneticPr fontId="2" type="noConversion"/>
  </si>
  <si>
    <t>BWXT</t>
    <phoneticPr fontId="2" type="noConversion"/>
  </si>
  <si>
    <t>BWX Technologies</t>
    <phoneticPr fontId="2" type="noConversion"/>
  </si>
  <si>
    <t>Mitsubishi Heavy Industry</t>
    <phoneticPr fontId="115" type="noConversion"/>
  </si>
  <si>
    <t>Doosan enerbility</t>
    <phoneticPr fontId="2" type="noConversion"/>
  </si>
  <si>
    <t>Cap IQ</t>
    <phoneticPr fontId="2" type="noConversion"/>
  </si>
  <si>
    <t>Refinitiv</t>
    <phoneticPr fontId="2" type="noConversion"/>
  </si>
  <si>
    <t>043020</t>
    <phoneticPr fontId="2" type="noConversion"/>
  </si>
  <si>
    <t>Industry Median</t>
    <phoneticPr fontId="2" type="noConversion"/>
  </si>
  <si>
    <t>Expected IS</t>
    <phoneticPr fontId="2" type="noConversion"/>
  </si>
  <si>
    <t>요약재무제표</t>
    <phoneticPr fontId="2" type="noConversion"/>
  </si>
  <si>
    <t>Estimation</t>
    <phoneticPr fontId="2" type="noConversion"/>
  </si>
  <si>
    <t>Estimate Logic - HRSG</t>
    <phoneticPr fontId="2" type="noConversion"/>
  </si>
  <si>
    <t>`</t>
    <phoneticPr fontId="2" type="noConversion"/>
  </si>
  <si>
    <t>HRSG 사업부 매출은 기존 공시 수주와 신규 수주로 나누어 추정하였다.</t>
    <phoneticPr fontId="2" type="noConversion"/>
  </si>
  <si>
    <t>신규 수주의 경우 국내외 해외 주요 시장 (중동, 미국, 일본)으로 구분하고, 수주 가능성에 따라 Bull/Base/Bear 세 가지 케이스로 분류했다.</t>
    <phoneticPr fontId="2" type="noConversion"/>
  </si>
  <si>
    <t>기존수주 매출 (추정)</t>
  </si>
  <si>
    <t>기존 수주는 공시된 수주 계약을 대상으로, 유사한 계약의 진행율을 반영하여 분기별로 분배하였다.</t>
    <phoneticPr fontId="2" type="noConversion"/>
  </si>
  <si>
    <t>Bear</t>
  </si>
  <si>
    <t>QoQ 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</si>
</sst>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_(* #,##0_);_(* \(#,##0\);_(* &quot;-&quot;_);_(@_)"/>
    <numFmt numFmtId="177" formatCode="0.0%"/>
    <numFmt numFmtId="178" formatCode="#,##0_ ;[Red]\-#,##0\ "/>
    <numFmt numFmtId="179" formatCode="0.0_);[Red]\(0.0\)"/>
    <numFmt numFmtId="180" formatCode="0_);[Red]\(0\)"/>
    <numFmt numFmtId="181" formatCode="0&quot;E&quot;"/>
    <numFmt numFmtId="182" formatCode="#,##0;\-#,##0;\-"/>
    <numFmt numFmtId="183" formatCode="@&quot;E&quot;"/>
    <numFmt numFmtId="184" formatCode="@&quot;A&quot;"/>
    <numFmt numFmtId="185" formatCode="0_ "/>
    <numFmt numFmtId="186" formatCode="[$-409]mmm&quot;-&quot;yy;@"/>
    <numFmt numFmtId="187" formatCode="_-* #,##0_-;\-* #,##0_-;_-* &quot;&quot;"/>
    <numFmt numFmtId="188" formatCode="#,##0&quot;MW&quot;"/>
    <numFmt numFmtId="189" formatCode="@&quot; Case&quot;"/>
    <numFmt numFmtId="190" formatCode="#,##0_);[Red]\(#,##0\)"/>
    <numFmt numFmtId="191" formatCode="#,##0;\-#,##0;&quot;&quot;"/>
    <numFmt numFmtId="192" formatCode="#,##0.0"/>
    <numFmt numFmtId="193" formatCode="00.0"/>
    <numFmt numFmtId="194" formatCode="0.0&quot;조&quot;"/>
    <numFmt numFmtId="195" formatCode="#,##0&quot;백만원&quot;"/>
    <numFmt numFmtId="196" formatCode="0&quot;백만원&quot;"/>
    <numFmt numFmtId="197" formatCode="_-* #,##0,_-"/>
    <numFmt numFmtId="198" formatCode="0.00_);[Red]\(0.00\)"/>
    <numFmt numFmtId="199" formatCode="&quot;FY&quot;0000"/>
    <numFmt numFmtId="200" formatCode="&quot;FY&quot;0000&quot;E&quot;"/>
    <numFmt numFmtId="201" formatCode="0.0_ "/>
    <numFmt numFmtId="202" formatCode="_(* #,##0.0_);_(* \(#,##0.0\);_(* &quot;-&quot;??_);_(@_)"/>
    <numFmt numFmtId="203" formatCode="#,##0_);\(#,##0\)"/>
    <numFmt numFmtId="204" formatCode="#,##0.0_);\(#,##0.0\)"/>
    <numFmt numFmtId="205" formatCode="#,##0.0;\-#,##0.0;\-"/>
    <numFmt numFmtId="206" formatCode="_(* #,##0.0_);_(* \(#,##0.0\);_(* &quot;-&quot;_);_(@_)"/>
    <numFmt numFmtId="207" formatCode="#,##0.00_);\(#,##0.00\)"/>
  </numFmts>
  <fonts count="117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203864"/>
      <name val="맑은 고딕"/>
      <family val="2"/>
      <charset val="129"/>
      <scheme val="minor"/>
    </font>
    <font>
      <sz val="20"/>
      <color theme="0"/>
      <name val="KoPubWorld돋움체 Bold"/>
      <family val="3"/>
      <charset val="129"/>
    </font>
    <font>
      <sz val="9"/>
      <color theme="0"/>
      <name val="KoPubWorld바탕체 Medium"/>
      <family val="3"/>
      <charset val="129"/>
    </font>
    <font>
      <sz val="8"/>
      <name val="맑은 고딕"/>
      <family val="2"/>
      <charset val="129"/>
    </font>
    <font>
      <sz val="8"/>
      <color theme="0"/>
      <name val="KoPubWorld바탕체 Medium"/>
      <family val="3"/>
      <charset val="129"/>
    </font>
    <font>
      <sz val="48"/>
      <color theme="0"/>
      <name val="Cambria"/>
      <family val="1"/>
    </font>
    <font>
      <sz val="12"/>
      <color theme="0"/>
      <name val="Cambria"/>
      <family val="1"/>
    </font>
    <font>
      <i/>
      <sz val="10"/>
      <color theme="0"/>
      <name val="Arial"/>
      <family val="2"/>
    </font>
    <font>
      <b/>
      <sz val="11"/>
      <color theme="0"/>
      <name val="Arial"/>
      <family val="2"/>
    </font>
    <font>
      <b/>
      <sz val="22"/>
      <color theme="0"/>
      <name val="KoPubWorld돋움체 Bold"/>
      <family val="3"/>
      <charset val="129"/>
    </font>
    <font>
      <b/>
      <sz val="20"/>
      <color theme="0"/>
      <name val="Arial"/>
      <family val="2"/>
    </font>
    <font>
      <sz val="11"/>
      <color theme="1"/>
      <name val="Arial"/>
      <family val="2"/>
    </font>
    <font>
      <sz val="9"/>
      <color theme="0"/>
      <name val="KoPubWorld돋움체 Medium"/>
      <family val="3"/>
      <charset val="129"/>
    </font>
    <font>
      <sz val="8"/>
      <color theme="0"/>
      <name val="KoPubWorld바탕체 Medium"/>
      <family val="3"/>
      <charset val="129"/>
    </font>
    <font>
      <b/>
      <sz val="18"/>
      <color theme="0"/>
      <name val="Arial"/>
      <family val="2"/>
    </font>
    <font>
      <b/>
      <sz val="18"/>
      <color indexed="9"/>
      <name val="맑은 고딕"/>
      <family val="2"/>
      <charset val="129"/>
    </font>
    <font>
      <b/>
      <sz val="18"/>
      <color indexed="9"/>
      <name val="Arial"/>
      <family val="2"/>
    </font>
    <font>
      <sz val="9"/>
      <color theme="1"/>
      <name val="KoPubWorld돋움체 Medium"/>
      <family val="3"/>
      <charset val="129"/>
    </font>
    <font>
      <sz val="9"/>
      <color rgb="FFFF0000"/>
      <name val="KoPubWorld돋움체 Medium"/>
      <family val="3"/>
      <charset val="129"/>
    </font>
    <font>
      <sz val="9"/>
      <color rgb="FF000000"/>
      <name val="KoPubWorld돋움체 Medium"/>
      <family val="3"/>
      <charset val="129"/>
    </font>
    <font>
      <sz val="9"/>
      <color rgb="FF000000"/>
      <name val="굴림"/>
      <family val="3"/>
      <charset val="129"/>
    </font>
    <font>
      <sz val="9"/>
      <name val="KoPubWorld돋움체 Medium"/>
      <family val="3"/>
      <charset val="129"/>
    </font>
    <font>
      <sz val="11"/>
      <color theme="0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color rgb="FFEE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KoPubWorld돋움체 Medium"/>
      <family val="3"/>
      <charset val="129"/>
    </font>
    <font>
      <i/>
      <sz val="9"/>
      <color theme="1"/>
      <name val="KoPubWorld돋움체 Medium"/>
      <family val="3"/>
      <charset val="129"/>
    </font>
    <font>
      <b/>
      <sz val="9"/>
      <color theme="0"/>
      <name val="KoPubWorld돋움체 Medium"/>
      <family val="3"/>
      <charset val="129"/>
    </font>
    <font>
      <sz val="6"/>
      <color theme="0"/>
      <name val="KoPubWorld돋움체 Medium"/>
      <family val="3"/>
      <charset val="129"/>
    </font>
    <font>
      <sz val="8"/>
      <name val="맑은 고딕"/>
      <family val="3"/>
      <charset val="129"/>
      <scheme val="minor"/>
    </font>
    <font>
      <b/>
      <sz val="14"/>
      <color theme="0"/>
      <name val="KoPubWorld돋움체 Medium"/>
      <family val="3"/>
      <charset val="129"/>
    </font>
    <font>
      <b/>
      <sz val="10"/>
      <color theme="0"/>
      <name val="KoPubWorld돋움체 Medium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rgb="FF203864"/>
      <name val="KoPubWorld돋움체 Medium"/>
      <family val="3"/>
      <charset val="129"/>
    </font>
    <font>
      <sz val="9"/>
      <color theme="1"/>
      <name val="KoPubWorld돋움체 Light"/>
      <family val="3"/>
      <charset val="129"/>
    </font>
    <font>
      <i/>
      <sz val="9"/>
      <color rgb="FF203864"/>
      <name val="KoPubWorld돋움체 Medium"/>
      <family val="3"/>
      <charset val="129"/>
    </font>
    <font>
      <sz val="9"/>
      <color theme="9" tint="-0.249977111117893"/>
      <name val="KoPubWorld돋움체 Medium"/>
      <family val="3"/>
      <charset val="129"/>
    </font>
    <font>
      <b/>
      <sz val="9"/>
      <color rgb="FFFF0000"/>
      <name val="KoPubWorld돋움체 Medium"/>
      <family val="3"/>
      <charset val="129"/>
    </font>
    <font>
      <b/>
      <sz val="9"/>
      <name val="KoPubWorld돋움체 Medium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2F5597"/>
      <name val="KoPubWorld돋움체 Medium"/>
      <family val="3"/>
      <charset val="129"/>
    </font>
    <font>
      <sz val="9"/>
      <color theme="8"/>
      <name val="KoPubWorld돋움체 Medium"/>
      <family val="3"/>
      <charset val="129"/>
    </font>
    <font>
      <b/>
      <sz val="9"/>
      <color rgb="FF2F5597"/>
      <name val="KoPubWorld돋움체 Medium"/>
      <family val="3"/>
      <charset val="129"/>
    </font>
    <font>
      <b/>
      <sz val="9"/>
      <color theme="8"/>
      <name val="KoPubWorld돋움체 Medium"/>
      <family val="3"/>
      <charset val="129"/>
    </font>
    <font>
      <sz val="9"/>
      <color rgb="FFC00000"/>
      <name val="KoPubWorld돋움체 Medium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charset val="129"/>
      <scheme val="minor"/>
    </font>
    <font>
      <i/>
      <sz val="9"/>
      <color theme="2" tint="-9.9978637043366805E-2"/>
      <name val="KoPubWorld돋움체 Medium"/>
      <family val="3"/>
      <charset val="129"/>
    </font>
    <font>
      <sz val="9"/>
      <color theme="2" tint="-9.9978637043366805E-2"/>
      <name val="KoPubWorld돋움체 Medium"/>
      <family val="3"/>
      <charset val="129"/>
    </font>
    <font>
      <i/>
      <sz val="9"/>
      <name val="KoPubWorld돋움체 Medium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KoPubWorld돋움체 Light"/>
      <family val="3"/>
      <charset val="129"/>
    </font>
    <font>
      <sz val="10"/>
      <color theme="1"/>
      <name val="KoPubWorld돋움체 Light"/>
      <family val="3"/>
      <charset val="129"/>
    </font>
    <font>
      <sz val="9"/>
      <name val="KoPubWorld돋움체 Light"/>
      <family val="3"/>
      <charset val="129"/>
    </font>
    <font>
      <sz val="11"/>
      <name val="KoPubWorld돋움체 Light"/>
      <family val="3"/>
      <charset val="129"/>
    </font>
    <font>
      <b/>
      <sz val="11"/>
      <color theme="1"/>
      <name val="KoPubWorld돋움체 Light"/>
      <family val="3"/>
      <charset val="129"/>
    </font>
    <font>
      <u/>
      <sz val="11"/>
      <color theme="1"/>
      <name val="KoPubWorld돋움체 Light"/>
      <family val="3"/>
      <charset val="129"/>
    </font>
    <font>
      <sz val="10"/>
      <color rgb="FFFF0000"/>
      <name val="KoPubWorld돋움체 Light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KoPubWorld돋움체 Light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9"/>
      <color rgb="FF000000"/>
      <name val="KoPubWorld돋움체 Bold"/>
      <family val="3"/>
      <charset val="129"/>
    </font>
    <font>
      <sz val="9"/>
      <color theme="1"/>
      <name val="KoPubWorld돋움체 Bold"/>
      <family val="3"/>
      <charset val="129"/>
    </font>
    <font>
      <sz val="9"/>
      <color theme="0"/>
      <name val="KoPubWorld돋움체 Bold"/>
      <family val="3"/>
      <charset val="129"/>
    </font>
    <font>
      <sz val="9"/>
      <color rgb="FF3C7D22"/>
      <name val="KoPubWorld돋움체 Bold"/>
      <family val="3"/>
      <charset val="129"/>
    </font>
    <font>
      <sz val="9"/>
      <color rgb="FF0070C0"/>
      <name val="KoPubWorld돋움체 Medium"/>
      <family val="3"/>
      <charset val="129"/>
    </font>
    <font>
      <sz val="10"/>
      <color rgb="FF3C7D22"/>
      <name val="KoPubWorld돋움체 Bold"/>
      <family val="3"/>
      <charset val="129"/>
    </font>
    <font>
      <sz val="9"/>
      <color rgb="FF000000"/>
      <name val="KoPubWorld돋움체 Light"/>
      <family val="3"/>
      <charset val="129"/>
    </font>
    <font>
      <i/>
      <sz val="9"/>
      <color rgb="FF000000"/>
      <name val="KoPubWorld돋움체 Bold"/>
      <family val="3"/>
      <charset val="129"/>
    </font>
    <font>
      <i/>
      <sz val="9"/>
      <color theme="1"/>
      <name val="KoPubWorld돋움체 Bold"/>
      <family val="3"/>
      <charset val="129"/>
    </font>
    <font>
      <i/>
      <sz val="9"/>
      <color theme="0"/>
      <name val="KoPubWorld돋움체 Medium"/>
      <family val="3"/>
      <charset val="129"/>
    </font>
    <font>
      <sz val="11"/>
      <color theme="1"/>
      <name val="맑은 고딕"/>
      <family val="2"/>
      <scheme val="minor"/>
    </font>
    <font>
      <sz val="9"/>
      <color rgb="FFFFFFFF"/>
      <name val="KoPubWorld돋움체 Medium"/>
      <family val="3"/>
      <charset val="129"/>
    </font>
    <font>
      <sz val="8"/>
      <name val="MalgunGothic"/>
      <family val="2"/>
      <charset val="129"/>
    </font>
    <font>
      <b/>
      <i/>
      <sz val="9"/>
      <color theme="0"/>
      <name val="KoPubWorld돋움체 Medium"/>
      <family val="3"/>
      <charset val="129"/>
    </font>
    <font>
      <u/>
      <sz val="11"/>
      <color theme="10"/>
      <name val="맑은 고딕"/>
      <family val="2"/>
      <scheme val="minor"/>
    </font>
    <font>
      <b/>
      <sz val="9"/>
      <color rgb="FF008000"/>
      <name val="KoPubWorld돋움체 Medium"/>
      <family val="3"/>
      <charset val="129"/>
    </font>
    <font>
      <i/>
      <sz val="9"/>
      <color rgb="FF008000"/>
      <name val="KoPubWorld돋움체 Medium"/>
      <family val="3"/>
      <charset val="129"/>
    </font>
    <font>
      <sz val="9"/>
      <color rgb="FF008000"/>
      <name val="KoPubWorld돋움체 Medium"/>
      <family val="3"/>
      <charset val="129"/>
    </font>
    <font>
      <b/>
      <sz val="9"/>
      <color rgb="FF000000"/>
      <name val="돋움"/>
      <family val="2"/>
      <charset val="129"/>
    </font>
    <font>
      <b/>
      <sz val="9"/>
      <color rgb="FF000000"/>
      <name val="Tahoma"/>
      <family val="2"/>
    </font>
    <font>
      <b/>
      <sz val="10"/>
      <color rgb="FF000000"/>
      <name val="Malgun Gothic"/>
      <family val="2"/>
      <charset val="129"/>
    </font>
    <font>
      <i/>
      <sz val="9"/>
      <color theme="1"/>
      <name val="맑은 고딕"/>
      <family val="2"/>
      <charset val="129"/>
      <scheme val="minor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6"/>
      <color theme="1"/>
      <name val="KoPubWorld돋움체 Medium"/>
      <family val="3"/>
      <charset val="129"/>
    </font>
    <font>
      <i/>
      <sz val="9"/>
      <color rgb="FFC00000"/>
      <name val="KoPubWorld돋움체 Medium"/>
      <family val="3"/>
      <charset val="129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KoPubWorld돋움체 Bold"/>
      <family val="3"/>
      <charset val="129"/>
    </font>
    <font>
      <sz val="9"/>
      <color rgb="FFC00000"/>
      <name val="KoPubWorld돋움체 Bold"/>
      <family val="3"/>
      <charset val="129"/>
    </font>
    <font>
      <b/>
      <sz val="9"/>
      <color theme="0"/>
      <name val="KoPubWorld돋움체 Bold"/>
      <family val="3"/>
      <charset val="129"/>
    </font>
    <font>
      <sz val="9"/>
      <name val="KoPubWorld돋움체 Bold"/>
      <family val="3"/>
      <charset val="129"/>
    </font>
    <font>
      <b/>
      <sz val="9"/>
      <name val="KoPubWorld돋움체 Bold"/>
      <family val="3"/>
      <charset val="129"/>
    </font>
    <font>
      <sz val="10"/>
      <color theme="1"/>
      <name val="Yoon 윤고딕 540_TT"/>
      <family val="1"/>
      <charset val="129"/>
    </font>
    <font>
      <sz val="10"/>
      <color theme="1"/>
      <name val="Yoon 윤고딕 520_TT"/>
      <family val="1"/>
      <charset val="129"/>
    </font>
    <font>
      <sz val="8"/>
      <name val="Arial"/>
      <family val="2"/>
    </font>
    <font>
      <sz val="11"/>
      <color theme="1"/>
      <name val="KoPubWorld돋움체 Medium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BE2A9"/>
        <bgColor indexed="64"/>
      </patternFill>
    </fill>
    <fill>
      <patternFill patternType="solid">
        <fgColor rgb="FFFADA87"/>
        <bgColor indexed="64"/>
      </patternFill>
    </fill>
    <fill>
      <patternFill patternType="solid">
        <fgColor rgb="FFF9D268"/>
        <bgColor indexed="64"/>
      </patternFill>
    </fill>
    <fill>
      <patternFill patternType="solid">
        <fgColor rgb="FFD8CB60"/>
        <bgColor indexed="64"/>
      </patternFill>
    </fill>
    <fill>
      <patternFill patternType="solid">
        <fgColor rgb="FFB9C45B"/>
        <bgColor indexed="64"/>
      </patternFill>
    </fill>
    <fill>
      <patternFill patternType="solid">
        <fgColor rgb="FFA3C15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4F81BD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theme="0"/>
      </bottom>
      <diagonal/>
    </border>
    <border>
      <left style="thin">
        <color indexed="64"/>
      </left>
      <right/>
      <top style="thin">
        <color indexed="64"/>
      </top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double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808080"/>
      </right>
      <top/>
      <bottom style="thin">
        <color indexed="64"/>
      </bottom>
      <diagonal/>
    </border>
    <border>
      <left style="thin">
        <color rgb="FF808080"/>
      </left>
      <right/>
      <top/>
      <bottom style="thin">
        <color indexed="64"/>
      </bottom>
      <diagonal/>
    </border>
    <border>
      <left/>
      <right style="thin">
        <color rgb="FF808080"/>
      </right>
      <top style="thin">
        <color indexed="64"/>
      </top>
      <bottom/>
      <diagonal/>
    </border>
    <border>
      <left style="thin">
        <color rgb="FF808080"/>
      </left>
      <right/>
      <top style="thin">
        <color indexed="64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double">
        <color theme="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8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9" fillId="0" borderId="0"/>
    <xf numFmtId="0" fontId="93" fillId="0" borderId="0" applyNumberFormat="0" applyFill="0" applyBorder="0" applyAlignment="0" applyProtection="0"/>
    <xf numFmtId="41" fontId="8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1" fillId="38" borderId="0"/>
    <xf numFmtId="0" fontId="102" fillId="38" borderId="20">
      <alignment horizontal="centerContinuous"/>
    </xf>
    <xf numFmtId="0" fontId="3" fillId="0" borderId="0"/>
    <xf numFmtId="41" fontId="3" fillId="0" borderId="0" applyFont="0" applyFill="0" applyBorder="0" applyAlignment="0" applyProtection="0"/>
    <xf numFmtId="0" fontId="103" fillId="0" borderId="0" applyBorder="0"/>
  </cellStyleXfs>
  <cellXfs count="1085">
    <xf numFmtId="0" fontId="0" fillId="0" borderId="0" xfId="0">
      <alignment vertical="center"/>
    </xf>
    <xf numFmtId="41" fontId="0" fillId="0" borderId="0" xfId="1" applyFont="1">
      <alignment vertical="center"/>
    </xf>
    <xf numFmtId="0" fontId="21" fillId="0" borderId="0" xfId="4" applyFont="1">
      <alignment vertical="center"/>
    </xf>
    <xf numFmtId="178" fontId="21" fillId="0" borderId="0" xfId="0" applyNumberFormat="1" applyFont="1">
      <alignment vertical="center"/>
    </xf>
    <xf numFmtId="0" fontId="23" fillId="0" borderId="0" xfId="0" applyFont="1">
      <alignment vertical="center"/>
    </xf>
    <xf numFmtId="9" fontId="21" fillId="0" borderId="0" xfId="2" applyFont="1">
      <alignment vertical="center"/>
    </xf>
    <xf numFmtId="0" fontId="21" fillId="0" borderId="0" xfId="0" applyFont="1">
      <alignment vertical="center"/>
    </xf>
    <xf numFmtId="177" fontId="21" fillId="0" borderId="0" xfId="2" applyNumberFormat="1" applyFont="1">
      <alignment vertical="center"/>
    </xf>
    <xf numFmtId="0" fontId="25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49" fontId="27" fillId="7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1" fontId="27" fillId="0" borderId="0" xfId="1" applyFont="1" applyAlignment="1">
      <alignment horizontal="center" vertical="center"/>
    </xf>
    <xf numFmtId="49" fontId="27" fillId="8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27" fillId="9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/>
    </xf>
    <xf numFmtId="49" fontId="27" fillId="8" borderId="0" xfId="0" applyNumberFormat="1" applyFont="1" applyFill="1" applyAlignment="1">
      <alignment horizontal="center" vertical="justify"/>
    </xf>
    <xf numFmtId="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49" fontId="31" fillId="2" borderId="0" xfId="0" applyNumberFormat="1" applyFont="1" applyFill="1" applyAlignment="1">
      <alignment vertical="center" wrapText="1"/>
    </xf>
    <xf numFmtId="49" fontId="31" fillId="2" borderId="0" xfId="0" applyNumberFormat="1" applyFont="1" applyFill="1">
      <alignment vertical="center"/>
    </xf>
    <xf numFmtId="49" fontId="0" fillId="0" borderId="0" xfId="0" applyNumberForma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2" fillId="0" borderId="18" xfId="0" applyFont="1" applyBorder="1">
      <alignment vertical="center"/>
    </xf>
    <xf numFmtId="0" fontId="32" fillId="0" borderId="23" xfId="0" quotePrefix="1" applyFont="1" applyBorder="1">
      <alignment vertical="center"/>
    </xf>
    <xf numFmtId="0" fontId="32" fillId="10" borderId="23" xfId="0" applyFont="1" applyFill="1" applyBorder="1">
      <alignment vertical="center"/>
    </xf>
    <xf numFmtId="49" fontId="27" fillId="11" borderId="0" xfId="0" applyNumberFormat="1" applyFont="1" applyFill="1" applyAlignment="1">
      <alignment horizontal="center" vertical="center"/>
    </xf>
    <xf numFmtId="0" fontId="29" fillId="0" borderId="0" xfId="0" quotePrefix="1" applyFont="1" applyAlignment="1">
      <alignment horizontal="left" vertical="center"/>
    </xf>
    <xf numFmtId="0" fontId="32" fillId="0" borderId="18" xfId="0" quotePrefix="1" applyFont="1" applyBorder="1">
      <alignment vertical="center"/>
    </xf>
    <xf numFmtId="14" fontId="29" fillId="0" borderId="0" xfId="0" quotePrefix="1" applyNumberFormat="1" applyFont="1" applyAlignment="1">
      <alignment horizontal="left" vertical="center"/>
    </xf>
    <xf numFmtId="14" fontId="32" fillId="0" borderId="18" xfId="0" quotePrefix="1" applyNumberFormat="1" applyFont="1" applyBorder="1">
      <alignment vertical="center"/>
    </xf>
    <xf numFmtId="49" fontId="33" fillId="12" borderId="0" xfId="0" applyNumberFormat="1" applyFont="1" applyFill="1" applyAlignment="1">
      <alignment horizontal="center" vertical="center"/>
    </xf>
    <xf numFmtId="14" fontId="29" fillId="0" borderId="0" xfId="0" applyNumberFormat="1" applyFont="1" applyAlignment="1">
      <alignment horizontal="left" vertical="center"/>
    </xf>
    <xf numFmtId="14" fontId="32" fillId="0" borderId="18" xfId="0" applyNumberFormat="1" applyFont="1" applyBorder="1">
      <alignment vertical="center"/>
    </xf>
    <xf numFmtId="14" fontId="32" fillId="0" borderId="23" xfId="0" applyNumberFormat="1" applyFont="1" applyBorder="1">
      <alignment vertical="center"/>
    </xf>
    <xf numFmtId="0" fontId="34" fillId="12" borderId="23" xfId="0" applyFont="1" applyFill="1" applyBorder="1">
      <alignment vertical="center"/>
    </xf>
    <xf numFmtId="49" fontId="26" fillId="12" borderId="0" xfId="0" applyNumberFormat="1" applyFont="1" applyFill="1" applyAlignment="1">
      <alignment horizontal="center" vertical="center"/>
    </xf>
    <xf numFmtId="0" fontId="35" fillId="0" borderId="0" xfId="0" applyFont="1">
      <alignment vertical="center"/>
    </xf>
    <xf numFmtId="49" fontId="27" fillId="13" borderId="0" xfId="0" applyNumberFormat="1" applyFont="1" applyFill="1" applyAlignment="1">
      <alignment horizontal="center" vertical="center"/>
    </xf>
    <xf numFmtId="0" fontId="29" fillId="0" borderId="0" xfId="0" applyFont="1">
      <alignment vertical="center"/>
    </xf>
    <xf numFmtId="14" fontId="32" fillId="14" borderId="23" xfId="0" applyNumberFormat="1" applyFont="1" applyFill="1" applyBorder="1" applyAlignment="1">
      <alignment horizontal="center" vertical="center"/>
    </xf>
    <xf numFmtId="0" fontId="34" fillId="15" borderId="23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6" fillId="7" borderId="0" xfId="0" applyNumberFormat="1" applyFont="1" applyFill="1" applyAlignment="1">
      <alignment horizontal="centerContinuous" vertical="center"/>
    </xf>
    <xf numFmtId="49" fontId="37" fillId="16" borderId="6" xfId="0" applyNumberFormat="1" applyFont="1" applyFill="1" applyBorder="1" applyAlignment="1">
      <alignment horizontal="centerContinuous" vertical="center"/>
    </xf>
    <xf numFmtId="0" fontId="38" fillId="0" borderId="0" xfId="0" applyFont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3" fontId="21" fillId="0" borderId="0" xfId="0" applyNumberFormat="1" applyFont="1">
      <alignment vertical="center"/>
    </xf>
    <xf numFmtId="0" fontId="21" fillId="0" borderId="10" xfId="0" applyFont="1" applyBorder="1">
      <alignment vertical="center"/>
    </xf>
    <xf numFmtId="177" fontId="21" fillId="0" borderId="10" xfId="0" applyNumberFormat="1" applyFont="1" applyBorder="1">
      <alignment vertical="center"/>
    </xf>
    <xf numFmtId="0" fontId="21" fillId="0" borderId="10" xfId="0" applyFont="1" applyBorder="1" applyAlignment="1">
      <alignment horizontal="left" vertical="center" indent="1"/>
    </xf>
    <xf numFmtId="0" fontId="39" fillId="0" borderId="0" xfId="0" applyFont="1">
      <alignment vertical="center"/>
    </xf>
    <xf numFmtId="3" fontId="39" fillId="0" borderId="0" xfId="0" applyNumberFormat="1" applyFont="1">
      <alignment vertical="center"/>
    </xf>
    <xf numFmtId="0" fontId="21" fillId="0" borderId="0" xfId="0" applyFont="1" applyAlignment="1">
      <alignment horizontal="left" vertical="center" indent="2"/>
    </xf>
    <xf numFmtId="0" fontId="21" fillId="0" borderId="0" xfId="0" applyFont="1" applyAlignment="1">
      <alignment horizontal="left" vertical="center" indent="1"/>
    </xf>
    <xf numFmtId="0" fontId="40" fillId="0" borderId="0" xfId="0" applyFont="1">
      <alignment vertical="center"/>
    </xf>
    <xf numFmtId="177" fontId="40" fillId="0" borderId="0" xfId="0" applyNumberFormat="1" applyFont="1">
      <alignment vertical="center"/>
    </xf>
    <xf numFmtId="0" fontId="40" fillId="0" borderId="0" xfId="0" applyFont="1" applyAlignment="1">
      <alignment horizontal="left" vertical="center" indent="1"/>
    </xf>
    <xf numFmtId="0" fontId="41" fillId="23" borderId="28" xfId="0" applyFont="1" applyFill="1" applyBorder="1" applyAlignment="1">
      <alignment horizontal="center" vertical="center"/>
    </xf>
    <xf numFmtId="49" fontId="41" fillId="23" borderId="29" xfId="0" applyNumberFormat="1" applyFont="1" applyFill="1" applyBorder="1" applyAlignment="1">
      <alignment horizontal="left" vertical="center"/>
    </xf>
    <xf numFmtId="3" fontId="21" fillId="0" borderId="10" xfId="0" applyNumberFormat="1" applyFont="1" applyBorder="1">
      <alignment vertical="center"/>
    </xf>
    <xf numFmtId="3" fontId="39" fillId="0" borderId="9" xfId="0" applyNumberFormat="1" applyFont="1" applyBorder="1">
      <alignment vertical="center"/>
    </xf>
    <xf numFmtId="49" fontId="21" fillId="0" borderId="0" xfId="0" applyNumberFormat="1" applyFont="1" applyAlignment="1">
      <alignment horizontal="left" vertical="center" indent="1"/>
    </xf>
    <xf numFmtId="49" fontId="39" fillId="0" borderId="9" xfId="0" applyNumberFormat="1" applyFont="1" applyBorder="1">
      <alignment vertical="center"/>
    </xf>
    <xf numFmtId="49" fontId="21" fillId="0" borderId="0" xfId="0" applyNumberFormat="1" applyFont="1" applyAlignment="1">
      <alignment horizontal="left" vertical="center" indent="2"/>
    </xf>
    <xf numFmtId="3" fontId="39" fillId="0" borderId="30" xfId="0" applyNumberFormat="1" applyFont="1" applyBorder="1">
      <alignment vertical="center"/>
    </xf>
    <xf numFmtId="49" fontId="39" fillId="0" borderId="30" xfId="0" applyNumberFormat="1" applyFont="1" applyBorder="1">
      <alignment vertical="center"/>
    </xf>
    <xf numFmtId="181" fontId="41" fillId="23" borderId="28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2" fontId="21" fillId="0" borderId="0" xfId="0" applyNumberFormat="1" applyFont="1">
      <alignment vertical="center"/>
    </xf>
    <xf numFmtId="183" fontId="41" fillId="23" borderId="9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9" fillId="0" borderId="34" xfId="0" applyFont="1" applyBorder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6" fontId="25" fillId="0" borderId="0" xfId="0" applyNumberFormat="1" applyFont="1" applyAlignment="1">
      <alignment horizontal="center" vertical="center"/>
    </xf>
    <xf numFmtId="0" fontId="0" fillId="0" borderId="31" xfId="0" applyBorder="1">
      <alignment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41" xfId="0" applyBorder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43" xfId="0" applyBorder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0" fontId="0" fillId="0" borderId="44" xfId="0" applyBorder="1">
      <alignment vertical="center"/>
    </xf>
    <xf numFmtId="0" fontId="0" fillId="0" borderId="9" xfId="0" applyBorder="1">
      <alignment vertical="center"/>
    </xf>
    <xf numFmtId="14" fontId="0" fillId="0" borderId="9" xfId="0" applyNumberFormat="1" applyBorder="1">
      <alignment vertical="center"/>
    </xf>
    <xf numFmtId="3" fontId="0" fillId="0" borderId="10" xfId="0" applyNumberFormat="1" applyBorder="1">
      <alignment vertical="center"/>
    </xf>
    <xf numFmtId="0" fontId="0" fillId="2" borderId="10" xfId="0" applyFill="1" applyBorder="1">
      <alignment vertical="center"/>
    </xf>
    <xf numFmtId="0" fontId="46" fillId="0" borderId="0" xfId="0" applyFont="1">
      <alignment vertical="center"/>
    </xf>
    <xf numFmtId="0" fontId="0" fillId="0" borderId="33" xfId="0" quotePrefix="1" applyBorder="1">
      <alignment vertical="center"/>
    </xf>
    <xf numFmtId="14" fontId="0" fillId="0" borderId="26" xfId="0" applyNumberFormat="1" applyBorder="1">
      <alignment vertical="center"/>
    </xf>
    <xf numFmtId="0" fontId="0" fillId="0" borderId="26" xfId="0" quotePrefix="1" applyBorder="1">
      <alignment vertical="center"/>
    </xf>
    <xf numFmtId="0" fontId="0" fillId="0" borderId="26" xfId="0" applyBorder="1">
      <alignment vertical="center"/>
    </xf>
    <xf numFmtId="3" fontId="0" fillId="0" borderId="0" xfId="0" applyNumberFormat="1">
      <alignment vertical="center"/>
    </xf>
    <xf numFmtId="0" fontId="0" fillId="17" borderId="10" xfId="0" applyFill="1" applyBorder="1">
      <alignment vertical="center"/>
    </xf>
    <xf numFmtId="0" fontId="0" fillId="0" borderId="0" xfId="0" quotePrefix="1">
      <alignment vertical="center"/>
    </xf>
    <xf numFmtId="0" fontId="0" fillId="4" borderId="0" xfId="0" applyFill="1">
      <alignment vertical="center"/>
    </xf>
    <xf numFmtId="0" fontId="33" fillId="4" borderId="0" xfId="0" applyFont="1" applyFill="1" applyAlignment="1">
      <alignment vertical="center" wrapText="1"/>
    </xf>
    <xf numFmtId="0" fontId="33" fillId="4" borderId="0" xfId="0" applyFont="1" applyFill="1">
      <alignment vertical="center"/>
    </xf>
    <xf numFmtId="0" fontId="33" fillId="4" borderId="0" xfId="0" applyFont="1" applyFill="1" applyAlignment="1">
      <alignment horizontal="center" vertical="center" wrapText="1"/>
    </xf>
    <xf numFmtId="0" fontId="26" fillId="4" borderId="0" xfId="0" applyFont="1" applyFill="1">
      <alignment vertical="center"/>
    </xf>
    <xf numFmtId="0" fontId="16" fillId="0" borderId="0" xfId="0" applyFont="1">
      <alignment vertical="center"/>
    </xf>
    <xf numFmtId="0" fontId="21" fillId="0" borderId="4" xfId="0" applyFont="1" applyBorder="1">
      <alignment vertical="center"/>
    </xf>
    <xf numFmtId="0" fontId="21" fillId="0" borderId="4" xfId="0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1" fillId="23" borderId="0" xfId="0" applyFont="1" applyFill="1">
      <alignment vertical="center"/>
    </xf>
    <xf numFmtId="0" fontId="16" fillId="23" borderId="0" xfId="0" applyFont="1" applyFill="1">
      <alignment vertical="center"/>
    </xf>
    <xf numFmtId="3" fontId="16" fillId="23" borderId="0" xfId="0" applyNumberFormat="1" applyFont="1" applyFill="1" applyAlignment="1">
      <alignment horizontal="center" vertical="center"/>
    </xf>
    <xf numFmtId="186" fontId="16" fillId="23" borderId="0" xfId="0" applyNumberFormat="1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14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>
      <alignment vertical="center"/>
    </xf>
    <xf numFmtId="188" fontId="39" fillId="0" borderId="0" xfId="0" applyNumberFormat="1" applyFont="1">
      <alignment vertical="center"/>
    </xf>
    <xf numFmtId="189" fontId="39" fillId="0" borderId="0" xfId="0" applyNumberFormat="1" applyFont="1">
      <alignment vertical="center"/>
    </xf>
    <xf numFmtId="0" fontId="21" fillId="0" borderId="26" xfId="0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16" xfId="0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0" fontId="21" fillId="0" borderId="9" xfId="0" applyFont="1" applyBorder="1">
      <alignment vertical="center"/>
    </xf>
    <xf numFmtId="0" fontId="25" fillId="0" borderId="4" xfId="0" applyFont="1" applyBorder="1" applyAlignment="1">
      <alignment horizontal="center" vertical="center"/>
    </xf>
    <xf numFmtId="188" fontId="21" fillId="0" borderId="10" xfId="0" applyNumberFormat="1" applyFont="1" applyBorder="1">
      <alignment vertical="center"/>
    </xf>
    <xf numFmtId="0" fontId="25" fillId="26" borderId="0" xfId="0" applyFont="1" applyFill="1">
      <alignment vertical="center"/>
    </xf>
    <xf numFmtId="186" fontId="25" fillId="26" borderId="0" xfId="0" applyNumberFormat="1" applyFont="1" applyFill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188" fontId="21" fillId="0" borderId="0" xfId="0" applyNumberFormat="1" applyFont="1">
      <alignment vertical="center"/>
    </xf>
    <xf numFmtId="3" fontId="21" fillId="0" borderId="48" xfId="0" applyNumberFormat="1" applyFont="1" applyBorder="1" applyAlignment="1">
      <alignment horizontal="center" vertical="center"/>
    </xf>
    <xf numFmtId="188" fontId="21" fillId="0" borderId="2" xfId="0" applyNumberFormat="1" applyFont="1" applyBorder="1">
      <alignment vertical="center"/>
    </xf>
    <xf numFmtId="0" fontId="21" fillId="0" borderId="25" xfId="0" applyFont="1" applyBorder="1">
      <alignment vertical="center"/>
    </xf>
    <xf numFmtId="0" fontId="21" fillId="0" borderId="25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3" fontId="21" fillId="0" borderId="50" xfId="0" applyNumberFormat="1" applyFont="1" applyBorder="1" applyAlignment="1">
      <alignment horizontal="center" vertical="center"/>
    </xf>
    <xf numFmtId="0" fontId="21" fillId="0" borderId="19" xfId="0" applyFont="1" applyBorder="1">
      <alignment vertical="center"/>
    </xf>
    <xf numFmtId="0" fontId="21" fillId="0" borderId="1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3" fontId="21" fillId="0" borderId="43" xfId="0" applyNumberFormat="1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3" fontId="21" fillId="0" borderId="41" xfId="0" applyNumberFormat="1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3" fontId="21" fillId="0" borderId="33" xfId="0" applyNumberFormat="1" applyFont="1" applyBorder="1" applyAlignment="1">
      <alignment horizontal="center" vertical="center"/>
    </xf>
    <xf numFmtId="188" fontId="21" fillId="0" borderId="26" xfId="0" applyNumberFormat="1" applyFont="1" applyBorder="1">
      <alignment vertical="center"/>
    </xf>
    <xf numFmtId="0" fontId="21" fillId="0" borderId="34" xfId="0" applyFont="1" applyBorder="1" applyAlignment="1">
      <alignment horizontal="center" vertical="center"/>
    </xf>
    <xf numFmtId="18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26" borderId="0" xfId="0" applyFont="1" applyFill="1">
      <alignment vertical="center"/>
    </xf>
    <xf numFmtId="186" fontId="16" fillId="26" borderId="0" xfId="0" applyNumberFormat="1" applyFont="1" applyFill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0" fontId="21" fillId="26" borderId="0" xfId="0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0" borderId="0" xfId="0" quotePrefix="1" applyFont="1">
      <alignment vertical="center"/>
    </xf>
    <xf numFmtId="180" fontId="0" fillId="0" borderId="0" xfId="0" applyNumberFormat="1">
      <alignment vertical="center"/>
    </xf>
    <xf numFmtId="180" fontId="26" fillId="4" borderId="0" xfId="0" applyNumberFormat="1" applyFont="1" applyFill="1">
      <alignment vertical="center"/>
    </xf>
    <xf numFmtId="0" fontId="14" fillId="23" borderId="0" xfId="3" applyFont="1" applyFill="1">
      <alignment vertical="center"/>
    </xf>
    <xf numFmtId="0" fontId="13" fillId="23" borderId="0" xfId="3" applyFont="1" applyFill="1">
      <alignment vertical="center"/>
    </xf>
    <xf numFmtId="0" fontId="12" fillId="23" borderId="0" xfId="3" applyFont="1" applyFill="1">
      <alignment vertical="center"/>
    </xf>
    <xf numFmtId="0" fontId="11" fillId="23" borderId="0" xfId="3" applyFont="1" applyFill="1">
      <alignment vertical="center"/>
    </xf>
    <xf numFmtId="0" fontId="3" fillId="23" borderId="0" xfId="3" applyFill="1">
      <alignment vertical="center"/>
    </xf>
    <xf numFmtId="0" fontId="15" fillId="23" borderId="0" xfId="3" applyFont="1" applyFill="1">
      <alignment vertical="center"/>
    </xf>
    <xf numFmtId="0" fontId="3" fillId="5" borderId="0" xfId="3" applyFill="1">
      <alignment vertical="center"/>
    </xf>
    <xf numFmtId="0" fontId="10" fillId="5" borderId="0" xfId="3" applyFont="1" applyFill="1">
      <alignment vertical="center"/>
    </xf>
    <xf numFmtId="0" fontId="8" fillId="5" borderId="0" xfId="3" applyFont="1" applyFill="1">
      <alignment vertical="center"/>
    </xf>
    <xf numFmtId="0" fontId="6" fillId="5" borderId="0" xfId="3" applyFont="1" applyFill="1">
      <alignment vertical="center"/>
    </xf>
    <xf numFmtId="0" fontId="12" fillId="23" borderId="0" xfId="4" applyFont="1" applyFill="1">
      <alignment vertical="center"/>
    </xf>
    <xf numFmtId="0" fontId="1" fillId="23" borderId="0" xfId="7" applyFill="1">
      <alignment vertical="center"/>
    </xf>
    <xf numFmtId="0" fontId="11" fillId="23" borderId="0" xfId="4" applyFont="1" applyFill="1">
      <alignment vertical="center"/>
    </xf>
    <xf numFmtId="0" fontId="14" fillId="23" borderId="0" xfId="4" applyFont="1" applyFill="1">
      <alignment vertical="center"/>
    </xf>
    <xf numFmtId="0" fontId="18" fillId="23" borderId="0" xfId="4" applyFont="1" applyFill="1">
      <alignment vertical="center"/>
    </xf>
    <xf numFmtId="0" fontId="3" fillId="23" borderId="0" xfId="4" applyFill="1">
      <alignment vertical="center"/>
    </xf>
    <xf numFmtId="0" fontId="3" fillId="5" borderId="0" xfId="4" applyFill="1">
      <alignment vertical="center"/>
    </xf>
    <xf numFmtId="0" fontId="1" fillId="5" borderId="0" xfId="7" applyFill="1">
      <alignment vertical="center"/>
    </xf>
    <xf numFmtId="0" fontId="10" fillId="5" borderId="0" xfId="4" applyFont="1" applyFill="1">
      <alignment vertical="center"/>
    </xf>
    <xf numFmtId="0" fontId="9" fillId="5" borderId="0" xfId="4" applyFont="1" applyFill="1">
      <alignment vertical="center"/>
    </xf>
    <xf numFmtId="0" fontId="17" fillId="5" borderId="0" xfId="4" applyFont="1" applyFill="1">
      <alignment vertical="center"/>
    </xf>
    <xf numFmtId="0" fontId="6" fillId="5" borderId="0" xfId="4" applyFont="1" applyFill="1">
      <alignment vertical="center"/>
    </xf>
    <xf numFmtId="0" fontId="4" fillId="23" borderId="0" xfId="0" applyFont="1" applyFill="1">
      <alignment vertical="center"/>
    </xf>
    <xf numFmtId="0" fontId="21" fillId="23" borderId="0" xfId="0" applyFont="1" applyFill="1" applyAlignment="1"/>
    <xf numFmtId="49" fontId="45" fillId="23" borderId="0" xfId="0" applyNumberFormat="1" applyFont="1" applyFill="1">
      <alignment vertical="center"/>
    </xf>
    <xf numFmtId="49" fontId="44" fillId="23" borderId="35" xfId="0" applyNumberFormat="1" applyFont="1" applyFill="1" applyBorder="1" applyAlignment="1"/>
    <xf numFmtId="0" fontId="21" fillId="23" borderId="35" xfId="0" applyFont="1" applyFill="1" applyBorder="1" applyAlignment="1"/>
    <xf numFmtId="0" fontId="16" fillId="23" borderId="35" xfId="0" applyFont="1" applyFill="1" applyBorder="1" applyAlignment="1">
      <alignment horizontal="right"/>
    </xf>
    <xf numFmtId="41" fontId="21" fillId="0" borderId="0" xfId="1" applyFont="1">
      <alignment vertical="center"/>
    </xf>
    <xf numFmtId="0" fontId="21" fillId="0" borderId="1" xfId="0" applyFont="1" applyBorder="1">
      <alignment vertical="center"/>
    </xf>
    <xf numFmtId="0" fontId="21" fillId="0" borderId="11" xfId="0" applyFont="1" applyBorder="1" applyAlignment="1">
      <alignment horizontal="right" vertical="center" wrapText="1"/>
    </xf>
    <xf numFmtId="0" fontId="21" fillId="0" borderId="6" xfId="0" applyFont="1" applyBorder="1" applyAlignment="1">
      <alignment horizontal="right" vertical="center" wrapText="1"/>
    </xf>
    <xf numFmtId="41" fontId="21" fillId="0" borderId="7" xfId="1" applyFont="1" applyBorder="1" applyAlignment="1">
      <alignment horizontal="right" vertical="center"/>
    </xf>
    <xf numFmtId="41" fontId="21" fillId="6" borderId="7" xfId="1" applyFont="1" applyFill="1" applyBorder="1" applyAlignment="1">
      <alignment horizontal="right" vertical="center"/>
    </xf>
    <xf numFmtId="41" fontId="21" fillId="6" borderId="8" xfId="1" applyFont="1" applyFill="1" applyBorder="1" applyAlignment="1">
      <alignment horizontal="right" vertical="center"/>
    </xf>
    <xf numFmtId="41" fontId="21" fillId="0" borderId="9" xfId="1" applyFont="1" applyBorder="1" applyAlignment="1">
      <alignment horizontal="right" vertical="center"/>
    </xf>
    <xf numFmtId="0" fontId="21" fillId="0" borderId="5" xfId="0" applyFont="1" applyBorder="1">
      <alignment vertical="center"/>
    </xf>
    <xf numFmtId="9" fontId="21" fillId="0" borderId="0" xfId="0" applyNumberFormat="1" applyFont="1">
      <alignment vertical="center"/>
    </xf>
    <xf numFmtId="0" fontId="21" fillId="0" borderId="8" xfId="0" applyFont="1" applyBorder="1">
      <alignment vertical="center"/>
    </xf>
    <xf numFmtId="41" fontId="21" fillId="0" borderId="0" xfId="0" applyNumberFormat="1" applyFont="1">
      <alignment vertical="center"/>
    </xf>
    <xf numFmtId="41" fontId="21" fillId="0" borderId="0" xfId="1" applyFont="1" applyBorder="1">
      <alignment vertical="center"/>
    </xf>
    <xf numFmtId="0" fontId="21" fillId="0" borderId="4" xfId="0" applyFont="1" applyBorder="1" applyAlignment="1">
      <alignment horizontal="left" vertical="center" indent="1"/>
    </xf>
    <xf numFmtId="180" fontId="21" fillId="0" borderId="17" xfId="1" applyNumberFormat="1" applyFont="1" applyBorder="1" applyAlignment="1">
      <alignment horizontal="right" vertical="center"/>
    </xf>
    <xf numFmtId="180" fontId="21" fillId="0" borderId="9" xfId="1" applyNumberFormat="1" applyFont="1" applyBorder="1" applyAlignment="1">
      <alignment horizontal="right" vertical="center"/>
    </xf>
    <xf numFmtId="180" fontId="21" fillId="6" borderId="0" xfId="1" applyNumberFormat="1" applyFont="1" applyFill="1" applyBorder="1" applyAlignment="1">
      <alignment horizontal="right" vertical="center"/>
    </xf>
    <xf numFmtId="0" fontId="47" fillId="0" borderId="4" xfId="0" applyFont="1" applyBorder="1" applyAlignment="1">
      <alignment horizontal="left" vertical="center" indent="1"/>
    </xf>
    <xf numFmtId="180" fontId="49" fillId="0" borderId="12" xfId="1" applyNumberFormat="1" applyFont="1" applyBorder="1" applyAlignment="1">
      <alignment horizontal="right" vertical="center"/>
    </xf>
    <xf numFmtId="180" fontId="49" fillId="0" borderId="0" xfId="2" applyNumberFormat="1" applyFont="1" applyBorder="1" applyAlignment="1">
      <alignment horizontal="right" vertical="center"/>
    </xf>
    <xf numFmtId="0" fontId="21" fillId="0" borderId="16" xfId="0" applyFont="1" applyBorder="1" applyAlignment="1">
      <alignment horizontal="left" vertical="center" indent="1"/>
    </xf>
    <xf numFmtId="180" fontId="21" fillId="0" borderId="15" xfId="1" applyNumberFormat="1" applyFont="1" applyBorder="1" applyAlignment="1">
      <alignment horizontal="right" vertical="center"/>
    </xf>
    <xf numFmtId="180" fontId="21" fillId="0" borderId="10" xfId="1" applyNumberFormat="1" applyFont="1" applyBorder="1" applyAlignment="1">
      <alignment horizontal="right" vertical="center"/>
    </xf>
    <xf numFmtId="180" fontId="21" fillId="6" borderId="10" xfId="1" applyNumberFormat="1" applyFont="1" applyFill="1" applyBorder="1" applyAlignment="1">
      <alignment horizontal="right" vertical="center"/>
    </xf>
    <xf numFmtId="0" fontId="21" fillId="0" borderId="14" xfId="0" applyFont="1" applyBorder="1">
      <alignment vertical="center"/>
    </xf>
    <xf numFmtId="41" fontId="21" fillId="0" borderId="17" xfId="0" applyNumberFormat="1" applyFont="1" applyBorder="1">
      <alignment vertical="center"/>
    </xf>
    <xf numFmtId="3" fontId="21" fillId="0" borderId="9" xfId="0" applyNumberFormat="1" applyFont="1" applyBorder="1">
      <alignment vertical="center"/>
    </xf>
    <xf numFmtId="41" fontId="21" fillId="6" borderId="9" xfId="1" applyFont="1" applyFill="1" applyBorder="1">
      <alignment vertical="center"/>
    </xf>
    <xf numFmtId="41" fontId="21" fillId="6" borderId="14" xfId="1" applyFont="1" applyFill="1" applyBorder="1">
      <alignment vertical="center"/>
    </xf>
    <xf numFmtId="0" fontId="49" fillId="0" borderId="0" xfId="0" applyFont="1" applyAlignment="1">
      <alignment horizontal="right" vertical="center"/>
    </xf>
    <xf numFmtId="9" fontId="49" fillId="0" borderId="12" xfId="2" applyFont="1" applyBorder="1">
      <alignment vertical="center"/>
    </xf>
    <xf numFmtId="9" fontId="49" fillId="0" borderId="0" xfId="2" applyFont="1" applyBorder="1">
      <alignment vertical="center"/>
    </xf>
    <xf numFmtId="9" fontId="49" fillId="6" borderId="0" xfId="0" applyNumberFormat="1" applyFont="1" applyFill="1">
      <alignment vertical="center"/>
    </xf>
    <xf numFmtId="180" fontId="21" fillId="0" borderId="0" xfId="0" applyNumberFormat="1" applyFont="1">
      <alignment vertical="center"/>
    </xf>
    <xf numFmtId="180" fontId="21" fillId="6" borderId="0" xfId="1" applyNumberFormat="1" applyFont="1" applyFill="1" applyBorder="1">
      <alignment vertical="center"/>
    </xf>
    <xf numFmtId="180" fontId="21" fillId="6" borderId="4" xfId="1" applyNumberFormat="1" applyFont="1" applyFill="1" applyBorder="1">
      <alignment vertical="center"/>
    </xf>
    <xf numFmtId="0" fontId="49" fillId="0" borderId="5" xfId="0" applyFont="1" applyBorder="1" applyAlignment="1">
      <alignment horizontal="right" vertical="center"/>
    </xf>
    <xf numFmtId="9" fontId="49" fillId="0" borderId="13" xfId="2" applyFont="1" applyBorder="1">
      <alignment vertical="center"/>
    </xf>
    <xf numFmtId="9" fontId="49" fillId="0" borderId="2" xfId="2" applyFont="1" applyBorder="1">
      <alignment vertical="center"/>
    </xf>
    <xf numFmtId="9" fontId="49" fillId="0" borderId="5" xfId="2" applyFont="1" applyBorder="1">
      <alignment vertical="center"/>
    </xf>
    <xf numFmtId="9" fontId="49" fillId="6" borderId="2" xfId="2" applyFont="1" applyFill="1" applyBorder="1">
      <alignment vertical="center"/>
    </xf>
    <xf numFmtId="9" fontId="49" fillId="6" borderId="2" xfId="0" applyNumberFormat="1" applyFont="1" applyFill="1" applyBorder="1">
      <alignment vertical="center"/>
    </xf>
    <xf numFmtId="41" fontId="21" fillId="0" borderId="17" xfId="1" applyFont="1" applyBorder="1" applyAlignment="1">
      <alignment horizontal="right" vertical="center"/>
    </xf>
    <xf numFmtId="0" fontId="21" fillId="0" borderId="3" xfId="0" applyFont="1" applyBorder="1">
      <alignment vertical="center"/>
    </xf>
    <xf numFmtId="9" fontId="49" fillId="0" borderId="2" xfId="2" applyFont="1" applyBorder="1" applyAlignment="1">
      <alignment horizontal="right" vertical="center" wrapText="1"/>
    </xf>
    <xf numFmtId="9" fontId="49" fillId="0" borderId="5" xfId="2" applyFont="1" applyBorder="1" applyAlignment="1">
      <alignment horizontal="right" vertical="center" wrapText="1"/>
    </xf>
    <xf numFmtId="0" fontId="21" fillId="23" borderId="0" xfId="0" applyFont="1" applyFill="1" applyAlignment="1">
      <alignment horizontal="center" vertical="center"/>
    </xf>
    <xf numFmtId="3" fontId="21" fillId="23" borderId="0" xfId="0" applyNumberFormat="1" applyFont="1" applyFill="1" applyAlignment="1">
      <alignment horizontal="center" vertical="center"/>
    </xf>
    <xf numFmtId="0" fontId="21" fillId="23" borderId="4" xfId="0" applyFont="1" applyFill="1" applyBorder="1" applyAlignment="1">
      <alignment horizontal="center" vertical="center"/>
    </xf>
    <xf numFmtId="177" fontId="21" fillId="23" borderId="0" xfId="2" applyNumberFormat="1" applyFont="1" applyFill="1">
      <alignment vertical="center"/>
    </xf>
    <xf numFmtId="0" fontId="16" fillId="23" borderId="38" xfId="0" applyFont="1" applyFill="1" applyBorder="1" applyAlignment="1">
      <alignment horizontal="center" vertical="center"/>
    </xf>
    <xf numFmtId="0" fontId="41" fillId="23" borderId="36" xfId="0" applyFont="1" applyFill="1" applyBorder="1" applyAlignment="1">
      <alignment horizontal="center" vertical="center"/>
    </xf>
    <xf numFmtId="0" fontId="16" fillId="23" borderId="36" xfId="0" applyFont="1" applyFill="1" applyBorder="1" applyAlignment="1">
      <alignment horizontal="center" vertical="center"/>
    </xf>
    <xf numFmtId="3" fontId="16" fillId="23" borderId="36" xfId="0" applyNumberFormat="1" applyFont="1" applyFill="1" applyBorder="1" applyAlignment="1">
      <alignment horizontal="center" vertical="center"/>
    </xf>
    <xf numFmtId="0" fontId="41" fillId="23" borderId="37" xfId="0" applyFont="1" applyFill="1" applyBorder="1" applyAlignment="1">
      <alignment horizontal="center" vertical="center"/>
    </xf>
    <xf numFmtId="0" fontId="50" fillId="23" borderId="4" xfId="0" applyFont="1" applyFill="1" applyBorder="1" applyAlignment="1">
      <alignment horizontal="center" vertical="center"/>
    </xf>
    <xf numFmtId="0" fontId="16" fillId="22" borderId="0" xfId="0" applyFont="1" applyFill="1">
      <alignment vertical="center"/>
    </xf>
    <xf numFmtId="0" fontId="16" fillId="22" borderId="0" xfId="0" applyFont="1" applyFill="1" applyAlignment="1">
      <alignment horizontal="center" vertical="center"/>
    </xf>
    <xf numFmtId="3" fontId="16" fillId="22" borderId="0" xfId="0" applyNumberFormat="1" applyFont="1" applyFill="1" applyAlignment="1">
      <alignment horizontal="center" vertical="center"/>
    </xf>
    <xf numFmtId="186" fontId="16" fillId="22" borderId="0" xfId="0" applyNumberFormat="1" applyFont="1" applyFill="1" applyAlignment="1">
      <alignment horizontal="center" vertical="center"/>
    </xf>
    <xf numFmtId="0" fontId="16" fillId="22" borderId="4" xfId="0" applyFont="1" applyFill="1" applyBorder="1" applyAlignment="1">
      <alignment horizontal="center" vertical="center"/>
    </xf>
    <xf numFmtId="0" fontId="21" fillId="22" borderId="0" xfId="0" applyFont="1" applyFill="1">
      <alignment vertical="center"/>
    </xf>
    <xf numFmtId="3" fontId="21" fillId="0" borderId="0" xfId="2" applyNumberFormat="1" applyFont="1">
      <alignment vertical="center"/>
    </xf>
    <xf numFmtId="177" fontId="16" fillId="22" borderId="0" xfId="2" applyNumberFormat="1" applyFont="1" applyFill="1" applyAlignment="1">
      <alignment horizontal="center" vertical="center"/>
    </xf>
    <xf numFmtId="0" fontId="16" fillId="25" borderId="0" xfId="0" applyFont="1" applyFill="1" applyAlignment="1">
      <alignment horizontal="center" vertical="center"/>
    </xf>
    <xf numFmtId="3" fontId="16" fillId="25" borderId="0" xfId="0" applyNumberFormat="1" applyFont="1" applyFill="1" applyAlignment="1">
      <alignment horizontal="center" vertical="center"/>
    </xf>
    <xf numFmtId="186" fontId="16" fillId="25" borderId="0" xfId="0" applyNumberFormat="1" applyFont="1" applyFill="1" applyAlignment="1">
      <alignment horizontal="center" vertical="center"/>
    </xf>
    <xf numFmtId="0" fontId="16" fillId="25" borderId="4" xfId="0" applyFont="1" applyFill="1" applyBorder="1" applyAlignment="1">
      <alignment horizontal="center" vertical="center"/>
    </xf>
    <xf numFmtId="177" fontId="16" fillId="25" borderId="0" xfId="2" applyNumberFormat="1" applyFont="1" applyFill="1" applyAlignment="1">
      <alignment horizontal="center" vertical="center"/>
    </xf>
    <xf numFmtId="185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85" fontId="21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3" fontId="51" fillId="0" borderId="0" xfId="0" applyNumberFormat="1" applyFont="1" applyAlignment="1">
      <alignment horizontal="center" vertical="center"/>
    </xf>
    <xf numFmtId="0" fontId="16" fillId="0" borderId="10" xfId="0" applyFont="1" applyBorder="1">
      <alignment vertical="center"/>
    </xf>
    <xf numFmtId="185" fontId="21" fillId="0" borderId="10" xfId="0" applyNumberFormat="1" applyFont="1" applyBorder="1" applyAlignment="1">
      <alignment horizontal="center" vertical="center"/>
    </xf>
    <xf numFmtId="0" fontId="52" fillId="0" borderId="0" xfId="0" applyFont="1">
      <alignment vertical="center"/>
    </xf>
    <xf numFmtId="0" fontId="16" fillId="26" borderId="0" xfId="0" applyFont="1" applyFill="1">
      <alignment vertical="center"/>
    </xf>
    <xf numFmtId="187" fontId="21" fillId="0" borderId="0" xfId="0" applyNumberFormat="1" applyFont="1">
      <alignment vertical="center"/>
    </xf>
    <xf numFmtId="181" fontId="16" fillId="23" borderId="0" xfId="0" applyNumberFormat="1" applyFont="1" applyFill="1" applyAlignment="1">
      <alignment horizontal="center" vertical="center"/>
    </xf>
    <xf numFmtId="0" fontId="21" fillId="5" borderId="0" xfId="0" applyFont="1" applyFill="1">
      <alignment vertical="center"/>
    </xf>
    <xf numFmtId="0" fontId="21" fillId="21" borderId="0" xfId="0" applyFont="1" applyFill="1">
      <alignment vertical="center"/>
    </xf>
    <xf numFmtId="0" fontId="21" fillId="20" borderId="0" xfId="0" applyFont="1" applyFill="1">
      <alignment vertical="center"/>
    </xf>
    <xf numFmtId="0" fontId="21" fillId="19" borderId="0" xfId="0" applyFont="1" applyFill="1">
      <alignment vertical="center"/>
    </xf>
    <xf numFmtId="0" fontId="53" fillId="0" borderId="0" xfId="0" applyFont="1">
      <alignment vertical="center"/>
    </xf>
    <xf numFmtId="178" fontId="21" fillId="0" borderId="10" xfId="0" applyNumberFormat="1" applyFont="1" applyBorder="1">
      <alignment vertical="center"/>
    </xf>
    <xf numFmtId="41" fontId="21" fillId="0" borderId="10" xfId="1" applyFont="1" applyBorder="1">
      <alignment vertical="center"/>
    </xf>
    <xf numFmtId="178" fontId="53" fillId="0" borderId="0" xfId="0" applyNumberFormat="1" applyFont="1">
      <alignment vertical="center"/>
    </xf>
    <xf numFmtId="9" fontId="53" fillId="0" borderId="0" xfId="2" applyFont="1">
      <alignment vertical="center"/>
    </xf>
    <xf numFmtId="49" fontId="21" fillId="0" borderId="24" xfId="0" applyNumberFormat="1" applyFont="1" applyBorder="1" applyAlignment="1">
      <alignment horizontal="left" vertical="center" indent="1"/>
    </xf>
    <xf numFmtId="3" fontId="21" fillId="0" borderId="24" xfId="0" applyNumberFormat="1" applyFont="1" applyBorder="1">
      <alignment vertical="center"/>
    </xf>
    <xf numFmtId="177" fontId="21" fillId="0" borderId="0" xfId="0" applyNumberFormat="1" applyFont="1">
      <alignment vertical="center"/>
    </xf>
    <xf numFmtId="0" fontId="21" fillId="0" borderId="0" xfId="0" applyFont="1" applyAlignment="1">
      <alignment horizontal="left" vertical="center"/>
    </xf>
    <xf numFmtId="3" fontId="21" fillId="0" borderId="33" xfId="9" applyNumberFormat="1" applyFont="1" applyBorder="1" applyAlignment="1">
      <alignment horizontal="center" vertical="center"/>
    </xf>
    <xf numFmtId="3" fontId="21" fillId="0" borderId="43" xfId="9" applyNumberFormat="1" applyFont="1" applyBorder="1" applyAlignment="1">
      <alignment horizontal="center" vertical="center"/>
    </xf>
    <xf numFmtId="3" fontId="21" fillId="0" borderId="31" xfId="9" applyNumberFormat="1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5" xfId="0" applyFont="1" applyBorder="1">
      <alignment vertical="center"/>
    </xf>
    <xf numFmtId="3" fontId="21" fillId="0" borderId="56" xfId="0" applyNumberFormat="1" applyFont="1" applyBorder="1" applyAlignment="1">
      <alignment horizontal="center" vertical="center"/>
    </xf>
    <xf numFmtId="3" fontId="21" fillId="0" borderId="31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90" fontId="39" fillId="0" borderId="0" xfId="0" applyNumberFormat="1" applyFont="1">
      <alignment vertical="center"/>
    </xf>
    <xf numFmtId="190" fontId="40" fillId="0" borderId="0" xfId="0" applyNumberFormat="1" applyFont="1">
      <alignment vertical="center"/>
    </xf>
    <xf numFmtId="190" fontId="21" fillId="0" borderId="0" xfId="0" applyNumberFormat="1" applyFont="1">
      <alignment vertical="center"/>
    </xf>
    <xf numFmtId="191" fontId="16" fillId="23" borderId="0" xfId="0" applyNumberFormat="1" applyFont="1" applyFill="1" applyAlignment="1">
      <alignment horizontal="center" vertical="center"/>
    </xf>
    <xf numFmtId="191" fontId="25" fillId="0" borderId="0" xfId="0" applyNumberFormat="1" applyFont="1">
      <alignment vertical="center"/>
    </xf>
    <xf numFmtId="191" fontId="21" fillId="0" borderId="0" xfId="0" applyNumberFormat="1" applyFont="1">
      <alignment vertical="center"/>
    </xf>
    <xf numFmtId="191" fontId="21" fillId="23" borderId="0" xfId="2" applyNumberFormat="1" applyFont="1" applyFill="1">
      <alignment vertical="center"/>
    </xf>
    <xf numFmtId="191" fontId="21" fillId="23" borderId="0" xfId="0" applyNumberFormat="1" applyFont="1" applyFill="1">
      <alignment vertical="center"/>
    </xf>
    <xf numFmtId="191" fontId="21" fillId="0" borderId="0" xfId="2" applyNumberFormat="1" applyFont="1">
      <alignment vertical="center"/>
    </xf>
    <xf numFmtId="191" fontId="16" fillId="22" borderId="0" xfId="2" applyNumberFormat="1" applyFont="1" applyFill="1" applyAlignment="1">
      <alignment horizontal="center" vertical="center"/>
    </xf>
    <xf numFmtId="191" fontId="16" fillId="22" borderId="0" xfId="0" applyNumberFormat="1" applyFont="1" applyFill="1" applyAlignment="1">
      <alignment horizontal="center" vertical="center"/>
    </xf>
    <xf numFmtId="191" fontId="16" fillId="25" borderId="0" xfId="2" applyNumberFormat="1" applyFont="1" applyFill="1" applyAlignment="1">
      <alignment horizontal="center" vertical="center"/>
    </xf>
    <xf numFmtId="191" fontId="16" fillId="25" borderId="0" xfId="0" applyNumberFormat="1" applyFont="1" applyFill="1" applyAlignment="1">
      <alignment horizontal="center" vertical="center"/>
    </xf>
    <xf numFmtId="191" fontId="39" fillId="0" borderId="0" xfId="0" applyNumberFormat="1" applyFont="1">
      <alignment vertical="center"/>
    </xf>
    <xf numFmtId="191" fontId="21" fillId="0" borderId="10" xfId="0" applyNumberFormat="1" applyFont="1" applyBorder="1">
      <alignment vertical="center"/>
    </xf>
    <xf numFmtId="185" fontId="16" fillId="23" borderId="0" xfId="0" applyNumberFormat="1" applyFont="1" applyFill="1" applyAlignment="1">
      <alignment horizontal="center" vertical="center"/>
    </xf>
    <xf numFmtId="10" fontId="25" fillId="0" borderId="0" xfId="2" applyNumberFormat="1" applyFont="1" applyBorder="1" applyAlignment="1">
      <alignment vertical="center"/>
    </xf>
    <xf numFmtId="10" fontId="25" fillId="0" borderId="0" xfId="2" applyNumberFormat="1" applyFont="1" applyBorder="1">
      <alignment vertical="center"/>
    </xf>
    <xf numFmtId="10" fontId="21" fillId="0" borderId="0" xfId="2" applyNumberFormat="1" applyFont="1" applyAlignment="1">
      <alignment horizontal="center" vertical="center"/>
    </xf>
    <xf numFmtId="10" fontId="21" fillId="0" borderId="0" xfId="2" applyNumberFormat="1" applyFont="1">
      <alignment vertical="center"/>
    </xf>
    <xf numFmtId="10" fontId="21" fillId="0" borderId="0" xfId="2" applyNumberFormat="1" applyFont="1" applyAlignment="1">
      <alignment horizontal="left" vertical="center"/>
    </xf>
    <xf numFmtId="10" fontId="21" fillId="0" borderId="0" xfId="2" applyNumberFormat="1" applyFont="1" applyAlignment="1">
      <alignment vertical="center"/>
    </xf>
    <xf numFmtId="10" fontId="21" fillId="0" borderId="0" xfId="2" quotePrefix="1" applyNumberFormat="1" applyFont="1">
      <alignment vertical="center"/>
    </xf>
    <xf numFmtId="10" fontId="22" fillId="0" borderId="0" xfId="2" applyNumberFormat="1" applyFont="1">
      <alignment vertical="center"/>
    </xf>
    <xf numFmtId="10" fontId="39" fillId="0" borderId="0" xfId="2" applyNumberFormat="1" applyFont="1">
      <alignment vertical="center"/>
    </xf>
    <xf numFmtId="10" fontId="21" fillId="0" borderId="10" xfId="2" applyNumberFormat="1" applyFont="1" applyBorder="1">
      <alignment vertical="center"/>
    </xf>
    <xf numFmtId="3" fontId="21" fillId="23" borderId="0" xfId="0" applyNumberFormat="1" applyFont="1" applyFill="1">
      <alignment vertical="center"/>
    </xf>
    <xf numFmtId="3" fontId="16" fillId="26" borderId="0" xfId="0" applyNumberFormat="1" applyFont="1" applyFill="1" applyAlignment="1">
      <alignment horizontal="center" vertical="center"/>
    </xf>
    <xf numFmtId="3" fontId="25" fillId="26" borderId="0" xfId="0" applyNumberFormat="1" applyFont="1" applyFill="1" applyAlignment="1">
      <alignment horizontal="center" vertical="center"/>
    </xf>
    <xf numFmtId="0" fontId="26" fillId="0" borderId="0" xfId="0" applyFont="1">
      <alignment vertical="center"/>
    </xf>
    <xf numFmtId="3" fontId="21" fillId="0" borderId="0" xfId="0" applyNumberFormat="1" applyFont="1" applyAlignment="1">
      <alignment horizontal="right" vertical="center" indent="1"/>
    </xf>
    <xf numFmtId="189" fontId="21" fillId="0" borderId="0" xfId="0" applyNumberFormat="1" applyFont="1">
      <alignment vertical="center"/>
    </xf>
    <xf numFmtId="0" fontId="54" fillId="0" borderId="0" xfId="0" applyFont="1">
      <alignment vertical="center"/>
    </xf>
    <xf numFmtId="0" fontId="54" fillId="0" borderId="0" xfId="0" applyFont="1" applyAlignment="1">
      <alignment horizontal="center" vertical="center"/>
    </xf>
    <xf numFmtId="3" fontId="54" fillId="0" borderId="0" xfId="0" applyNumberFormat="1" applyFont="1" applyAlignment="1">
      <alignment horizontal="right" vertical="center" indent="1"/>
    </xf>
    <xf numFmtId="3" fontId="54" fillId="0" borderId="0" xfId="0" applyNumberFormat="1" applyFont="1" applyAlignment="1">
      <alignment horizontal="center" vertical="center"/>
    </xf>
    <xf numFmtId="189" fontId="54" fillId="0" borderId="0" xfId="0" applyNumberFormat="1" applyFont="1">
      <alignment vertical="center"/>
    </xf>
    <xf numFmtId="188" fontId="54" fillId="0" borderId="0" xfId="0" applyNumberFormat="1" applyFont="1">
      <alignment vertical="center"/>
    </xf>
    <xf numFmtId="187" fontId="54" fillId="0" borderId="0" xfId="0" applyNumberFormat="1" applyFont="1">
      <alignment vertical="center"/>
    </xf>
    <xf numFmtId="0" fontId="56" fillId="0" borderId="0" xfId="0" applyFont="1" applyAlignment="1">
      <alignment horizontal="center" vertical="center"/>
    </xf>
    <xf numFmtId="189" fontId="56" fillId="0" borderId="0" xfId="0" applyNumberFormat="1" applyFont="1">
      <alignment vertical="center"/>
    </xf>
    <xf numFmtId="188" fontId="56" fillId="0" borderId="0" xfId="0" applyNumberFormat="1" applyFont="1">
      <alignment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3" fontId="55" fillId="0" borderId="0" xfId="0" applyNumberFormat="1" applyFont="1" applyAlignment="1">
      <alignment horizontal="right" vertical="center" indent="1"/>
    </xf>
    <xf numFmtId="3" fontId="55" fillId="0" borderId="0" xfId="0" applyNumberFormat="1" applyFont="1" applyAlignment="1">
      <alignment horizontal="center" vertical="center"/>
    </xf>
    <xf numFmtId="189" fontId="55" fillId="0" borderId="0" xfId="0" applyNumberFormat="1" applyFont="1">
      <alignment vertical="center"/>
    </xf>
    <xf numFmtId="188" fontId="55" fillId="0" borderId="0" xfId="0" applyNumberFormat="1" applyFont="1">
      <alignment vertical="center"/>
    </xf>
    <xf numFmtId="187" fontId="55" fillId="0" borderId="0" xfId="0" applyNumberFormat="1" applyFont="1">
      <alignment vertical="center"/>
    </xf>
    <xf numFmtId="189" fontId="57" fillId="0" borderId="0" xfId="0" applyNumberFormat="1" applyFont="1">
      <alignment vertical="center"/>
    </xf>
    <xf numFmtId="188" fontId="57" fillId="0" borderId="0" xfId="0" applyNumberFormat="1" applyFont="1">
      <alignment vertical="center"/>
    </xf>
    <xf numFmtId="0" fontId="55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2" fillId="26" borderId="0" xfId="0" applyFont="1" applyFill="1" applyAlignment="1">
      <alignment horizontal="center" vertical="center"/>
    </xf>
    <xf numFmtId="186" fontId="52" fillId="26" borderId="0" xfId="0" applyNumberFormat="1" applyFont="1" applyFill="1" applyAlignment="1">
      <alignment horizontal="center" vertical="center"/>
    </xf>
    <xf numFmtId="3" fontId="52" fillId="26" borderId="0" xfId="0" applyNumberFormat="1" applyFont="1" applyFill="1" applyAlignment="1">
      <alignment horizontal="center" vertical="center"/>
    </xf>
    <xf numFmtId="0" fontId="52" fillId="26" borderId="0" xfId="0" applyFont="1" applyFill="1">
      <alignment vertical="center"/>
    </xf>
    <xf numFmtId="0" fontId="41" fillId="26" borderId="0" xfId="0" applyFont="1" applyFill="1">
      <alignment vertical="center"/>
    </xf>
    <xf numFmtId="191" fontId="55" fillId="0" borderId="0" xfId="0" applyNumberFormat="1" applyFont="1">
      <alignment vertical="center"/>
    </xf>
    <xf numFmtId="191" fontId="54" fillId="0" borderId="0" xfId="0" applyNumberFormat="1" applyFont="1">
      <alignment vertical="center"/>
    </xf>
    <xf numFmtId="191" fontId="16" fillId="0" borderId="0" xfId="0" applyNumberFormat="1" applyFont="1">
      <alignment vertical="center"/>
    </xf>
    <xf numFmtId="192" fontId="21" fillId="0" borderId="0" xfId="0" applyNumberFormat="1" applyFont="1">
      <alignment vertical="center"/>
    </xf>
    <xf numFmtId="180" fontId="21" fillId="0" borderId="0" xfId="0" applyNumberFormat="1" applyFont="1" applyAlignment="1">
      <alignment horizontal="center" vertical="center"/>
    </xf>
    <xf numFmtId="3" fontId="21" fillId="24" borderId="0" xfId="0" applyNumberFormat="1" applyFont="1" applyFill="1">
      <alignment vertical="center"/>
    </xf>
    <xf numFmtId="3" fontId="21" fillId="24" borderId="0" xfId="0" applyNumberFormat="1" applyFont="1" applyFill="1" applyAlignment="1">
      <alignment horizontal="center" vertical="center"/>
    </xf>
    <xf numFmtId="14" fontId="21" fillId="24" borderId="0" xfId="0" applyNumberFormat="1" applyFont="1" applyFill="1" applyAlignment="1">
      <alignment horizontal="center" vertical="center"/>
    </xf>
    <xf numFmtId="186" fontId="16" fillId="23" borderId="0" xfId="0" applyNumberFormat="1" applyFont="1" applyFill="1">
      <alignment vertical="center"/>
    </xf>
    <xf numFmtId="10" fontId="21" fillId="0" borderId="0" xfId="0" applyNumberFormat="1" applyFont="1">
      <alignment vertical="center"/>
    </xf>
    <xf numFmtId="0" fontId="21" fillId="27" borderId="0" xfId="0" applyFont="1" applyFill="1">
      <alignment vertical="center"/>
    </xf>
    <xf numFmtId="0" fontId="16" fillId="27" borderId="0" xfId="0" applyFont="1" applyFill="1" applyAlignment="1">
      <alignment horizontal="center" vertical="center"/>
    </xf>
    <xf numFmtId="3" fontId="16" fillId="27" borderId="0" xfId="0" applyNumberFormat="1" applyFont="1" applyFill="1" applyAlignment="1">
      <alignment horizontal="center" vertical="center"/>
    </xf>
    <xf numFmtId="186" fontId="16" fillId="27" borderId="0" xfId="0" applyNumberFormat="1" applyFont="1" applyFill="1" applyAlignment="1">
      <alignment horizontal="center" vertical="center"/>
    </xf>
    <xf numFmtId="0" fontId="16" fillId="27" borderId="0" xfId="0" applyFont="1" applyFill="1">
      <alignment vertical="center"/>
    </xf>
    <xf numFmtId="0" fontId="25" fillId="27" borderId="0" xfId="0" applyFont="1" applyFill="1" applyAlignment="1">
      <alignment horizontal="center" vertical="center"/>
    </xf>
    <xf numFmtId="0" fontId="21" fillId="24" borderId="0" xfId="0" applyFont="1" applyFill="1">
      <alignment vertical="center"/>
    </xf>
    <xf numFmtId="187" fontId="21" fillId="24" borderId="0" xfId="0" applyNumberFormat="1" applyFont="1" applyFill="1" applyAlignment="1">
      <alignment horizontal="center" vertical="center"/>
    </xf>
    <xf numFmtId="187" fontId="21" fillId="24" borderId="0" xfId="0" applyNumberFormat="1" applyFont="1" applyFill="1">
      <alignment vertical="center"/>
    </xf>
    <xf numFmtId="0" fontId="25" fillId="28" borderId="0" xfId="0" applyFont="1" applyFill="1">
      <alignment vertical="center"/>
    </xf>
    <xf numFmtId="3" fontId="25" fillId="28" borderId="0" xfId="0" applyNumberFormat="1" applyFont="1" applyFill="1" applyAlignment="1">
      <alignment horizontal="center" vertical="center"/>
    </xf>
    <xf numFmtId="3" fontId="25" fillId="28" borderId="0" xfId="0" applyNumberFormat="1" applyFont="1" applyFill="1">
      <alignment vertical="center"/>
    </xf>
    <xf numFmtId="14" fontId="25" fillId="28" borderId="0" xfId="0" applyNumberFormat="1" applyFont="1" applyFill="1" applyAlignment="1">
      <alignment horizontal="center" vertical="center"/>
    </xf>
    <xf numFmtId="180" fontId="25" fillId="28" borderId="0" xfId="0" applyNumberFormat="1" applyFont="1" applyFill="1" applyAlignment="1">
      <alignment horizontal="center" vertical="center"/>
    </xf>
    <xf numFmtId="3" fontId="21" fillId="28" borderId="0" xfId="0" applyNumberFormat="1" applyFont="1" applyFill="1" applyAlignment="1">
      <alignment horizontal="center" vertical="center"/>
    </xf>
    <xf numFmtId="3" fontId="21" fillId="28" borderId="0" xfId="0" applyNumberFormat="1" applyFont="1" applyFill="1">
      <alignment vertical="center"/>
    </xf>
    <xf numFmtId="14" fontId="21" fillId="28" borderId="0" xfId="0" applyNumberFormat="1" applyFont="1" applyFill="1" applyAlignment="1">
      <alignment horizontal="center" vertical="center"/>
    </xf>
    <xf numFmtId="180" fontId="21" fillId="28" borderId="0" xfId="0" applyNumberFormat="1" applyFont="1" applyFill="1" applyAlignment="1">
      <alignment horizontal="center" vertical="center"/>
    </xf>
    <xf numFmtId="3" fontId="25" fillId="0" borderId="0" xfId="0" applyNumberFormat="1" applyFont="1">
      <alignment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right" vertical="center"/>
    </xf>
    <xf numFmtId="3" fontId="21" fillId="0" borderId="9" xfId="0" applyNumberFormat="1" applyFont="1" applyBorder="1" applyAlignment="1">
      <alignment horizontal="center" vertical="center"/>
    </xf>
    <xf numFmtId="188" fontId="21" fillId="0" borderId="9" xfId="0" applyNumberFormat="1" applyFont="1" applyBorder="1">
      <alignment vertical="center"/>
    </xf>
    <xf numFmtId="14" fontId="21" fillId="0" borderId="9" xfId="0" applyNumberFormat="1" applyFont="1" applyBorder="1" applyAlignment="1">
      <alignment horizontal="center" vertical="center"/>
    </xf>
    <xf numFmtId="0" fontId="16" fillId="0" borderId="9" xfId="0" applyFont="1" applyBorder="1">
      <alignment vertical="center"/>
    </xf>
    <xf numFmtId="187" fontId="21" fillId="0" borderId="10" xfId="0" applyNumberFormat="1" applyFont="1" applyBorder="1">
      <alignment vertical="center"/>
    </xf>
    <xf numFmtId="0" fontId="25" fillId="0" borderId="9" xfId="0" applyFont="1" applyBorder="1" applyAlignment="1">
      <alignment horizontal="center" vertical="center"/>
    </xf>
    <xf numFmtId="3" fontId="25" fillId="0" borderId="9" xfId="0" applyNumberFormat="1" applyFont="1" applyBorder="1" applyAlignment="1">
      <alignment horizontal="center" vertical="center"/>
    </xf>
    <xf numFmtId="186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3" fontId="25" fillId="0" borderId="10" xfId="0" applyNumberFormat="1" applyFont="1" applyBorder="1" applyAlignment="1">
      <alignment horizontal="center" vertical="center"/>
    </xf>
    <xf numFmtId="186" fontId="25" fillId="0" borderId="10" xfId="0" applyNumberFormat="1" applyFont="1" applyBorder="1" applyAlignment="1">
      <alignment horizontal="center" vertical="center"/>
    </xf>
    <xf numFmtId="0" fontId="25" fillId="0" borderId="10" xfId="0" applyFon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61" fillId="0" borderId="0" xfId="0" applyFont="1">
      <alignment vertical="center"/>
    </xf>
    <xf numFmtId="188" fontId="25" fillId="0" borderId="0" xfId="0" applyNumberFormat="1" applyFont="1">
      <alignment vertical="center"/>
    </xf>
    <xf numFmtId="187" fontId="25" fillId="0" borderId="0" xfId="0" applyNumberFormat="1" applyFont="1">
      <alignment vertical="center"/>
    </xf>
    <xf numFmtId="191" fontId="21" fillId="22" borderId="0" xfId="0" applyNumberFormat="1" applyFont="1" applyFill="1">
      <alignment vertical="center"/>
    </xf>
    <xf numFmtId="0" fontId="21" fillId="28" borderId="0" xfId="0" applyFont="1" applyFill="1">
      <alignment vertical="center"/>
    </xf>
    <xf numFmtId="0" fontId="62" fillId="0" borderId="0" xfId="0" applyFont="1">
      <alignment vertical="center"/>
    </xf>
    <xf numFmtId="0" fontId="62" fillId="0" borderId="0" xfId="0" applyFont="1" applyAlignment="1">
      <alignment horizontal="center" vertical="center"/>
    </xf>
    <xf numFmtId="3" fontId="62" fillId="0" borderId="0" xfId="0" applyNumberFormat="1" applyFont="1">
      <alignment vertical="center"/>
    </xf>
    <xf numFmtId="3" fontId="62" fillId="0" borderId="0" xfId="0" applyNumberFormat="1" applyFont="1" applyAlignment="1">
      <alignment horizontal="center" vertical="center"/>
    </xf>
    <xf numFmtId="14" fontId="62" fillId="0" borderId="0" xfId="0" applyNumberFormat="1" applyFont="1" applyAlignment="1">
      <alignment horizontal="center" vertical="center"/>
    </xf>
    <xf numFmtId="10" fontId="62" fillId="0" borderId="0" xfId="0" applyNumberFormat="1" applyFont="1">
      <alignment vertical="center"/>
    </xf>
    <xf numFmtId="187" fontId="62" fillId="0" borderId="0" xfId="0" applyNumberFormat="1" applyFont="1">
      <alignment vertical="center"/>
    </xf>
    <xf numFmtId="0" fontId="63" fillId="0" borderId="0" xfId="0" applyFont="1">
      <alignment vertical="center"/>
    </xf>
    <xf numFmtId="3" fontId="63" fillId="0" borderId="0" xfId="0" applyNumberFormat="1" applyFont="1" applyAlignment="1">
      <alignment horizontal="center" vertical="center"/>
    </xf>
    <xf numFmtId="14" fontId="63" fillId="0" borderId="0" xfId="0" applyNumberFormat="1" applyFont="1" applyAlignment="1">
      <alignment horizontal="center" vertical="center"/>
    </xf>
    <xf numFmtId="10" fontId="63" fillId="0" borderId="0" xfId="0" applyNumberFormat="1" applyFont="1">
      <alignment vertical="center"/>
    </xf>
    <xf numFmtId="187" fontId="63" fillId="0" borderId="0" xfId="0" applyNumberFormat="1" applyFont="1">
      <alignment vertical="center"/>
    </xf>
    <xf numFmtId="3" fontId="64" fillId="0" borderId="0" xfId="0" applyNumberFormat="1" applyFont="1">
      <alignment vertical="center"/>
    </xf>
    <xf numFmtId="3" fontId="25" fillId="27" borderId="0" xfId="0" applyNumberFormat="1" applyFont="1" applyFill="1" applyAlignment="1">
      <alignment horizontal="center" vertical="center"/>
    </xf>
    <xf numFmtId="0" fontId="52" fillId="24" borderId="0" xfId="0" applyFont="1" applyFill="1">
      <alignment vertical="center"/>
    </xf>
    <xf numFmtId="0" fontId="67" fillId="17" borderId="23" xfId="2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left" vertical="center"/>
    </xf>
    <xf numFmtId="188" fontId="21" fillId="0" borderId="26" xfId="0" applyNumberFormat="1" applyFont="1" applyBorder="1" applyAlignment="1">
      <alignment horizontal="right" vertical="center"/>
    </xf>
    <xf numFmtId="0" fontId="68" fillId="0" borderId="0" xfId="0" applyFont="1">
      <alignment vertical="center"/>
    </xf>
    <xf numFmtId="0" fontId="68" fillId="30" borderId="18" xfId="0" applyFont="1" applyFill="1" applyBorder="1" applyAlignment="1">
      <alignment horizontal="center" vertical="center"/>
    </xf>
    <xf numFmtId="9" fontId="68" fillId="30" borderId="27" xfId="0" applyNumberFormat="1" applyFont="1" applyFill="1" applyBorder="1" applyAlignment="1">
      <alignment horizontal="center" vertical="center"/>
    </xf>
    <xf numFmtId="0" fontId="0" fillId="24" borderId="0" xfId="0" applyFill="1">
      <alignment vertical="center"/>
    </xf>
    <xf numFmtId="188" fontId="21" fillId="0" borderId="0" xfId="0" applyNumberFormat="1" applyFont="1" applyAlignment="1">
      <alignment horizontal="right" vertical="center"/>
    </xf>
    <xf numFmtId="3" fontId="21" fillId="0" borderId="41" xfId="9" applyNumberFormat="1" applyFont="1" applyBorder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48" fillId="0" borderId="0" xfId="0" applyFont="1">
      <alignment vertical="center"/>
    </xf>
    <xf numFmtId="0" fontId="69" fillId="0" borderId="0" xfId="0" applyFont="1">
      <alignment vertical="center"/>
    </xf>
    <xf numFmtId="0" fontId="67" fillId="29" borderId="23" xfId="2" applyNumberFormat="1" applyFont="1" applyFill="1" applyBorder="1" applyAlignment="1">
      <alignment horizontal="center" vertical="center"/>
    </xf>
    <xf numFmtId="0" fontId="67" fillId="0" borderId="10" xfId="2" applyNumberFormat="1" applyFont="1" applyBorder="1" applyAlignment="1">
      <alignment horizontal="center" vertical="center"/>
    </xf>
    <xf numFmtId="0" fontId="67" fillId="0" borderId="16" xfId="2" applyNumberFormat="1" applyFont="1" applyBorder="1" applyAlignment="1">
      <alignment horizontal="center" vertical="center"/>
    </xf>
    <xf numFmtId="188" fontId="21" fillId="0" borderId="10" xfId="0" applyNumberFormat="1" applyFont="1" applyBorder="1" applyAlignment="1">
      <alignment horizontal="right" vertical="center"/>
    </xf>
    <xf numFmtId="0" fontId="68" fillId="30" borderId="17" xfId="0" applyFont="1" applyFill="1" applyBorder="1" applyAlignment="1">
      <alignment horizontal="left" vertical="center"/>
    </xf>
    <xf numFmtId="0" fontId="48" fillId="30" borderId="9" xfId="2" applyNumberFormat="1" applyFont="1" applyFill="1" applyBorder="1" applyAlignment="1">
      <alignment horizontal="center" vertical="center"/>
    </xf>
    <xf numFmtId="0" fontId="48" fillId="30" borderId="9" xfId="0" applyFont="1" applyFill="1" applyBorder="1" applyAlignment="1">
      <alignment horizontal="center" vertical="center"/>
    </xf>
    <xf numFmtId="0" fontId="67" fillId="29" borderId="20" xfId="2" applyNumberFormat="1" applyFont="1" applyFill="1" applyBorder="1" applyAlignment="1">
      <alignment horizontal="center" vertical="center"/>
    </xf>
    <xf numFmtId="188" fontId="21" fillId="0" borderId="9" xfId="0" applyNumberFormat="1" applyFont="1" applyBorder="1" applyAlignment="1">
      <alignment horizontal="right" vertical="center"/>
    </xf>
    <xf numFmtId="3" fontId="21" fillId="0" borderId="44" xfId="9" applyNumberFormat="1" applyFont="1" applyBorder="1" applyAlignment="1">
      <alignment horizontal="center" vertical="center"/>
    </xf>
    <xf numFmtId="0" fontId="21" fillId="0" borderId="15" xfId="0" applyFont="1" applyBorder="1">
      <alignment vertical="center"/>
    </xf>
    <xf numFmtId="0" fontId="48" fillId="0" borderId="10" xfId="2" applyNumberFormat="1" applyFont="1" applyBorder="1">
      <alignment vertical="center"/>
    </xf>
    <xf numFmtId="0" fontId="73" fillId="24" borderId="0" xfId="0" applyFont="1" applyFill="1">
      <alignment vertical="center"/>
    </xf>
    <xf numFmtId="0" fontId="21" fillId="0" borderId="2" xfId="0" applyFont="1" applyBorder="1" applyAlignment="1">
      <alignment horizontal="left" vertical="center"/>
    </xf>
    <xf numFmtId="188" fontId="21" fillId="0" borderId="2" xfId="0" applyNumberFormat="1" applyFont="1" applyBorder="1" applyAlignment="1">
      <alignment horizontal="right" vertical="center"/>
    </xf>
    <xf numFmtId="0" fontId="68" fillId="30" borderId="23" xfId="0" applyFont="1" applyFill="1" applyBorder="1" applyAlignment="1">
      <alignment horizontal="left" vertical="center"/>
    </xf>
    <xf numFmtId="0" fontId="48" fillId="0" borderId="0" xfId="2" applyNumberFormat="1" applyFont="1" applyBorder="1">
      <alignment vertical="center"/>
    </xf>
    <xf numFmtId="0" fontId="67" fillId="17" borderId="23" xfId="2" applyNumberFormat="1" applyFont="1" applyFill="1" applyBorder="1" applyAlignment="1">
      <alignment horizontal="center" vertical="center" wrapText="1"/>
    </xf>
    <xf numFmtId="0" fontId="67" fillId="0" borderId="10" xfId="2" applyNumberFormat="1" applyFont="1" applyBorder="1">
      <alignment vertical="center"/>
    </xf>
    <xf numFmtId="0" fontId="67" fillId="0" borderId="16" xfId="0" applyFont="1" applyBorder="1">
      <alignment vertical="center"/>
    </xf>
    <xf numFmtId="0" fontId="48" fillId="0" borderId="0" xfId="2" applyNumberFormat="1" applyFont="1" applyBorder="1" applyAlignment="1">
      <alignment horizontal="center" vertical="center"/>
    </xf>
    <xf numFmtId="0" fontId="55" fillId="24" borderId="0" xfId="0" applyFont="1" applyFill="1">
      <alignment vertical="center"/>
    </xf>
    <xf numFmtId="0" fontId="54" fillId="24" borderId="0" xfId="0" applyFont="1" applyFill="1">
      <alignment vertical="center"/>
    </xf>
    <xf numFmtId="0" fontId="25" fillId="24" borderId="0" xfId="0" applyFont="1" applyFill="1">
      <alignment vertical="center"/>
    </xf>
    <xf numFmtId="194" fontId="16" fillId="0" borderId="0" xfId="0" applyNumberFormat="1" applyFont="1" applyAlignment="1">
      <alignment horizontal="center" vertical="center"/>
    </xf>
    <xf numFmtId="196" fontId="21" fillId="0" borderId="0" xfId="0" applyNumberFormat="1" applyFont="1" applyAlignment="1">
      <alignment horizontal="right" vertical="center"/>
    </xf>
    <xf numFmtId="3" fontId="16" fillId="0" borderId="0" xfId="0" applyNumberFormat="1" applyFont="1">
      <alignment vertical="center"/>
    </xf>
    <xf numFmtId="188" fontId="16" fillId="0" borderId="10" xfId="0" applyNumberFormat="1" applyFont="1" applyBorder="1">
      <alignment vertical="center"/>
    </xf>
    <xf numFmtId="0" fontId="16" fillId="24" borderId="0" xfId="0" applyFont="1" applyFill="1">
      <alignment vertical="center"/>
    </xf>
    <xf numFmtId="3" fontId="21" fillId="0" borderId="10" xfId="0" applyNumberFormat="1" applyFont="1" applyBorder="1" applyAlignment="1">
      <alignment horizontal="right" vertical="center" indent="1"/>
    </xf>
    <xf numFmtId="191" fontId="16" fillId="0" borderId="10" xfId="0" applyNumberFormat="1" applyFont="1" applyBorder="1">
      <alignment vertical="center"/>
    </xf>
    <xf numFmtId="0" fontId="21" fillId="24" borderId="10" xfId="0" applyFont="1" applyFill="1" applyBorder="1">
      <alignment vertical="center"/>
    </xf>
    <xf numFmtId="0" fontId="21" fillId="24" borderId="0" xfId="0" applyFont="1" applyFill="1" applyAlignment="1">
      <alignment horizontal="center" vertical="center"/>
    </xf>
    <xf numFmtId="185" fontId="21" fillId="24" borderId="0" xfId="0" applyNumberFormat="1" applyFont="1" applyFill="1" applyAlignment="1">
      <alignment horizontal="center" vertical="center"/>
    </xf>
    <xf numFmtId="0" fontId="21" fillId="24" borderId="4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7" fillId="0" borderId="0" xfId="0" applyFont="1">
      <alignment vertical="center"/>
    </xf>
    <xf numFmtId="0" fontId="78" fillId="0" borderId="0" xfId="0" applyFont="1">
      <alignment vertical="center"/>
    </xf>
    <xf numFmtId="49" fontId="41" fillId="23" borderId="9" xfId="0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184" fontId="16" fillId="0" borderId="0" xfId="0" applyNumberFormat="1" applyFont="1">
      <alignment vertical="center"/>
    </xf>
    <xf numFmtId="194" fontId="25" fillId="0" borderId="0" xfId="0" applyNumberFormat="1" applyFont="1" applyAlignment="1">
      <alignment horizontal="center" vertical="center"/>
    </xf>
    <xf numFmtId="195" fontId="25" fillId="0" borderId="0" xfId="0" applyNumberFormat="1" applyFont="1">
      <alignment vertical="center"/>
    </xf>
    <xf numFmtId="191" fontId="25" fillId="0" borderId="9" xfId="0" applyNumberFormat="1" applyFont="1" applyBorder="1">
      <alignment vertical="center"/>
    </xf>
    <xf numFmtId="191" fontId="25" fillId="0" borderId="10" xfId="0" applyNumberFormat="1" applyFont="1" applyBorder="1">
      <alignment vertical="center"/>
    </xf>
    <xf numFmtId="3" fontId="57" fillId="0" borderId="0" xfId="0" applyNumberFormat="1" applyFont="1" applyAlignment="1">
      <alignment horizontal="right" vertical="center" indent="1"/>
    </xf>
    <xf numFmtId="3" fontId="56" fillId="0" borderId="0" xfId="0" applyNumberFormat="1" applyFont="1" applyAlignment="1">
      <alignment horizontal="right" vertical="center" indent="1"/>
    </xf>
    <xf numFmtId="3" fontId="39" fillId="0" borderId="0" xfId="0" applyNumberFormat="1" applyFont="1" applyAlignment="1">
      <alignment horizontal="right" vertical="center" indent="1"/>
    </xf>
    <xf numFmtId="0" fontId="57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187" fontId="57" fillId="0" borderId="0" xfId="0" applyNumberFormat="1" applyFont="1">
      <alignment vertical="center"/>
    </xf>
    <xf numFmtId="191" fontId="57" fillId="0" borderId="0" xfId="0" applyNumberFormat="1" applyFont="1">
      <alignment vertical="center"/>
    </xf>
    <xf numFmtId="0" fontId="56" fillId="0" borderId="0" xfId="0" applyFont="1">
      <alignment vertical="center"/>
    </xf>
    <xf numFmtId="3" fontId="56" fillId="0" borderId="0" xfId="0" applyNumberFormat="1" applyFont="1" applyAlignment="1">
      <alignment horizontal="center" vertical="center"/>
    </xf>
    <xf numFmtId="187" fontId="56" fillId="0" borderId="0" xfId="0" applyNumberFormat="1" applyFont="1">
      <alignment vertical="center"/>
    </xf>
    <xf numFmtId="191" fontId="56" fillId="0" borderId="0" xfId="0" applyNumberFormat="1" applyFont="1">
      <alignment vertical="center"/>
    </xf>
    <xf numFmtId="187" fontId="39" fillId="0" borderId="0" xfId="0" applyNumberFormat="1" applyFont="1">
      <alignment vertical="center"/>
    </xf>
    <xf numFmtId="191" fontId="41" fillId="0" borderId="0" xfId="0" applyNumberFormat="1" applyFont="1">
      <alignment vertical="center"/>
    </xf>
    <xf numFmtId="0" fontId="65" fillId="0" borderId="0" xfId="0" applyFont="1">
      <alignment vertical="center"/>
    </xf>
    <xf numFmtId="191" fontId="52" fillId="0" borderId="0" xfId="0" applyNumberFormat="1" applyFont="1">
      <alignment vertical="center"/>
    </xf>
    <xf numFmtId="0" fontId="23" fillId="3" borderId="10" xfId="0" applyFont="1" applyFill="1" applyBorder="1">
      <alignment vertical="center"/>
    </xf>
    <xf numFmtId="0" fontId="79" fillId="3" borderId="10" xfId="0" applyFont="1" applyFill="1" applyBorder="1">
      <alignment vertical="center"/>
    </xf>
    <xf numFmtId="0" fontId="23" fillId="3" borderId="0" xfId="0" applyFont="1" applyFill="1">
      <alignment vertical="center"/>
    </xf>
    <xf numFmtId="178" fontId="80" fillId="0" borderId="0" xfId="0" applyNumberFormat="1" applyFont="1">
      <alignment vertical="center"/>
    </xf>
    <xf numFmtId="0" fontId="79" fillId="3" borderId="0" xfId="0" applyFont="1" applyFill="1">
      <alignment vertical="center"/>
    </xf>
    <xf numFmtId="0" fontId="23" fillId="32" borderId="19" xfId="0" applyFont="1" applyFill="1" applyBorder="1" applyAlignment="1">
      <alignment horizontal="center" vertical="center"/>
    </xf>
    <xf numFmtId="0" fontId="23" fillId="32" borderId="10" xfId="0" applyFont="1" applyFill="1" applyBorder="1" applyAlignment="1">
      <alignment horizontal="center" vertical="center"/>
    </xf>
    <xf numFmtId="178" fontId="80" fillId="0" borderId="19" xfId="0" applyNumberFormat="1" applyFont="1" applyBorder="1">
      <alignment vertical="center"/>
    </xf>
    <xf numFmtId="0" fontId="79" fillId="3" borderId="19" xfId="0" applyFont="1" applyFill="1" applyBorder="1">
      <alignment vertical="center"/>
    </xf>
    <xf numFmtId="178" fontId="80" fillId="0" borderId="2" xfId="0" applyNumberFormat="1" applyFont="1" applyBorder="1">
      <alignment vertical="center"/>
    </xf>
    <xf numFmtId="0" fontId="79" fillId="3" borderId="2" xfId="0" applyFont="1" applyFill="1" applyBorder="1">
      <alignment vertical="center"/>
    </xf>
    <xf numFmtId="0" fontId="79" fillId="3" borderId="32" xfId="0" applyFont="1" applyFill="1" applyBorder="1">
      <alignment vertical="center"/>
    </xf>
    <xf numFmtId="0" fontId="79" fillId="3" borderId="47" xfId="0" applyFont="1" applyFill="1" applyBorder="1">
      <alignment vertical="center"/>
    </xf>
    <xf numFmtId="178" fontId="80" fillId="0" borderId="10" xfId="0" applyNumberFormat="1" applyFont="1" applyBorder="1">
      <alignment vertical="center"/>
    </xf>
    <xf numFmtId="0" fontId="79" fillId="3" borderId="52" xfId="0" applyFont="1" applyFill="1" applyBorder="1">
      <alignment vertical="center"/>
    </xf>
    <xf numFmtId="0" fontId="23" fillId="3" borderId="47" xfId="0" applyFont="1" applyFill="1" applyBorder="1">
      <alignment vertical="center"/>
    </xf>
    <xf numFmtId="0" fontId="23" fillId="3" borderId="52" xfId="0" applyFont="1" applyFill="1" applyBorder="1">
      <alignment vertical="center"/>
    </xf>
    <xf numFmtId="0" fontId="79" fillId="3" borderId="51" xfId="0" applyFont="1" applyFill="1" applyBorder="1">
      <alignment vertical="center"/>
    </xf>
    <xf numFmtId="0" fontId="23" fillId="34" borderId="19" xfId="0" applyFont="1" applyFill="1" applyBorder="1" applyAlignment="1">
      <alignment horizontal="center" vertical="center"/>
    </xf>
    <xf numFmtId="0" fontId="23" fillId="34" borderId="51" xfId="0" applyFont="1" applyFill="1" applyBorder="1" applyAlignment="1">
      <alignment horizontal="center" vertical="center"/>
    </xf>
    <xf numFmtId="0" fontId="81" fillId="35" borderId="79" xfId="0" applyFont="1" applyFill="1" applyBorder="1" applyAlignment="1">
      <alignment horizontal="center" vertical="center"/>
    </xf>
    <xf numFmtId="0" fontId="81" fillId="35" borderId="80" xfId="0" applyFont="1" applyFill="1" applyBorder="1" applyAlignment="1">
      <alignment horizontal="center" vertical="center"/>
    </xf>
    <xf numFmtId="9" fontId="21" fillId="33" borderId="0" xfId="0" applyNumberFormat="1" applyFont="1" applyFill="1">
      <alignment vertical="center"/>
    </xf>
    <xf numFmtId="0" fontId="21" fillId="33" borderId="0" xfId="0" applyFont="1" applyFill="1">
      <alignment vertical="center"/>
    </xf>
    <xf numFmtId="178" fontId="21" fillId="33" borderId="0" xfId="0" applyNumberFormat="1" applyFont="1" applyFill="1">
      <alignment vertical="center"/>
    </xf>
    <xf numFmtId="41" fontId="21" fillId="33" borderId="0" xfId="0" applyNumberFormat="1" applyFont="1" applyFill="1">
      <alignment vertical="center"/>
    </xf>
    <xf numFmtId="41" fontId="21" fillId="33" borderId="0" xfId="1" applyFont="1" applyFill="1">
      <alignment vertical="center"/>
    </xf>
    <xf numFmtId="41" fontId="21" fillId="33" borderId="0" xfId="0" applyNumberFormat="1" applyFont="1" applyFill="1" applyAlignment="1">
      <alignment horizontal="right" vertical="center" wrapText="1"/>
    </xf>
    <xf numFmtId="0" fontId="21" fillId="33" borderId="6" xfId="0" applyFont="1" applyFill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right" vertical="center" wrapText="1"/>
    </xf>
    <xf numFmtId="0" fontId="16" fillId="35" borderId="0" xfId="0" applyFont="1" applyFill="1">
      <alignment vertical="center"/>
    </xf>
    <xf numFmtId="10" fontId="21" fillId="33" borderId="0" xfId="0" applyNumberFormat="1" applyFont="1" applyFill="1">
      <alignment vertical="center"/>
    </xf>
    <xf numFmtId="43" fontId="21" fillId="33" borderId="0" xfId="0" applyNumberFormat="1" applyFont="1" applyFill="1">
      <alignment vertical="center"/>
    </xf>
    <xf numFmtId="0" fontId="82" fillId="0" borderId="16" xfId="0" applyFont="1" applyBorder="1">
      <alignment vertical="center"/>
    </xf>
    <xf numFmtId="41" fontId="21" fillId="0" borderId="16" xfId="1" applyFont="1" applyBorder="1">
      <alignment vertical="center"/>
    </xf>
    <xf numFmtId="0" fontId="21" fillId="0" borderId="20" xfId="0" applyFont="1" applyBorder="1">
      <alignment vertical="center"/>
    </xf>
    <xf numFmtId="0" fontId="82" fillId="0" borderId="4" xfId="0" applyFont="1" applyBorder="1">
      <alignment vertical="center"/>
    </xf>
    <xf numFmtId="0" fontId="21" fillId="0" borderId="22" xfId="0" applyFont="1" applyBorder="1">
      <alignment vertical="center"/>
    </xf>
    <xf numFmtId="0" fontId="21" fillId="0" borderId="16" xfId="0" applyFont="1" applyBorder="1">
      <alignment vertical="center"/>
    </xf>
    <xf numFmtId="41" fontId="21" fillId="0" borderId="0" xfId="0" applyNumberFormat="1" applyFont="1" applyAlignment="1">
      <alignment horizontal="right" vertical="center" wrapText="1"/>
    </xf>
    <xf numFmtId="0" fontId="21" fillId="0" borderId="79" xfId="0" applyFont="1" applyBorder="1">
      <alignment vertical="center"/>
    </xf>
    <xf numFmtId="41" fontId="21" fillId="0" borderId="12" xfId="1" applyFont="1" applyBorder="1">
      <alignment vertical="center"/>
    </xf>
    <xf numFmtId="9" fontId="49" fillId="0" borderId="4" xfId="2" applyFont="1" applyFill="1" applyBorder="1">
      <alignment vertical="center"/>
    </xf>
    <xf numFmtId="180" fontId="21" fillId="0" borderId="16" xfId="1" applyNumberFormat="1" applyFont="1" applyFill="1" applyBorder="1" applyAlignment="1">
      <alignment horizontal="right" vertical="center"/>
    </xf>
    <xf numFmtId="180" fontId="49" fillId="33" borderId="0" xfId="2" applyNumberFormat="1" applyFont="1" applyFill="1" applyBorder="1" applyAlignment="1">
      <alignment horizontal="right" vertical="center"/>
    </xf>
    <xf numFmtId="0" fontId="83" fillId="0" borderId="0" xfId="0" applyFont="1">
      <alignment vertical="center"/>
    </xf>
    <xf numFmtId="10" fontId="84" fillId="0" borderId="0" xfId="2" applyNumberFormat="1" applyFont="1" applyAlignment="1">
      <alignment horizontal="left" vertical="center"/>
    </xf>
    <xf numFmtId="0" fontId="84" fillId="0" borderId="0" xfId="0" applyFont="1">
      <alignment vertical="center"/>
    </xf>
    <xf numFmtId="9" fontId="49" fillId="33" borderId="2" xfId="2" applyFont="1" applyFill="1" applyBorder="1" applyAlignment="1">
      <alignment horizontal="right" vertical="center"/>
    </xf>
    <xf numFmtId="41" fontId="21" fillId="33" borderId="9" xfId="1" applyFont="1" applyFill="1" applyBorder="1" applyAlignment="1">
      <alignment horizontal="right" vertical="center"/>
    </xf>
    <xf numFmtId="41" fontId="21" fillId="0" borderId="14" xfId="1" applyFont="1" applyFill="1" applyBorder="1" applyAlignment="1">
      <alignment horizontal="right" vertical="center"/>
    </xf>
    <xf numFmtId="41" fontId="21" fillId="33" borderId="7" xfId="1" applyFont="1" applyFill="1" applyBorder="1" applyAlignment="1">
      <alignment horizontal="right" vertical="center"/>
    </xf>
    <xf numFmtId="41" fontId="21" fillId="0" borderId="8" xfId="1" applyFont="1" applyFill="1" applyBorder="1" applyAlignment="1">
      <alignment horizontal="right" vertical="center"/>
    </xf>
    <xf numFmtId="3" fontId="85" fillId="0" borderId="58" xfId="0" applyNumberFormat="1" applyFont="1" applyBorder="1" applyAlignment="1">
      <alignment horizontal="right" vertical="center" wrapText="1"/>
    </xf>
    <xf numFmtId="0" fontId="85" fillId="0" borderId="73" xfId="0" applyFont="1" applyBorder="1" applyAlignment="1">
      <alignment horizontal="center" vertical="center" wrapText="1"/>
    </xf>
    <xf numFmtId="0" fontId="85" fillId="0" borderId="74" xfId="0" applyFont="1" applyBorder="1" applyAlignment="1">
      <alignment horizontal="center" vertical="center" wrapText="1"/>
    </xf>
    <xf numFmtId="0" fontId="85" fillId="0" borderId="61" xfId="0" applyFont="1" applyBorder="1" applyAlignment="1">
      <alignment horizontal="right" vertical="center" wrapText="1"/>
    </xf>
    <xf numFmtId="3" fontId="85" fillId="0" borderId="61" xfId="0" applyNumberFormat="1" applyFont="1" applyBorder="1" applyAlignment="1">
      <alignment horizontal="right" vertical="center" wrapText="1"/>
    </xf>
    <xf numFmtId="0" fontId="85" fillId="0" borderId="61" xfId="0" applyFont="1" applyBorder="1" applyAlignment="1">
      <alignment horizontal="center" vertical="center" wrapText="1"/>
    </xf>
    <xf numFmtId="0" fontId="85" fillId="31" borderId="70" xfId="0" applyFont="1" applyFill="1" applyBorder="1" applyAlignment="1">
      <alignment horizontal="center" vertical="center" wrapText="1"/>
    </xf>
    <xf numFmtId="0" fontId="85" fillId="31" borderId="71" xfId="0" applyFont="1" applyFill="1" applyBorder="1" applyAlignment="1">
      <alignment horizontal="center" vertical="center" wrapText="1"/>
    </xf>
    <xf numFmtId="3" fontId="85" fillId="0" borderId="57" xfId="0" applyNumberFormat="1" applyFont="1" applyBorder="1" applyAlignment="1">
      <alignment horizontal="right" vertical="center" wrapText="1"/>
    </xf>
    <xf numFmtId="0" fontId="85" fillId="0" borderId="58" xfId="0" applyFont="1" applyBorder="1" applyAlignment="1">
      <alignment horizontal="center" vertical="center" wrapText="1"/>
    </xf>
    <xf numFmtId="3" fontId="85" fillId="0" borderId="60" xfId="0" applyNumberFormat="1" applyFont="1" applyBorder="1" applyAlignment="1">
      <alignment horizontal="right" vertical="center" wrapText="1"/>
    </xf>
    <xf numFmtId="9" fontId="48" fillId="0" borderId="0" xfId="2" applyFont="1">
      <alignment vertical="center"/>
    </xf>
    <xf numFmtId="177" fontId="48" fillId="0" borderId="0" xfId="2" applyNumberFormat="1" applyFont="1">
      <alignment vertical="center"/>
    </xf>
    <xf numFmtId="26" fontId="85" fillId="0" borderId="61" xfId="0" applyNumberFormat="1" applyFont="1" applyBorder="1" applyAlignment="1">
      <alignment horizontal="right" vertical="center" wrapText="1"/>
    </xf>
    <xf numFmtId="26" fontId="85" fillId="0" borderId="60" xfId="0" applyNumberFormat="1" applyFont="1" applyBorder="1" applyAlignment="1">
      <alignment horizontal="right" vertical="center" wrapText="1"/>
    </xf>
    <xf numFmtId="41" fontId="48" fillId="0" borderId="0" xfId="1" applyFont="1">
      <alignment vertical="center"/>
    </xf>
    <xf numFmtId="0" fontId="21" fillId="35" borderId="0" xfId="0" applyFont="1" applyFill="1">
      <alignment vertical="center"/>
    </xf>
    <xf numFmtId="41" fontId="16" fillId="35" borderId="0" xfId="0" applyNumberFormat="1" applyFont="1" applyFill="1">
      <alignment vertical="center"/>
    </xf>
    <xf numFmtId="0" fontId="24" fillId="31" borderId="71" xfId="0" applyFont="1" applyFill="1" applyBorder="1" applyAlignment="1">
      <alignment horizontal="center" vertical="center" wrapText="1"/>
    </xf>
    <xf numFmtId="0" fontId="24" fillId="31" borderId="70" xfId="0" applyFont="1" applyFill="1" applyBorder="1" applyAlignment="1">
      <alignment horizontal="center" vertical="center" wrapText="1"/>
    </xf>
    <xf numFmtId="0" fontId="24" fillId="31" borderId="77" xfId="0" applyFont="1" applyFill="1" applyBorder="1" applyAlignment="1">
      <alignment horizontal="center" vertical="center" wrapText="1"/>
    </xf>
    <xf numFmtId="0" fontId="80" fillId="0" borderId="0" xfId="0" applyFont="1">
      <alignment vertical="center"/>
    </xf>
    <xf numFmtId="0" fontId="24" fillId="0" borderId="61" xfId="0" applyFont="1" applyBorder="1" applyAlignment="1">
      <alignment horizontal="center" vertical="center" wrapText="1"/>
    </xf>
    <xf numFmtId="3" fontId="24" fillId="0" borderId="60" xfId="0" applyNumberFormat="1" applyFont="1" applyBorder="1" applyAlignment="1">
      <alignment horizontal="right" vertical="center" wrapText="1"/>
    </xf>
    <xf numFmtId="3" fontId="24" fillId="0" borderId="61" xfId="0" applyNumberFormat="1" applyFont="1" applyBorder="1" applyAlignment="1">
      <alignment horizontal="right" vertical="center" wrapText="1"/>
    </xf>
    <xf numFmtId="0" fontId="24" fillId="0" borderId="76" xfId="0" applyFont="1" applyBorder="1" applyAlignment="1">
      <alignment horizontal="center" vertical="center" wrapText="1"/>
    </xf>
    <xf numFmtId="0" fontId="24" fillId="31" borderId="71" xfId="0" applyFont="1" applyFill="1" applyBorder="1" applyAlignment="1">
      <alignment horizontal="center" vertical="top" wrapText="1"/>
    </xf>
    <xf numFmtId="0" fontId="24" fillId="31" borderId="70" xfId="0" applyFont="1" applyFill="1" applyBorder="1" applyAlignment="1">
      <alignment horizontal="center" vertical="top" wrapText="1"/>
    </xf>
    <xf numFmtId="41" fontId="53" fillId="0" borderId="0" xfId="1" applyFont="1">
      <alignment vertical="center"/>
    </xf>
    <xf numFmtId="0" fontId="24" fillId="33" borderId="62" xfId="0" applyFont="1" applyFill="1" applyBorder="1" applyAlignment="1">
      <alignment vertical="top" wrapText="1"/>
    </xf>
    <xf numFmtId="3" fontId="24" fillId="0" borderId="60" xfId="0" applyNumberFormat="1" applyFont="1" applyBorder="1" applyAlignment="1">
      <alignment horizontal="right" vertical="top" wrapText="1"/>
    </xf>
    <xf numFmtId="3" fontId="24" fillId="0" borderId="61" xfId="0" applyNumberFormat="1" applyFont="1" applyBorder="1" applyAlignment="1">
      <alignment horizontal="right" vertical="top" wrapText="1"/>
    </xf>
    <xf numFmtId="0" fontId="24" fillId="0" borderId="62" xfId="0" applyFont="1" applyBorder="1" applyAlignment="1">
      <alignment vertical="top" wrapText="1"/>
    </xf>
    <xf numFmtId="0" fontId="24" fillId="0" borderId="77" xfId="0" applyFont="1" applyBorder="1" applyAlignment="1">
      <alignment vertical="top" wrapText="1"/>
    </xf>
    <xf numFmtId="0" fontId="24" fillId="0" borderId="74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right" vertical="center" wrapText="1"/>
    </xf>
    <xf numFmtId="197" fontId="53" fillId="0" borderId="0" xfId="0" applyNumberFormat="1" applyFont="1">
      <alignment vertical="center"/>
    </xf>
    <xf numFmtId="9" fontId="53" fillId="0" borderId="0" xfId="0" applyNumberFormat="1" applyFont="1">
      <alignment vertical="center"/>
    </xf>
    <xf numFmtId="0" fontId="24" fillId="0" borderId="75" xfId="0" applyFont="1" applyBorder="1" applyAlignment="1">
      <alignment horizontal="center" vertical="center" wrapText="1"/>
    </xf>
    <xf numFmtId="3" fontId="53" fillId="0" borderId="0" xfId="0" applyNumberFormat="1" applyFont="1">
      <alignment vertical="center"/>
    </xf>
    <xf numFmtId="0" fontId="24" fillId="0" borderId="73" xfId="0" applyFont="1" applyBorder="1" applyAlignment="1">
      <alignment horizontal="center" vertical="center" wrapText="1"/>
    </xf>
    <xf numFmtId="197" fontId="53" fillId="0" borderId="10" xfId="0" applyNumberFormat="1" applyFont="1" applyBorder="1">
      <alignment vertical="center"/>
    </xf>
    <xf numFmtId="0" fontId="24" fillId="0" borderId="59" xfId="0" applyFont="1" applyBorder="1" applyAlignment="1">
      <alignment horizontal="center" vertical="center" wrapText="1"/>
    </xf>
    <xf numFmtId="3" fontId="24" fillId="0" borderId="57" xfId="0" applyNumberFormat="1" applyFont="1" applyBorder="1" applyAlignment="1">
      <alignment horizontal="right" vertical="top" wrapText="1"/>
    </xf>
    <xf numFmtId="3" fontId="24" fillId="0" borderId="58" xfId="0" applyNumberFormat="1" applyFont="1" applyBorder="1" applyAlignment="1">
      <alignment horizontal="right" vertical="top" wrapText="1"/>
    </xf>
    <xf numFmtId="3" fontId="24" fillId="0" borderId="57" xfId="0" applyNumberFormat="1" applyFont="1" applyBorder="1" applyAlignment="1">
      <alignment horizontal="right" vertical="center" wrapText="1"/>
    </xf>
    <xf numFmtId="3" fontId="24" fillId="0" borderId="58" xfId="0" applyNumberFormat="1" applyFont="1" applyBorder="1" applyAlignment="1">
      <alignment horizontal="right" vertical="center" wrapText="1"/>
    </xf>
    <xf numFmtId="0" fontId="24" fillId="0" borderId="0" xfId="0" applyFont="1" applyAlignment="1">
      <alignment vertical="top" wrapText="1"/>
    </xf>
    <xf numFmtId="26" fontId="24" fillId="0" borderId="60" xfId="0" applyNumberFormat="1" applyFont="1" applyBorder="1" applyAlignment="1">
      <alignment horizontal="right" vertical="center" wrapText="1"/>
    </xf>
    <xf numFmtId="26" fontId="24" fillId="0" borderId="61" xfId="0" applyNumberFormat="1" applyFont="1" applyBorder="1" applyAlignment="1">
      <alignment horizontal="right" vertical="center" wrapText="1"/>
    </xf>
    <xf numFmtId="10" fontId="53" fillId="0" borderId="0" xfId="2" applyNumberFormat="1" applyFont="1">
      <alignment vertical="center"/>
    </xf>
    <xf numFmtId="10" fontId="24" fillId="0" borderId="0" xfId="2" applyNumberFormat="1" applyFont="1" applyBorder="1" applyAlignment="1">
      <alignment horizontal="right" vertical="top" wrapText="1"/>
    </xf>
    <xf numFmtId="0" fontId="24" fillId="0" borderId="58" xfId="0" applyFont="1" applyBorder="1" applyAlignment="1">
      <alignment horizontal="center" vertical="center" wrapText="1"/>
    </xf>
    <xf numFmtId="0" fontId="24" fillId="31" borderId="62" xfId="0" applyFont="1" applyFill="1" applyBorder="1" applyAlignment="1">
      <alignment horizontal="center" vertical="top" wrapText="1"/>
    </xf>
    <xf numFmtId="0" fontId="24" fillId="31" borderId="61" xfId="0" applyFont="1" applyFill="1" applyBorder="1" applyAlignment="1">
      <alignment horizontal="center" vertical="top" wrapText="1"/>
    </xf>
    <xf numFmtId="0" fontId="24" fillId="31" borderId="60" xfId="0" applyFont="1" applyFill="1" applyBorder="1" applyAlignment="1">
      <alignment horizontal="center" vertical="top" wrapText="1"/>
    </xf>
    <xf numFmtId="0" fontId="24" fillId="0" borderId="59" xfId="0" applyFont="1" applyBorder="1" applyAlignment="1">
      <alignment horizontal="center" vertical="top" wrapText="1"/>
    </xf>
    <xf numFmtId="0" fontId="24" fillId="0" borderId="58" xfId="0" applyFont="1" applyBorder="1" applyAlignment="1">
      <alignment horizontal="right" vertical="center" wrapText="1"/>
    </xf>
    <xf numFmtId="0" fontId="24" fillId="0" borderId="57" xfId="0" applyFont="1" applyBorder="1" applyAlignment="1">
      <alignment horizontal="right" vertical="center" wrapText="1"/>
    </xf>
    <xf numFmtId="3" fontId="48" fillId="0" borderId="81" xfId="0" applyNumberFormat="1" applyFont="1" applyBorder="1">
      <alignment vertical="center"/>
    </xf>
    <xf numFmtId="0" fontId="86" fillId="3" borderId="47" xfId="0" applyFont="1" applyFill="1" applyBorder="1">
      <alignment vertical="center"/>
    </xf>
    <xf numFmtId="9" fontId="87" fillId="0" borderId="0" xfId="2" applyFont="1" applyBorder="1">
      <alignment vertical="center"/>
    </xf>
    <xf numFmtId="0" fontId="87" fillId="0" borderId="0" xfId="0" applyFont="1">
      <alignment vertical="center"/>
    </xf>
    <xf numFmtId="10" fontId="53" fillId="0" borderId="0" xfId="0" applyNumberFormat="1" applyFont="1">
      <alignment vertical="center"/>
    </xf>
    <xf numFmtId="179" fontId="21" fillId="0" borderId="9" xfId="0" applyNumberFormat="1" applyFont="1" applyBorder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179" fontId="21" fillId="0" borderId="10" xfId="0" applyNumberFormat="1" applyFont="1" applyBorder="1" applyAlignment="1">
      <alignment horizontal="center" vertical="center"/>
    </xf>
    <xf numFmtId="187" fontId="21" fillId="0" borderId="9" xfId="0" applyNumberFormat="1" applyFont="1" applyBorder="1">
      <alignment vertical="center"/>
    </xf>
    <xf numFmtId="187" fontId="16" fillId="0" borderId="10" xfId="0" applyNumberFormat="1" applyFont="1" applyBorder="1">
      <alignment vertical="center"/>
    </xf>
    <xf numFmtId="188" fontId="16" fillId="0" borderId="9" xfId="0" applyNumberFormat="1" applyFont="1" applyBorder="1">
      <alignment vertical="center"/>
    </xf>
    <xf numFmtId="187" fontId="16" fillId="0" borderId="9" xfId="0" applyNumberFormat="1" applyFont="1" applyBorder="1">
      <alignment vertical="center"/>
    </xf>
    <xf numFmtId="188" fontId="16" fillId="0" borderId="0" xfId="0" applyNumberFormat="1" applyFont="1">
      <alignment vertical="center"/>
    </xf>
    <xf numFmtId="187" fontId="16" fillId="0" borderId="0" xfId="0" applyNumberFormat="1" applyFont="1">
      <alignment vertical="center"/>
    </xf>
    <xf numFmtId="0" fontId="21" fillId="0" borderId="10" xfId="0" applyFont="1" applyBorder="1" applyAlignment="1">
      <alignment horizontal="left" vertical="center"/>
    </xf>
    <xf numFmtId="188" fontId="25" fillId="0" borderId="10" xfId="0" applyNumberFormat="1" applyFont="1" applyBorder="1">
      <alignment vertical="center"/>
    </xf>
    <xf numFmtId="179" fontId="25" fillId="0" borderId="9" xfId="0" applyNumberFormat="1" applyFont="1" applyBorder="1" applyAlignment="1">
      <alignment horizontal="center" vertical="center"/>
    </xf>
    <xf numFmtId="179" fontId="25" fillId="0" borderId="0" xfId="0" applyNumberFormat="1" applyFont="1" applyAlignment="1">
      <alignment horizontal="center" vertical="center"/>
    </xf>
    <xf numFmtId="179" fontId="25" fillId="0" borderId="10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 indent="2"/>
    </xf>
    <xf numFmtId="0" fontId="41" fillId="23" borderId="89" xfId="0" applyFont="1" applyFill="1" applyBorder="1" applyAlignment="1">
      <alignment horizontal="center" vertical="center"/>
    </xf>
    <xf numFmtId="0" fontId="81" fillId="35" borderId="91" xfId="0" applyFont="1" applyFill="1" applyBorder="1" applyAlignment="1">
      <alignment horizontal="center" vertical="center"/>
    </xf>
    <xf numFmtId="0" fontId="23" fillId="34" borderId="50" xfId="0" applyFont="1" applyFill="1" applyBorder="1" applyAlignment="1">
      <alignment horizontal="center" vertical="center"/>
    </xf>
    <xf numFmtId="178" fontId="80" fillId="0" borderId="50" xfId="0" applyNumberFormat="1" applyFont="1" applyBorder="1">
      <alignment vertical="center"/>
    </xf>
    <xf numFmtId="178" fontId="80" fillId="0" borderId="41" xfId="0" applyNumberFormat="1" applyFont="1" applyBorder="1">
      <alignment vertical="center"/>
    </xf>
    <xf numFmtId="9" fontId="87" fillId="0" borderId="41" xfId="2" applyFont="1" applyBorder="1">
      <alignment vertical="center"/>
    </xf>
    <xf numFmtId="178" fontId="80" fillId="0" borderId="43" xfId="0" applyNumberFormat="1" applyFont="1" applyBorder="1">
      <alignment vertical="center"/>
    </xf>
    <xf numFmtId="178" fontId="21" fillId="0" borderId="41" xfId="0" applyNumberFormat="1" applyFont="1" applyBorder="1">
      <alignment vertical="center"/>
    </xf>
    <xf numFmtId="178" fontId="21" fillId="0" borderId="43" xfId="0" applyNumberFormat="1" applyFont="1" applyBorder="1">
      <alignment vertical="center"/>
    </xf>
    <xf numFmtId="178" fontId="80" fillId="0" borderId="31" xfId="0" applyNumberFormat="1" applyFont="1" applyBorder="1">
      <alignment vertical="center"/>
    </xf>
    <xf numFmtId="0" fontId="41" fillId="23" borderId="0" xfId="4" applyFont="1" applyFill="1">
      <alignment vertical="center"/>
    </xf>
    <xf numFmtId="0" fontId="21" fillId="23" borderId="0" xfId="7" applyFont="1" applyFill="1">
      <alignment vertical="center"/>
    </xf>
    <xf numFmtId="0" fontId="88" fillId="23" borderId="0" xfId="4" applyFont="1" applyFill="1">
      <alignment vertical="center"/>
    </xf>
    <xf numFmtId="0" fontId="21" fillId="0" borderId="0" xfId="10" applyFont="1" applyAlignment="1">
      <alignment horizontal="left" vertical="center"/>
    </xf>
    <xf numFmtId="190" fontId="21" fillId="0" borderId="0" xfId="10" applyNumberFormat="1" applyFont="1">
      <alignment vertical="center"/>
    </xf>
    <xf numFmtId="0" fontId="21" fillId="0" borderId="0" xfId="10" applyFont="1">
      <alignment vertical="center"/>
    </xf>
    <xf numFmtId="198" fontId="21" fillId="0" borderId="0" xfId="10" applyNumberFormat="1" applyFont="1" applyAlignment="1">
      <alignment horizontal="right" vertical="center"/>
    </xf>
    <xf numFmtId="0" fontId="21" fillId="0" borderId="0" xfId="10" applyFont="1" applyAlignment="1">
      <alignment horizontal="center" vertical="center"/>
    </xf>
    <xf numFmtId="3" fontId="23" fillId="0" borderId="0" xfId="0" applyNumberFormat="1" applyFont="1" applyAlignment="1">
      <alignment horizontal="right" vertical="center" wrapText="1"/>
    </xf>
    <xf numFmtId="0" fontId="39" fillId="0" borderId="0" xfId="10" applyFont="1">
      <alignment vertical="center"/>
    </xf>
    <xf numFmtId="0" fontId="21" fillId="36" borderId="0" xfId="10" applyFont="1" applyFill="1" applyAlignment="1">
      <alignment horizontal="left" vertical="center"/>
    </xf>
    <xf numFmtId="190" fontId="21" fillId="36" borderId="0" xfId="10" applyNumberFormat="1" applyFont="1" applyFill="1">
      <alignment vertical="center"/>
    </xf>
    <xf numFmtId="0" fontId="21" fillId="36" borderId="0" xfId="10" applyFont="1" applyFill="1" applyAlignment="1">
      <alignment horizontal="center" vertical="center"/>
    </xf>
    <xf numFmtId="0" fontId="44" fillId="23" borderId="0" xfId="3" applyFont="1" applyFill="1">
      <alignment vertical="center"/>
    </xf>
    <xf numFmtId="0" fontId="23" fillId="0" borderId="0" xfId="0" applyFont="1" applyAlignment="1">
      <alignment horizontal="center" vertical="center" wrapText="1"/>
    </xf>
    <xf numFmtId="0" fontId="16" fillId="23" borderId="19" xfId="10" applyFont="1" applyFill="1" applyBorder="1">
      <alignment vertical="center"/>
    </xf>
    <xf numFmtId="0" fontId="16" fillId="23" borderId="19" xfId="10" applyFont="1" applyFill="1" applyBorder="1" applyAlignment="1">
      <alignment horizontal="center" vertical="center"/>
    </xf>
    <xf numFmtId="0" fontId="81" fillId="23" borderId="19" xfId="10" applyFont="1" applyFill="1" applyBorder="1">
      <alignment vertical="center"/>
    </xf>
    <xf numFmtId="0" fontId="21" fillId="0" borderId="0" xfId="11" applyFont="1"/>
    <xf numFmtId="0" fontId="23" fillId="0" borderId="0" xfId="11" applyFont="1" applyAlignment="1">
      <alignment horizontal="right" vertical="center" wrapText="1"/>
    </xf>
    <xf numFmtId="0" fontId="23" fillId="0" borderId="92" xfId="11" applyFont="1" applyBorder="1" applyAlignment="1">
      <alignment vertical="center" wrapText="1"/>
    </xf>
    <xf numFmtId="0" fontId="23" fillId="0" borderId="0" xfId="11" applyFont="1" applyAlignment="1">
      <alignment vertical="center" wrapText="1"/>
    </xf>
    <xf numFmtId="0" fontId="23" fillId="0" borderId="0" xfId="11" applyFont="1" applyAlignment="1">
      <alignment horizontal="left" vertical="center" wrapText="1" indent="1"/>
    </xf>
    <xf numFmtId="41" fontId="94" fillId="0" borderId="0" xfId="14" applyFont="1" applyBorder="1">
      <alignment vertical="center"/>
    </xf>
    <xf numFmtId="0" fontId="23" fillId="0" borderId="10" xfId="11" applyFont="1" applyBorder="1" applyAlignment="1">
      <alignment vertical="center" wrapText="1"/>
    </xf>
    <xf numFmtId="177" fontId="95" fillId="0" borderId="0" xfId="15" applyNumberFormat="1" applyFont="1" applyBorder="1">
      <alignment vertical="center"/>
    </xf>
    <xf numFmtId="41" fontId="39" fillId="0" borderId="0" xfId="15" applyNumberFormat="1" applyFont="1" applyBorder="1">
      <alignment vertical="center"/>
    </xf>
    <xf numFmtId="38" fontId="96" fillId="0" borderId="0" xfId="14" applyNumberFormat="1" applyFont="1" applyBorder="1">
      <alignment vertical="center"/>
    </xf>
    <xf numFmtId="9" fontId="64" fillId="0" borderId="0" xfId="2" applyFont="1" applyBorder="1">
      <alignment vertical="center"/>
    </xf>
    <xf numFmtId="9" fontId="21" fillId="0" borderId="0" xfId="11" applyNumberFormat="1" applyFont="1"/>
    <xf numFmtId="3" fontId="21" fillId="0" borderId="0" xfId="11" applyNumberFormat="1" applyFont="1"/>
    <xf numFmtId="201" fontId="23" fillId="0" borderId="0" xfId="11" applyNumberFormat="1" applyFont="1" applyAlignment="1">
      <alignment horizontal="justify" vertical="center" wrapText="1"/>
    </xf>
    <xf numFmtId="38" fontId="39" fillId="0" borderId="10" xfId="14" applyNumberFormat="1" applyFont="1" applyBorder="1">
      <alignment vertical="center"/>
    </xf>
    <xf numFmtId="0" fontId="21" fillId="0" borderId="4" xfId="11" applyFont="1" applyBorder="1" applyAlignment="1">
      <alignment vertical="center"/>
    </xf>
    <xf numFmtId="38" fontId="96" fillId="0" borderId="0" xfId="11" applyNumberFormat="1" applyFont="1" applyAlignment="1">
      <alignment horizontal="right" vertical="center"/>
    </xf>
    <xf numFmtId="38" fontId="96" fillId="0" borderId="4" xfId="11" applyNumberFormat="1" applyFont="1" applyBorder="1" applyAlignment="1">
      <alignment horizontal="right" vertical="center"/>
    </xf>
    <xf numFmtId="38" fontId="52" fillId="0" borderId="0" xfId="11" applyNumberFormat="1" applyFont="1" applyAlignment="1">
      <alignment horizontal="right" vertical="center"/>
    </xf>
    <xf numFmtId="38" fontId="52" fillId="0" borderId="4" xfId="11" applyNumberFormat="1" applyFont="1" applyBorder="1" applyAlignment="1">
      <alignment horizontal="right" vertical="center"/>
    </xf>
    <xf numFmtId="0" fontId="21" fillId="0" borderId="0" xfId="11" applyFont="1" applyAlignment="1">
      <alignment vertical="center"/>
    </xf>
    <xf numFmtId="202" fontId="21" fillId="0" borderId="4" xfId="11" applyNumberFormat="1" applyFont="1" applyBorder="1" applyAlignment="1">
      <alignment vertical="center"/>
    </xf>
    <xf numFmtId="176" fontId="23" fillId="0" borderId="0" xfId="16" applyFont="1" applyAlignment="1">
      <alignment vertical="center" wrapText="1"/>
    </xf>
    <xf numFmtId="202" fontId="21" fillId="0" borderId="10" xfId="11" applyNumberFormat="1" applyFont="1" applyBorder="1" applyAlignment="1">
      <alignment vertical="center"/>
    </xf>
    <xf numFmtId="202" fontId="21" fillId="0" borderId="16" xfId="11" applyNumberFormat="1" applyFont="1" applyBorder="1" applyAlignment="1">
      <alignment vertical="center"/>
    </xf>
    <xf numFmtId="0" fontId="21" fillId="0" borderId="22" xfId="11" applyFont="1" applyBorder="1"/>
    <xf numFmtId="3" fontId="21" fillId="0" borderId="20" xfId="11" applyNumberFormat="1" applyFont="1" applyBorder="1"/>
    <xf numFmtId="41" fontId="21" fillId="0" borderId="20" xfId="13" applyFont="1" applyFill="1" applyBorder="1">
      <alignment vertical="center"/>
    </xf>
    <xf numFmtId="0" fontId="21" fillId="0" borderId="22" xfId="11" applyFont="1" applyBorder="1" applyAlignment="1">
      <alignment horizontal="left"/>
    </xf>
    <xf numFmtId="0" fontId="21" fillId="0" borderId="20" xfId="11" applyFont="1" applyBorder="1" applyAlignment="1">
      <alignment horizontal="center"/>
    </xf>
    <xf numFmtId="177" fontId="40" fillId="0" borderId="0" xfId="15" applyNumberFormat="1" applyFont="1" applyBorder="1">
      <alignment vertical="center"/>
    </xf>
    <xf numFmtId="0" fontId="23" fillId="5" borderId="0" xfId="11" applyFont="1" applyFill="1" applyAlignment="1">
      <alignment vertical="center" wrapText="1"/>
    </xf>
    <xf numFmtId="177" fontId="40" fillId="0" borderId="10" xfId="15" applyNumberFormat="1" applyFont="1" applyBorder="1">
      <alignment vertical="center"/>
    </xf>
    <xf numFmtId="0" fontId="23" fillId="5" borderId="92" xfId="11" applyFont="1" applyFill="1" applyBorder="1" applyAlignment="1">
      <alignment vertical="center" wrapText="1"/>
    </xf>
    <xf numFmtId="0" fontId="23" fillId="3" borderId="0" xfId="0" applyFont="1" applyFill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6" fillId="15" borderId="0" xfId="11" applyFont="1" applyFill="1" applyAlignment="1">
      <alignment horizontal="center" vertical="center"/>
    </xf>
    <xf numFmtId="199" fontId="21" fillId="37" borderId="19" xfId="11" applyNumberFormat="1" applyFont="1" applyFill="1" applyBorder="1" applyAlignment="1">
      <alignment horizontal="center" vertical="center"/>
    </xf>
    <xf numFmtId="200" fontId="21" fillId="0" borderId="19" xfId="11" applyNumberFormat="1" applyFont="1" applyBorder="1" applyAlignment="1">
      <alignment horizontal="center" vertical="center"/>
    </xf>
    <xf numFmtId="200" fontId="21" fillId="0" borderId="27" xfId="11" applyNumberFormat="1" applyFont="1" applyBorder="1" applyAlignment="1">
      <alignment horizontal="center" vertical="center"/>
    </xf>
    <xf numFmtId="0" fontId="16" fillId="15" borderId="4" xfId="11" applyFont="1" applyFill="1" applyBorder="1" applyAlignment="1">
      <alignment horizontal="center" vertical="center"/>
    </xf>
    <xf numFmtId="0" fontId="21" fillId="0" borderId="21" xfId="11" applyFont="1" applyBorder="1" applyAlignment="1">
      <alignment vertical="center"/>
    </xf>
    <xf numFmtId="0" fontId="39" fillId="0" borderId="21" xfId="11" applyFont="1" applyBorder="1" applyAlignment="1">
      <alignment vertical="center"/>
    </xf>
    <xf numFmtId="0" fontId="16" fillId="15" borderId="21" xfId="11" applyFont="1" applyFill="1" applyBorder="1" applyAlignment="1">
      <alignment vertical="center"/>
    </xf>
    <xf numFmtId="38" fontId="25" fillId="0" borderId="4" xfId="11" applyNumberFormat="1" applyFont="1" applyBorder="1" applyAlignment="1">
      <alignment horizontal="right" vertical="center"/>
    </xf>
    <xf numFmtId="38" fontId="52" fillId="0" borderId="12" xfId="11" applyNumberFormat="1" applyFont="1" applyBorder="1" applyAlignment="1">
      <alignment horizontal="right" vertical="center"/>
    </xf>
    <xf numFmtId="38" fontId="25" fillId="0" borderId="12" xfId="11" applyNumberFormat="1" applyFont="1" applyBorder="1" applyAlignment="1">
      <alignment horizontal="right" vertical="center"/>
    </xf>
    <xf numFmtId="0" fontId="39" fillId="37" borderId="9" xfId="4" applyFont="1" applyFill="1" applyBorder="1">
      <alignment vertical="center"/>
    </xf>
    <xf numFmtId="0" fontId="85" fillId="3" borderId="47" xfId="0" applyFont="1" applyFill="1" applyBorder="1" applyAlignment="1">
      <alignment horizontal="left" vertical="center" indent="1"/>
    </xf>
    <xf numFmtId="178" fontId="48" fillId="0" borderId="0" xfId="0" applyNumberFormat="1" applyFont="1">
      <alignment vertical="center"/>
    </xf>
    <xf numFmtId="0" fontId="21" fillId="0" borderId="16" xfId="0" applyFont="1" applyBorder="1" applyAlignment="1">
      <alignment horizontal="left" vertical="center" indent="2"/>
    </xf>
    <xf numFmtId="0" fontId="80" fillId="0" borderId="0" xfId="4" applyFont="1">
      <alignment vertical="center"/>
    </xf>
    <xf numFmtId="0" fontId="81" fillId="23" borderId="19" xfId="10" applyFont="1" applyFill="1" applyBorder="1" applyAlignment="1">
      <alignment horizontal="center" vertical="center"/>
    </xf>
    <xf numFmtId="0" fontId="100" fillId="0" borderId="0" xfId="0" applyFont="1">
      <alignment vertical="center"/>
    </xf>
    <xf numFmtId="0" fontId="86" fillId="3" borderId="52" xfId="0" applyFont="1" applyFill="1" applyBorder="1">
      <alignment vertical="center"/>
    </xf>
    <xf numFmtId="0" fontId="86" fillId="3" borderId="10" xfId="0" applyFont="1" applyFill="1" applyBorder="1">
      <alignment vertical="center"/>
    </xf>
    <xf numFmtId="177" fontId="87" fillId="0" borderId="10" xfId="2" applyNumberFormat="1" applyFont="1" applyBorder="1">
      <alignment vertical="center"/>
    </xf>
    <xf numFmtId="177" fontId="87" fillId="0" borderId="43" xfId="2" applyNumberFormat="1" applyFont="1" applyBorder="1">
      <alignment vertical="center"/>
    </xf>
    <xf numFmtId="3" fontId="21" fillId="26" borderId="0" xfId="4" applyNumberFormat="1" applyFont="1" applyFill="1" applyAlignment="1">
      <alignment horizontal="center" vertical="center"/>
    </xf>
    <xf numFmtId="178" fontId="21" fillId="0" borderId="4" xfId="4" applyNumberFormat="1" applyFont="1" applyBorder="1" applyAlignment="1">
      <alignment horizontal="center" vertical="center"/>
    </xf>
    <xf numFmtId="3" fontId="21" fillId="26" borderId="10" xfId="4" applyNumberFormat="1" applyFont="1" applyFill="1" applyBorder="1" applyAlignment="1">
      <alignment horizontal="center" vertical="center"/>
    </xf>
    <xf numFmtId="178" fontId="21" fillId="0" borderId="16" xfId="4" applyNumberFormat="1" applyFont="1" applyBorder="1" applyAlignment="1">
      <alignment horizontal="center" vertical="center"/>
    </xf>
    <xf numFmtId="0" fontId="21" fillId="0" borderId="21" xfId="4" applyFont="1" applyBorder="1">
      <alignment vertical="center"/>
    </xf>
    <xf numFmtId="0" fontId="21" fillId="0" borderId="20" xfId="4" applyFont="1" applyBorder="1">
      <alignment vertical="center"/>
    </xf>
    <xf numFmtId="0" fontId="80" fillId="0" borderId="23" xfId="4" applyFont="1" applyBorder="1">
      <alignment vertical="center"/>
    </xf>
    <xf numFmtId="0" fontId="80" fillId="0" borderId="19" xfId="4" applyFont="1" applyBorder="1" applyAlignment="1">
      <alignment horizontal="center" vertical="center"/>
    </xf>
    <xf numFmtId="0" fontId="80" fillId="0" borderId="27" xfId="4" applyFont="1" applyBorder="1" applyAlignment="1">
      <alignment horizontal="center" vertical="center"/>
    </xf>
    <xf numFmtId="0" fontId="21" fillId="0" borderId="22" xfId="4" applyFont="1" applyBorder="1">
      <alignment vertical="center"/>
    </xf>
    <xf numFmtId="0" fontId="21" fillId="0" borderId="23" xfId="4" applyFont="1" applyBorder="1">
      <alignment vertical="center"/>
    </xf>
    <xf numFmtId="41" fontId="21" fillId="0" borderId="0" xfId="14" applyFont="1" applyBorder="1">
      <alignment vertical="center"/>
    </xf>
    <xf numFmtId="38" fontId="96" fillId="0" borderId="0" xfId="3" applyNumberFormat="1" applyFont="1">
      <alignment vertical="center"/>
    </xf>
    <xf numFmtId="38" fontId="94" fillId="0" borderId="0" xfId="3" applyNumberFormat="1" applyFont="1">
      <alignment vertical="center"/>
    </xf>
    <xf numFmtId="38" fontId="39" fillId="0" borderId="0" xfId="14" applyNumberFormat="1" applyFont="1" applyBorder="1">
      <alignment vertical="center"/>
    </xf>
    <xf numFmtId="38" fontId="21" fillId="0" borderId="0" xfId="14" applyNumberFormat="1" applyFont="1" applyBorder="1">
      <alignment vertical="center"/>
    </xf>
    <xf numFmtId="41" fontId="94" fillId="0" borderId="4" xfId="14" applyFont="1" applyBorder="1">
      <alignment vertical="center"/>
    </xf>
    <xf numFmtId="177" fontId="95" fillId="0" borderId="4" xfId="15" applyNumberFormat="1" applyFont="1" applyBorder="1">
      <alignment vertical="center"/>
    </xf>
    <xf numFmtId="41" fontId="21" fillId="0" borderId="4" xfId="14" applyFont="1" applyBorder="1">
      <alignment vertical="center"/>
    </xf>
    <xf numFmtId="41" fontId="39" fillId="0" borderId="4" xfId="15" applyNumberFormat="1" applyFont="1" applyBorder="1">
      <alignment vertical="center"/>
    </xf>
    <xf numFmtId="9" fontId="64" fillId="0" borderId="4" xfId="2" applyFont="1" applyBorder="1">
      <alignment vertical="center"/>
    </xf>
    <xf numFmtId="38" fontId="96" fillId="0" borderId="4" xfId="14" applyNumberFormat="1" applyFont="1" applyBorder="1">
      <alignment vertical="center"/>
    </xf>
    <xf numFmtId="0" fontId="21" fillId="37" borderId="22" xfId="4" applyFont="1" applyFill="1" applyBorder="1">
      <alignment vertical="center"/>
    </xf>
    <xf numFmtId="0" fontId="39" fillId="0" borderId="21" xfId="3" applyFont="1" applyBorder="1">
      <alignment vertical="center"/>
    </xf>
    <xf numFmtId="0" fontId="40" fillId="0" borderId="21" xfId="4" applyFont="1" applyBorder="1" applyAlignment="1">
      <alignment horizontal="left" vertical="center" indent="1"/>
    </xf>
    <xf numFmtId="0" fontId="21" fillId="0" borderId="21" xfId="3" applyFont="1" applyBorder="1" applyAlignment="1">
      <alignment horizontal="left" vertical="center" indent="1"/>
    </xf>
    <xf numFmtId="0" fontId="39" fillId="0" borderId="20" xfId="3" applyFont="1" applyBorder="1">
      <alignment vertical="center"/>
    </xf>
    <xf numFmtId="0" fontId="39" fillId="37" borderId="22" xfId="11" applyFont="1" applyFill="1" applyBorder="1" applyAlignment="1">
      <alignment vertical="center"/>
    </xf>
    <xf numFmtId="0" fontId="21" fillId="0" borderId="21" xfId="11" applyFont="1" applyBorder="1" applyAlignment="1">
      <alignment horizontal="left" vertical="center" indent="1"/>
    </xf>
    <xf numFmtId="0" fontId="39" fillId="0" borderId="21" xfId="11" applyFont="1" applyBorder="1" applyAlignment="1">
      <alignment horizontal="left" vertical="center" indent="1"/>
    </xf>
    <xf numFmtId="0" fontId="21" fillId="0" borderId="20" xfId="11" applyFont="1" applyBorder="1" applyAlignment="1">
      <alignment horizontal="left" vertical="center" indent="1"/>
    </xf>
    <xf numFmtId="0" fontId="40" fillId="0" borderId="21" xfId="11" applyFont="1" applyBorder="1" applyAlignment="1">
      <alignment horizontal="left" vertical="center" indent="1"/>
    </xf>
    <xf numFmtId="0" fontId="40" fillId="0" borderId="20" xfId="11" applyFont="1" applyBorder="1" applyAlignment="1">
      <alignment horizontal="left" vertical="center" indent="1"/>
    </xf>
    <xf numFmtId="0" fontId="90" fillId="23" borderId="92" xfId="11" applyFont="1" applyFill="1" applyBorder="1" applyAlignment="1">
      <alignment vertical="center" wrapText="1"/>
    </xf>
    <xf numFmtId="0" fontId="90" fillId="23" borderId="92" xfId="11" applyFont="1" applyFill="1" applyBorder="1" applyAlignment="1">
      <alignment horizontal="center" vertical="center" wrapText="1"/>
    </xf>
    <xf numFmtId="203" fontId="23" fillId="0" borderId="0" xfId="11" applyNumberFormat="1" applyFont="1" applyAlignment="1">
      <alignment horizontal="right" vertical="center" wrapText="1"/>
    </xf>
    <xf numFmtId="203" fontId="23" fillId="0" borderId="92" xfId="11" applyNumberFormat="1" applyFont="1" applyBorder="1" applyAlignment="1">
      <alignment horizontal="right" vertical="center" wrapText="1"/>
    </xf>
    <xf numFmtId="0" fontId="23" fillId="34" borderId="52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21" fillId="0" borderId="0" xfId="4" applyFont="1" applyAlignment="1">
      <alignment horizontal="left" vertical="center"/>
    </xf>
    <xf numFmtId="3" fontId="21" fillId="0" borderId="0" xfId="4" applyNumberFormat="1" applyFont="1" applyAlignment="1">
      <alignment horizontal="center" vertical="center"/>
    </xf>
    <xf numFmtId="3" fontId="21" fillId="0" borderId="10" xfId="4" applyNumberFormat="1" applyFont="1" applyBorder="1">
      <alignment vertical="center"/>
    </xf>
    <xf numFmtId="3" fontId="21" fillId="0" borderId="19" xfId="4" applyNumberFormat="1" applyFont="1" applyBorder="1">
      <alignment vertical="center"/>
    </xf>
    <xf numFmtId="0" fontId="21" fillId="0" borderId="21" xfId="4" applyFont="1" applyBorder="1" applyAlignment="1">
      <alignment horizontal="left" vertical="center" indent="1"/>
    </xf>
    <xf numFmtId="3" fontId="21" fillId="29" borderId="22" xfId="0" applyNumberFormat="1" applyFont="1" applyFill="1" applyBorder="1" applyAlignment="1">
      <alignment horizontal="center" vertical="center"/>
    </xf>
    <xf numFmtId="2" fontId="104" fillId="0" borderId="0" xfId="0" applyNumberFormat="1" applyFont="1">
      <alignment vertical="center"/>
    </xf>
    <xf numFmtId="0" fontId="104" fillId="0" borderId="0" xfId="0" applyFont="1">
      <alignment vertical="center"/>
    </xf>
    <xf numFmtId="3" fontId="21" fillId="5" borderId="21" xfId="0" applyNumberFormat="1" applyFont="1" applyFill="1" applyBorder="1" applyAlignment="1">
      <alignment horizontal="center" vertical="center"/>
    </xf>
    <xf numFmtId="3" fontId="21" fillId="5" borderId="20" xfId="0" applyNumberFormat="1" applyFont="1" applyFill="1" applyBorder="1" applyAlignment="1">
      <alignment horizontal="center" vertical="center"/>
    </xf>
    <xf numFmtId="3" fontId="21" fillId="5" borderId="21" xfId="0" quotePrefix="1" applyNumberFormat="1" applyFont="1" applyFill="1" applyBorder="1" applyAlignment="1">
      <alignment horizontal="center" vertical="center"/>
    </xf>
    <xf numFmtId="3" fontId="21" fillId="5" borderId="22" xfId="0" quotePrefix="1" applyNumberFormat="1" applyFont="1" applyFill="1" applyBorder="1" applyAlignment="1">
      <alignment horizontal="center" vertical="center"/>
    </xf>
    <xf numFmtId="0" fontId="21" fillId="30" borderId="9" xfId="0" applyFont="1" applyFill="1" applyBorder="1" applyAlignment="1">
      <alignment horizontal="center" vertical="center"/>
    </xf>
    <xf numFmtId="0" fontId="21" fillId="30" borderId="9" xfId="0" applyFont="1" applyFill="1" applyBorder="1" applyAlignment="1">
      <alignment horizontal="left" vertical="center"/>
    </xf>
    <xf numFmtId="188" fontId="21" fillId="30" borderId="9" xfId="0" applyNumberFormat="1" applyFont="1" applyFill="1" applyBorder="1" applyAlignment="1">
      <alignment horizontal="right" vertical="center"/>
    </xf>
    <xf numFmtId="3" fontId="21" fillId="30" borderId="9" xfId="0" applyNumberFormat="1" applyFont="1" applyFill="1" applyBorder="1" applyAlignment="1">
      <alignment horizontal="center" vertical="center"/>
    </xf>
    <xf numFmtId="193" fontId="21" fillId="30" borderId="9" xfId="0" applyNumberFormat="1" applyFont="1" applyFill="1" applyBorder="1" applyAlignment="1">
      <alignment horizontal="center" vertical="center"/>
    </xf>
    <xf numFmtId="0" fontId="21" fillId="30" borderId="0" xfId="0" applyFont="1" applyFill="1" applyAlignment="1">
      <alignment horizontal="center" vertical="center"/>
    </xf>
    <xf numFmtId="0" fontId="21" fillId="30" borderId="0" xfId="0" applyFont="1" applyFill="1">
      <alignment vertical="center"/>
    </xf>
    <xf numFmtId="188" fontId="21" fillId="30" borderId="0" xfId="0" applyNumberFormat="1" applyFont="1" applyFill="1" applyAlignment="1">
      <alignment horizontal="right" vertical="center"/>
    </xf>
    <xf numFmtId="3" fontId="21" fillId="30" borderId="0" xfId="0" applyNumberFormat="1" applyFont="1" applyFill="1" applyAlignment="1">
      <alignment horizontal="center" vertical="center"/>
    </xf>
    <xf numFmtId="193" fontId="21" fillId="30" borderId="0" xfId="0" applyNumberFormat="1" applyFont="1" applyFill="1" applyAlignment="1">
      <alignment horizontal="center" vertical="center"/>
    </xf>
    <xf numFmtId="193" fontId="21" fillId="0" borderId="0" xfId="0" applyNumberFormat="1" applyFont="1" applyAlignment="1">
      <alignment horizontal="center" vertical="center"/>
    </xf>
    <xf numFmtId="193" fontId="21" fillId="0" borderId="10" xfId="0" applyNumberFormat="1" applyFont="1" applyBorder="1" applyAlignment="1">
      <alignment horizontal="center" vertical="center"/>
    </xf>
    <xf numFmtId="0" fontId="48" fillId="0" borderId="10" xfId="2" applyNumberFormat="1" applyFont="1" applyBorder="1" applyAlignment="1">
      <alignment horizontal="center" vertical="center"/>
    </xf>
    <xf numFmtId="3" fontId="21" fillId="5" borderId="22" xfId="0" applyNumberFormat="1" applyFont="1" applyFill="1" applyBorder="1" applyAlignment="1">
      <alignment horizontal="center" vertical="center"/>
    </xf>
    <xf numFmtId="3" fontId="58" fillId="5" borderId="22" xfId="0" applyNumberFormat="1" applyFont="1" applyFill="1" applyBorder="1" applyAlignment="1">
      <alignment horizontal="center" vertical="center"/>
    </xf>
    <xf numFmtId="3" fontId="21" fillId="0" borderId="2" xfId="0" applyNumberFormat="1" applyFont="1" applyBorder="1">
      <alignment vertical="center"/>
    </xf>
    <xf numFmtId="3" fontId="21" fillId="0" borderId="2" xfId="0" applyNumberFormat="1" applyFont="1" applyBorder="1" applyAlignment="1">
      <alignment horizontal="center" vertical="center"/>
    </xf>
    <xf numFmtId="3" fontId="21" fillId="5" borderId="26" xfId="0" applyNumberFormat="1" applyFont="1" applyFill="1" applyBorder="1">
      <alignment vertical="center"/>
    </xf>
    <xf numFmtId="3" fontId="21" fillId="5" borderId="26" xfId="0" applyNumberFormat="1" applyFont="1" applyFill="1" applyBorder="1" applyAlignment="1">
      <alignment horizontal="center" vertical="center"/>
    </xf>
    <xf numFmtId="14" fontId="21" fillId="5" borderId="26" xfId="0" applyNumberFormat="1" applyFont="1" applyFill="1" applyBorder="1" applyAlignment="1">
      <alignment horizontal="center" vertical="center"/>
    </xf>
    <xf numFmtId="180" fontId="21" fillId="5" borderId="26" xfId="0" applyNumberFormat="1" applyFont="1" applyFill="1" applyBorder="1" applyAlignment="1">
      <alignment horizontal="center" vertical="center"/>
    </xf>
    <xf numFmtId="14" fontId="21" fillId="5" borderId="33" xfId="0" applyNumberFormat="1" applyFont="1" applyFill="1" applyBorder="1" applyAlignment="1">
      <alignment horizontal="center" vertical="center"/>
    </xf>
    <xf numFmtId="3" fontId="21" fillId="5" borderId="0" xfId="0" applyNumberFormat="1" applyFont="1" applyFill="1">
      <alignment vertical="center"/>
    </xf>
    <xf numFmtId="3" fontId="21" fillId="5" borderId="0" xfId="0" applyNumberFormat="1" applyFont="1" applyFill="1" applyAlignment="1">
      <alignment horizontal="center" vertical="center"/>
    </xf>
    <xf numFmtId="14" fontId="21" fillId="5" borderId="0" xfId="0" applyNumberFormat="1" applyFont="1" applyFill="1" applyAlignment="1">
      <alignment horizontal="center" vertical="center"/>
    </xf>
    <xf numFmtId="180" fontId="21" fillId="5" borderId="0" xfId="0" applyNumberFormat="1" applyFont="1" applyFill="1" applyAlignment="1">
      <alignment horizontal="center" vertical="center"/>
    </xf>
    <xf numFmtId="14" fontId="21" fillId="5" borderId="41" xfId="0" applyNumberFormat="1" applyFont="1" applyFill="1" applyBorder="1" applyAlignment="1">
      <alignment horizontal="center" vertical="center"/>
    </xf>
    <xf numFmtId="0" fontId="80" fillId="5" borderId="34" xfId="0" applyFont="1" applyFill="1" applyBorder="1" applyAlignment="1">
      <alignment horizontal="left" vertical="center"/>
    </xf>
    <xf numFmtId="0" fontId="21" fillId="5" borderId="47" xfId="0" applyFont="1" applyFill="1" applyBorder="1">
      <alignment vertical="center"/>
    </xf>
    <xf numFmtId="3" fontId="21" fillId="0" borderId="32" xfId="0" applyNumberFormat="1" applyFont="1" applyBorder="1">
      <alignment vertical="center"/>
    </xf>
    <xf numFmtId="0" fontId="40" fillId="0" borderId="16" xfId="0" applyFont="1" applyBorder="1" applyAlignment="1">
      <alignment horizontal="left" vertical="center" indent="1"/>
    </xf>
    <xf numFmtId="177" fontId="40" fillId="0" borderId="10" xfId="0" applyNumberFormat="1" applyFont="1" applyBorder="1">
      <alignment vertical="center"/>
    </xf>
    <xf numFmtId="177" fontId="40" fillId="0" borderId="16" xfId="0" applyNumberFormat="1" applyFont="1" applyBorder="1">
      <alignment vertical="center"/>
    </xf>
    <xf numFmtId="0" fontId="41" fillId="23" borderId="23" xfId="0" applyFont="1" applyFill="1" applyBorder="1" applyAlignment="1">
      <alignment horizontal="left" vertical="center"/>
    </xf>
    <xf numFmtId="184" fontId="41" fillId="23" borderId="19" xfId="0" applyNumberFormat="1" applyFont="1" applyFill="1" applyBorder="1" applyAlignment="1">
      <alignment horizontal="center" vertical="center"/>
    </xf>
    <xf numFmtId="183" fontId="41" fillId="23" borderId="19" xfId="0" applyNumberFormat="1" applyFont="1" applyFill="1" applyBorder="1" applyAlignment="1">
      <alignment horizontal="center" vertical="center"/>
    </xf>
    <xf numFmtId="183" fontId="41" fillId="23" borderId="27" xfId="0" applyNumberFormat="1" applyFont="1" applyFill="1" applyBorder="1" applyAlignment="1">
      <alignment horizontal="center" vertical="center"/>
    </xf>
    <xf numFmtId="192" fontId="40" fillId="0" borderId="10" xfId="0" applyNumberFormat="1" applyFont="1" applyBorder="1">
      <alignment vertical="center"/>
    </xf>
    <xf numFmtId="177" fontId="105" fillId="0" borderId="0" xfId="0" applyNumberFormat="1" applyFont="1" applyAlignment="1">
      <alignment horizontal="center" vertical="center"/>
    </xf>
    <xf numFmtId="9" fontId="40" fillId="0" borderId="10" xfId="0" applyNumberFormat="1" applyFont="1" applyBorder="1">
      <alignment vertical="center"/>
    </xf>
    <xf numFmtId="41" fontId="21" fillId="0" borderId="0" xfId="13" applyFont="1" applyFill="1" applyBorder="1">
      <alignment vertical="center"/>
    </xf>
    <xf numFmtId="0" fontId="21" fillId="0" borderId="0" xfId="11" applyFont="1" applyAlignment="1">
      <alignment horizontal="left"/>
    </xf>
    <xf numFmtId="0" fontId="21" fillId="0" borderId="0" xfId="11" applyFont="1" applyAlignment="1">
      <alignment horizontal="center"/>
    </xf>
    <xf numFmtId="202" fontId="21" fillId="0" borderId="0" xfId="11" applyNumberFormat="1" applyFont="1" applyAlignment="1">
      <alignment vertical="center"/>
    </xf>
    <xf numFmtId="0" fontId="23" fillId="24" borderId="0" xfId="11" applyFont="1" applyFill="1" applyAlignment="1">
      <alignment horizontal="left" vertical="center" wrapText="1" indent="1"/>
    </xf>
    <xf numFmtId="0" fontId="23" fillId="17" borderId="92" xfId="11" applyFont="1" applyFill="1" applyBorder="1" applyAlignment="1">
      <alignment vertical="center" wrapText="1"/>
    </xf>
    <xf numFmtId="0" fontId="23" fillId="17" borderId="0" xfId="11" applyFont="1" applyFill="1" applyAlignment="1">
      <alignment vertical="center" wrapText="1"/>
    </xf>
    <xf numFmtId="204" fontId="23" fillId="17" borderId="0" xfId="11" applyNumberFormat="1" applyFont="1" applyFill="1" applyAlignment="1">
      <alignment horizontal="right" vertical="center" wrapText="1"/>
    </xf>
    <xf numFmtId="202" fontId="96" fillId="0" borderId="4" xfId="11" applyNumberFormat="1" applyFont="1" applyBorder="1" applyAlignment="1">
      <alignment vertical="center"/>
    </xf>
    <xf numFmtId="202" fontId="96" fillId="0" borderId="10" xfId="11" applyNumberFormat="1" applyFont="1" applyBorder="1" applyAlignment="1">
      <alignment vertical="center"/>
    </xf>
    <xf numFmtId="202" fontId="96" fillId="0" borderId="16" xfId="11" applyNumberFormat="1" applyFont="1" applyBorder="1" applyAlignment="1">
      <alignment vertical="center"/>
    </xf>
    <xf numFmtId="203" fontId="21" fillId="0" borderId="17" xfId="11" applyNumberFormat="1" applyFont="1" applyBorder="1"/>
    <xf numFmtId="203" fontId="21" fillId="0" borderId="9" xfId="11" applyNumberFormat="1" applyFont="1" applyBorder="1"/>
    <xf numFmtId="203" fontId="21" fillId="0" borderId="14" xfId="11" applyNumberFormat="1" applyFont="1" applyBorder="1"/>
    <xf numFmtId="203" fontId="21" fillId="0" borderId="15" xfId="11" applyNumberFormat="1" applyFont="1" applyBorder="1"/>
    <xf numFmtId="203" fontId="21" fillId="0" borderId="10" xfId="11" applyNumberFormat="1" applyFont="1" applyBorder="1"/>
    <xf numFmtId="203" fontId="21" fillId="0" borderId="16" xfId="11" applyNumberFormat="1" applyFont="1" applyBorder="1"/>
    <xf numFmtId="0" fontId="92" fillId="23" borderId="9" xfId="4" applyFont="1" applyFill="1" applyBorder="1">
      <alignment vertical="center"/>
    </xf>
    <xf numFmtId="0" fontId="92" fillId="23" borderId="14" xfId="4" applyFont="1" applyFill="1" applyBorder="1">
      <alignment vertical="center"/>
    </xf>
    <xf numFmtId="0" fontId="41" fillId="23" borderId="9" xfId="4" applyFont="1" applyFill="1" applyBorder="1" applyAlignment="1">
      <alignment horizontal="left" vertical="center" indent="8"/>
    </xf>
    <xf numFmtId="0" fontId="39" fillId="37" borderId="9" xfId="4" applyFont="1" applyFill="1" applyBorder="1" applyAlignment="1">
      <alignment horizontal="left" vertical="center" indent="5"/>
    </xf>
    <xf numFmtId="0" fontId="39" fillId="37" borderId="14" xfId="4" applyFont="1" applyFill="1" applyBorder="1">
      <alignment vertical="center"/>
    </xf>
    <xf numFmtId="38" fontId="96" fillId="0" borderId="4" xfId="3" applyNumberFormat="1" applyFont="1" applyBorder="1">
      <alignment vertical="center"/>
    </xf>
    <xf numFmtId="38" fontId="94" fillId="0" borderId="4" xfId="3" applyNumberFormat="1" applyFont="1" applyBorder="1">
      <alignment vertical="center"/>
    </xf>
    <xf numFmtId="38" fontId="39" fillId="0" borderId="4" xfId="14" applyNumberFormat="1" applyFont="1" applyBorder="1">
      <alignment vertical="center"/>
    </xf>
    <xf numFmtId="38" fontId="21" fillId="0" borderId="4" xfId="14" applyNumberFormat="1" applyFont="1" applyBorder="1">
      <alignment vertical="center"/>
    </xf>
    <xf numFmtId="38" fontId="39" fillId="0" borderId="16" xfId="14" applyNumberFormat="1" applyFont="1" applyBorder="1">
      <alignment vertical="center"/>
    </xf>
    <xf numFmtId="203" fontId="39" fillId="0" borderId="0" xfId="3" applyNumberFormat="1" applyFont="1">
      <alignment vertical="center"/>
    </xf>
    <xf numFmtId="0" fontId="21" fillId="0" borderId="0" xfId="11" applyFont="1" applyAlignment="1">
      <alignment horizontal="left" indent="1"/>
    </xf>
    <xf numFmtId="3" fontId="21" fillId="0" borderId="0" xfId="11" applyNumberFormat="1" applyFont="1" applyAlignment="1">
      <alignment vertical="center"/>
    </xf>
    <xf numFmtId="3" fontId="21" fillId="0" borderId="0" xfId="13" applyNumberFormat="1" applyFont="1" applyFill="1" applyAlignment="1">
      <alignment vertical="center"/>
    </xf>
    <xf numFmtId="3" fontId="23" fillId="24" borderId="0" xfId="13" applyNumberFormat="1" applyFont="1" applyFill="1" applyAlignment="1">
      <alignment vertical="center"/>
    </xf>
    <xf numFmtId="3" fontId="23" fillId="0" borderId="0" xfId="13" applyNumberFormat="1" applyFont="1" applyFill="1" applyAlignment="1">
      <alignment vertical="center"/>
    </xf>
    <xf numFmtId="3" fontId="23" fillId="0" borderId="0" xfId="11" applyNumberFormat="1" applyFont="1" applyAlignment="1">
      <alignment vertical="center"/>
    </xf>
    <xf numFmtId="3" fontId="21" fillId="0" borderId="92" xfId="13" applyNumberFormat="1" applyFont="1" applyFill="1" applyBorder="1" applyAlignment="1">
      <alignment vertical="center"/>
    </xf>
    <xf numFmtId="3" fontId="23" fillId="17" borderId="0" xfId="11" applyNumberFormat="1" applyFont="1" applyFill="1" applyAlignment="1">
      <alignment vertical="center"/>
    </xf>
    <xf numFmtId="3" fontId="21" fillId="24" borderId="0" xfId="16" applyNumberFormat="1" applyFont="1" applyFill="1" applyAlignment="1">
      <alignment vertical="center"/>
    </xf>
    <xf numFmtId="3" fontId="23" fillId="0" borderId="92" xfId="11" applyNumberFormat="1" applyFont="1" applyBorder="1" applyAlignment="1">
      <alignment vertical="center"/>
    </xf>
    <xf numFmtId="3" fontId="23" fillId="0" borderId="92" xfId="16" applyNumberFormat="1" applyFont="1" applyBorder="1" applyAlignment="1">
      <alignment vertical="center"/>
    </xf>
    <xf numFmtId="3" fontId="23" fillId="0" borderId="0" xfId="2" applyNumberFormat="1" applyFont="1" applyFill="1" applyAlignment="1">
      <alignment vertical="center"/>
    </xf>
    <xf numFmtId="3" fontId="23" fillId="0" borderId="92" xfId="2" applyNumberFormat="1" applyFont="1" applyBorder="1" applyAlignment="1">
      <alignment vertical="center"/>
    </xf>
    <xf numFmtId="3" fontId="23" fillId="5" borderId="0" xfId="16" applyNumberFormat="1" applyFont="1" applyFill="1" applyAlignment="1">
      <alignment vertical="center"/>
    </xf>
    <xf numFmtId="3" fontId="23" fillId="5" borderId="0" xfId="11" applyNumberFormat="1" applyFont="1" applyFill="1" applyAlignment="1">
      <alignment vertical="center"/>
    </xf>
    <xf numFmtId="3" fontId="23" fillId="5" borderId="10" xfId="16" applyNumberFormat="1" applyFont="1" applyFill="1" applyBorder="1" applyAlignment="1">
      <alignment vertical="center"/>
    </xf>
    <xf numFmtId="3" fontId="23" fillId="5" borderId="10" xfId="11" applyNumberFormat="1" applyFont="1" applyFill="1" applyBorder="1" applyAlignment="1">
      <alignment vertical="center"/>
    </xf>
    <xf numFmtId="3" fontId="23" fillId="0" borderId="10" xfId="11" applyNumberFormat="1" applyFont="1" applyBorder="1" applyAlignment="1">
      <alignment vertical="center"/>
    </xf>
    <xf numFmtId="3" fontId="23" fillId="5" borderId="92" xfId="11" applyNumberFormat="1" applyFont="1" applyFill="1" applyBorder="1" applyAlignment="1">
      <alignment vertical="center"/>
    </xf>
    <xf numFmtId="4" fontId="23" fillId="0" borderId="0" xfId="11" applyNumberFormat="1" applyFont="1" applyAlignment="1">
      <alignment vertical="center"/>
    </xf>
    <xf numFmtId="38" fontId="25" fillId="0" borderId="0" xfId="11" applyNumberFormat="1" applyFont="1" applyAlignment="1">
      <alignment horizontal="right" vertical="center"/>
    </xf>
    <xf numFmtId="0" fontId="39" fillId="0" borderId="12" xfId="11" applyFont="1" applyBorder="1" applyAlignment="1">
      <alignment vertical="center"/>
    </xf>
    <xf numFmtId="0" fontId="16" fillId="15" borderId="12" xfId="11" applyFont="1" applyFill="1" applyBorder="1" applyAlignment="1">
      <alignment vertical="center"/>
    </xf>
    <xf numFmtId="202" fontId="21" fillId="0" borderId="12" xfId="11" applyNumberFormat="1" applyFont="1" applyBorder="1" applyAlignment="1">
      <alignment vertical="center"/>
    </xf>
    <xf numFmtId="202" fontId="96" fillId="0" borderId="0" xfId="11" applyNumberFormat="1" applyFont="1" applyAlignment="1">
      <alignment vertical="center"/>
    </xf>
    <xf numFmtId="202" fontId="21" fillId="0" borderId="15" xfId="11" applyNumberFormat="1" applyFont="1" applyBorder="1" applyAlignment="1">
      <alignment vertical="center"/>
    </xf>
    <xf numFmtId="0" fontId="39" fillId="37" borderId="23" xfId="11" applyFont="1" applyFill="1" applyBorder="1" applyAlignment="1">
      <alignment vertical="center"/>
    </xf>
    <xf numFmtId="199" fontId="21" fillId="37" borderId="18" xfId="11" applyNumberFormat="1" applyFont="1" applyFill="1" applyBorder="1" applyAlignment="1">
      <alignment horizontal="center" vertical="center"/>
    </xf>
    <xf numFmtId="0" fontId="106" fillId="32" borderId="19" xfId="0" applyFont="1" applyFill="1" applyBorder="1" applyAlignment="1">
      <alignment horizontal="center" vertical="center"/>
    </xf>
    <xf numFmtId="0" fontId="106" fillId="34" borderId="19" xfId="0" applyFont="1" applyFill="1" applyBorder="1" applyAlignment="1">
      <alignment horizontal="center" vertical="center"/>
    </xf>
    <xf numFmtId="0" fontId="106" fillId="3" borderId="0" xfId="0" applyFont="1" applyFill="1">
      <alignment vertical="center"/>
    </xf>
    <xf numFmtId="178" fontId="107" fillId="0" borderId="0" xfId="0" applyNumberFormat="1" applyFont="1">
      <alignment vertical="center"/>
    </xf>
    <xf numFmtId="0" fontId="107" fillId="0" borderId="0" xfId="0" applyFont="1">
      <alignment vertical="center"/>
    </xf>
    <xf numFmtId="178" fontId="0" fillId="0" borderId="0" xfId="0" applyNumberFormat="1">
      <alignment vertical="center"/>
    </xf>
    <xf numFmtId="0" fontId="106" fillId="0" borderId="0" xfId="0" applyFont="1" applyAlignment="1">
      <alignment horizontal="center" vertical="center"/>
    </xf>
    <xf numFmtId="0" fontId="106" fillId="0" borderId="0" xfId="0" applyFont="1">
      <alignment vertical="center"/>
    </xf>
    <xf numFmtId="0" fontId="23" fillId="0" borderId="0" xfId="11" applyFont="1" applyAlignment="1">
      <alignment horizontal="left" vertical="center" wrapText="1"/>
    </xf>
    <xf numFmtId="0" fontId="23" fillId="0" borderId="10" xfId="11" applyFont="1" applyBorder="1" applyAlignment="1">
      <alignment horizontal="left" vertical="center" wrapText="1"/>
    </xf>
    <xf numFmtId="203" fontId="39" fillId="0" borderId="4" xfId="3" applyNumberFormat="1" applyFont="1" applyBorder="1">
      <alignment vertical="center"/>
    </xf>
    <xf numFmtId="203" fontId="21" fillId="0" borderId="4" xfId="11" applyNumberFormat="1" applyFont="1" applyBorder="1"/>
    <xf numFmtId="177" fontId="40" fillId="0" borderId="4" xfId="15" applyNumberFormat="1" applyFont="1" applyBorder="1">
      <alignment vertical="center"/>
    </xf>
    <xf numFmtId="177" fontId="40" fillId="0" borderId="16" xfId="15" applyNumberFormat="1" applyFont="1" applyBorder="1">
      <alignment vertical="center"/>
    </xf>
    <xf numFmtId="0" fontId="88" fillId="0" borderId="0" xfId="4" applyFont="1">
      <alignment vertical="center"/>
    </xf>
    <xf numFmtId="0" fontId="21" fillId="0" borderId="0" xfId="7" applyFont="1">
      <alignment vertical="center"/>
    </xf>
    <xf numFmtId="0" fontId="108" fillId="0" borderId="4" xfId="0" applyFont="1" applyBorder="1">
      <alignment vertical="center"/>
    </xf>
    <xf numFmtId="192" fontId="108" fillId="0" borderId="0" xfId="0" applyNumberFormat="1" applyFont="1">
      <alignment vertical="center"/>
    </xf>
    <xf numFmtId="192" fontId="108" fillId="0" borderId="4" xfId="0" applyNumberFormat="1" applyFont="1" applyBorder="1">
      <alignment vertical="center"/>
    </xf>
    <xf numFmtId="177" fontId="109" fillId="0" borderId="0" xfId="0" applyNumberFormat="1" applyFont="1" applyAlignment="1">
      <alignment horizontal="center" vertical="center"/>
    </xf>
    <xf numFmtId="176" fontId="23" fillId="0" borderId="0" xfId="11" applyNumberFormat="1" applyFont="1" applyAlignment="1">
      <alignment vertical="center" wrapText="1"/>
    </xf>
    <xf numFmtId="3" fontId="80" fillId="0" borderId="0" xfId="0" applyNumberFormat="1" applyFont="1">
      <alignment vertical="center"/>
    </xf>
    <xf numFmtId="192" fontId="21" fillId="26" borderId="14" xfId="4" applyNumberFormat="1" applyFont="1" applyFill="1" applyBorder="1" applyAlignment="1">
      <alignment horizontal="center" vertical="center"/>
    </xf>
    <xf numFmtId="3" fontId="21" fillId="0" borderId="4" xfId="4" applyNumberFormat="1" applyFont="1" applyBorder="1" applyAlignment="1">
      <alignment horizontal="center" vertical="center"/>
    </xf>
    <xf numFmtId="3" fontId="21" fillId="0" borderId="16" xfId="4" applyNumberFormat="1" applyFont="1" applyBorder="1">
      <alignment vertical="center"/>
    </xf>
    <xf numFmtId="3" fontId="21" fillId="0" borderId="27" xfId="4" applyNumberFormat="1" applyFont="1" applyBorder="1">
      <alignment vertical="center"/>
    </xf>
    <xf numFmtId="191" fontId="96" fillId="0" borderId="0" xfId="0" applyNumberFormat="1" applyFont="1">
      <alignment vertical="center"/>
    </xf>
    <xf numFmtId="205" fontId="21" fillId="0" borderId="0" xfId="0" applyNumberFormat="1" applyFont="1">
      <alignment vertical="center"/>
    </xf>
    <xf numFmtId="205" fontId="16" fillId="0" borderId="0" xfId="0" applyNumberFormat="1" applyFont="1">
      <alignment vertical="center"/>
    </xf>
    <xf numFmtId="205" fontId="21" fillId="0" borderId="4" xfId="0" applyNumberFormat="1" applyFont="1" applyBorder="1">
      <alignment vertical="center"/>
    </xf>
    <xf numFmtId="205" fontId="21" fillId="0" borderId="10" xfId="0" applyNumberFormat="1" applyFont="1" applyBorder="1">
      <alignment vertical="center"/>
    </xf>
    <xf numFmtId="205" fontId="21" fillId="0" borderId="16" xfId="0" applyNumberFormat="1" applyFont="1" applyBorder="1">
      <alignment vertical="center"/>
    </xf>
    <xf numFmtId="3" fontId="21" fillId="0" borderId="4" xfId="0" applyNumberFormat="1" applyFont="1" applyBorder="1" applyAlignment="1">
      <alignment horizontal="left" vertical="center" indent="1"/>
    </xf>
    <xf numFmtId="3" fontId="21" fillId="0" borderId="4" xfId="0" applyNumberFormat="1" applyFont="1" applyBorder="1" applyAlignment="1">
      <alignment horizontal="left" vertical="center" indent="2"/>
    </xf>
    <xf numFmtId="3" fontId="21" fillId="0" borderId="16" xfId="0" applyNumberFormat="1" applyFont="1" applyBorder="1" applyAlignment="1">
      <alignment horizontal="left" vertical="center" indent="2"/>
    </xf>
    <xf numFmtId="0" fontId="110" fillId="23" borderId="23" xfId="0" applyFont="1" applyFill="1" applyBorder="1" applyAlignment="1">
      <alignment horizontal="left" vertical="center"/>
    </xf>
    <xf numFmtId="205" fontId="110" fillId="23" borderId="19" xfId="0" applyNumberFormat="1" applyFont="1" applyFill="1" applyBorder="1" applyAlignment="1">
      <alignment horizontal="center" vertical="center"/>
    </xf>
    <xf numFmtId="183" fontId="110" fillId="23" borderId="9" xfId="0" applyNumberFormat="1" applyFont="1" applyFill="1" applyBorder="1" applyAlignment="1">
      <alignment horizontal="center" vertical="center"/>
    </xf>
    <xf numFmtId="49" fontId="110" fillId="23" borderId="9" xfId="0" applyNumberFormat="1" applyFont="1" applyFill="1" applyBorder="1" applyAlignment="1">
      <alignment horizontal="center" vertical="center"/>
    </xf>
    <xf numFmtId="205" fontId="108" fillId="0" borderId="0" xfId="0" applyNumberFormat="1" applyFont="1">
      <alignment vertical="center"/>
    </xf>
    <xf numFmtId="0" fontId="108" fillId="0" borderId="0" xfId="0" applyFont="1">
      <alignment vertical="center"/>
    </xf>
    <xf numFmtId="0" fontId="108" fillId="22" borderId="4" xfId="0" applyFont="1" applyFill="1" applyBorder="1">
      <alignment vertical="center"/>
    </xf>
    <xf numFmtId="205" fontId="108" fillId="22" borderId="0" xfId="0" applyNumberFormat="1" applyFont="1" applyFill="1">
      <alignment vertical="center"/>
    </xf>
    <xf numFmtId="0" fontId="108" fillId="22" borderId="14" xfId="0" applyFont="1" applyFill="1" applyBorder="1">
      <alignment vertical="center"/>
    </xf>
    <xf numFmtId="205" fontId="108" fillId="22" borderId="9" xfId="0" applyNumberFormat="1" applyFont="1" applyFill="1" applyBorder="1">
      <alignment vertical="center"/>
    </xf>
    <xf numFmtId="0" fontId="108" fillId="0" borderId="34" xfId="0" applyFont="1" applyBorder="1" applyAlignment="1">
      <alignment horizontal="center" vertical="center"/>
    </xf>
    <xf numFmtId="205" fontId="108" fillId="0" borderId="33" xfId="0" applyNumberFormat="1" applyFont="1" applyBorder="1" applyAlignment="1">
      <alignment horizontal="center" vertical="center"/>
    </xf>
    <xf numFmtId="205" fontId="80" fillId="0" borderId="0" xfId="0" applyNumberFormat="1" applyFont="1">
      <alignment vertical="center"/>
    </xf>
    <xf numFmtId="183" fontId="110" fillId="23" borderId="19" xfId="0" applyNumberFormat="1" applyFont="1" applyFill="1" applyBorder="1" applyAlignment="1">
      <alignment horizontal="center" vertical="center"/>
    </xf>
    <xf numFmtId="183" fontId="110" fillId="23" borderId="27" xfId="0" applyNumberFormat="1" applyFont="1" applyFill="1" applyBorder="1" applyAlignment="1">
      <alignment horizontal="center" vertical="center"/>
    </xf>
    <xf numFmtId="182" fontId="21" fillId="0" borderId="31" xfId="0" applyNumberFormat="1" applyFont="1" applyBorder="1" applyAlignment="1">
      <alignment horizontal="center" vertical="center"/>
    </xf>
    <xf numFmtId="205" fontId="108" fillId="22" borderId="4" xfId="0" applyNumberFormat="1" applyFont="1" applyFill="1" applyBorder="1">
      <alignment vertical="center"/>
    </xf>
    <xf numFmtId="205" fontId="108" fillId="22" borderId="14" xfId="0" applyNumberFormat="1" applyFont="1" applyFill="1" applyBorder="1">
      <alignment vertical="center"/>
    </xf>
    <xf numFmtId="205" fontId="108" fillId="0" borderId="14" xfId="0" applyNumberFormat="1" applyFont="1" applyBorder="1">
      <alignment vertical="center"/>
    </xf>
    <xf numFmtId="0" fontId="110" fillId="23" borderId="9" xfId="0" applyFont="1" applyFill="1" applyBorder="1" applyAlignment="1">
      <alignment horizontal="center" vertical="center"/>
    </xf>
    <xf numFmtId="205" fontId="21" fillId="0" borderId="12" xfId="0" applyNumberFormat="1" applyFont="1" applyBorder="1">
      <alignment vertical="center"/>
    </xf>
    <xf numFmtId="205" fontId="21" fillId="0" borderId="15" xfId="0" applyNumberFormat="1" applyFont="1" applyBorder="1">
      <alignment vertical="center"/>
    </xf>
    <xf numFmtId="0" fontId="110" fillId="23" borderId="14" xfId="0" applyFont="1" applyFill="1" applyBorder="1" applyAlignment="1">
      <alignment horizontal="center" vertical="center"/>
    </xf>
    <xf numFmtId="3" fontId="80" fillId="24" borderId="4" xfId="0" applyNumberFormat="1" applyFont="1" applyFill="1" applyBorder="1" applyAlignment="1">
      <alignment horizontal="left" vertical="center" indent="1"/>
    </xf>
    <xf numFmtId="205" fontId="80" fillId="24" borderId="0" xfId="0" applyNumberFormat="1" applyFont="1" applyFill="1">
      <alignment vertical="center"/>
    </xf>
    <xf numFmtId="205" fontId="80" fillId="24" borderId="4" xfId="0" applyNumberFormat="1" applyFont="1" applyFill="1" applyBorder="1">
      <alignment vertical="center"/>
    </xf>
    <xf numFmtId="177" fontId="58" fillId="5" borderId="21" xfId="0" applyNumberFormat="1" applyFont="1" applyFill="1" applyBorder="1" applyAlignment="1">
      <alignment horizontal="center" vertical="center"/>
    </xf>
    <xf numFmtId="0" fontId="21" fillId="5" borderId="21" xfId="0" applyFont="1" applyFill="1" applyBorder="1">
      <alignment vertical="center"/>
    </xf>
    <xf numFmtId="3" fontId="21" fillId="5" borderId="21" xfId="0" applyNumberFormat="1" applyFont="1" applyFill="1" applyBorder="1">
      <alignment vertical="center"/>
    </xf>
    <xf numFmtId="0" fontId="80" fillId="5" borderId="21" xfId="0" applyFont="1" applyFill="1" applyBorder="1">
      <alignment vertical="center"/>
    </xf>
    <xf numFmtId="0" fontId="21" fillId="5" borderId="21" xfId="0" quotePrefix="1" applyFont="1" applyFill="1" applyBorder="1">
      <alignment vertical="center"/>
    </xf>
    <xf numFmtId="0" fontId="21" fillId="5" borderId="20" xfId="0" applyFont="1" applyFill="1" applyBorder="1">
      <alignment vertical="center"/>
    </xf>
    <xf numFmtId="0" fontId="108" fillId="5" borderId="21" xfId="0" applyFont="1" applyFill="1" applyBorder="1">
      <alignment vertical="center"/>
    </xf>
    <xf numFmtId="0" fontId="80" fillId="5" borderId="22" xfId="0" applyFont="1" applyFill="1" applyBorder="1" applyAlignment="1">
      <alignment horizontal="left" vertical="center"/>
    </xf>
    <xf numFmtId="3" fontId="21" fillId="5" borderId="20" xfId="0" applyNumberFormat="1" applyFont="1" applyFill="1" applyBorder="1">
      <alignment vertical="center"/>
    </xf>
    <xf numFmtId="0" fontId="80" fillId="5" borderId="22" xfId="0" applyFont="1" applyFill="1" applyBorder="1">
      <alignment vertical="center"/>
    </xf>
    <xf numFmtId="177" fontId="105" fillId="5" borderId="21" xfId="0" applyNumberFormat="1" applyFont="1" applyFill="1" applyBorder="1" applyAlignment="1">
      <alignment horizontal="center" vertical="center"/>
    </xf>
    <xf numFmtId="177" fontId="58" fillId="5" borderId="20" xfId="0" applyNumberFormat="1" applyFont="1" applyFill="1" applyBorder="1" applyAlignment="1">
      <alignment horizontal="center" vertical="center"/>
    </xf>
    <xf numFmtId="0" fontId="110" fillId="23" borderId="23" xfId="0" applyFont="1" applyFill="1" applyBorder="1" applyAlignment="1">
      <alignment horizontal="center" vertical="center"/>
    </xf>
    <xf numFmtId="49" fontId="108" fillId="0" borderId="4" xfId="0" applyNumberFormat="1" applyFont="1" applyBorder="1">
      <alignment vertical="center"/>
    </xf>
    <xf numFmtId="177" fontId="80" fillId="5" borderId="22" xfId="0" applyNumberFormat="1" applyFont="1" applyFill="1" applyBorder="1" applyAlignment="1">
      <alignment horizontal="left" vertical="center"/>
    </xf>
    <xf numFmtId="0" fontId="21" fillId="5" borderId="21" xfId="0" applyFont="1" applyFill="1" applyBorder="1" applyAlignment="1">
      <alignment horizontal="left" vertical="center"/>
    </xf>
    <xf numFmtId="49" fontId="108" fillId="0" borderId="16" xfId="0" applyNumberFormat="1" applyFont="1" applyBorder="1" applyAlignment="1">
      <alignment horizontal="left" vertical="center"/>
    </xf>
    <xf numFmtId="182" fontId="108" fillId="0" borderId="10" xfId="0" applyNumberFormat="1" applyFont="1" applyBorder="1">
      <alignment vertical="center"/>
    </xf>
    <xf numFmtId="0" fontId="108" fillId="0" borderId="90" xfId="0" applyFont="1" applyBorder="1" applyAlignment="1">
      <alignment horizontal="left" vertical="center" indent="1"/>
    </xf>
    <xf numFmtId="182" fontId="108" fillId="0" borderId="53" xfId="0" applyNumberFormat="1" applyFont="1" applyBorder="1">
      <alignment vertical="center"/>
    </xf>
    <xf numFmtId="0" fontId="80" fillId="0" borderId="4" xfId="0" applyFont="1" applyBorder="1" applyAlignment="1">
      <alignment horizontal="left" vertical="center" indent="1"/>
    </xf>
    <xf numFmtId="182" fontId="80" fillId="0" borderId="0" xfId="0" applyNumberFormat="1" applyFont="1">
      <alignment vertical="center"/>
    </xf>
    <xf numFmtId="177" fontId="25" fillId="5" borderId="21" xfId="0" applyNumberFormat="1" applyFont="1" applyFill="1" applyBorder="1">
      <alignment vertical="center"/>
    </xf>
    <xf numFmtId="0" fontId="25" fillId="5" borderId="21" xfId="0" applyFont="1" applyFill="1" applyBorder="1">
      <alignment vertical="center"/>
    </xf>
    <xf numFmtId="0" fontId="112" fillId="5" borderId="21" xfId="0" applyFont="1" applyFill="1" applyBorder="1">
      <alignment vertical="center"/>
    </xf>
    <xf numFmtId="0" fontId="111" fillId="5" borderId="21" xfId="0" applyFont="1" applyFill="1" applyBorder="1">
      <alignment vertical="center"/>
    </xf>
    <xf numFmtId="177" fontId="111" fillId="5" borderId="21" xfId="0" applyNumberFormat="1" applyFont="1" applyFill="1" applyBorder="1">
      <alignment vertical="center"/>
    </xf>
    <xf numFmtId="0" fontId="40" fillId="5" borderId="21" xfId="0" applyFont="1" applyFill="1" applyBorder="1">
      <alignment vertical="center"/>
    </xf>
    <xf numFmtId="0" fontId="86" fillId="3" borderId="0" xfId="0" applyFont="1" applyFill="1">
      <alignment vertical="center"/>
    </xf>
    <xf numFmtId="0" fontId="85" fillId="3" borderId="0" xfId="0" applyFont="1" applyFill="1">
      <alignment vertical="center"/>
    </xf>
    <xf numFmtId="10" fontId="48" fillId="0" borderId="0" xfId="0" applyNumberFormat="1" applyFont="1">
      <alignment vertical="center"/>
    </xf>
    <xf numFmtId="10" fontId="48" fillId="0" borderId="41" xfId="0" applyNumberFormat="1" applyFont="1" applyBorder="1">
      <alignment vertical="center"/>
    </xf>
    <xf numFmtId="0" fontId="21" fillId="0" borderId="4" xfId="0" applyFont="1" applyBorder="1" applyAlignment="1">
      <alignment horizontal="left" vertical="center" indent="3"/>
    </xf>
    <xf numFmtId="3" fontId="25" fillId="0" borderId="4" xfId="0" applyNumberFormat="1" applyFont="1" applyBorder="1" applyAlignment="1">
      <alignment horizontal="left" vertical="center" indent="1"/>
    </xf>
    <xf numFmtId="205" fontId="25" fillId="0" borderId="0" xfId="0" applyNumberFormat="1" applyFont="1">
      <alignment vertical="center"/>
    </xf>
    <xf numFmtId="205" fontId="25" fillId="0" borderId="4" xfId="0" applyNumberFormat="1" applyFont="1" applyBorder="1">
      <alignment vertical="center"/>
    </xf>
    <xf numFmtId="199" fontId="21" fillId="37" borderId="27" xfId="11" applyNumberFormat="1" applyFont="1" applyFill="1" applyBorder="1" applyAlignment="1">
      <alignment horizontal="center" vertical="center"/>
    </xf>
    <xf numFmtId="206" fontId="23" fillId="0" borderId="0" xfId="16" applyNumberFormat="1" applyFont="1" applyAlignment="1">
      <alignment vertical="center" wrapText="1"/>
    </xf>
    <xf numFmtId="206" fontId="23" fillId="0" borderId="10" xfId="16" applyNumberFormat="1" applyFont="1" applyBorder="1" applyAlignment="1">
      <alignment vertical="center" wrapText="1"/>
    </xf>
    <xf numFmtId="204" fontId="21" fillId="17" borderId="92" xfId="13" applyNumberFormat="1" applyFont="1" applyFill="1" applyBorder="1" applyAlignment="1">
      <alignment horizontal="right" vertical="center" wrapText="1"/>
    </xf>
    <xf numFmtId="204" fontId="21" fillId="0" borderId="0" xfId="13" applyNumberFormat="1" applyFont="1" applyFill="1" applyBorder="1" applyAlignment="1">
      <alignment horizontal="right" vertical="center" wrapText="1"/>
    </xf>
    <xf numFmtId="204" fontId="21" fillId="0" borderId="10" xfId="13" applyNumberFormat="1" applyFont="1" applyFill="1" applyBorder="1" applyAlignment="1">
      <alignment horizontal="right" vertical="center" wrapText="1"/>
    </xf>
    <xf numFmtId="204" fontId="21" fillId="0" borderId="0" xfId="13" applyNumberFormat="1" applyFont="1" applyFill="1" applyAlignment="1">
      <alignment horizontal="right" vertical="center" wrapText="1"/>
    </xf>
    <xf numFmtId="204" fontId="23" fillId="0" borderId="0" xfId="13" applyNumberFormat="1" applyFont="1" applyFill="1" applyAlignment="1">
      <alignment horizontal="right" vertical="center" wrapText="1"/>
    </xf>
    <xf numFmtId="204" fontId="23" fillId="0" borderId="92" xfId="13" applyNumberFormat="1" applyFont="1" applyFill="1" applyBorder="1" applyAlignment="1">
      <alignment horizontal="right" vertical="center" wrapText="1"/>
    </xf>
    <xf numFmtId="204" fontId="21" fillId="17" borderId="0" xfId="13" applyNumberFormat="1" applyFont="1" applyFill="1" applyAlignment="1">
      <alignment horizontal="right" vertical="center" wrapText="1"/>
    </xf>
    <xf numFmtId="204" fontId="21" fillId="0" borderId="0" xfId="11" applyNumberFormat="1" applyFont="1" applyAlignment="1">
      <alignment horizontal="right" vertical="center" wrapText="1"/>
    </xf>
    <xf numFmtId="204" fontId="23" fillId="0" borderId="0" xfId="11" applyNumberFormat="1" applyFont="1" applyAlignment="1">
      <alignment horizontal="right" vertical="center" wrapText="1"/>
    </xf>
    <xf numFmtId="179" fontId="23" fillId="17" borderId="0" xfId="11" applyNumberFormat="1" applyFont="1" applyFill="1" applyAlignment="1">
      <alignment horizontal="right" vertical="center"/>
    </xf>
    <xf numFmtId="179" fontId="23" fillId="17" borderId="0" xfId="11" applyNumberFormat="1" applyFont="1" applyFill="1" applyAlignment="1">
      <alignment vertical="center"/>
    </xf>
    <xf numFmtId="177" fontId="23" fillId="17" borderId="0" xfId="11" applyNumberFormat="1" applyFont="1" applyFill="1" applyAlignment="1">
      <alignment vertical="center"/>
    </xf>
    <xf numFmtId="192" fontId="23" fillId="5" borderId="92" xfId="11" applyNumberFormat="1" applyFont="1" applyFill="1" applyBorder="1" applyAlignment="1">
      <alignment vertical="center"/>
    </xf>
    <xf numFmtId="49" fontId="41" fillId="23" borderId="35" xfId="0" applyNumberFormat="1" applyFont="1" applyFill="1" applyBorder="1" applyAlignment="1"/>
    <xf numFmtId="37" fontId="113" fillId="0" borderId="10" xfId="0" applyNumberFormat="1" applyFont="1" applyBorder="1">
      <alignment vertical="center"/>
    </xf>
    <xf numFmtId="37" fontId="114" fillId="0" borderId="0" xfId="0" applyNumberFormat="1" applyFont="1">
      <alignment vertical="center"/>
    </xf>
    <xf numFmtId="0" fontId="0" fillId="0" borderId="0" xfId="0" applyAlignment="1">
      <alignment horizontal="right"/>
    </xf>
    <xf numFmtId="180" fontId="21" fillId="0" borderId="10" xfId="0" applyNumberFormat="1" applyFont="1" applyBorder="1">
      <alignment vertical="center"/>
    </xf>
    <xf numFmtId="3" fontId="21" fillId="0" borderId="0" xfId="0" applyNumberFormat="1" applyFont="1" applyAlignment="1">
      <alignment horizontal="right" vertical="center"/>
    </xf>
    <xf numFmtId="3" fontId="21" fillId="0" borderId="0" xfId="4" applyNumberFormat="1" applyFont="1">
      <alignment vertical="center"/>
    </xf>
    <xf numFmtId="3" fontId="21" fillId="0" borderId="10" xfId="0" applyNumberFormat="1" applyFont="1" applyBorder="1" applyAlignment="1">
      <alignment horizontal="right" vertical="center"/>
    </xf>
    <xf numFmtId="204" fontId="21" fillId="0" borderId="0" xfId="0" applyNumberFormat="1" applyFont="1" applyAlignment="1">
      <alignment horizontal="center" vertical="center"/>
    </xf>
    <xf numFmtId="207" fontId="21" fillId="0" borderId="0" xfId="0" applyNumberFormat="1" applyFont="1" applyAlignment="1">
      <alignment horizontal="center" vertical="center"/>
    </xf>
    <xf numFmtId="0" fontId="21" fillId="0" borderId="0" xfId="4" applyFont="1" applyAlignment="1">
      <alignment horizontal="center" vertical="center"/>
    </xf>
    <xf numFmtId="204" fontId="21" fillId="0" borderId="10" xfId="0" applyNumberFormat="1" applyFont="1" applyBorder="1" applyAlignment="1">
      <alignment horizontal="center" vertical="center"/>
    </xf>
    <xf numFmtId="37" fontId="21" fillId="0" borderId="0" xfId="0" applyNumberFormat="1" applyFont="1" applyAlignment="1">
      <alignment horizontal="center" vertical="center"/>
    </xf>
    <xf numFmtId="0" fontId="21" fillId="0" borderId="0" xfId="4" quotePrefix="1" applyFont="1" applyAlignment="1">
      <alignment horizontal="center" vertical="center"/>
    </xf>
    <xf numFmtId="37" fontId="21" fillId="0" borderId="10" xfId="0" applyNumberFormat="1" applyFont="1" applyBorder="1" applyAlignment="1">
      <alignment horizontal="center" vertical="center"/>
    </xf>
    <xf numFmtId="204" fontId="21" fillId="0" borderId="0" xfId="4" applyNumberFormat="1" applyFont="1">
      <alignment vertical="center"/>
    </xf>
    <xf numFmtId="0" fontId="21" fillId="0" borderId="93" xfId="0" applyFont="1" applyBorder="1" applyAlignment="1">
      <alignment horizontal="right" vertical="center" wrapText="1"/>
    </xf>
    <xf numFmtId="180" fontId="21" fillId="0" borderId="14" xfId="1" applyNumberFormat="1" applyFont="1" applyFill="1" applyBorder="1" applyAlignment="1">
      <alignment horizontal="right" vertical="center"/>
    </xf>
    <xf numFmtId="180" fontId="49" fillId="0" borderId="4" xfId="2" applyNumberFormat="1" applyFont="1" applyFill="1" applyBorder="1" applyAlignment="1">
      <alignment horizontal="right" vertical="center"/>
    </xf>
    <xf numFmtId="41" fontId="21" fillId="0" borderId="14" xfId="1" applyFont="1" applyFill="1" applyBorder="1">
      <alignment vertical="center"/>
    </xf>
    <xf numFmtId="41" fontId="21" fillId="0" borderId="4" xfId="1" applyFont="1" applyBorder="1">
      <alignment vertical="center"/>
    </xf>
    <xf numFmtId="49" fontId="108" fillId="0" borderId="21" xfId="0" applyNumberFormat="1" applyFont="1" applyBorder="1">
      <alignment vertical="center"/>
    </xf>
    <xf numFmtId="205" fontId="108" fillId="0" borderId="4" xfId="0" applyNumberFormat="1" applyFont="1" applyBorder="1">
      <alignment vertical="center"/>
    </xf>
    <xf numFmtId="0" fontId="40" fillId="0" borderId="20" xfId="0" applyFont="1" applyBorder="1" applyAlignment="1">
      <alignment horizontal="left" vertical="center" indent="1"/>
    </xf>
    <xf numFmtId="0" fontId="21" fillId="0" borderId="21" xfId="0" applyFont="1" applyBorder="1" applyAlignment="1">
      <alignment horizontal="left" vertical="center" indent="1"/>
    </xf>
    <xf numFmtId="0" fontId="21" fillId="0" borderId="21" xfId="0" applyFont="1" applyBorder="1" applyAlignment="1">
      <alignment horizontal="left" vertical="center" indent="2"/>
    </xf>
    <xf numFmtId="0" fontId="21" fillId="0" borderId="20" xfId="0" applyFont="1" applyBorder="1" applyAlignment="1">
      <alignment horizontal="left" vertical="center" indent="2"/>
    </xf>
    <xf numFmtId="0" fontId="116" fillId="5" borderId="0" xfId="0" applyFont="1" applyFill="1">
      <alignment vertical="center"/>
    </xf>
    <xf numFmtId="0" fontId="41" fillId="23" borderId="9" xfId="0" applyFont="1" applyFill="1" applyBorder="1" applyAlignment="1">
      <alignment horizontal="center" vertical="center"/>
    </xf>
    <xf numFmtId="183" fontId="41" fillId="23" borderId="14" xfId="0" applyNumberFormat="1" applyFont="1" applyFill="1" applyBorder="1" applyAlignment="1">
      <alignment horizontal="center" vertical="center"/>
    </xf>
    <xf numFmtId="0" fontId="108" fillId="22" borderId="0" xfId="0" applyFont="1" applyFill="1">
      <alignment vertical="center"/>
    </xf>
    <xf numFmtId="3" fontId="21" fillId="0" borderId="16" xfId="0" applyNumberFormat="1" applyFont="1" applyBorder="1" applyAlignment="1">
      <alignment horizontal="left" vertical="center" indent="1"/>
    </xf>
    <xf numFmtId="3" fontId="21" fillId="0" borderId="21" xfId="0" applyNumberFormat="1" applyFont="1" applyBorder="1" applyAlignment="1">
      <alignment horizontal="left" vertical="center" indent="1"/>
    </xf>
    <xf numFmtId="3" fontId="21" fillId="0" borderId="20" xfId="0" applyNumberFormat="1" applyFont="1" applyBorder="1" applyAlignment="1">
      <alignment horizontal="left" vertical="center" indent="1"/>
    </xf>
    <xf numFmtId="0" fontId="24" fillId="31" borderId="65" xfId="0" applyFont="1" applyFill="1" applyBorder="1" applyAlignment="1">
      <alignment horizontal="right" vertical="top" wrapText="1"/>
    </xf>
    <xf numFmtId="0" fontId="24" fillId="31" borderId="64" xfId="0" applyFont="1" applyFill="1" applyBorder="1" applyAlignment="1">
      <alignment horizontal="right" vertical="top" wrapText="1"/>
    </xf>
    <xf numFmtId="0" fontId="24" fillId="31" borderId="63" xfId="0" applyFont="1" applyFill="1" applyBorder="1" applyAlignment="1">
      <alignment horizontal="right" vertical="top" wrapText="1"/>
    </xf>
    <xf numFmtId="0" fontId="24" fillId="0" borderId="74" xfId="0" applyFont="1" applyBorder="1" applyAlignment="1">
      <alignment horizontal="center" vertical="center" wrapText="1"/>
    </xf>
    <xf numFmtId="0" fontId="24" fillId="0" borderId="73" xfId="0" applyFont="1" applyBorder="1" applyAlignment="1">
      <alignment horizontal="center" vertical="center" wrapText="1"/>
    </xf>
    <xf numFmtId="3" fontId="24" fillId="0" borderId="74" xfId="0" applyNumberFormat="1" applyFont="1" applyBorder="1" applyAlignment="1">
      <alignment horizontal="right" vertical="center" wrapText="1"/>
    </xf>
    <xf numFmtId="3" fontId="24" fillId="0" borderId="73" xfId="0" applyNumberFormat="1" applyFont="1" applyBorder="1" applyAlignment="1">
      <alignment horizontal="right" vertical="center" wrapText="1"/>
    </xf>
    <xf numFmtId="0" fontId="24" fillId="0" borderId="74" xfId="0" applyFont="1" applyBorder="1" applyAlignment="1">
      <alignment horizontal="right" vertical="center" wrapText="1"/>
    </xf>
    <xf numFmtId="0" fontId="24" fillId="0" borderId="73" xfId="0" applyFont="1" applyBorder="1" applyAlignment="1">
      <alignment horizontal="right" vertical="center" wrapText="1"/>
    </xf>
    <xf numFmtId="0" fontId="24" fillId="31" borderId="65" xfId="0" applyFont="1" applyFill="1" applyBorder="1" applyAlignment="1">
      <alignment horizontal="center" vertical="center" wrapText="1"/>
    </xf>
    <xf numFmtId="0" fontId="24" fillId="31" borderId="64" xfId="0" applyFont="1" applyFill="1" applyBorder="1" applyAlignment="1">
      <alignment horizontal="center" vertical="center" wrapText="1"/>
    </xf>
    <xf numFmtId="0" fontId="24" fillId="31" borderId="72" xfId="0" applyFont="1" applyFill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24" fillId="0" borderId="76" xfId="0" applyFont="1" applyBorder="1" applyAlignment="1">
      <alignment horizontal="center" vertical="center" wrapText="1"/>
    </xf>
    <xf numFmtId="0" fontId="24" fillId="0" borderId="75" xfId="0" applyFont="1" applyBorder="1" applyAlignment="1">
      <alignment horizontal="center" vertical="center" wrapText="1"/>
    </xf>
    <xf numFmtId="0" fontId="85" fillId="0" borderId="74" xfId="0" applyFont="1" applyBorder="1" applyAlignment="1">
      <alignment horizontal="right" vertical="center" wrapText="1"/>
    </xf>
    <xf numFmtId="0" fontId="85" fillId="0" borderId="73" xfId="0" applyFont="1" applyBorder="1" applyAlignment="1">
      <alignment horizontal="right" vertical="center" wrapText="1"/>
    </xf>
    <xf numFmtId="0" fontId="85" fillId="0" borderId="87" xfId="0" applyFont="1" applyBorder="1" applyAlignment="1">
      <alignment horizontal="center" vertical="center" wrapText="1"/>
    </xf>
    <xf numFmtId="0" fontId="85" fillId="0" borderId="86" xfId="0" applyFont="1" applyBorder="1" applyAlignment="1">
      <alignment horizontal="center" vertical="center" wrapText="1"/>
    </xf>
    <xf numFmtId="0" fontId="85" fillId="0" borderId="83" xfId="0" applyFont="1" applyBorder="1" applyAlignment="1">
      <alignment horizontal="center" vertical="center" wrapText="1"/>
    </xf>
    <xf numFmtId="0" fontId="85" fillId="0" borderId="82" xfId="0" applyFont="1" applyBorder="1" applyAlignment="1">
      <alignment horizontal="center" vertical="center" wrapText="1"/>
    </xf>
    <xf numFmtId="0" fontId="85" fillId="0" borderId="85" xfId="0" applyFont="1" applyBorder="1" applyAlignment="1">
      <alignment horizontal="center" vertical="center" wrapText="1"/>
    </xf>
    <xf numFmtId="0" fontId="85" fillId="0" borderId="84" xfId="0" applyFont="1" applyBorder="1" applyAlignment="1">
      <alignment horizontal="center" vertical="center" wrapText="1"/>
    </xf>
    <xf numFmtId="3" fontId="85" fillId="0" borderId="74" xfId="0" applyNumberFormat="1" applyFont="1" applyBorder="1" applyAlignment="1">
      <alignment horizontal="right" vertical="center" wrapText="1"/>
    </xf>
    <xf numFmtId="3" fontId="85" fillId="0" borderId="75" xfId="0" applyNumberFormat="1" applyFont="1" applyBorder="1" applyAlignment="1">
      <alignment horizontal="right" vertical="center" wrapText="1"/>
    </xf>
    <xf numFmtId="3" fontId="85" fillId="0" borderId="73" xfId="0" applyNumberFormat="1" applyFont="1" applyBorder="1" applyAlignment="1">
      <alignment horizontal="right" vertical="center" wrapText="1"/>
    </xf>
    <xf numFmtId="0" fontId="85" fillId="31" borderId="88" xfId="0" applyFont="1" applyFill="1" applyBorder="1" applyAlignment="1">
      <alignment horizontal="center" vertical="center" wrapText="1"/>
    </xf>
    <xf numFmtId="0" fontId="85" fillId="31" borderId="78" xfId="0" applyFont="1" applyFill="1" applyBorder="1" applyAlignment="1">
      <alignment horizontal="center" vertical="center" wrapText="1"/>
    </xf>
    <xf numFmtId="0" fontId="85" fillId="31" borderId="65" xfId="0" applyFont="1" applyFill="1" applyBorder="1" applyAlignment="1">
      <alignment horizontal="center" vertical="center" wrapText="1"/>
    </xf>
    <xf numFmtId="0" fontId="85" fillId="31" borderId="64" xfId="0" applyFont="1" applyFill="1" applyBorder="1" applyAlignment="1">
      <alignment horizontal="center" vertical="center" wrapText="1"/>
    </xf>
    <xf numFmtId="0" fontId="85" fillId="31" borderId="72" xfId="0" applyFont="1" applyFill="1" applyBorder="1" applyAlignment="1">
      <alignment horizontal="center" vertical="center" wrapText="1"/>
    </xf>
    <xf numFmtId="0" fontId="85" fillId="0" borderId="67" xfId="0" applyFont="1" applyBorder="1" applyAlignment="1">
      <alignment horizontal="center" vertical="center" wrapText="1"/>
    </xf>
    <xf numFmtId="0" fontId="85" fillId="0" borderId="69" xfId="0" applyFont="1" applyBorder="1" applyAlignment="1">
      <alignment horizontal="center" vertical="center" wrapText="1"/>
    </xf>
    <xf numFmtId="0" fontId="85" fillId="0" borderId="68" xfId="0" applyFont="1" applyBorder="1" applyAlignment="1">
      <alignment horizontal="center" vertical="center" wrapText="1"/>
    </xf>
    <xf numFmtId="0" fontId="85" fillId="0" borderId="66" xfId="0" applyFont="1" applyBorder="1" applyAlignment="1">
      <alignment horizontal="center" vertical="center" wrapText="1"/>
    </xf>
    <xf numFmtId="0" fontId="67" fillId="17" borderId="23" xfId="2" applyNumberFormat="1" applyFont="1" applyFill="1" applyBorder="1" applyAlignment="1">
      <alignment horizontal="center" vertical="center"/>
    </xf>
    <xf numFmtId="0" fontId="67" fillId="17" borderId="23" xfId="0" applyFont="1" applyFill="1" applyBorder="1" applyAlignment="1">
      <alignment horizontal="center" vertical="center" wrapText="1"/>
    </xf>
    <xf numFmtId="0" fontId="66" fillId="0" borderId="23" xfId="2" applyNumberFormat="1" applyFont="1" applyBorder="1" applyAlignment="1">
      <alignment horizontal="center" vertical="center" wrapText="1"/>
    </xf>
    <xf numFmtId="0" fontId="66" fillId="29" borderId="23" xfId="2" applyNumberFormat="1" applyFont="1" applyFill="1" applyBorder="1" applyAlignment="1">
      <alignment horizontal="center" vertical="center" wrapText="1"/>
    </xf>
    <xf numFmtId="0" fontId="66" fillId="0" borderId="17" xfId="2" applyNumberFormat="1" applyFont="1" applyBorder="1" applyAlignment="1">
      <alignment horizontal="center" vertical="center" wrapText="1"/>
    </xf>
    <xf numFmtId="0" fontId="66" fillId="0" borderId="9" xfId="2" applyNumberFormat="1" applyFont="1" applyBorder="1" applyAlignment="1">
      <alignment horizontal="center" vertical="center" wrapText="1"/>
    </xf>
    <xf numFmtId="0" fontId="66" fillId="0" borderId="14" xfId="2" applyNumberFormat="1" applyFont="1" applyBorder="1" applyAlignment="1">
      <alignment horizontal="center" vertical="center" wrapText="1"/>
    </xf>
    <xf numFmtId="0" fontId="66" fillId="0" borderId="12" xfId="2" applyNumberFormat="1" applyFont="1" applyBorder="1" applyAlignment="1">
      <alignment horizontal="center" vertical="center" wrapText="1"/>
    </xf>
    <xf numFmtId="0" fontId="66" fillId="0" borderId="0" xfId="2" applyNumberFormat="1" applyFont="1" applyBorder="1" applyAlignment="1">
      <alignment horizontal="center" vertical="center" wrapText="1"/>
    </xf>
    <xf numFmtId="0" fontId="66" fillId="0" borderId="4" xfId="2" applyNumberFormat="1" applyFont="1" applyBorder="1" applyAlignment="1">
      <alignment horizontal="center" vertical="center" wrapText="1"/>
    </xf>
    <xf numFmtId="0" fontId="66" fillId="0" borderId="15" xfId="2" applyNumberFormat="1" applyFont="1" applyBorder="1" applyAlignment="1">
      <alignment horizontal="center" vertical="center" wrapText="1"/>
    </xf>
    <xf numFmtId="0" fontId="66" fillId="0" borderId="10" xfId="2" applyNumberFormat="1" applyFont="1" applyBorder="1" applyAlignment="1">
      <alignment horizontal="center" vertical="center" wrapText="1"/>
    </xf>
    <xf numFmtId="0" fontId="66" fillId="0" borderId="16" xfId="2" applyNumberFormat="1" applyFont="1" applyBorder="1" applyAlignment="1">
      <alignment horizontal="center" vertical="center" wrapText="1"/>
    </xf>
    <xf numFmtId="0" fontId="67" fillId="17" borderId="22" xfId="2" applyNumberFormat="1" applyFont="1" applyFill="1" applyBorder="1" applyAlignment="1">
      <alignment horizontal="center" vertical="center" wrapText="1"/>
    </xf>
    <xf numFmtId="0" fontId="67" fillId="17" borderId="21" xfId="2" applyNumberFormat="1" applyFont="1" applyFill="1" applyBorder="1" applyAlignment="1">
      <alignment horizontal="center" vertical="center" wrapText="1"/>
    </xf>
    <xf numFmtId="0" fontId="5" fillId="23" borderId="0" xfId="0" applyFont="1" applyFill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 wrapText="1"/>
    </xf>
    <xf numFmtId="49" fontId="27" fillId="8" borderId="0" xfId="0" applyNumberFormat="1" applyFont="1" applyFill="1" applyAlignment="1">
      <alignment horizontal="center" vertical="center"/>
    </xf>
  </cellXfs>
  <cellStyles count="28">
    <cellStyle name="blp_column_header" xfId="23" xr:uid="{EC8BBD3A-7B93-4E8E-9AF8-D57730DB1F13}"/>
    <cellStyle name="fa_column_header_bottom_centered" xfId="24" xr:uid="{6C8DABF0-5CA4-4C74-8467-7130DFBCE9E0}"/>
    <cellStyle name="백분율" xfId="2" builtinId="5"/>
    <cellStyle name="백분율 2" xfId="8" xr:uid="{7D7CDB5D-031F-4540-B4FC-57D0BF73D277}"/>
    <cellStyle name="백분율 3" xfId="15" xr:uid="{8048D55C-8987-4A80-BF82-DAB2083008BD}"/>
    <cellStyle name="백분율 3 2" xfId="20" xr:uid="{B6E05BAE-294A-48DF-A715-7E5CEDD50F46}"/>
    <cellStyle name="쉼표 [0]" xfId="1" builtinId="6"/>
    <cellStyle name="쉼표 [0] 2" xfId="5" xr:uid="{2F4310C5-8E77-FB48-AD93-B4AA01475F7E}"/>
    <cellStyle name="쉼표 [0] 2 2" xfId="19" xr:uid="{DA789FCF-5F1C-4E2C-AD20-DC027EEFE64C}"/>
    <cellStyle name="쉼표 [0] 3" xfId="6" xr:uid="{921ABB4A-E5DD-CA42-A984-822E34F0AF57}"/>
    <cellStyle name="쉼표 [0] 3 2" xfId="13" xr:uid="{2CCF46D5-425E-4BF9-93D1-387B36BDF4B7}"/>
    <cellStyle name="쉼표 [0] 3 2 2" xfId="14" xr:uid="{4932AB44-3CF4-40A8-ACE9-028F1FB10FEA}"/>
    <cellStyle name="쉼표 [0] 3 2 3" xfId="22" xr:uid="{75C5E22C-B4CA-402A-BCB5-0E1A0F6C2F54}"/>
    <cellStyle name="쉼표 [0] 3 3" xfId="21" xr:uid="{FAE0F219-7C9B-4F3A-80D6-6A8F44322CD0}"/>
    <cellStyle name="쉼표 [0] 4" xfId="16" xr:uid="{7F0EB1DA-5D26-4491-8B47-E2AA910B3A8F}"/>
    <cellStyle name="쉼표 [0] 4 2" xfId="26" xr:uid="{86477C4F-379E-4F62-8389-12065BF5B886}"/>
    <cellStyle name="통화 [0]" xfId="9" builtinId="7"/>
    <cellStyle name="표준" xfId="0" builtinId="0"/>
    <cellStyle name="표준 2" xfId="7" xr:uid="{BA1F07F4-140B-E64C-A7BD-5E67CAB3611F}"/>
    <cellStyle name="표준 2 2" xfId="4" xr:uid="{613EAA67-EA07-4E4B-BB29-C9ABD378CF79}"/>
    <cellStyle name="표준 2 3" xfId="27" xr:uid="{023FE7DF-BB3A-4C07-9732-428AC46B1D14}"/>
    <cellStyle name="표준 2 4" xfId="25" xr:uid="{22D92B48-9FDC-4700-8BAD-BFED56BA6121}"/>
    <cellStyle name="표준 3" xfId="11" xr:uid="{BA56BEDD-DFB6-4463-BA69-EFF9B28ACB92}"/>
    <cellStyle name="표준 3 2" xfId="3" xr:uid="{838BAC06-68DF-524F-B1D4-C84D2ED3C94F}"/>
    <cellStyle name="표준 4" xfId="10" xr:uid="{32B1F7EA-D2B5-446A-AFCF-00753F19290C}"/>
    <cellStyle name="표준 4 2" xfId="17" xr:uid="{1F2F2041-CEE7-4380-B1BD-947F1C7FF54B}"/>
    <cellStyle name="표준 4 3" xfId="18" xr:uid="{A13B606F-A6AD-437A-8C30-062081F2C7FF}"/>
    <cellStyle name="하이퍼링크 2" xfId="12" xr:uid="{343806E6-0EE7-444F-A0AA-ACA5EBF6BB2E}"/>
  </cellStyles>
  <dxfs count="182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ont>
        <color rgb="FFFF0000"/>
      </font>
    </dxf>
    <dxf>
      <font>
        <color rgb="FFFF0000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rgb="FF2F5597"/>
      </font>
    </dxf>
    <dxf>
      <font>
        <color theme="8"/>
      </font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ont>
        <b/>
        <i val="0"/>
      </font>
    </dxf>
    <dxf>
      <font>
        <color theme="8"/>
      </font>
    </dxf>
    <dxf>
      <font>
        <color rgb="FF2F5597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theme="8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rgb="FF2F5597"/>
      </font>
    </dxf>
    <dxf>
      <font>
        <color theme="8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rgb="FF2F5597"/>
      </font>
    </dxf>
    <dxf>
      <font>
        <color theme="8"/>
      </font>
    </dxf>
    <dxf>
      <font>
        <color theme="8"/>
      </font>
    </dxf>
    <dxf>
      <font>
        <color rgb="FF2F5597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theme="8"/>
      </font>
    </dxf>
    <dxf>
      <font>
        <color rgb="FF2F5597"/>
      </font>
    </dxf>
    <dxf>
      <font>
        <color rgb="FF2F5597"/>
      </font>
    </dxf>
    <dxf>
      <font>
        <color theme="8"/>
      </font>
    </dxf>
    <dxf>
      <font>
        <color theme="8"/>
      </font>
    </dxf>
    <dxf>
      <font>
        <color rgb="FF2F5597"/>
      </font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FFCC"/>
        </patternFill>
      </fill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theme="4"/>
      </font>
    </dxf>
    <dxf>
      <font>
        <color rgb="FF7030A0"/>
      </font>
    </dxf>
    <dxf>
      <font>
        <color theme="8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7030A0"/>
      </font>
    </dxf>
    <dxf>
      <font>
        <color theme="8"/>
      </font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A3C159"/>
      <color rgb="FF008000"/>
      <color rgb="FFFBE2A9"/>
      <color rgb="FF2F5597"/>
      <color rgb="FFE7E6E6"/>
      <color rgb="FFD0CECE"/>
      <color rgb="FF203864"/>
      <color rgb="FFB4C7E7"/>
      <color rgb="FF8FA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'Case Summary'!$B$21</c:f>
              <c:strCache>
                <c:ptCount val="1"/>
                <c:pt idx="0">
                  <c:v>신규수주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'Case Summary'!$C$20:$O$20</c:f>
              <c:numCache>
                <c:formatCode>General</c:formatCod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 formatCode="0&quot;E&quot;">
                  <c:v>2025</c:v>
                </c:pt>
                <c:pt idx="10" formatCode="0&quot;E&quot;">
                  <c:v>2026</c:v>
                </c:pt>
                <c:pt idx="11" formatCode="0&quot;E&quot;">
                  <c:v>2027</c:v>
                </c:pt>
                <c:pt idx="12" formatCode="0&quot;E&quot;">
                  <c:v>2028</c:v>
                </c:pt>
              </c:numCache>
            </c:numRef>
          </c:cat>
          <c:val>
            <c:numRef>
              <c:f>'Case Summary'!$C$21:$O$21</c:f>
              <c:numCache>
                <c:formatCode>#,##0;\-#,##0;\-</c:formatCode>
                <c:ptCount val="13"/>
                <c:pt idx="0">
                  <c:v>255521.70774799999</c:v>
                </c:pt>
                <c:pt idx="1">
                  <c:v>47224.687726999997</c:v>
                </c:pt>
                <c:pt idx="2">
                  <c:v>50863.127189999999</c:v>
                </c:pt>
                <c:pt idx="3">
                  <c:v>118121.03136399999</c:v>
                </c:pt>
                <c:pt idx="4">
                  <c:v>143578.21798300001</c:v>
                </c:pt>
                <c:pt idx="5">
                  <c:v>349188.38989300007</c:v>
                </c:pt>
                <c:pt idx="6">
                  <c:v>313975.62766399997</c:v>
                </c:pt>
                <c:pt idx="7">
                  <c:v>360259.61409000005</c:v>
                </c:pt>
                <c:pt idx="8">
                  <c:v>1344171.5734819998</c:v>
                </c:pt>
                <c:pt idx="9">
                  <c:v>1613571.454154179</c:v>
                </c:pt>
                <c:pt idx="10">
                  <c:v>995986.71393151593</c:v>
                </c:pt>
                <c:pt idx="11">
                  <c:v>1273498.0571202168</c:v>
                </c:pt>
                <c:pt idx="12">
                  <c:v>390261.73665864265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5-4577-8835-DDA26DA9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704415"/>
        <c:axId val="545704895"/>
      </c:barChart>
      <c:catAx>
        <c:axId val="54570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5704895"/>
        <c:crosses val="autoZero"/>
        <c:auto val="1"/>
        <c:lblAlgn val="ctr"/>
        <c:lblOffset val="100"/>
        <c:noMultiLvlLbl val="0"/>
      </c:catAx>
      <c:valAx>
        <c:axId val="5457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570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'CCPP 프로젝트 목록'!$I$22:$L$22</c:f>
              <c:strCache>
                <c:ptCount val="4"/>
                <c:pt idx="0">
                  <c:v>현재</c:v>
                </c:pt>
                <c:pt idx="1">
                  <c:v>2027 (NFE)</c:v>
                </c:pt>
                <c:pt idx="2">
                  <c:v>2028 (NFS)</c:v>
                </c:pt>
                <c:pt idx="3">
                  <c:v>2030 (NFW)</c:v>
                </c:pt>
              </c:strCache>
            </c:strRef>
          </c:cat>
          <c:val>
            <c:numRef>
              <c:f>'CCPP 프로젝트 목록'!$I$23:$L$23</c:f>
              <c:numCache>
                <c:formatCode>General</c:formatCode>
                <c:ptCount val="4"/>
                <c:pt idx="0">
                  <c:v>7700</c:v>
                </c:pt>
                <c:pt idx="1">
                  <c:v>7700</c:v>
                </c:pt>
                <c:pt idx="2">
                  <c:v>7700</c:v>
                </c:pt>
                <c:pt idx="3">
                  <c:v>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2-4E41-8664-5A027821AB4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'CCPP 프로젝트 목록'!$I$22:$L$22</c:f>
              <c:strCache>
                <c:ptCount val="4"/>
                <c:pt idx="0">
                  <c:v>현재</c:v>
                </c:pt>
                <c:pt idx="1">
                  <c:v>2027 (NFE)</c:v>
                </c:pt>
                <c:pt idx="2">
                  <c:v>2028 (NFS)</c:v>
                </c:pt>
                <c:pt idx="3">
                  <c:v>2030 (NFW)</c:v>
                </c:pt>
              </c:strCache>
            </c:strRef>
          </c:cat>
          <c:val>
            <c:numRef>
              <c:f>'CCPP 프로젝트 목록'!$I$24:$L$24</c:f>
              <c:numCache>
                <c:formatCode>General</c:formatCode>
                <c:ptCount val="4"/>
                <c:pt idx="1">
                  <c:v>3300</c:v>
                </c:pt>
                <c:pt idx="2">
                  <c:v>3300</c:v>
                </c:pt>
                <c:pt idx="3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2-4E41-8664-5A027821AB4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'CCPP 프로젝트 목록'!$I$22:$L$22</c:f>
              <c:strCache>
                <c:ptCount val="4"/>
                <c:pt idx="0">
                  <c:v>현재</c:v>
                </c:pt>
                <c:pt idx="1">
                  <c:v>2027 (NFE)</c:v>
                </c:pt>
                <c:pt idx="2">
                  <c:v>2028 (NFS)</c:v>
                </c:pt>
                <c:pt idx="3">
                  <c:v>2030 (NFW)</c:v>
                </c:pt>
              </c:strCache>
            </c:strRef>
          </c:cat>
          <c:val>
            <c:numRef>
              <c:f>'CCPP 프로젝트 목록'!$I$25:$L$25</c:f>
              <c:numCache>
                <c:formatCode>General</c:formatCode>
                <c:ptCount val="4"/>
                <c:pt idx="2">
                  <c:v>1600</c:v>
                </c:pt>
                <c:pt idx="3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2-4E41-8664-5A027821AB4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'CCPP 프로젝트 목록'!$I$22:$L$22</c:f>
              <c:strCache>
                <c:ptCount val="4"/>
                <c:pt idx="0">
                  <c:v>현재</c:v>
                </c:pt>
                <c:pt idx="1">
                  <c:v>2027 (NFE)</c:v>
                </c:pt>
                <c:pt idx="2">
                  <c:v>2028 (NFS)</c:v>
                </c:pt>
                <c:pt idx="3">
                  <c:v>2030 (NFW)</c:v>
                </c:pt>
              </c:strCache>
            </c:strRef>
          </c:cat>
          <c:val>
            <c:numRef>
              <c:f>'CCPP 프로젝트 목록'!$I$26:$L$26</c:f>
              <c:numCache>
                <c:formatCode>General</c:formatCode>
                <c:ptCount val="4"/>
                <c:pt idx="3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32-4E41-8664-5A027821A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225407"/>
        <c:axId val="143225887"/>
      </c:barChart>
      <c:catAx>
        <c:axId val="14322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25887"/>
        <c:crosses val="autoZero"/>
        <c:auto val="1"/>
        <c:lblAlgn val="ctr"/>
        <c:lblOffset val="100"/>
        <c:noMultiLvlLbl val="0"/>
      </c:catAx>
      <c:valAx>
        <c:axId val="1432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2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'CCPP 프로젝트 목록'!$S$15</c:f>
              <c:strCache>
                <c:ptCount val="1"/>
                <c:pt idx="0">
                  <c:v>24년 쿠웨이트 수주규모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6-434B-91BC-5D1B4E41DB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6-434B-91BC-5D1B4E41DB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46-434B-91BC-5D1B4E41DB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46-434B-91BC-5D1B4E41DB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46-434B-91BC-5D1B4E41DBE7}"/>
              </c:ext>
            </c:extLst>
          </c:dPt>
          <c:cat>
            <c:strRef>
              <c:f>'CCPP 프로젝트 목록'!$R$16:$R$20</c:f>
              <c:strCache>
                <c:ptCount val="5"/>
                <c:pt idx="0">
                  <c:v>Alghanim</c:v>
                </c:pt>
                <c:pt idx="1">
                  <c:v>Sayed Hamid</c:v>
                </c:pt>
                <c:pt idx="2">
                  <c:v>Spetco</c:v>
                </c:pt>
                <c:pt idx="3">
                  <c:v>Combined Group</c:v>
                </c:pt>
                <c:pt idx="4">
                  <c:v>Gulf Spic</c:v>
                </c:pt>
              </c:strCache>
            </c:strRef>
          </c:cat>
          <c:val>
            <c:numRef>
              <c:f>'CCPP 프로젝트 목록'!$S$16:$S$20</c:f>
              <c:numCache>
                <c:formatCode>0.0%</c:formatCode>
                <c:ptCount val="5"/>
                <c:pt idx="0">
                  <c:v>0.24393165436323111</c:v>
                </c:pt>
                <c:pt idx="1">
                  <c:v>0.23260460669294006</c:v>
                </c:pt>
                <c:pt idx="2">
                  <c:v>0.22694136724262182</c:v>
                </c:pt>
                <c:pt idx="3">
                  <c:v>0.15048507519987989</c:v>
                </c:pt>
                <c:pt idx="4">
                  <c:v>0.14603729650132724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5-403F-9D25-D2CBB0C5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63</xdr:row>
      <xdr:rowOff>0</xdr:rowOff>
    </xdr:from>
    <xdr:ext cx="3594706" cy="1684333"/>
    <xdr:pic>
      <xdr:nvPicPr>
        <xdr:cNvPr id="2" name="그림 1">
          <a:extLst>
            <a:ext uri="{FF2B5EF4-FFF2-40B4-BE49-F238E27FC236}">
              <a16:creationId xmlns:a16="http://schemas.microsoft.com/office/drawing/2014/main" id="{D962309B-C331-437B-8168-BAB06333D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81280" y="13479780"/>
          <a:ext cx="3594706" cy="16843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208428</xdr:colOff>
      <xdr:row>19</xdr:row>
      <xdr:rowOff>36531</xdr:rowOff>
    </xdr:from>
    <xdr:to>
      <xdr:col>22</xdr:col>
      <xdr:colOff>92224</xdr:colOff>
      <xdr:row>35</xdr:row>
      <xdr:rowOff>95308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0A2CEE-A4A5-4E5F-B132-55CF38795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161925</xdr:colOff>
      <xdr:row>89</xdr:row>
      <xdr:rowOff>169641</xdr:rowOff>
    </xdr:from>
    <xdr:ext cx="4763550" cy="2050136"/>
    <xdr:pic>
      <xdr:nvPicPr>
        <xdr:cNvPr id="2" name="그림 1">
          <a:extLst>
            <a:ext uri="{FF2B5EF4-FFF2-40B4-BE49-F238E27FC236}">
              <a16:creationId xmlns:a16="http://schemas.microsoft.com/office/drawing/2014/main" id="{1FA04CB6-B2AD-47EB-8FB6-168FB17E0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7785" y="20278821"/>
          <a:ext cx="4763550" cy="2050136"/>
        </a:xfrm>
        <a:prstGeom prst="rect">
          <a:avLst/>
        </a:prstGeom>
      </xdr:spPr>
    </xdr:pic>
    <xdr:clientData/>
  </xdr:oneCellAnchor>
  <xdr:oneCellAnchor>
    <xdr:from>
      <xdr:col>19</xdr:col>
      <xdr:colOff>161925</xdr:colOff>
      <xdr:row>89</xdr:row>
      <xdr:rowOff>169641</xdr:rowOff>
    </xdr:from>
    <xdr:ext cx="4763550" cy="2050136"/>
    <xdr:pic>
      <xdr:nvPicPr>
        <xdr:cNvPr id="3" name="그림 2">
          <a:extLst>
            <a:ext uri="{FF2B5EF4-FFF2-40B4-BE49-F238E27FC236}">
              <a16:creationId xmlns:a16="http://schemas.microsoft.com/office/drawing/2014/main" id="{FA3472F1-2859-4446-A68F-C1410A42A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51730" y="17213676"/>
          <a:ext cx="4763550" cy="2050136"/>
        </a:xfrm>
        <a:prstGeom prst="rect">
          <a:avLst/>
        </a:prstGeom>
      </xdr:spPr>
    </xdr:pic>
    <xdr:clientData/>
  </xdr:oneCellAnchor>
  <xdr:oneCellAnchor>
    <xdr:from>
      <xdr:col>19</xdr:col>
      <xdr:colOff>161925</xdr:colOff>
      <xdr:row>89</xdr:row>
      <xdr:rowOff>169641</xdr:rowOff>
    </xdr:from>
    <xdr:ext cx="4763550" cy="2050136"/>
    <xdr:pic>
      <xdr:nvPicPr>
        <xdr:cNvPr id="4" name="그림 3">
          <a:extLst>
            <a:ext uri="{FF2B5EF4-FFF2-40B4-BE49-F238E27FC236}">
              <a16:creationId xmlns:a16="http://schemas.microsoft.com/office/drawing/2014/main" id="{8E04A25F-E367-4E7C-8ED4-B0DEAB0C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51730" y="17213676"/>
          <a:ext cx="4763550" cy="205013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447675</xdr:colOff>
      <xdr:row>8</xdr:row>
      <xdr:rowOff>141499</xdr:rowOff>
    </xdr:from>
    <xdr:ext cx="11939131" cy="3251306"/>
    <xdr:pic>
      <xdr:nvPicPr>
        <xdr:cNvPr id="2" name="그림 1">
          <a:extLst>
            <a:ext uri="{FF2B5EF4-FFF2-40B4-BE49-F238E27FC236}">
              <a16:creationId xmlns:a16="http://schemas.microsoft.com/office/drawing/2014/main" id="{4F7E9C42-020A-40E1-BA5A-03F28206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0735" y="1909339"/>
          <a:ext cx="11939131" cy="325130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28</xdr:col>
      <xdr:colOff>136006</xdr:colOff>
      <xdr:row>1</xdr:row>
      <xdr:rowOff>110836</xdr:rowOff>
    </xdr:from>
    <xdr:ext cx="6669459" cy="7649375"/>
    <xdr:pic>
      <xdr:nvPicPr>
        <xdr:cNvPr id="3" name="그림 2">
          <a:extLst>
            <a:ext uri="{FF2B5EF4-FFF2-40B4-BE49-F238E27FC236}">
              <a16:creationId xmlns:a16="http://schemas.microsoft.com/office/drawing/2014/main" id="{4207AEAC-1F45-46B9-B86D-00CBBEE8B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27426" y="331816"/>
          <a:ext cx="6669459" cy="7649375"/>
        </a:xfrm>
        <a:prstGeom prst="rect">
          <a:avLst/>
        </a:prstGeom>
      </xdr:spPr>
    </xdr:pic>
    <xdr:clientData/>
  </xdr:oneCellAnchor>
  <xdr:oneCellAnchor>
    <xdr:from>
      <xdr:col>8</xdr:col>
      <xdr:colOff>438497</xdr:colOff>
      <xdr:row>20</xdr:row>
      <xdr:rowOff>202680</xdr:rowOff>
    </xdr:from>
    <xdr:ext cx="9220495" cy="2225998"/>
    <xdr:pic>
      <xdr:nvPicPr>
        <xdr:cNvPr id="4" name="그림 3">
          <a:extLst>
            <a:ext uri="{FF2B5EF4-FFF2-40B4-BE49-F238E27FC236}">
              <a16:creationId xmlns:a16="http://schemas.microsoft.com/office/drawing/2014/main" id="{1CAB1755-DD84-42BD-9B05-2C7F3E135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10997" y="4599420"/>
          <a:ext cx="9220495" cy="222599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0</xdr:colOff>
      <xdr:row>4</xdr:row>
      <xdr:rowOff>119743</xdr:rowOff>
    </xdr:from>
    <xdr:ext cx="7422524" cy="3139684"/>
    <xdr:pic>
      <xdr:nvPicPr>
        <xdr:cNvPr id="2" name="그림 1">
          <a:extLst>
            <a:ext uri="{FF2B5EF4-FFF2-40B4-BE49-F238E27FC236}">
              <a16:creationId xmlns:a16="http://schemas.microsoft.com/office/drawing/2014/main" id="{A76190D1-83CA-4C1B-A132-ACCC5719D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75680" y="561703"/>
          <a:ext cx="7422524" cy="3139684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4</xdr:row>
      <xdr:rowOff>119743</xdr:rowOff>
    </xdr:from>
    <xdr:ext cx="7422524" cy="3139684"/>
    <xdr:pic>
      <xdr:nvPicPr>
        <xdr:cNvPr id="3" name="그림 2">
          <a:extLst>
            <a:ext uri="{FF2B5EF4-FFF2-40B4-BE49-F238E27FC236}">
              <a16:creationId xmlns:a16="http://schemas.microsoft.com/office/drawing/2014/main" id="{FC9D43E5-698A-4312-A78F-A98B0DCD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0380" y="942703"/>
          <a:ext cx="7422524" cy="313968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37</xdr:row>
      <xdr:rowOff>53340</xdr:rowOff>
    </xdr:from>
    <xdr:to>
      <xdr:col>3</xdr:col>
      <xdr:colOff>665205</xdr:colOff>
      <xdr:row>58</xdr:row>
      <xdr:rowOff>55593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ECFD55-602A-9A8B-A6F8-FD9A26C70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" y="7292340"/>
          <a:ext cx="4153260" cy="4016088"/>
        </a:xfrm>
        <a:prstGeom prst="rect">
          <a:avLst/>
        </a:prstGeom>
      </xdr:spPr>
    </xdr:pic>
    <xdr:clientData/>
  </xdr:twoCellAnchor>
  <xdr:twoCellAnchor>
    <xdr:from>
      <xdr:col>12</xdr:col>
      <xdr:colOff>259080</xdr:colOff>
      <xdr:row>20</xdr:row>
      <xdr:rowOff>26670</xdr:rowOff>
    </xdr:from>
    <xdr:to>
      <xdr:col>16</xdr:col>
      <xdr:colOff>533400</xdr:colOff>
      <xdr:row>28</xdr:row>
      <xdr:rowOff>182880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6F0B0A6-3124-6AE6-5919-0416CB53B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11430</xdr:colOff>
      <xdr:row>20</xdr:row>
      <xdr:rowOff>22860</xdr:rowOff>
    </xdr:from>
    <xdr:to>
      <xdr:col>21</xdr:col>
      <xdr:colOff>121920</xdr:colOff>
      <xdr:row>28</xdr:row>
      <xdr:rowOff>179070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1892667-D66D-1213-B007-24BC74735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고은진" refreshedDate="45868.674621296297" createdVersion="8" refreshedVersion="8" minRefreshableVersion="3" recordCount="66" xr:uid="{755AD103-65FA-49D2-A056-8526FC68F7DA}">
  <cacheSource type="worksheet">
    <worksheetSource ref="A2:E68" sheet="수주내역"/>
  </cacheSource>
  <cacheFields count="5">
    <cacheField name="x" numFmtId="0">
      <sharedItems containsBlank="1" count="40">
        <m/>
        <s v="삼성물산"/>
        <s v="한국수력원자력"/>
        <s v="San Miguel Global Power Holdings(SMCGP)"/>
        <s v="JV of PSP, PCI, PC"/>
        <s v="FuJi Electric"/>
        <s v="하얼빈일렉트릭(HEI)"/>
        <s v="한국남동발전"/>
        <s v="두산에너빌리티"/>
        <s v="Alghanim International General Trading &amp; Construction"/>
        <s v="포스코"/>
        <s v="한국지역난방 수원지사"/>
        <s v="삼성C&amp;T "/>
        <s v="Toshiba-TPSC"/>
        <s v="한화에너지"/>
        <s v="대우건설"/>
        <s v="SEPCO3"/>
        <s v="씨지앤대산전력"/>
        <s v="FORMOSA HEAVY INDUSTRIES CORP."/>
        <s v="MC-HDEC-CC1 Consortium"/>
        <s v="에스케이에코엔지니어링㈜"/>
        <s v="(주)포스코이앤씨"/>
        <s v="현대엔지니어링"/>
        <s v="현대제철"/>
        <s v="(주)포스코"/>
        <s v="MHPS-TAKASAGO"/>
        <s v="OPC Sorek 2 Ltd (OPC)"/>
        <s v="현대건설"/>
        <s v="KC코트렐"/>
        <s v="한화건설"/>
        <s v="세아STX엔테크"/>
        <s v="Siemens"/>
        <s v="JO SKE AND CO LTD"/>
        <s v="TIE JUN INTERNATIONAL (HK) LTD"/>
        <s v="TOSHIBA"/>
        <s v="한국수력원자력㈜ 새울원자력본부"/>
        <s v="FARAB INTERNATIONAL FZE"/>
        <s v="(주)포스코건설"/>
        <s v="Amal Industrial Plant"/>
        <s v="한국전력공사"/>
      </sharedItems>
    </cacheField>
    <cacheField name="계약명" numFmtId="0">
      <sharedItems containsBlank="1"/>
    </cacheField>
    <cacheField name="사업부" numFmtId="0">
      <sharedItems containsBlank="1"/>
    </cacheField>
    <cacheField name="지역" numFmtId="0">
      <sharedItems containsBlank="1"/>
    </cacheField>
    <cacheField name="계약금액(백만원)" numFmtId="3">
      <sharedItems containsString="0" containsBlank="1" containsNumber="1" minValue="11665.001182" maxValue="517732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m/>
    <m/>
    <m/>
    <m/>
  </r>
  <r>
    <x v="1"/>
    <s v="삼성물산"/>
    <s v="HRSG"/>
    <s v="중동"/>
    <n v="145773.29999999999"/>
  </r>
  <r>
    <x v="2"/>
    <s v="한국수력원자력"/>
    <s v="BOP"/>
    <s v="국내"/>
    <n v="46830"/>
  </r>
  <r>
    <x v="3"/>
    <s v="San Miguel Global Power Holdings(SMCGP)"/>
    <s v="Boiler"/>
    <s v="동남아"/>
    <n v="517732.4"/>
  </r>
  <r>
    <x v="4"/>
    <s v="JV of PSP, PCI, PC"/>
    <s v="HRSG"/>
    <s v="중동"/>
    <n v="163173.5"/>
  </r>
  <r>
    <x v="5"/>
    <s v="FuJi Electric"/>
    <s v="HRSG"/>
    <s v="일본"/>
    <n v="66187.838111999998"/>
  </r>
  <r>
    <x v="2"/>
    <s v="한국수력원자력(2)"/>
    <s v="BOP"/>
    <s v="국내"/>
    <n v="58597.3"/>
  </r>
  <r>
    <x v="2"/>
    <s v="한국수력원자력(3)"/>
    <s v="BOP"/>
    <s v="국내"/>
    <n v="41540"/>
  </r>
  <r>
    <x v="6"/>
    <s v="하얼빈일렉트릭(HEI)"/>
    <s v="HRSG"/>
    <s v="중동"/>
    <n v="148525.80976199999"/>
  </r>
  <r>
    <x v="6"/>
    <s v="하얼빈일렉트릭(HEI)(2)"/>
    <s v="HRSG"/>
    <s v="중동"/>
    <n v="144393.48183800001"/>
  </r>
  <r>
    <x v="7"/>
    <s v="한국남동발전"/>
    <s v="HRSG"/>
    <s v="국내"/>
    <n v="136900"/>
  </r>
  <r>
    <x v="8"/>
    <s v="두산에너빌리티"/>
    <s v="HRSG"/>
    <s v="중동"/>
    <n v="127090.973539"/>
  </r>
  <r>
    <x v="9"/>
    <s v="Alghanim International General Trading &amp; Construction"/>
    <s v="HRSG"/>
    <s v="중동"/>
    <n v="51972.886413"/>
  </r>
  <r>
    <x v="10"/>
    <s v="포스코"/>
    <s v="HRSG"/>
    <s v="국내"/>
    <n v="21900"/>
  </r>
  <r>
    <x v="2"/>
    <s v="한국수력원자력(4)"/>
    <s v="BOP"/>
    <s v="국내"/>
    <n v="58597.3"/>
  </r>
  <r>
    <x v="11"/>
    <s v="한국지역난방 수원지사"/>
    <s v="EPC"/>
    <s v="국내"/>
    <n v="180993.99600000001"/>
  </r>
  <r>
    <x v="12"/>
    <s v="삼성C&amp;T "/>
    <s v="HRSG"/>
    <s v="중동"/>
    <n v="25123.609799999998"/>
  </r>
  <r>
    <x v="13"/>
    <s v="Toshiba-TPSC"/>
    <s v="HRSG"/>
    <s v="일본"/>
    <n v="270519.44924599997"/>
  </r>
  <r>
    <x v="1"/>
    <s v="삼성물산(2)"/>
    <s v="HRSG"/>
    <s v="국내"/>
    <n v="24766.214240000001"/>
  </r>
  <r>
    <x v="13"/>
    <s v="Toshiba-TPSC(2)"/>
    <s v="HRSG"/>
    <s v="일본"/>
    <n v="119377.084388"/>
  </r>
  <r>
    <x v="8"/>
    <s v="두산에너빌리티(2)"/>
    <s v="HRSG"/>
    <s v="국내"/>
    <n v="41200"/>
  </r>
  <r>
    <x v="14"/>
    <s v="한화에너지"/>
    <s v="BOP"/>
    <s v="국내"/>
    <n v="32941"/>
  </r>
  <r>
    <x v="15"/>
    <s v="대우건설"/>
    <s v="HRSG"/>
    <s v="국내"/>
    <n v="47500"/>
  </r>
  <r>
    <x v="16"/>
    <s v="SEPCO3"/>
    <s v="HRSG"/>
    <s v="중동"/>
    <n v="106211.19070200001"/>
  </r>
  <r>
    <x v="16"/>
    <s v="SEPCO3(2)"/>
    <s v="HRSG"/>
    <s v="중동"/>
    <n v="99077.869154"/>
  </r>
  <r>
    <x v="13"/>
    <s v="Toshiba-TPSC(3)"/>
    <s v="HRSG"/>
    <s v="일본"/>
    <n v="16841.650444999999"/>
  </r>
  <r>
    <x v="8"/>
    <s v="두산에너빌리티(3)"/>
    <s v="HRSG"/>
    <s v="국내"/>
    <n v="44850"/>
  </r>
  <r>
    <x v="17"/>
    <s v="씨지앤대산전력"/>
    <s v="HRSG"/>
    <s v="국내"/>
    <n v="42650"/>
  </r>
  <r>
    <x v="18"/>
    <s v="FORMOSA HEAVY INDUSTRIES CORP."/>
    <s v="Boiler"/>
    <s v="해외"/>
    <n v="255917.96364500001"/>
  </r>
  <r>
    <x v="15"/>
    <s v="대우건설(2)"/>
    <s v="HRSG"/>
    <s v="국내"/>
    <n v="90192"/>
  </r>
  <r>
    <x v="19"/>
    <s v="MC-HDEC-CC1 Consortium"/>
    <s v="Boiler"/>
    <s v="동남아"/>
    <n v="51320"/>
  </r>
  <r>
    <x v="20"/>
    <s v="에스케이에코엔지니어링㈜"/>
    <s v="HRSG"/>
    <s v="국내"/>
    <n v="27194.8894"/>
  </r>
  <r>
    <x v="21"/>
    <s v="(주)포스코이앤씨"/>
    <s v="HRSG"/>
    <s v="국내"/>
    <n v="36451.800000000003"/>
  </r>
  <r>
    <x v="22"/>
    <s v="현대엔지니어링"/>
    <s v="Boiler"/>
    <s v="해외"/>
    <n v="32781.004774000001"/>
  </r>
  <r>
    <x v="23"/>
    <s v="현대제철"/>
    <s v="Boiler"/>
    <s v="국내"/>
    <n v="22930"/>
  </r>
  <r>
    <x v="1"/>
    <s v="삼성물산(3)"/>
    <s v="HRSG"/>
    <s v="해외"/>
    <n v="53105.933490000003"/>
  </r>
  <r>
    <x v="24"/>
    <s v="(주)포스코"/>
    <s v="Boiler"/>
    <s v="국내"/>
    <n v="34495.685631"/>
  </r>
  <r>
    <x v="25"/>
    <s v="MHPS-TAKASAGO"/>
    <s v="HRSG"/>
    <s v="해외"/>
    <n v="60905.091458000003"/>
  </r>
  <r>
    <x v="26"/>
    <s v="OPC Sorek 2 Ltd (OPC)"/>
    <s v="BOP"/>
    <s v="해외"/>
    <n v="11665.001182"/>
  </r>
  <r>
    <x v="27"/>
    <s v="현대건설"/>
    <s v="Boiler"/>
    <s v="해외"/>
    <n v="42931.996539"/>
  </r>
  <r>
    <x v="28"/>
    <s v="KC코트렐"/>
    <s v="BOP"/>
    <s v="국내"/>
    <n v="62692.262372999998"/>
  </r>
  <r>
    <x v="29"/>
    <s v="한화건설"/>
    <s v="HRSG"/>
    <s v="국내"/>
    <n v="17640"/>
  </r>
  <r>
    <x v="8"/>
    <s v="두산에너빌리티(4)"/>
    <s v="HRSG"/>
    <s v="해외"/>
    <n v="33539.642448999999"/>
  </r>
  <r>
    <x v="30"/>
    <s v="세아STX엔테크"/>
    <s v="BOP"/>
    <s v="국내"/>
    <n v="16540"/>
  </r>
  <r>
    <x v="31"/>
    <s v="Siemens"/>
    <s v="HRSG"/>
    <s v="해외"/>
    <n v="45092.158260999997"/>
  </r>
  <r>
    <x v="8"/>
    <s v="두산에너빌리티(5)"/>
    <s v="HRSG"/>
    <s v="국내"/>
    <n v="23686.552"/>
  </r>
  <r>
    <x v="27"/>
    <s v="현대건설(2)"/>
    <s v="HRSG"/>
    <s v="해외"/>
    <n v="51031"/>
  </r>
  <r>
    <x v="1"/>
    <s v="삼성물산(4)"/>
    <s v="HRSG"/>
    <s v="국내"/>
    <n v="70024.979296999998"/>
  </r>
  <r>
    <x v="1"/>
    <s v="삼성물산(5)"/>
    <s v="HRSG"/>
    <s v="국내"/>
    <n v="22522.238686000001"/>
  </r>
  <r>
    <x v="32"/>
    <s v="JO SKE AND CO LTD"/>
    <s v="Boiler"/>
    <s v="해외"/>
    <n v="32268.740677000002"/>
  </r>
  <r>
    <x v="28"/>
    <s v="KC코트렐(2)"/>
    <s v="기타"/>
    <s v="국내"/>
    <n v="28700"/>
  </r>
  <r>
    <x v="33"/>
    <s v="TIE JUN INTERNATIONAL (HK) LTD"/>
    <s v="HRSG"/>
    <s v="해외"/>
    <n v="57152.290687000001"/>
  </r>
  <r>
    <x v="34"/>
    <s v="TOSHIBA"/>
    <s v="Boiler"/>
    <s v="일본"/>
    <n v="50863.127189999999"/>
  </r>
  <r>
    <x v="9"/>
    <s v="Alghanim International General Trading &amp; Construction(2)"/>
    <s v="HRSG"/>
    <s v="중동"/>
    <n v="24458.938716000001"/>
  </r>
  <r>
    <x v="16"/>
    <s v="SEPCO3(3)"/>
    <s v="HRSG"/>
    <s v="중동"/>
    <n v="22765.749011"/>
  </r>
  <r>
    <x v="35"/>
    <s v="한국수력원자력㈜ 새울원자력본부"/>
    <s v="BOP"/>
    <s v="국내"/>
    <n v="19198.138160999999"/>
  </r>
  <r>
    <x v="36"/>
    <s v="FARAB INTERNATIONAL FZE"/>
    <s v="HRSG"/>
    <s v="해외"/>
    <n v="35444.492044999999"/>
  </r>
  <r>
    <x v="35"/>
    <s v="한국수력원자력㈜ 새울원자력본부(2)"/>
    <s v="BOP"/>
    <s v="국내"/>
    <n v="35020.679462"/>
  </r>
  <r>
    <x v="35"/>
    <s v="한국수력원자력㈜ 새울원자력본부(3)"/>
    <s v="BOP"/>
    <s v="국내"/>
    <n v="21473.936613000002"/>
  </r>
  <r>
    <x v="37"/>
    <s v="(주)포스코건설"/>
    <s v="Boiler"/>
    <s v="국내"/>
    <n v="113969.995"/>
  </r>
  <r>
    <x v="38"/>
    <s v="Amal Industrial Plant"/>
    <s v="HRSG"/>
    <s v="해외"/>
    <n v="30414.466466999998"/>
  </r>
  <r>
    <x v="1"/>
    <s v="삼성물산(6)"/>
    <s v="HRSG"/>
    <s v="국내"/>
    <n v="60955.637494000002"/>
  </r>
  <r>
    <x v="1"/>
    <s v="삼성물산(7)"/>
    <s v="HRSG"/>
    <s v="국내"/>
    <n v="64429.548243999998"/>
  </r>
  <r>
    <x v="39"/>
    <s v="한국전력공사"/>
    <s v="BOP"/>
    <s v="국내"/>
    <n v="24364.561830999999"/>
  </r>
  <r>
    <x v="39"/>
    <s v="한국전력공사(2)"/>
    <s v="BOP"/>
    <s v="국내"/>
    <n v="41843.587267000003"/>
  </r>
  <r>
    <x v="15"/>
    <s v="대우건설(3)"/>
    <s v="HRSG"/>
    <s v="국내"/>
    <n v="52372.906543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D0924-FF29-49DF-AAEA-805CDEAB418B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W4:X45" firstHeaderRow="1" firstDataRow="1" firstDataCol="1"/>
  <pivotFields count="5">
    <pivotField axis="axisRow" showAll="0">
      <items count="41">
        <item x="24"/>
        <item x="37"/>
        <item x="21"/>
        <item x="9"/>
        <item x="38"/>
        <item x="36"/>
        <item x="18"/>
        <item x="5"/>
        <item x="32"/>
        <item x="4"/>
        <item x="28"/>
        <item x="19"/>
        <item x="25"/>
        <item x="26"/>
        <item x="3"/>
        <item x="16"/>
        <item x="31"/>
        <item x="33"/>
        <item x="34"/>
        <item x="13"/>
        <item x="15"/>
        <item x="8"/>
        <item x="12"/>
        <item x="1"/>
        <item x="30"/>
        <item x="17"/>
        <item x="20"/>
        <item x="10"/>
        <item x="6"/>
        <item x="7"/>
        <item x="2"/>
        <item x="35"/>
        <item x="39"/>
        <item x="11"/>
        <item x="29"/>
        <item x="14"/>
        <item x="27"/>
        <item x="22"/>
        <item x="23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1">
    <i>
      <x v="14"/>
    </i>
    <i>
      <x v="23"/>
    </i>
    <i>
      <x v="19"/>
    </i>
    <i>
      <x v="28"/>
    </i>
    <i>
      <x v="21"/>
    </i>
    <i>
      <x v="6"/>
    </i>
    <i>
      <x v="15"/>
    </i>
    <i>
      <x v="30"/>
    </i>
    <i>
      <x v="20"/>
    </i>
    <i>
      <x v="33"/>
    </i>
    <i>
      <x v="9"/>
    </i>
    <i>
      <x v="29"/>
    </i>
    <i>
      <x v="1"/>
    </i>
    <i>
      <x v="36"/>
    </i>
    <i>
      <x v="10"/>
    </i>
    <i>
      <x v="3"/>
    </i>
    <i>
      <x v="31"/>
    </i>
    <i>
      <x v="32"/>
    </i>
    <i>
      <x v="7"/>
    </i>
    <i>
      <x v="12"/>
    </i>
    <i>
      <x v="17"/>
    </i>
    <i>
      <x v="11"/>
    </i>
    <i>
      <x v="18"/>
    </i>
    <i>
      <x v="16"/>
    </i>
    <i>
      <x v="25"/>
    </i>
    <i>
      <x v="2"/>
    </i>
    <i>
      <x v="5"/>
    </i>
    <i>
      <x/>
    </i>
    <i>
      <x v="35"/>
    </i>
    <i>
      <x v="37"/>
    </i>
    <i>
      <x v="8"/>
    </i>
    <i>
      <x v="4"/>
    </i>
    <i>
      <x v="26"/>
    </i>
    <i>
      <x v="22"/>
    </i>
    <i>
      <x v="38"/>
    </i>
    <i>
      <x v="27"/>
    </i>
    <i>
      <x v="34"/>
    </i>
    <i>
      <x v="24"/>
    </i>
    <i>
      <x v="13"/>
    </i>
    <i>
      <x v="39"/>
    </i>
    <i t="grand">
      <x/>
    </i>
  </rowItems>
  <colItems count="1">
    <i/>
  </colItems>
  <dataFields count="1">
    <dataField name="합계 : 계약금액(백만원)" fld="4" baseField="0" baseItem="0"/>
  </dataFields>
  <formats count="2">
    <format dxfId="181">
      <pivotArea collapsedLevelsAreSubtotals="1" fieldPosition="0">
        <references count="1">
          <reference field="0" count="3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</references>
      </pivotArea>
    </format>
    <format dxfId="18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726D-1A63-414A-BABE-1CC2F5BDC321}">
  <sheetPr>
    <tabColor theme="9" tint="-0.249977111117893"/>
  </sheetPr>
  <dimension ref="A1:V19"/>
  <sheetViews>
    <sheetView zoomScale="85" zoomScaleNormal="85" workbookViewId="0">
      <selection activeCell="H20" sqref="H20"/>
    </sheetView>
  </sheetViews>
  <sheetFormatPr defaultRowHeight="18"/>
  <cols>
    <col min="1" max="1" width="2.5" style="1013" customWidth="1"/>
    <col min="2" max="2" width="15.5" style="1013" bestFit="1" customWidth="1"/>
    <col min="3" max="6" width="10.09765625" style="1013" bestFit="1" customWidth="1"/>
    <col min="7" max="7" width="3.69921875" style="1013" customWidth="1"/>
    <col min="8" max="16384" width="8.796875" style="1013"/>
  </cols>
  <sheetData>
    <row r="1" spans="1:22" s="197" customFormat="1" ht="16.8">
      <c r="B1" s="198" t="s">
        <v>1777</v>
      </c>
    </row>
    <row r="2" spans="1:22" s="197" customFormat="1" ht="22.8" thickBot="1">
      <c r="B2" s="199" t="s">
        <v>1778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22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5" spans="1:22" s="285" customFormat="1">
      <c r="A5" s="1013"/>
      <c r="B5" s="810" t="s">
        <v>7</v>
      </c>
      <c r="C5" s="82" t="s">
        <v>1693</v>
      </c>
      <c r="D5" s="82" t="s">
        <v>1349</v>
      </c>
      <c r="E5" s="82" t="s">
        <v>1347</v>
      </c>
      <c r="F5" s="1015" t="s">
        <v>1348</v>
      </c>
      <c r="G5" s="1013"/>
    </row>
    <row r="6" spans="1:22" s="285" customFormat="1">
      <c r="A6" s="1013"/>
      <c r="B6" s="1007" t="s">
        <v>53</v>
      </c>
      <c r="C6" s="912">
        <v>377429.12896191049</v>
      </c>
      <c r="D6" s="912">
        <v>733774.77599822567</v>
      </c>
      <c r="E6" s="912">
        <v>753165.03241496137</v>
      </c>
      <c r="F6" s="1008">
        <v>794672.4362377791</v>
      </c>
      <c r="G6" s="1013"/>
      <c r="H6" s="285" t="s">
        <v>1780</v>
      </c>
    </row>
    <row r="7" spans="1:22" s="285" customFormat="1">
      <c r="A7" s="1013"/>
      <c r="B7" s="1009" t="s">
        <v>1694</v>
      </c>
      <c r="C7" s="808">
        <v>0.45717655787683475</v>
      </c>
      <c r="D7" s="808">
        <v>0.94413922957249263</v>
      </c>
      <c r="E7" s="808">
        <v>2.6425351553352572E-2</v>
      </c>
      <c r="F7" s="809">
        <v>5.5110635832000376E-2</v>
      </c>
      <c r="G7" s="1013"/>
      <c r="H7" s="285" t="s">
        <v>1781</v>
      </c>
    </row>
    <row r="8" spans="1:22" s="285" customFormat="1">
      <c r="A8" s="1013"/>
      <c r="B8" s="1010" t="s">
        <v>524</v>
      </c>
      <c r="C8" s="900">
        <v>121883.49215784</v>
      </c>
      <c r="D8" s="900">
        <v>143683.12216808001</v>
      </c>
      <c r="E8" s="900">
        <v>137753.31303571427</v>
      </c>
      <c r="F8" s="902">
        <v>72697.732142857145</v>
      </c>
      <c r="G8" s="1013"/>
    </row>
    <row r="9" spans="1:22" s="285" customFormat="1">
      <c r="A9" s="1013"/>
      <c r="B9" s="1010" t="s">
        <v>1563</v>
      </c>
      <c r="C9" s="900">
        <v>255545.6368040705</v>
      </c>
      <c r="D9" s="900">
        <v>590091.65383014572</v>
      </c>
      <c r="E9" s="900">
        <v>615411.71937924705</v>
      </c>
      <c r="F9" s="902">
        <v>721974.70409492194</v>
      </c>
      <c r="G9" s="1013"/>
    </row>
    <row r="10" spans="1:22" s="285" customFormat="1">
      <c r="A10" s="1013"/>
      <c r="B10" s="1011" t="s">
        <v>528</v>
      </c>
      <c r="C10" s="900">
        <v>204714.18863396399</v>
      </c>
      <c r="D10" s="900">
        <v>480874.94349496794</v>
      </c>
      <c r="E10" s="900">
        <v>444139.64318488142</v>
      </c>
      <c r="F10" s="902">
        <v>513181.49648031022</v>
      </c>
      <c r="G10" s="1013"/>
    </row>
    <row r="11" spans="1:22" s="285" customFormat="1">
      <c r="A11" s="1013"/>
      <c r="B11" s="1011" t="s">
        <v>676</v>
      </c>
      <c r="C11" s="900">
        <v>35999.228324631506</v>
      </c>
      <c r="D11" s="900">
        <v>109216.71033517775</v>
      </c>
      <c r="E11" s="900">
        <v>136552.501784419</v>
      </c>
      <c r="F11" s="902">
        <v>113425.37406913175</v>
      </c>
      <c r="G11" s="1013"/>
    </row>
    <row r="12" spans="1:22" s="285" customFormat="1">
      <c r="A12" s="1013"/>
      <c r="B12" s="1011" t="s">
        <v>927</v>
      </c>
      <c r="C12" s="900">
        <v>0</v>
      </c>
      <c r="D12" s="900">
        <v>0</v>
      </c>
      <c r="E12" s="900">
        <v>34719.574409946581</v>
      </c>
      <c r="F12" s="902">
        <v>95367.83354547988</v>
      </c>
      <c r="G12" s="1013"/>
    </row>
    <row r="13" spans="1:22" s="285" customFormat="1">
      <c r="A13" s="1013"/>
      <c r="B13" s="1012" t="s">
        <v>6</v>
      </c>
      <c r="C13" s="903">
        <v>14832.219845474989</v>
      </c>
      <c r="D13" s="903">
        <v>0</v>
      </c>
      <c r="E13" s="903">
        <v>0</v>
      </c>
      <c r="F13" s="904">
        <v>0</v>
      </c>
      <c r="G13" s="1013"/>
    </row>
    <row r="14" spans="1:22" s="285" customFormat="1">
      <c r="A14" s="1013"/>
      <c r="B14" s="1013"/>
      <c r="C14" s="1013"/>
      <c r="D14" s="1013"/>
      <c r="E14" s="1013"/>
      <c r="F14" s="1013"/>
      <c r="G14" s="1013"/>
    </row>
    <row r="15" spans="1:22" s="285" customFormat="1">
      <c r="A15" s="1013"/>
      <c r="B15" s="810" t="s">
        <v>1782</v>
      </c>
      <c r="C15" s="1014">
        <v>2025</v>
      </c>
      <c r="D15" s="82">
        <v>2026</v>
      </c>
      <c r="E15" s="82">
        <v>2027</v>
      </c>
      <c r="F15" s="1015">
        <v>2028</v>
      </c>
      <c r="G15" s="1013"/>
    </row>
    <row r="16" spans="1:22" s="285" customFormat="1">
      <c r="A16" s="1013"/>
      <c r="B16" s="1018" t="s">
        <v>524</v>
      </c>
      <c r="C16" s="900">
        <v>121883.49215784</v>
      </c>
      <c r="D16" s="900">
        <v>130988.42216808</v>
      </c>
      <c r="E16" s="900">
        <v>79532.854999999996</v>
      </c>
      <c r="F16" s="902">
        <v>10609.750000000002</v>
      </c>
      <c r="G16" s="1013"/>
      <c r="H16" s="285" t="s">
        <v>1783</v>
      </c>
    </row>
    <row r="17" spans="1:7" s="285" customFormat="1">
      <c r="A17" s="1013"/>
      <c r="B17" s="1018" t="s">
        <v>528</v>
      </c>
      <c r="C17" s="900">
        <v>251483.66689631599</v>
      </c>
      <c r="D17" s="900">
        <v>561196.43877161597</v>
      </c>
      <c r="E17" s="900">
        <v>140217.34675999996</v>
      </c>
      <c r="F17" s="902">
        <v>0</v>
      </c>
      <c r="G17" s="1013"/>
    </row>
    <row r="18" spans="1:7" s="285" customFormat="1">
      <c r="A18" s="1013"/>
      <c r="B18" s="1018" t="s">
        <v>676</v>
      </c>
      <c r="C18" s="900">
        <v>35999.228324631506</v>
      </c>
      <c r="D18" s="900">
        <v>104798.67214120175</v>
      </c>
      <c r="E18" s="900">
        <v>119343.66387529898</v>
      </c>
      <c r="F18" s="902">
        <v>79288.996562867746</v>
      </c>
      <c r="G18" s="1013"/>
    </row>
    <row r="19" spans="1:7" s="285" customFormat="1">
      <c r="A19" s="1013"/>
      <c r="B19" s="1019" t="s">
        <v>6</v>
      </c>
      <c r="C19" s="903">
        <v>14832.21984547496</v>
      </c>
      <c r="D19" s="903">
        <v>0</v>
      </c>
      <c r="E19" s="903">
        <v>0</v>
      </c>
      <c r="F19" s="904">
        <v>0</v>
      </c>
      <c r="G19" s="1013"/>
    </row>
  </sheetData>
  <phoneticPr fontId="2" type="noConversion"/>
  <conditionalFormatting sqref="B16:B19">
    <cfRule type="expression" dxfId="179" priority="2">
      <formula>$B16=3</formula>
    </cfRule>
    <cfRule type="expression" dxfId="178" priority="3">
      <formula>$B16=2</formula>
    </cfRule>
    <cfRule type="expression" dxfId="177" priority="4">
      <formula>$B16=1</formula>
    </cfRule>
  </conditionalFormatting>
  <conditionalFormatting sqref="C5:F5 C8:F13 C15:F19">
    <cfRule type="cellIs" dxfId="176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E4C1-19A7-46C9-8A89-C64D7E815343}">
  <sheetPr>
    <tabColor theme="9" tint="-0.249977111117893"/>
  </sheetPr>
  <dimension ref="A1"/>
  <sheetViews>
    <sheetView workbookViewId="0">
      <selection activeCell="G24" sqref="G24"/>
    </sheetView>
  </sheetViews>
  <sheetFormatPr defaultRowHeight="17.399999999999999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4EE4-A097-4279-90B1-4CB57A7EA4D5}">
  <sheetPr>
    <tabColor theme="9" tint="-0.249977111117893"/>
  </sheetPr>
  <dimension ref="A1"/>
  <sheetViews>
    <sheetView workbookViewId="0">
      <selection activeCell="N21" sqref="N21"/>
    </sheetView>
  </sheetViews>
  <sheetFormatPr defaultRowHeight="17.399999999999999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1D71-9ED3-A942-8449-CE96B9F58F44}">
  <sheetPr>
    <tabColor rgb="FF002060"/>
  </sheetPr>
  <dimension ref="A1:C21"/>
  <sheetViews>
    <sheetView zoomScale="85" zoomScaleNormal="85" workbookViewId="0">
      <selection activeCell="N17" sqref="N17"/>
    </sheetView>
  </sheetViews>
  <sheetFormatPr defaultColWidth="8" defaultRowHeight="17.399999999999999"/>
  <cols>
    <col min="1" max="16384" width="8" style="180"/>
  </cols>
  <sheetData>
    <row r="1" spans="1:3" s="179" customFormat="1" ht="3.45" customHeight="1"/>
    <row r="2" spans="1:3" s="174" customFormat="1" ht="22.95" customHeight="1"/>
    <row r="3" spans="1:3" s="176" customFormat="1" ht="24.45" customHeight="1">
      <c r="A3" s="175" t="s">
        <v>52</v>
      </c>
    </row>
    <row r="4" spans="1:3" s="177" customFormat="1" ht="13.2"/>
    <row r="5" spans="1:3" s="178" customFormat="1" ht="22.8">
      <c r="A5" s="188" t="s">
        <v>1731</v>
      </c>
    </row>
    <row r="7" spans="1:3">
      <c r="C7" s="181"/>
    </row>
    <row r="8" spans="1:3">
      <c r="C8" s="181"/>
    </row>
    <row r="9" spans="1:3">
      <c r="C9" s="181"/>
    </row>
    <row r="10" spans="1:3">
      <c r="C10" s="181"/>
    </row>
    <row r="11" spans="1:3">
      <c r="C11" s="181"/>
    </row>
    <row r="12" spans="1:3">
      <c r="C12" s="181"/>
    </row>
    <row r="13" spans="1:3">
      <c r="C13" s="181"/>
    </row>
    <row r="14" spans="1:3">
      <c r="C14" s="181"/>
    </row>
    <row r="15" spans="1:3">
      <c r="C15" s="181"/>
    </row>
    <row r="16" spans="1:3">
      <c r="C16" s="181"/>
    </row>
    <row r="17" spans="3:3">
      <c r="C17" s="181"/>
    </row>
    <row r="19" spans="3:3">
      <c r="C19" s="182"/>
    </row>
    <row r="20" spans="3:3">
      <c r="C20" s="183"/>
    </row>
    <row r="21" spans="3:3">
      <c r="C21" s="18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D856-7D40-4157-8796-B9E9DF1E63C5}">
  <sheetPr>
    <tabColor theme="1"/>
  </sheetPr>
  <dimension ref="A1:AB50"/>
  <sheetViews>
    <sheetView showGridLines="0" tabSelected="1" zoomScale="85" zoomScaleNormal="85" workbookViewId="0">
      <selection activeCell="B41" sqref="B41:J50"/>
    </sheetView>
  </sheetViews>
  <sheetFormatPr defaultColWidth="8.19921875" defaultRowHeight="15"/>
  <cols>
    <col min="1" max="1" width="2" style="2" customWidth="1"/>
    <col min="2" max="2" width="21" style="2" bestFit="1" customWidth="1"/>
    <col min="3" max="3" width="11.19921875" style="2" customWidth="1"/>
    <col min="4" max="4" width="8.19921875" style="2"/>
    <col min="5" max="5" width="12.19921875" style="2" bestFit="1" customWidth="1"/>
    <col min="6" max="6" width="3.69921875" style="2" customWidth="1"/>
    <col min="7" max="7" width="22" style="2" bestFit="1" customWidth="1"/>
    <col min="8" max="8" width="11.19921875" style="2" customWidth="1"/>
    <col min="9" max="9" width="8.19921875" style="2"/>
    <col min="10" max="10" width="12.19921875" style="2" bestFit="1" customWidth="1"/>
    <col min="11" max="11" width="8.19921875" style="2"/>
    <col min="12" max="12" width="21" style="2" bestFit="1" customWidth="1"/>
    <col min="13" max="14" width="11.19921875" style="2" customWidth="1"/>
    <col min="15" max="15" width="12.19921875" style="2" bestFit="1" customWidth="1"/>
    <col min="16" max="16" width="9.59765625" style="2" bestFit="1" customWidth="1"/>
    <col min="17" max="17" width="14.5" style="2" bestFit="1" customWidth="1"/>
    <col min="18" max="18" width="11.19921875" style="2" customWidth="1"/>
    <col min="19" max="19" width="13.19921875" style="2" customWidth="1"/>
    <col min="20" max="20" width="31.5" style="2" customWidth="1"/>
    <col min="21" max="21" width="7" style="2" bestFit="1" customWidth="1"/>
    <col min="22" max="22" width="9.3984375" style="2" bestFit="1" customWidth="1"/>
    <col min="23" max="23" width="10.69921875" style="2" bestFit="1" customWidth="1"/>
    <col min="24" max="24" width="10.59765625" style="2" bestFit="1" customWidth="1"/>
    <col min="25" max="16384" width="8.19921875" style="2"/>
  </cols>
  <sheetData>
    <row r="1" spans="1:28" s="650" customFormat="1" ht="22.2">
      <c r="A1" s="662"/>
      <c r="B1" s="662" t="s">
        <v>52</v>
      </c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Q1" s="649"/>
      <c r="R1" s="649"/>
      <c r="S1" s="649"/>
      <c r="T1" s="649"/>
    </row>
    <row r="2" spans="1:28" s="650" customFormat="1" ht="15.6" thickBot="1">
      <c r="A2" s="649"/>
      <c r="B2" s="986" t="s">
        <v>1361</v>
      </c>
      <c r="C2" s="986"/>
      <c r="D2" s="986"/>
      <c r="E2" s="986"/>
      <c r="F2" s="986"/>
      <c r="G2" s="986"/>
      <c r="H2" s="986"/>
      <c r="I2" s="986"/>
      <c r="J2" s="986"/>
      <c r="K2" s="986"/>
      <c r="L2" s="986"/>
      <c r="M2" s="986"/>
      <c r="N2" s="986"/>
      <c r="O2" s="986"/>
      <c r="P2" s="986"/>
      <c r="Q2" s="986"/>
      <c r="R2" s="986"/>
      <c r="S2" s="986"/>
      <c r="T2" s="986"/>
      <c r="U2" s="986"/>
      <c r="V2" s="986"/>
      <c r="W2" s="986"/>
      <c r="X2" s="986"/>
      <c r="Y2" s="986"/>
      <c r="Z2" s="986"/>
      <c r="AA2" s="986"/>
      <c r="AB2" s="986"/>
    </row>
    <row r="3" spans="1:28" s="650" customFormat="1" ht="15.6" thickTop="1">
      <c r="A3" s="651"/>
      <c r="B3" s="651" t="s">
        <v>22</v>
      </c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4" spans="1:28" s="888" customFormat="1">
      <c r="A4" s="887"/>
      <c r="B4" s="887"/>
      <c r="C4" s="887"/>
      <c r="D4" s="887"/>
      <c r="E4" s="887"/>
      <c r="F4" s="887"/>
      <c r="G4" s="887"/>
      <c r="H4" s="887"/>
      <c r="I4" s="887"/>
      <c r="J4" s="887"/>
      <c r="K4" s="887"/>
      <c r="L4" s="887"/>
      <c r="M4" s="887"/>
      <c r="N4" s="887"/>
      <c r="O4" s="887"/>
      <c r="Q4" s="887"/>
      <c r="R4" s="887"/>
      <c r="S4" s="887"/>
      <c r="T4" s="887"/>
    </row>
    <row r="5" spans="1:28" ht="15" hidden="1" customHeight="1">
      <c r="B5" s="666" t="s">
        <v>1362</v>
      </c>
      <c r="C5" s="664"/>
      <c r="D5" s="665"/>
      <c r="E5" s="664"/>
      <c r="G5" s="666" t="s">
        <v>1362</v>
      </c>
      <c r="H5" s="664"/>
      <c r="I5" s="665"/>
      <c r="J5" s="664"/>
    </row>
    <row r="6" spans="1:28" ht="15" hidden="1" customHeight="1">
      <c r="B6" s="652" t="s">
        <v>1684</v>
      </c>
      <c r="C6" s="653">
        <f>M42</f>
        <v>1115.0314520276704</v>
      </c>
      <c r="D6" s="656" t="s">
        <v>1350</v>
      </c>
      <c r="E6" s="654"/>
      <c r="G6" s="652" t="s">
        <v>1685</v>
      </c>
      <c r="H6" s="653">
        <f>M43</f>
        <v>1074.9139052007592</v>
      </c>
      <c r="I6" s="656" t="s">
        <v>1350</v>
      </c>
      <c r="J6" s="654"/>
    </row>
    <row r="7" spans="1:28" ht="15" hidden="1" customHeight="1">
      <c r="B7" s="652" t="s">
        <v>48</v>
      </c>
      <c r="C7" s="655">
        <f>$P$44</f>
        <v>18.5745</v>
      </c>
      <c r="D7" s="656" t="s">
        <v>1351</v>
      </c>
      <c r="E7" s="656"/>
      <c r="G7" s="652" t="s">
        <v>48</v>
      </c>
      <c r="H7" s="655">
        <f>$P$44</f>
        <v>18.5745</v>
      </c>
      <c r="I7" s="656" t="s">
        <v>1351</v>
      </c>
      <c r="J7" s="656"/>
    </row>
    <row r="8" spans="1:28" ht="15" hidden="1" customHeight="1">
      <c r="B8" s="652" t="s">
        <v>1352</v>
      </c>
      <c r="C8" s="653">
        <f>C6*C7</f>
        <v>20711.151705687964</v>
      </c>
      <c r="D8" s="656" t="s">
        <v>1353</v>
      </c>
      <c r="E8" s="656" t="s">
        <v>21</v>
      </c>
      <c r="G8" s="652" t="s">
        <v>1352</v>
      </c>
      <c r="H8" s="653">
        <f>H6*H7</f>
        <v>19965.988332151504</v>
      </c>
      <c r="I8" s="656" t="s">
        <v>1353</v>
      </c>
      <c r="J8" s="656" t="s">
        <v>21</v>
      </c>
    </row>
    <row r="9" spans="1:28" ht="15" hidden="1" customHeight="1">
      <c r="B9" s="652" t="s">
        <v>1354</v>
      </c>
      <c r="C9" s="653" t="e">
        <f>#REF!</f>
        <v>#REF!</v>
      </c>
      <c r="D9" s="656" t="s">
        <v>1350</v>
      </c>
      <c r="E9" s="656" t="s">
        <v>20</v>
      </c>
      <c r="G9" s="652" t="s">
        <v>1354</v>
      </c>
      <c r="H9" s="653" t="e">
        <f>#REF!</f>
        <v>#REF!</v>
      </c>
      <c r="I9" s="656" t="s">
        <v>1350</v>
      </c>
      <c r="J9" s="656" t="s">
        <v>20</v>
      </c>
    </row>
    <row r="10" spans="1:28" ht="15" hidden="1" customHeight="1">
      <c r="B10" s="652" t="s">
        <v>51</v>
      </c>
      <c r="C10" s="653">
        <f>$M$45</f>
        <v>819.46967861182998</v>
      </c>
      <c r="D10" s="656" t="s">
        <v>1350</v>
      </c>
      <c r="E10" s="656" t="s">
        <v>1355</v>
      </c>
      <c r="G10" s="652" t="s">
        <v>51</v>
      </c>
      <c r="H10" s="653">
        <f>$M$45</f>
        <v>819.46967861182998</v>
      </c>
      <c r="I10" s="656" t="s">
        <v>1350</v>
      </c>
      <c r="J10" s="656" t="s">
        <v>1355</v>
      </c>
    </row>
    <row r="11" spans="1:28" ht="15" hidden="1" customHeight="1">
      <c r="B11" s="652" t="s">
        <v>1356</v>
      </c>
      <c r="C11" s="653" t="e">
        <f>C8+C9-C10</f>
        <v>#REF!</v>
      </c>
      <c r="D11" s="656" t="s">
        <v>1350</v>
      </c>
      <c r="E11" s="656" t="s">
        <v>1357</v>
      </c>
      <c r="G11" s="652" t="s">
        <v>1356</v>
      </c>
      <c r="H11" s="653" t="e">
        <f>H8+H9-H10</f>
        <v>#REF!</v>
      </c>
      <c r="I11" s="656" t="s">
        <v>1350</v>
      </c>
      <c r="J11" s="656" t="s">
        <v>1357</v>
      </c>
    </row>
    <row r="12" spans="1:28" hidden="1">
      <c r="B12" s="652" t="s">
        <v>24</v>
      </c>
      <c r="C12" s="657">
        <f>$P$48</f>
        <v>30944375</v>
      </c>
      <c r="D12" s="663"/>
      <c r="E12" s="658"/>
      <c r="G12" s="652" t="s">
        <v>24</v>
      </c>
      <c r="H12" s="657">
        <f>$P$48</f>
        <v>30944375</v>
      </c>
      <c r="I12" s="663"/>
      <c r="J12" s="658"/>
    </row>
    <row r="13" spans="1:28" hidden="1">
      <c r="B13" s="659" t="s">
        <v>1358</v>
      </c>
      <c r="C13" s="660" t="e">
        <f>ROUND(C11*100000000/C12,-2)</f>
        <v>#REF!</v>
      </c>
      <c r="D13" s="661"/>
      <c r="E13" s="661"/>
      <c r="G13" s="659" t="s">
        <v>1358</v>
      </c>
      <c r="H13" s="660" t="e">
        <f>ROUND(H11*100000000/H12,-2)</f>
        <v>#REF!</v>
      </c>
      <c r="I13" s="661"/>
      <c r="J13" s="661"/>
    </row>
    <row r="14" spans="1:28" hidden="1">
      <c r="B14" s="652" t="s">
        <v>1359</v>
      </c>
      <c r="C14" s="653">
        <f>$P$49</f>
        <v>40300</v>
      </c>
      <c r="D14" s="656"/>
      <c r="E14" s="658"/>
      <c r="G14" s="652" t="s">
        <v>1359</v>
      </c>
      <c r="H14" s="653">
        <f>$P$49</f>
        <v>40300</v>
      </c>
      <c r="I14" s="656"/>
      <c r="J14" s="658"/>
    </row>
    <row r="15" spans="1:28" hidden="1">
      <c r="B15" s="652" t="s">
        <v>1360</v>
      </c>
      <c r="C15" s="5" t="e">
        <f>C13/C14-1</f>
        <v>#REF!</v>
      </c>
      <c r="D15" s="656"/>
      <c r="E15" s="654"/>
      <c r="G15" s="652" t="s">
        <v>1360</v>
      </c>
      <c r="H15" s="5" t="e">
        <f>H13/H14-1</f>
        <v>#REF!</v>
      </c>
      <c r="I15" s="656"/>
      <c r="J15" s="654"/>
    </row>
    <row r="16" spans="1:28" ht="15" hidden="1" customHeight="1"/>
    <row r="17" spans="2:10" s="718" customFormat="1" ht="15" hidden="1" customHeight="1">
      <c r="B17" s="666" t="s">
        <v>1362</v>
      </c>
      <c r="C17" s="666"/>
      <c r="D17" s="719"/>
      <c r="E17" s="666"/>
      <c r="G17" s="666" t="s">
        <v>1362</v>
      </c>
      <c r="H17" s="666"/>
      <c r="I17" s="719"/>
      <c r="J17" s="666"/>
    </row>
    <row r="18" spans="2:10" ht="15" hidden="1" customHeight="1">
      <c r="B18" s="652" t="s">
        <v>1528</v>
      </c>
      <c r="C18" s="653">
        <f>N42</f>
        <v>1265.8318250066595</v>
      </c>
      <c r="D18" s="656" t="s">
        <v>1350</v>
      </c>
      <c r="E18" s="654"/>
      <c r="G18" s="652" t="s">
        <v>1529</v>
      </c>
      <c r="H18" s="653">
        <f>N43</f>
        <v>1182.140732806497</v>
      </c>
      <c r="I18" s="656" t="s">
        <v>1350</v>
      </c>
      <c r="J18" s="654"/>
    </row>
    <row r="19" spans="2:10" ht="15" hidden="1" customHeight="1">
      <c r="B19" s="652" t="s">
        <v>48</v>
      </c>
      <c r="C19" s="655">
        <f>$P$44</f>
        <v>18.5745</v>
      </c>
      <c r="D19" s="656" t="s">
        <v>1351</v>
      </c>
      <c r="E19" s="656"/>
      <c r="G19" s="652" t="s">
        <v>48</v>
      </c>
      <c r="H19" s="655">
        <f>$P$44</f>
        <v>18.5745</v>
      </c>
      <c r="I19" s="656" t="s">
        <v>1351</v>
      </c>
      <c r="J19" s="656"/>
    </row>
    <row r="20" spans="2:10" ht="15" hidden="1" customHeight="1">
      <c r="B20" s="652" t="s">
        <v>1352</v>
      </c>
      <c r="C20" s="653">
        <f>C18*C19</f>
        <v>23512.193233586197</v>
      </c>
      <c r="D20" s="656" t="s">
        <v>1353</v>
      </c>
      <c r="E20" s="656" t="s">
        <v>21</v>
      </c>
      <c r="G20" s="652" t="s">
        <v>1352</v>
      </c>
      <c r="H20" s="653">
        <f>H18*H19</f>
        <v>21957.673041514277</v>
      </c>
      <c r="I20" s="656" t="s">
        <v>1353</v>
      </c>
      <c r="J20" s="656" t="s">
        <v>21</v>
      </c>
    </row>
    <row r="21" spans="2:10" ht="15" hidden="1" customHeight="1">
      <c r="B21" s="652" t="s">
        <v>1354</v>
      </c>
      <c r="C21" s="653" t="e">
        <f>#REF!</f>
        <v>#REF!</v>
      </c>
      <c r="D21" s="656" t="s">
        <v>1350</v>
      </c>
      <c r="E21" s="656" t="s">
        <v>20</v>
      </c>
      <c r="G21" s="652" t="s">
        <v>1354</v>
      </c>
      <c r="H21" s="653" t="e">
        <f>#REF!</f>
        <v>#REF!</v>
      </c>
      <c r="I21" s="656" t="s">
        <v>1350</v>
      </c>
      <c r="J21" s="656" t="s">
        <v>20</v>
      </c>
    </row>
    <row r="22" spans="2:10" ht="15" hidden="1" customHeight="1">
      <c r="B22" s="652" t="s">
        <v>51</v>
      </c>
      <c r="C22" s="653">
        <f>$N$45</f>
        <v>148.58323909410069</v>
      </c>
      <c r="D22" s="656" t="s">
        <v>1350</v>
      </c>
      <c r="E22" s="656" t="s">
        <v>1355</v>
      </c>
      <c r="G22" s="652" t="s">
        <v>51</v>
      </c>
      <c r="H22" s="653">
        <f>$N$45</f>
        <v>148.58323909410069</v>
      </c>
      <c r="I22" s="656" t="s">
        <v>1350</v>
      </c>
      <c r="J22" s="656" t="s">
        <v>1355</v>
      </c>
    </row>
    <row r="23" spans="2:10" ht="15" hidden="1" customHeight="1">
      <c r="B23" s="652" t="s">
        <v>1356</v>
      </c>
      <c r="C23" s="653" t="e">
        <f>C20+C21-C22</f>
        <v>#REF!</v>
      </c>
      <c r="D23" s="656" t="s">
        <v>1350</v>
      </c>
      <c r="E23" s="656" t="s">
        <v>1357</v>
      </c>
      <c r="G23" s="652" t="s">
        <v>1356</v>
      </c>
      <c r="H23" s="653" t="e">
        <f>H20+H21-H22</f>
        <v>#REF!</v>
      </c>
      <c r="I23" s="656" t="s">
        <v>1350</v>
      </c>
      <c r="J23" s="656" t="s">
        <v>1357</v>
      </c>
    </row>
    <row r="24" spans="2:10" ht="15" hidden="1" customHeight="1">
      <c r="B24" s="652" t="s">
        <v>24</v>
      </c>
      <c r="C24" s="657">
        <f>$P$48</f>
        <v>30944375</v>
      </c>
      <c r="D24" s="663"/>
      <c r="E24" s="658"/>
      <c r="G24" s="652" t="s">
        <v>24</v>
      </c>
      <c r="H24" s="657">
        <f>$P$48</f>
        <v>30944375</v>
      </c>
      <c r="I24" s="663"/>
      <c r="J24" s="658"/>
    </row>
    <row r="25" spans="2:10" ht="15" hidden="1" customHeight="1">
      <c r="B25" s="659" t="s">
        <v>1358</v>
      </c>
      <c r="C25" s="660" t="e">
        <f>ROUND(C23*100000000/C24,-2)</f>
        <v>#REF!</v>
      </c>
      <c r="D25" s="661"/>
      <c r="E25" s="661"/>
      <c r="G25" s="659" t="s">
        <v>1358</v>
      </c>
      <c r="H25" s="660" t="e">
        <f>ROUND(H23*100000000/H24,-2)</f>
        <v>#REF!</v>
      </c>
      <c r="I25" s="661"/>
      <c r="J25" s="661"/>
    </row>
    <row r="26" spans="2:10" ht="15" hidden="1" customHeight="1">
      <c r="B26" s="652" t="s">
        <v>1359</v>
      </c>
      <c r="C26" s="653">
        <f>$P$49</f>
        <v>40300</v>
      </c>
      <c r="D26" s="656"/>
      <c r="E26" s="658"/>
      <c r="G26" s="652" t="s">
        <v>1359</v>
      </c>
      <c r="H26" s="653">
        <f>$P$49</f>
        <v>40300</v>
      </c>
      <c r="I26" s="656"/>
      <c r="J26" s="658"/>
    </row>
    <row r="27" spans="2:10" ht="15" hidden="1" customHeight="1">
      <c r="B27" s="652" t="s">
        <v>1360</v>
      </c>
      <c r="C27" s="5" t="e">
        <f>C25/C26-1</f>
        <v>#REF!</v>
      </c>
      <c r="D27" s="656"/>
      <c r="E27" s="654"/>
      <c r="G27" s="652" t="s">
        <v>1360</v>
      </c>
      <c r="H27" s="5" t="e">
        <f>H25/H26-1</f>
        <v>#REF!</v>
      </c>
      <c r="I27" s="656"/>
      <c r="J27" s="654"/>
    </row>
    <row r="28" spans="2:10" ht="15" hidden="1" customHeight="1"/>
    <row r="29" spans="2:10" ht="15" hidden="1" customHeight="1">
      <c r="B29" s="666" t="s">
        <v>1362</v>
      </c>
      <c r="C29" s="664"/>
      <c r="D29" s="665"/>
      <c r="E29" s="664"/>
      <c r="G29" s="666" t="s">
        <v>1362</v>
      </c>
      <c r="H29" s="664"/>
      <c r="I29" s="665"/>
      <c r="J29" s="664"/>
    </row>
    <row r="30" spans="2:10" ht="15" hidden="1" customHeight="1">
      <c r="B30" s="652" t="s">
        <v>1530</v>
      </c>
      <c r="C30" s="653">
        <f>O42</f>
        <v>1551.7574260423492</v>
      </c>
      <c r="D30" s="656" t="s">
        <v>1350</v>
      </c>
      <c r="E30" s="654"/>
      <c r="G30" s="652" t="s">
        <v>1531</v>
      </c>
      <c r="H30" s="653">
        <f>O43</f>
        <v>1149.2465447018697</v>
      </c>
      <c r="I30" s="656" t="s">
        <v>1350</v>
      </c>
      <c r="J30" s="654"/>
    </row>
    <row r="31" spans="2:10" ht="15" hidden="1" customHeight="1">
      <c r="B31" s="652" t="s">
        <v>48</v>
      </c>
      <c r="C31" s="655">
        <f>$P$44</f>
        <v>18.5745</v>
      </c>
      <c r="D31" s="656" t="s">
        <v>1351</v>
      </c>
      <c r="E31" s="656"/>
      <c r="G31" s="652" t="s">
        <v>48</v>
      </c>
      <c r="H31" s="655">
        <f>$P$44</f>
        <v>18.5745</v>
      </c>
      <c r="I31" s="656" t="s">
        <v>1351</v>
      </c>
      <c r="J31" s="656"/>
    </row>
    <row r="32" spans="2:10" ht="15" hidden="1" customHeight="1">
      <c r="B32" s="652" t="s">
        <v>1352</v>
      </c>
      <c r="C32" s="653">
        <f>C30*C31</f>
        <v>28823.118310023616</v>
      </c>
      <c r="D32" s="656" t="s">
        <v>1353</v>
      </c>
      <c r="E32" s="656" t="s">
        <v>21</v>
      </c>
      <c r="G32" s="652" t="s">
        <v>1352</v>
      </c>
      <c r="H32" s="653">
        <f>H30*H31</f>
        <v>21346.679944564879</v>
      </c>
      <c r="I32" s="656" t="s">
        <v>1353</v>
      </c>
      <c r="J32" s="656" t="s">
        <v>21</v>
      </c>
    </row>
    <row r="33" spans="2:24" ht="15" hidden="1" customHeight="1">
      <c r="B33" s="652" t="s">
        <v>1354</v>
      </c>
      <c r="C33" s="653" t="e">
        <f>#REF!</f>
        <v>#REF!</v>
      </c>
      <c r="D33" s="656" t="s">
        <v>1350</v>
      </c>
      <c r="E33" s="656" t="s">
        <v>20</v>
      </c>
      <c r="G33" s="652" t="s">
        <v>1354</v>
      </c>
      <c r="H33" s="653" t="e">
        <f>#REF!</f>
        <v>#REF!</v>
      </c>
      <c r="I33" s="656" t="s">
        <v>1350</v>
      </c>
      <c r="J33" s="656" t="s">
        <v>20</v>
      </c>
    </row>
    <row r="34" spans="2:24" ht="15" hidden="1" customHeight="1">
      <c r="B34" s="652" t="s">
        <v>51</v>
      </c>
      <c r="C34" s="653">
        <f>$O$45</f>
        <v>-104.86934945238499</v>
      </c>
      <c r="D34" s="656" t="s">
        <v>1350</v>
      </c>
      <c r="E34" s="656" t="s">
        <v>1355</v>
      </c>
      <c r="G34" s="652" t="s">
        <v>51</v>
      </c>
      <c r="H34" s="653">
        <f>$O$45</f>
        <v>-104.86934945238499</v>
      </c>
      <c r="I34" s="656" t="s">
        <v>1350</v>
      </c>
      <c r="J34" s="656" t="s">
        <v>1355</v>
      </c>
    </row>
    <row r="35" spans="2:24" ht="15" hidden="1" customHeight="1">
      <c r="B35" s="652" t="s">
        <v>1356</v>
      </c>
      <c r="C35" s="653" t="e">
        <f>C32+C33-C34</f>
        <v>#REF!</v>
      </c>
      <c r="D35" s="656" t="s">
        <v>1350</v>
      </c>
      <c r="E35" s="656" t="s">
        <v>1357</v>
      </c>
      <c r="G35" s="652" t="s">
        <v>1356</v>
      </c>
      <c r="H35" s="653" t="e">
        <f>H32+H33-H34</f>
        <v>#REF!</v>
      </c>
      <c r="I35" s="656" t="s">
        <v>1350</v>
      </c>
      <c r="J35" s="656" t="s">
        <v>1357</v>
      </c>
    </row>
    <row r="36" spans="2:24" hidden="1">
      <c r="B36" s="652" t="s">
        <v>24</v>
      </c>
      <c r="C36" s="657">
        <f>$P$48</f>
        <v>30944375</v>
      </c>
      <c r="D36" s="663"/>
      <c r="E36" s="658"/>
      <c r="G36" s="652" t="s">
        <v>24</v>
      </c>
      <c r="H36" s="657">
        <f>$P$48</f>
        <v>30944375</v>
      </c>
      <c r="I36" s="663"/>
      <c r="J36" s="658"/>
    </row>
    <row r="37" spans="2:24" hidden="1">
      <c r="B37" s="659" t="s">
        <v>1358</v>
      </c>
      <c r="C37" s="660" t="e">
        <f>ROUND(C35*100000000/C36,-2)</f>
        <v>#REF!</v>
      </c>
      <c r="D37" s="661"/>
      <c r="E37" s="661"/>
      <c r="G37" s="659" t="s">
        <v>1358</v>
      </c>
      <c r="H37" s="660" t="e">
        <f>ROUND(H35*100000000/H36,-2)</f>
        <v>#REF!</v>
      </c>
      <c r="I37" s="661"/>
      <c r="J37" s="661"/>
    </row>
    <row r="38" spans="2:24" hidden="1">
      <c r="B38" s="652" t="s">
        <v>1359</v>
      </c>
      <c r="C38" s="653">
        <f>$P$49</f>
        <v>40300</v>
      </c>
      <c r="D38" s="656"/>
      <c r="E38" s="658"/>
      <c r="G38" s="652" t="s">
        <v>1359</v>
      </c>
      <c r="H38" s="653">
        <f>$P$49</f>
        <v>40300</v>
      </c>
      <c r="I38" s="656"/>
      <c r="J38" s="658"/>
    </row>
    <row r="39" spans="2:24" hidden="1">
      <c r="B39" s="652" t="s">
        <v>1360</v>
      </c>
      <c r="C39" s="5" t="e">
        <f>C37/C38-1</f>
        <v>#REF!</v>
      </c>
      <c r="D39" s="656"/>
      <c r="E39" s="654"/>
      <c r="G39" s="652" t="s">
        <v>1360</v>
      </c>
      <c r="H39" s="5" t="e">
        <f>H37/H38-1</f>
        <v>#REF!</v>
      </c>
      <c r="I39" s="656"/>
      <c r="J39" s="654"/>
    </row>
    <row r="40" spans="2:24" ht="17.399999999999999">
      <c r="S40" s="987" t="s">
        <v>1766</v>
      </c>
      <c r="T40" s="988"/>
      <c r="U40" s="988"/>
      <c r="V40" s="988"/>
      <c r="W40" s="989"/>
    </row>
    <row r="41" spans="2:24">
      <c r="B41" s="666" t="s">
        <v>1362</v>
      </c>
      <c r="C41" s="664"/>
      <c r="D41" s="665"/>
      <c r="E41" s="664"/>
      <c r="G41" s="666" t="s">
        <v>1362</v>
      </c>
      <c r="H41" s="664"/>
      <c r="I41" s="665"/>
      <c r="J41" s="664"/>
      <c r="L41" s="731"/>
      <c r="M41" s="732">
        <v>2026</v>
      </c>
      <c r="N41" s="732">
        <v>2027</v>
      </c>
      <c r="O41" s="732">
        <v>2028</v>
      </c>
      <c r="P41" s="733" t="s">
        <v>1538</v>
      </c>
      <c r="Q41" s="718">
        <v>100</v>
      </c>
      <c r="R41" s="718"/>
      <c r="S41" s="666" t="s">
        <v>1763</v>
      </c>
      <c r="T41" s="666" t="s">
        <v>1764</v>
      </c>
      <c r="U41" s="719" t="s">
        <v>1772</v>
      </c>
      <c r="V41" s="719" t="s">
        <v>1771</v>
      </c>
      <c r="W41" s="666" t="s">
        <v>1765</v>
      </c>
    </row>
    <row r="42" spans="2:24">
      <c r="B42" s="652" t="s">
        <v>1532</v>
      </c>
      <c r="C42" s="653">
        <f>P42</f>
        <v>1408.7946255245042</v>
      </c>
      <c r="D42" s="656" t="s">
        <v>1350</v>
      </c>
      <c r="E42" s="654"/>
      <c r="G42" s="652" t="s">
        <v>1533</v>
      </c>
      <c r="H42" s="653">
        <f>P43</f>
        <v>1165.6936387541832</v>
      </c>
      <c r="I42" s="656" t="s">
        <v>1350</v>
      </c>
      <c r="J42" s="654"/>
      <c r="L42" s="729" t="s">
        <v>1536</v>
      </c>
      <c r="M42" s="725">
        <v>1115.0314520276704</v>
      </c>
      <c r="N42" s="725">
        <v>1265.8318250066595</v>
      </c>
      <c r="O42" s="725">
        <v>1551.7574260423492</v>
      </c>
      <c r="P42" s="726">
        <f>AVERAGE(N42:O42)</f>
        <v>1408.7946255245042</v>
      </c>
      <c r="S42" s="998" t="s">
        <v>1761</v>
      </c>
      <c r="T42" s="235" t="s">
        <v>1762</v>
      </c>
      <c r="U42" s="994">
        <v>36.909999999999997</v>
      </c>
      <c r="V42" s="995">
        <v>38.75</v>
      </c>
      <c r="W42" s="991"/>
    </row>
    <row r="43" spans="2:24">
      <c r="B43" s="652" t="s">
        <v>48</v>
      </c>
      <c r="C43" s="655">
        <f>$P$44</f>
        <v>18.5745</v>
      </c>
      <c r="D43" s="656" t="s">
        <v>1351</v>
      </c>
      <c r="E43" s="656"/>
      <c r="G43" s="652" t="s">
        <v>48</v>
      </c>
      <c r="H43" s="655">
        <f>$P$44</f>
        <v>18.5745</v>
      </c>
      <c r="I43" s="656" t="s">
        <v>1351</v>
      </c>
      <c r="J43" s="656"/>
      <c r="L43" s="730" t="s">
        <v>1537</v>
      </c>
      <c r="M43" s="727">
        <v>1074.9139052007592</v>
      </c>
      <c r="N43" s="727">
        <v>1182.140732806497</v>
      </c>
      <c r="O43" s="727">
        <v>1149.2465447018697</v>
      </c>
      <c r="P43" s="728">
        <f>AVERAGE(N43:O43)</f>
        <v>1165.6936387541832</v>
      </c>
      <c r="S43" s="79">
        <v>7011</v>
      </c>
      <c r="T43" s="235" t="s">
        <v>1769</v>
      </c>
      <c r="U43" s="994">
        <v>19.2</v>
      </c>
      <c r="V43" s="994">
        <v>21.02</v>
      </c>
      <c r="W43" s="991">
        <v>81211.929583999998</v>
      </c>
      <c r="X43" s="2">
        <v>12121183.52</v>
      </c>
    </row>
    <row r="44" spans="2:24">
      <c r="B44" s="652" t="s">
        <v>1352</v>
      </c>
      <c r="C44" s="653">
        <f>C42*C43</f>
        <v>26167.655771804904</v>
      </c>
      <c r="D44" s="656" t="s">
        <v>1353</v>
      </c>
      <c r="E44" s="656" t="s">
        <v>21</v>
      </c>
      <c r="G44" s="652" t="s">
        <v>1352</v>
      </c>
      <c r="H44" s="653">
        <f>H42*H43</f>
        <v>21652.176493039577</v>
      </c>
      <c r="I44" s="656" t="s">
        <v>1353</v>
      </c>
      <c r="J44" s="656" t="s">
        <v>21</v>
      </c>
      <c r="L44" s="734" t="s">
        <v>1534</v>
      </c>
      <c r="P44" s="895">
        <f>U47*70%</f>
        <v>18.5745</v>
      </c>
      <c r="S44" s="998" t="s">
        <v>1767</v>
      </c>
      <c r="T44" s="235" t="s">
        <v>1768</v>
      </c>
      <c r="U44" s="994">
        <v>25.3</v>
      </c>
      <c r="V44" s="994">
        <v>26.73</v>
      </c>
      <c r="W44" s="991">
        <v>13729.69</v>
      </c>
    </row>
    <row r="45" spans="2:24">
      <c r="B45" s="652" t="s">
        <v>51</v>
      </c>
      <c r="C45" s="653">
        <f>$P$45</f>
        <v>21.856944820857848</v>
      </c>
      <c r="D45" s="656" t="s">
        <v>1350</v>
      </c>
      <c r="E45" s="656" t="s">
        <v>20</v>
      </c>
      <c r="G45" s="652" t="s">
        <v>51</v>
      </c>
      <c r="H45" s="653">
        <f>$P$45</f>
        <v>21.856944820857848</v>
      </c>
      <c r="I45" s="656" t="s">
        <v>1350</v>
      </c>
      <c r="J45" s="656" t="s">
        <v>20</v>
      </c>
      <c r="L45" s="729" t="s">
        <v>1539</v>
      </c>
      <c r="M45" s="766">
        <f>M46-M47</f>
        <v>819.46967861182998</v>
      </c>
      <c r="N45" s="766">
        <f>N46-N47</f>
        <v>148.58323909410069</v>
      </c>
      <c r="O45" s="766">
        <f>O46-O47</f>
        <v>-104.86934945238499</v>
      </c>
      <c r="P45" s="896">
        <f t="shared" ref="P45:P47" si="0">AVERAGE(N45:O45)</f>
        <v>21.856944820857848</v>
      </c>
      <c r="Q45" s="765" t="s">
        <v>1543</v>
      </c>
      <c r="S45" s="999" t="s">
        <v>1773</v>
      </c>
      <c r="T45" s="2" t="s">
        <v>1770</v>
      </c>
      <c r="U45" s="996">
        <v>24.73</v>
      </c>
      <c r="V45" s="996">
        <v>27.55</v>
      </c>
      <c r="W45" s="992"/>
    </row>
    <row r="46" spans="2:24">
      <c r="B46" s="652" t="s">
        <v>1356</v>
      </c>
      <c r="C46" s="653">
        <f>C44-C45</f>
        <v>26145.798826984046</v>
      </c>
      <c r="D46" s="656" t="s">
        <v>1350</v>
      </c>
      <c r="E46" s="656" t="s">
        <v>1759</v>
      </c>
      <c r="G46" s="652" t="s">
        <v>1356</v>
      </c>
      <c r="H46" s="653">
        <f>H44-H45</f>
        <v>21630.319548218718</v>
      </c>
      <c r="I46" s="656" t="s">
        <v>1350</v>
      </c>
      <c r="J46" s="656" t="s">
        <v>1759</v>
      </c>
      <c r="L46" s="769" t="s">
        <v>1545</v>
      </c>
      <c r="M46" s="766">
        <f>'요약 재무제표'!P17</f>
        <v>1563.7791287</v>
      </c>
      <c r="N46" s="766">
        <f>'요약 재무제표'!Q17</f>
        <v>1261.4842713</v>
      </c>
      <c r="O46" s="766">
        <f>'요약 재무제표'!R17</f>
        <v>1544.2790508000001</v>
      </c>
      <c r="P46" s="896">
        <f t="shared" si="0"/>
        <v>1402.88166105</v>
      </c>
      <c r="Q46" s="2" t="s">
        <v>1595</v>
      </c>
      <c r="S46" s="1000"/>
      <c r="T46" s="990" t="s">
        <v>1774</v>
      </c>
      <c r="U46" s="997">
        <v>10.7</v>
      </c>
      <c r="V46" s="997"/>
      <c r="W46" s="993"/>
    </row>
    <row r="47" spans="2:24">
      <c r="B47" s="652" t="s">
        <v>24</v>
      </c>
      <c r="C47" s="657">
        <f>$P$48</f>
        <v>30944375</v>
      </c>
      <c r="D47" s="663"/>
      <c r="E47" s="658"/>
      <c r="G47" s="652" t="s">
        <v>24</v>
      </c>
      <c r="H47" s="657">
        <f>$P$48</f>
        <v>30944375</v>
      </c>
      <c r="I47" s="663"/>
      <c r="J47" s="658"/>
      <c r="L47" s="769" t="s">
        <v>1544</v>
      </c>
      <c r="M47" s="766">
        <f>'요약 재무제표'!P7</f>
        <v>744.30945008817002</v>
      </c>
      <c r="N47" s="766">
        <f>'요약 재무제표'!Q7</f>
        <v>1112.9010322058994</v>
      </c>
      <c r="O47" s="766">
        <f>'요약 재무제표'!R7</f>
        <v>1649.148400252385</v>
      </c>
      <c r="P47" s="896">
        <f t="shared" si="0"/>
        <v>1381.0247162291421</v>
      </c>
      <c r="U47" s="1001">
        <f>AVERAGE(U42:U45)</f>
        <v>26.535</v>
      </c>
      <c r="V47" s="1001">
        <f>AVERAGE(V42:V45)</f>
        <v>28.512499999999999</v>
      </c>
    </row>
    <row r="48" spans="2:24">
      <c r="B48" s="659" t="s">
        <v>1358</v>
      </c>
      <c r="C48" s="660">
        <f>ROUND(C46*100000000/C47,-2)</f>
        <v>84500</v>
      </c>
      <c r="D48" s="661"/>
      <c r="E48" s="661"/>
      <c r="G48" s="659" t="s">
        <v>1358</v>
      </c>
      <c r="H48" s="660">
        <f>ROUND(H46*100000000/H47,-2)</f>
        <v>69900</v>
      </c>
      <c r="I48" s="661"/>
      <c r="J48" s="661"/>
      <c r="L48" s="730" t="s">
        <v>24</v>
      </c>
      <c r="M48" s="767"/>
      <c r="N48" s="767"/>
      <c r="O48" s="767"/>
      <c r="P48" s="897">
        <v>30944375</v>
      </c>
    </row>
    <row r="49" spans="2:16">
      <c r="B49" s="652" t="s">
        <v>1359</v>
      </c>
      <c r="C49" s="653">
        <f>$P$49</f>
        <v>40300</v>
      </c>
      <c r="D49" s="656"/>
      <c r="E49" s="658"/>
      <c r="G49" s="652" t="s">
        <v>1359</v>
      </c>
      <c r="H49" s="653">
        <f>$P$49</f>
        <v>40300</v>
      </c>
      <c r="I49" s="656"/>
      <c r="J49" s="658"/>
      <c r="L49" s="735" t="s">
        <v>1540</v>
      </c>
      <c r="M49" s="768"/>
      <c r="N49" s="768"/>
      <c r="O49" s="768"/>
      <c r="P49" s="898">
        <v>40300</v>
      </c>
    </row>
    <row r="50" spans="2:16">
      <c r="B50" s="652" t="s">
        <v>1360</v>
      </c>
      <c r="C50" s="5">
        <f>C48/C49-1</f>
        <v>1.096774193548387</v>
      </c>
      <c r="D50" s="656"/>
      <c r="E50" s="654"/>
      <c r="G50" s="652" t="s">
        <v>1360</v>
      </c>
      <c r="H50" s="5">
        <f>H48/H49-1</f>
        <v>0.73449131513647647</v>
      </c>
      <c r="I50" s="656"/>
      <c r="J50" s="65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D9B1-EFCE-A540-953B-2FC7CE508B95}">
  <sheetPr>
    <tabColor rgb="FF203864"/>
  </sheetPr>
  <dimension ref="A1:AK60"/>
  <sheetViews>
    <sheetView zoomScale="85" zoomScaleNormal="85" workbookViewId="0"/>
  </sheetViews>
  <sheetFormatPr defaultColWidth="12.69921875" defaultRowHeight="19.2"/>
  <cols>
    <col min="1" max="1" width="1.69921875" style="191" customWidth="1"/>
    <col min="2" max="16384" width="12.69921875" style="191"/>
  </cols>
  <sheetData>
    <row r="1" spans="1:37" s="185" customFormat="1" ht="24.6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</row>
    <row r="2" spans="1:37" s="185" customFormat="1" ht="36">
      <c r="A2" s="175" t="str">
        <f>'Valuation ▶'!A3</f>
        <v>비에이치아이(083650.KQ)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</row>
    <row r="3" spans="1:37" s="185" customForma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</row>
    <row r="4" spans="1:37" s="185" customFormat="1" ht="27.6">
      <c r="A4" s="188" t="s">
        <v>23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</row>
    <row r="5" spans="1:37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</row>
    <row r="6" spans="1:37">
      <c r="A6" s="190"/>
      <c r="B6" s="190"/>
      <c r="C6" s="192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</row>
    <row r="7" spans="1:37" ht="59.4">
      <c r="A7" s="190"/>
      <c r="B7" s="190"/>
      <c r="C7" s="193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</row>
    <row r="8" spans="1:37" ht="59.4">
      <c r="A8" s="190"/>
      <c r="B8" s="190"/>
      <c r="C8" s="193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</row>
    <row r="9" spans="1:37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</row>
    <row r="10" spans="1:37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</row>
    <row r="11" spans="1:37">
      <c r="A11" s="190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</row>
    <row r="12" spans="1:37">
      <c r="A12" s="190"/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</row>
    <row r="13" spans="1:37">
      <c r="A13" s="190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</row>
    <row r="14" spans="1:37">
      <c r="A14" s="190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</row>
    <row r="15" spans="1:37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</row>
    <row r="16" spans="1:37">
      <c r="A16" s="190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</row>
    <row r="17" spans="1:37">
      <c r="A17" s="190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</row>
    <row r="18" spans="1:37">
      <c r="A18" s="190"/>
      <c r="B18" s="190"/>
      <c r="C18" s="194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</row>
    <row r="19" spans="1:37">
      <c r="A19" s="190"/>
      <c r="B19" s="190"/>
      <c r="C19" s="195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</row>
    <row r="20" spans="1:37">
      <c r="A20" s="190"/>
      <c r="B20" s="190"/>
      <c r="C20" s="195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</row>
    <row r="21" spans="1:37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</row>
    <row r="22" spans="1:37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</row>
    <row r="23" spans="1:37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</row>
    <row r="24" spans="1:37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</row>
    <row r="25" spans="1:37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</row>
    <row r="26" spans="1:37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</row>
    <row r="27" spans="1:37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</row>
    <row r="28" spans="1:37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</row>
    <row r="29" spans="1:37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</row>
    <row r="30" spans="1:37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</row>
    <row r="31" spans="1:37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</row>
    <row r="32" spans="1:37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</row>
    <row r="33" spans="1:37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</row>
    <row r="34" spans="1:37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</row>
    <row r="35" spans="1:37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</row>
    <row r="36" spans="1:37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</row>
    <row r="37" spans="1:37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</row>
    <row r="38" spans="1:37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</row>
    <row r="39" spans="1:37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</row>
    <row r="40" spans="1:37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</row>
    <row r="41" spans="1:37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</row>
    <row r="42" spans="1:37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</row>
    <row r="43" spans="1:37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</row>
    <row r="44" spans="1:37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</row>
    <row r="45" spans="1:37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</row>
    <row r="46" spans="1:37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</row>
    <row r="47" spans="1:37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</row>
    <row r="48" spans="1:37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</row>
    <row r="49" spans="1:37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</row>
    <row r="50" spans="1:37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</row>
    <row r="51" spans="1:37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</row>
    <row r="52" spans="1:37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</row>
    <row r="53" spans="1:37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</row>
    <row r="54" spans="1:37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</row>
    <row r="55" spans="1:37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</row>
    <row r="56" spans="1:37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190"/>
      <c r="AK56" s="190"/>
    </row>
    <row r="57" spans="1:37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</row>
    <row r="58" spans="1:37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190"/>
      <c r="AK58" s="190"/>
    </row>
    <row r="59" spans="1:37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</row>
    <row r="60" spans="1:37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  <c r="AC60" s="190"/>
      <c r="AD60" s="190"/>
      <c r="AE60" s="190"/>
      <c r="AF60" s="190"/>
      <c r="AG60" s="190"/>
      <c r="AH60" s="190"/>
      <c r="AI60" s="190"/>
      <c r="AJ60" s="190"/>
      <c r="AK60" s="19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00AA-715C-4B62-9727-EC1B883CF675}">
  <sheetPr>
    <tabColor theme="6" tint="0.79998168889431442"/>
  </sheetPr>
  <dimension ref="A1:AT84"/>
  <sheetViews>
    <sheetView showGridLines="0" zoomScale="85" zoomScaleNormal="85" workbookViewId="0">
      <selection sqref="A1:XFD3"/>
    </sheetView>
  </sheetViews>
  <sheetFormatPr defaultRowHeight="13.2"/>
  <cols>
    <col min="1" max="1" width="2.5" style="289" customWidth="1"/>
    <col min="2" max="2" width="33.3984375" style="289" bestFit="1" customWidth="1"/>
    <col min="3" max="3" width="6" style="289" bestFit="1" customWidth="1"/>
    <col min="4" max="11" width="13.69921875" style="289" customWidth="1"/>
    <col min="12" max="14" width="8.796875" style="289"/>
    <col min="15" max="15" width="16.59765625" style="289" bestFit="1" customWidth="1"/>
    <col min="16" max="19" width="11" style="289" customWidth="1"/>
    <col min="20" max="20" width="16" style="289" bestFit="1" customWidth="1"/>
    <col min="21" max="22" width="11.8984375" style="289" bestFit="1" customWidth="1"/>
    <col min="23" max="25" width="10.8984375" style="289" bestFit="1" customWidth="1"/>
    <col min="26" max="26" width="11.09765625" style="289" bestFit="1" customWidth="1"/>
    <col min="27" max="30" width="13.19921875" style="289" bestFit="1" customWidth="1"/>
    <col min="31" max="42" width="8.796875" style="289"/>
    <col min="43" max="46" width="10.8984375" style="289" bestFit="1" customWidth="1"/>
    <col min="47" max="55" width="8.796875" style="289"/>
    <col min="56" max="58" width="10.09765625" style="289" bestFit="1" customWidth="1"/>
    <col min="59" max="59" width="9.19921875" style="289" bestFit="1" customWidth="1"/>
    <col min="60" max="61" width="8.796875" style="289"/>
    <col min="62" max="64" width="10.09765625" style="289" bestFit="1" customWidth="1"/>
    <col min="65" max="16384" width="8.796875" style="289"/>
  </cols>
  <sheetData>
    <row r="1" spans="1:22" s="197" customFormat="1" ht="16.8">
      <c r="B1" s="198" t="s">
        <v>1777</v>
      </c>
    </row>
    <row r="2" spans="1:22" s="197" customFormat="1" ht="22.8" thickBot="1">
      <c r="B2" s="199" t="s">
        <v>1775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22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4" spans="1:22" ht="13.8" thickBot="1"/>
    <row r="5" spans="1:22" ht="15">
      <c r="B5" s="528" t="s">
        <v>1207</v>
      </c>
      <c r="C5" s="527" t="s">
        <v>1206</v>
      </c>
      <c r="D5" s="527">
        <v>202112</v>
      </c>
      <c r="E5" s="527">
        <v>202212</v>
      </c>
      <c r="F5" s="527">
        <v>202312</v>
      </c>
      <c r="G5" s="527">
        <v>202412</v>
      </c>
      <c r="H5" s="527">
        <v>202512</v>
      </c>
      <c r="I5" s="527">
        <v>202612</v>
      </c>
      <c r="J5" s="527">
        <v>202712</v>
      </c>
      <c r="K5" s="640">
        <v>202812</v>
      </c>
    </row>
    <row r="6" spans="1:22" ht="15">
      <c r="B6" s="526"/>
      <c r="C6" s="525"/>
      <c r="D6" s="525" t="s">
        <v>1289</v>
      </c>
      <c r="E6" s="525" t="s">
        <v>1289</v>
      </c>
      <c r="F6" s="525" t="s">
        <v>1289</v>
      </c>
      <c r="G6" s="525" t="s">
        <v>1289</v>
      </c>
      <c r="H6" s="525" t="s">
        <v>1289</v>
      </c>
      <c r="I6" s="525" t="s">
        <v>1289</v>
      </c>
      <c r="J6" s="525" t="s">
        <v>1289</v>
      </c>
      <c r="K6" s="641" t="s">
        <v>1289</v>
      </c>
    </row>
    <row r="7" spans="1:22" s="581" customFormat="1" ht="15">
      <c r="B7" s="524" t="s">
        <v>1284</v>
      </c>
      <c r="C7" s="515" t="s">
        <v>1167</v>
      </c>
      <c r="D7" s="514">
        <v>234883.71634000001</v>
      </c>
      <c r="E7" s="514">
        <v>330197.10940000002</v>
      </c>
      <c r="F7" s="514">
        <v>367399.20864000003</v>
      </c>
      <c r="G7" s="514">
        <v>404741.03860000003</v>
      </c>
      <c r="H7" s="514">
        <f>'Case Summary'!U9</f>
        <v>818060.12749306392</v>
      </c>
      <c r="I7" s="514">
        <f>'Case Summary'!V9</f>
        <v>1055423.4792523235</v>
      </c>
      <c r="J7" s="514">
        <f>'Case Summary'!W9</f>
        <v>1121745.8460618081</v>
      </c>
      <c r="K7" s="642">
        <f>'Case Summary'!X9</f>
        <v>1225142.8611473271</v>
      </c>
    </row>
    <row r="8" spans="1:22" s="581" customFormat="1" ht="15">
      <c r="B8" s="519" t="s">
        <v>1264</v>
      </c>
      <c r="C8" s="511" t="s">
        <v>1167</v>
      </c>
      <c r="D8" s="510">
        <v>241249.51876000001</v>
      </c>
      <c r="E8" s="510">
        <v>295265.47146999999</v>
      </c>
      <c r="F8" s="510">
        <v>323957.62202000001</v>
      </c>
      <c r="G8" s="510">
        <v>345623.02108999999</v>
      </c>
      <c r="H8" s="510">
        <f>'비용 세부항목 추정'!G7+'비용 세부항목 추정'!G38+'비용 세부항목 추정'!G49+'비용 세부항목 추정'!G61</f>
        <v>715009.59949154349</v>
      </c>
      <c r="I8" s="510">
        <f>'비용 세부항목 추정'!H7+'비용 세부항목 추정'!H38+'비용 세부항목 추정'!H49+'비용 세부항목 추정'!H61</f>
        <v>895855.70137058233</v>
      </c>
      <c r="J8" s="510">
        <f>'비용 세부항목 추정'!I7+'비용 세부항목 추정'!I38+'비용 세부항목 추정'!I49+'비용 세부항목 추정'!I61</f>
        <v>962321.77091226086</v>
      </c>
      <c r="K8" s="643">
        <f>'비용 세부항목 추정'!J7+'비용 세부항목 추정'!J38+'비용 세부항목 추정'!J49+'비용 세부항목 추정'!J61</f>
        <v>1062888.4080943798</v>
      </c>
    </row>
    <row r="9" spans="1:22" s="622" customFormat="1" ht="15">
      <c r="B9" s="620" t="s">
        <v>1288</v>
      </c>
      <c r="C9" s="962"/>
      <c r="D9" s="621">
        <f t="shared" ref="D9:K9" si="0">D8/D7</f>
        <v>1.027101931624691</v>
      </c>
      <c r="E9" s="621">
        <f t="shared" si="0"/>
        <v>0.89420974037757572</v>
      </c>
      <c r="F9" s="621">
        <f t="shared" si="0"/>
        <v>0.88175917204392595</v>
      </c>
      <c r="G9" s="621">
        <f t="shared" si="0"/>
        <v>0.8539361916091105</v>
      </c>
      <c r="H9" s="621">
        <f t="shared" si="0"/>
        <v>0.874030618852776</v>
      </c>
      <c r="I9" s="621">
        <f t="shared" si="0"/>
        <v>0.84881160878211537</v>
      </c>
      <c r="J9" s="621">
        <f t="shared" si="0"/>
        <v>0.85787861331579829</v>
      </c>
      <c r="K9" s="644">
        <f t="shared" si="0"/>
        <v>0.8675628302637306</v>
      </c>
    </row>
    <row r="10" spans="1:22" s="581" customFormat="1" ht="15">
      <c r="B10" s="521" t="s">
        <v>1287</v>
      </c>
      <c r="C10" s="508" t="s">
        <v>1167</v>
      </c>
      <c r="D10" s="520">
        <v>-6365.80242</v>
      </c>
      <c r="E10" s="520">
        <v>34931.637920000001</v>
      </c>
      <c r="F10" s="520">
        <v>43441.586609999998</v>
      </c>
      <c r="G10" s="520">
        <v>59118.017509999998</v>
      </c>
      <c r="H10" s="520">
        <f>H7-H8</f>
        <v>103050.52800152043</v>
      </c>
      <c r="I10" s="520">
        <f>I7-I8</f>
        <v>159567.77788174117</v>
      </c>
      <c r="J10" s="520">
        <f>J7-J8</f>
        <v>159424.07514954719</v>
      </c>
      <c r="K10" s="645">
        <f>K7-K8</f>
        <v>162254.4530529473</v>
      </c>
    </row>
    <row r="11" spans="1:22" s="581" customFormat="1" ht="15">
      <c r="B11" s="519" t="s">
        <v>1236</v>
      </c>
      <c r="C11" s="511" t="s">
        <v>1167</v>
      </c>
      <c r="D11" s="510">
        <v>24245.07762</v>
      </c>
      <c r="E11" s="510">
        <v>26823.58381</v>
      </c>
      <c r="F11" s="510">
        <v>28354.888439999999</v>
      </c>
      <c r="G11" s="510">
        <v>37190.759140000002</v>
      </c>
      <c r="H11" s="510">
        <f>SUM(H12:H14)</f>
        <v>39220.871378122887</v>
      </c>
      <c r="I11" s="510">
        <f>SUM(I12:I14)</f>
        <v>47346.999275925642</v>
      </c>
      <c r="J11" s="510">
        <f>SUM(J12:J14)</f>
        <v>52260.2580911197</v>
      </c>
      <c r="K11" s="643">
        <f>SUM(K12:K14)</f>
        <v>58465.988545723289</v>
      </c>
    </row>
    <row r="12" spans="1:22" ht="15">
      <c r="B12" s="522" t="s">
        <v>1231</v>
      </c>
      <c r="C12" s="509" t="s">
        <v>1167</v>
      </c>
      <c r="D12" s="3">
        <v>13000.707</v>
      </c>
      <c r="E12" s="3">
        <v>13948.49</v>
      </c>
      <c r="F12" s="3">
        <v>14157.436</v>
      </c>
      <c r="G12" s="3">
        <v>17165.348999999998</v>
      </c>
      <c r="H12" s="3">
        <f>'비용 세부항목 추정'!G74</f>
        <v>20255.340163934514</v>
      </c>
      <c r="I12" s="3">
        <f>'비용 세부항목 추정'!H74</f>
        <v>23564.003122489765</v>
      </c>
      <c r="J12" s="3">
        <f>'비용 세부항목 추정'!I74</f>
        <v>27131.200406177239</v>
      </c>
      <c r="K12" s="646">
        <f>'비용 세부항목 추정'!J74</f>
        <v>31238.41189689911</v>
      </c>
    </row>
    <row r="13" spans="1:22" ht="15">
      <c r="B13" s="522" t="s">
        <v>1227</v>
      </c>
      <c r="C13" s="509" t="s">
        <v>1167</v>
      </c>
      <c r="D13" s="3">
        <v>1041.9590000000001</v>
      </c>
      <c r="E13" s="3">
        <v>1176.78</v>
      </c>
      <c r="F13" s="3">
        <v>1715.5219999999999</v>
      </c>
      <c r="G13" s="3">
        <v>1913.114</v>
      </c>
      <c r="H13" s="3">
        <f>'비용 세부항목 추정'!G75</f>
        <v>1913.114</v>
      </c>
      <c r="I13" s="3">
        <f>'비용 세부항목 추정'!H75</f>
        <v>1913.114</v>
      </c>
      <c r="J13" s="3">
        <f>'비용 세부항목 추정'!I75</f>
        <v>1913.114</v>
      </c>
      <c r="K13" s="646">
        <f>'비용 세부항목 추정'!J75</f>
        <v>1913.114</v>
      </c>
    </row>
    <row r="14" spans="1:22" ht="15">
      <c r="B14" s="523" t="s">
        <v>1215</v>
      </c>
      <c r="C14" s="507" t="s">
        <v>1167</v>
      </c>
      <c r="D14" s="290">
        <v>21175</v>
      </c>
      <c r="E14" s="290">
        <v>31102</v>
      </c>
      <c r="F14" s="290">
        <v>16399</v>
      </c>
      <c r="G14" s="290">
        <v>13332</v>
      </c>
      <c r="H14" s="290">
        <f>'비용 세부항목 추정'!G76+'비용 세부항목 추정'!G78+'비용 세부항목 추정'!G79</f>
        <v>17052.417214188376</v>
      </c>
      <c r="I14" s="290">
        <f>'비용 세부항목 추정'!H76+'비용 세부항목 추정'!H78+'비용 세부항목 추정'!H79</f>
        <v>21869.882153435879</v>
      </c>
      <c r="J14" s="290">
        <f>'비용 세부항목 추정'!I76+'비용 세부항목 추정'!I78+'비용 세부항목 추정'!I79</f>
        <v>23215.94368494246</v>
      </c>
      <c r="K14" s="647">
        <f>'비용 세부항목 추정'!J76+'비용 세부항목 추정'!J78+'비용 세부항목 추정'!J79</f>
        <v>25314.462648824181</v>
      </c>
    </row>
    <row r="15" spans="1:22" s="581" customFormat="1" ht="15">
      <c r="B15" s="519" t="s">
        <v>1286</v>
      </c>
      <c r="C15" s="511" t="s">
        <v>1167</v>
      </c>
      <c r="D15" s="510">
        <v>-30610.88004</v>
      </c>
      <c r="E15" s="510">
        <v>8108.05411</v>
      </c>
      <c r="F15" s="510">
        <v>15086.69817</v>
      </c>
      <c r="G15" s="510">
        <v>21927.25837</v>
      </c>
      <c r="H15" s="510">
        <f>H10-H11</f>
        <v>63829.656623397546</v>
      </c>
      <c r="I15" s="510">
        <f>I10-I11</f>
        <v>112220.77860581553</v>
      </c>
      <c r="J15" s="510">
        <f>J10-J11</f>
        <v>107163.81705842749</v>
      </c>
      <c r="K15" s="643">
        <f>K10-K11</f>
        <v>103788.46450722401</v>
      </c>
    </row>
    <row r="16" spans="1:22" s="622" customFormat="1" ht="15">
      <c r="B16" s="721" t="s">
        <v>1285</v>
      </c>
      <c r="C16" s="722"/>
      <c r="D16" s="723">
        <f t="shared" ref="D16:K16" si="1">D15/D7</f>
        <v>-0.13032355123200617</v>
      </c>
      <c r="E16" s="723">
        <f t="shared" si="1"/>
        <v>2.4555194092198796E-2</v>
      </c>
      <c r="F16" s="723">
        <f t="shared" si="1"/>
        <v>4.1063502084956474E-2</v>
      </c>
      <c r="G16" s="723">
        <f t="shared" si="1"/>
        <v>5.4176019426758468E-2</v>
      </c>
      <c r="H16" s="723">
        <f t="shared" si="1"/>
        <v>7.8025629752916589E-2</v>
      </c>
      <c r="I16" s="723">
        <f t="shared" si="1"/>
        <v>0.10632772608518647</v>
      </c>
      <c r="J16" s="723">
        <f t="shared" si="1"/>
        <v>9.5533063424888112E-2</v>
      </c>
      <c r="K16" s="724">
        <f t="shared" si="1"/>
        <v>8.4715397525173292E-2</v>
      </c>
    </row>
    <row r="17" spans="2:12" s="581" customFormat="1" ht="15">
      <c r="B17" s="519" t="s">
        <v>50</v>
      </c>
      <c r="C17" s="511"/>
      <c r="D17" s="510"/>
      <c r="E17" s="510">
        <f>E15+'비용 세부항목 추정'!D75+'비용 세부항목 추정'!D62</f>
        <v>18664.418109999999</v>
      </c>
      <c r="F17" s="510">
        <f>F15+'비용 세부항목 추정'!E75+'비용 세부항목 추정'!E62</f>
        <v>25681.561170000001</v>
      </c>
      <c r="G17" s="510">
        <f>G15+'비용 세부항목 추정'!F75+'비용 세부항목 추정'!F62</f>
        <v>27985.15437</v>
      </c>
      <c r="H17" s="510">
        <f>H15+'비용 세부항목 추정'!G75+'비용 세부항목 추정'!G62</f>
        <v>75077.103623397546</v>
      </c>
      <c r="I17" s="510">
        <f>I15+'비용 세부항목 추정'!H75+'비용 세부항목 추정'!H62</f>
        <v>123331.6452724822</v>
      </c>
      <c r="J17" s="510">
        <f>J15+'비용 세부항목 추정'!I75+'비용 세부항목 추정'!I62</f>
        <v>118214.07328064971</v>
      </c>
      <c r="K17" s="643">
        <f>K15+'비용 세부항목 추정'!J75+'비용 세부항목 추정'!J62</f>
        <v>114924.65447018697</v>
      </c>
    </row>
    <row r="18" spans="2:12" s="720" customFormat="1" ht="15">
      <c r="B18" s="721" t="s">
        <v>1535</v>
      </c>
      <c r="C18" s="722"/>
      <c r="D18" s="723"/>
      <c r="E18" s="723">
        <f t="shared" ref="E18:G18" si="2">E17/E7</f>
        <v>5.6525080258622025E-2</v>
      </c>
      <c r="F18" s="723">
        <f t="shared" si="2"/>
        <v>6.9900970296221707E-2</v>
      </c>
      <c r="G18" s="723">
        <f t="shared" si="2"/>
        <v>6.9143357606633371E-2</v>
      </c>
      <c r="H18" s="723">
        <f>H17/H7</f>
        <v>9.1774554339264139E-2</v>
      </c>
      <c r="I18" s="723">
        <f>I17/I7</f>
        <v>0.11685512753596503</v>
      </c>
      <c r="J18" s="723">
        <f>J17/J7</f>
        <v>0.10538400805821761</v>
      </c>
      <c r="K18" s="724">
        <f>K17/K7</f>
        <v>9.3805104787993324E-2</v>
      </c>
    </row>
    <row r="19" spans="2:12" ht="15">
      <c r="B19" s="519" t="s">
        <v>1201</v>
      </c>
      <c r="C19" s="511" t="s">
        <v>1167</v>
      </c>
      <c r="D19" s="510">
        <v>7196.576</v>
      </c>
      <c r="E19" s="510">
        <v>8323.5759999999991</v>
      </c>
      <c r="F19" s="510">
        <v>10770.512000000001</v>
      </c>
      <c r="G19" s="510">
        <v>18569.587</v>
      </c>
      <c r="H19" s="510">
        <f>SUM(H20:H22)</f>
        <v>8406.7293333333328</v>
      </c>
      <c r="I19" s="510">
        <f>SUM(I20:I22)</f>
        <v>8406.7293333333328</v>
      </c>
      <c r="J19" s="510">
        <f>SUM(J20:J22)</f>
        <v>8406.7293333333328</v>
      </c>
      <c r="K19" s="643">
        <f>SUM(K20:K22)</f>
        <v>8406.7293333333328</v>
      </c>
    </row>
    <row r="20" spans="2:12" ht="15">
      <c r="B20" s="522" t="s">
        <v>1196</v>
      </c>
      <c r="C20" s="509" t="s">
        <v>1167</v>
      </c>
      <c r="D20" s="3">
        <v>141.376</v>
      </c>
      <c r="E20" s="3">
        <v>281.41800000000001</v>
      </c>
      <c r="F20" s="3">
        <v>958.346</v>
      </c>
      <c r="G20" s="3">
        <v>1352.5830000000001</v>
      </c>
      <c r="H20" s="3">
        <f>'비용 세부항목 추정'!G86</f>
        <v>864.1156666666667</v>
      </c>
      <c r="I20" s="3">
        <f>'비용 세부항목 추정'!H86</f>
        <v>864.1156666666667</v>
      </c>
      <c r="J20" s="3">
        <f>'비용 세부항목 추정'!I86</f>
        <v>864.1156666666667</v>
      </c>
      <c r="K20" s="646">
        <f>'비용 세부항목 추정'!J86</f>
        <v>864.1156666666667</v>
      </c>
    </row>
    <row r="21" spans="2:12" s="581" customFormat="1" ht="15">
      <c r="B21" s="522" t="s">
        <v>1192</v>
      </c>
      <c r="C21" s="509" t="s">
        <v>1167</v>
      </c>
      <c r="D21" s="3">
        <v>5857.7939999999999</v>
      </c>
      <c r="E21" s="3">
        <v>7309.4139999999998</v>
      </c>
      <c r="F21" s="3">
        <v>8337.759</v>
      </c>
      <c r="G21" s="3">
        <v>16104.773999999999</v>
      </c>
      <c r="H21" s="3">
        <f>'비용 세부항목 추정'!G87</f>
        <v>7168.3223333333326</v>
      </c>
      <c r="I21" s="3">
        <f>'비용 세부항목 추정'!H87</f>
        <v>7168.3223333333326</v>
      </c>
      <c r="J21" s="3">
        <f>'비용 세부항목 추정'!I87</f>
        <v>7168.3223333333326</v>
      </c>
      <c r="K21" s="646">
        <f>'비용 세부항목 추정'!J87</f>
        <v>7168.3223333333326</v>
      </c>
    </row>
    <row r="22" spans="2:12" ht="15">
      <c r="B22" s="522" t="s">
        <v>1188</v>
      </c>
      <c r="C22" s="509" t="s">
        <v>1167</v>
      </c>
      <c r="D22" s="3">
        <v>553.49599999999998</v>
      </c>
      <c r="E22" s="3">
        <v>2.7</v>
      </c>
      <c r="F22" s="3">
        <v>769.79899999999998</v>
      </c>
      <c r="G22" s="3">
        <v>350.375</v>
      </c>
      <c r="H22" s="3">
        <f>'비용 세부항목 추정'!G88</f>
        <v>374.29133333333334</v>
      </c>
      <c r="I22" s="3">
        <f>'비용 세부항목 추정'!H88</f>
        <v>374.29133333333334</v>
      </c>
      <c r="J22" s="3">
        <f>'비용 세부항목 추정'!I88</f>
        <v>374.29133333333334</v>
      </c>
      <c r="K22" s="646">
        <f>'비용 세부항목 추정'!J88</f>
        <v>374.29133333333334</v>
      </c>
    </row>
    <row r="23" spans="2:12" ht="15">
      <c r="B23" s="519" t="s">
        <v>1186</v>
      </c>
      <c r="C23" s="511" t="s">
        <v>1167</v>
      </c>
      <c r="D23" s="510">
        <v>13853.978999999999</v>
      </c>
      <c r="E23" s="510">
        <v>37272.428</v>
      </c>
      <c r="F23" s="510">
        <v>22758.851999999999</v>
      </c>
      <c r="G23" s="510">
        <v>44883.533000000003</v>
      </c>
      <c r="H23" s="510">
        <f>SUM(H24:H27)</f>
        <v>36955.902333333332</v>
      </c>
      <c r="I23" s="510">
        <f>SUM(I24:I27)</f>
        <v>36955.902333333332</v>
      </c>
      <c r="J23" s="510">
        <f>SUM(J24:J27)</f>
        <v>36955.902333333332</v>
      </c>
      <c r="K23" s="643">
        <f>SUM(K24:K27)</f>
        <v>36955.902333333332</v>
      </c>
    </row>
    <row r="24" spans="2:12" ht="15">
      <c r="B24" s="522" t="s">
        <v>1185</v>
      </c>
      <c r="C24" s="509" t="s">
        <v>1167</v>
      </c>
      <c r="D24" s="3">
        <v>6922.6059999999998</v>
      </c>
      <c r="E24" s="3">
        <v>9204.768</v>
      </c>
      <c r="F24" s="3">
        <v>11546.804</v>
      </c>
      <c r="G24" s="3">
        <v>10416.513999999999</v>
      </c>
      <c r="H24" s="3">
        <f>'비용 세부항목 추정'!G91</f>
        <v>10389.361999999999</v>
      </c>
      <c r="I24" s="3">
        <f>'비용 세부항목 추정'!H91</f>
        <v>10389.361999999999</v>
      </c>
      <c r="J24" s="3">
        <f>'비용 세부항목 추정'!I91</f>
        <v>10389.361999999999</v>
      </c>
      <c r="K24" s="646">
        <f>'비용 세부항목 추정'!J91</f>
        <v>10389.361999999999</v>
      </c>
    </row>
    <row r="25" spans="2:12" ht="15">
      <c r="B25" s="522" t="s">
        <v>1183</v>
      </c>
      <c r="C25" s="509" t="s">
        <v>1167</v>
      </c>
      <c r="D25" s="3">
        <v>2956.4850000000001</v>
      </c>
      <c r="E25" s="3">
        <v>7109.6589999999997</v>
      </c>
      <c r="F25" s="3">
        <v>7083.6030000000001</v>
      </c>
      <c r="G25" s="3">
        <v>10073.078</v>
      </c>
      <c r="H25" s="3">
        <f>'비용 세부항목 추정'!G92</f>
        <v>10073.078</v>
      </c>
      <c r="I25" s="3">
        <f>'비용 세부항목 추정'!H92</f>
        <v>10073.078</v>
      </c>
      <c r="J25" s="3">
        <f>'비용 세부항목 추정'!I92</f>
        <v>10073.078</v>
      </c>
      <c r="K25" s="646">
        <f>'비용 세부항목 추정'!J92</f>
        <v>10073.078</v>
      </c>
    </row>
    <row r="26" spans="2:12" ht="15">
      <c r="B26" s="522" t="s">
        <v>1170</v>
      </c>
      <c r="C26" s="509" t="s">
        <v>1167</v>
      </c>
      <c r="D26" s="3">
        <v>3914.9810000000002</v>
      </c>
      <c r="E26" s="3">
        <v>20942.7</v>
      </c>
      <c r="F26" s="3">
        <v>2631.4749999999999</v>
      </c>
      <c r="G26" s="3">
        <v>21948.103999999999</v>
      </c>
      <c r="H26" s="3">
        <f>'비용 세부항목 추정'!G93</f>
        <v>15174.092999999999</v>
      </c>
      <c r="I26" s="3">
        <f>'비용 세부항목 추정'!H93</f>
        <v>15174.092999999999</v>
      </c>
      <c r="J26" s="3">
        <f>'비용 세부항목 추정'!I93</f>
        <v>15174.092999999999</v>
      </c>
      <c r="K26" s="646">
        <f>'비용 세부항목 추정'!J93</f>
        <v>15174.092999999999</v>
      </c>
    </row>
    <row r="27" spans="2:12" s="581" customFormat="1" ht="15">
      <c r="B27" s="522" t="s">
        <v>1168</v>
      </c>
      <c r="C27" s="509" t="s">
        <v>1167</v>
      </c>
      <c r="D27" s="3"/>
      <c r="E27" s="3"/>
      <c r="F27" s="3"/>
      <c r="G27" s="3">
        <v>2412</v>
      </c>
      <c r="H27" s="3">
        <f>'비용 세부항목 추정'!G94</f>
        <v>1319.3693333333358</v>
      </c>
      <c r="I27" s="3">
        <f>'비용 세부항목 추정'!H94</f>
        <v>1319.3693333333358</v>
      </c>
      <c r="J27" s="3">
        <f>'비용 세부항목 추정'!I94</f>
        <v>1319.3693333333358</v>
      </c>
      <c r="K27" s="646">
        <f>'비용 세부항목 추정'!J94</f>
        <v>1319.3693333333358</v>
      </c>
    </row>
    <row r="28" spans="2:12" s="581" customFormat="1" ht="15">
      <c r="B28" s="521" t="s">
        <v>1166</v>
      </c>
      <c r="C28" s="507"/>
      <c r="D28" s="290">
        <f t="shared" ref="D28:K28" si="3">D19-D23</f>
        <v>-6657.4029999999993</v>
      </c>
      <c r="E28" s="290">
        <f t="shared" si="3"/>
        <v>-28948.851999999999</v>
      </c>
      <c r="F28" s="290">
        <f t="shared" si="3"/>
        <v>-11988.339999999998</v>
      </c>
      <c r="G28" s="290">
        <f t="shared" si="3"/>
        <v>-26313.946000000004</v>
      </c>
      <c r="H28" s="290">
        <f t="shared" si="3"/>
        <v>-28549.172999999999</v>
      </c>
      <c r="I28" s="290">
        <f t="shared" si="3"/>
        <v>-28549.172999999999</v>
      </c>
      <c r="J28" s="290">
        <f t="shared" si="3"/>
        <v>-28549.172999999999</v>
      </c>
      <c r="K28" s="647">
        <f t="shared" si="3"/>
        <v>-28549.172999999999</v>
      </c>
      <c r="L28" s="510"/>
    </row>
    <row r="29" spans="2:12" s="581" customFormat="1" ht="15">
      <c r="B29" s="521" t="s">
        <v>1283</v>
      </c>
      <c r="C29" s="508"/>
      <c r="D29" s="514">
        <v>3506.3990000000003</v>
      </c>
      <c r="E29" s="514">
        <v>1286.204</v>
      </c>
      <c r="F29" s="514">
        <v>2118.7169999999996</v>
      </c>
      <c r="G29" s="514">
        <v>840.82099999999969</v>
      </c>
      <c r="H29" s="514">
        <f>'비용 세부항목 추정'!G95</f>
        <v>840.82099999999969</v>
      </c>
      <c r="I29" s="514">
        <f>'비용 세부항목 추정'!H95</f>
        <v>840.82099999999969</v>
      </c>
      <c r="J29" s="514">
        <f>'비용 세부항목 추정'!I95</f>
        <v>840.82099999999969</v>
      </c>
      <c r="K29" s="642">
        <f>'비용 세부항목 추정'!J95</f>
        <v>840.82099999999969</v>
      </c>
      <c r="L29" s="510"/>
    </row>
    <row r="30" spans="2:12" s="581" customFormat="1" ht="15">
      <c r="B30" s="519" t="s">
        <v>1282</v>
      </c>
      <c r="C30" s="511" t="s">
        <v>1167</v>
      </c>
      <c r="D30" s="510">
        <v>-722.69736</v>
      </c>
      <c r="E30" s="510">
        <v>-1220.5219999999999</v>
      </c>
      <c r="F30" s="510">
        <v>-1392.16</v>
      </c>
      <c r="G30" s="510">
        <v>-399.34300000000002</v>
      </c>
      <c r="H30" s="510">
        <f>'비용 세부항목 추정'!G96</f>
        <v>-399.34300000000002</v>
      </c>
      <c r="I30" s="510">
        <f>'비용 세부항목 추정'!H96</f>
        <v>-399.34300000000002</v>
      </c>
      <c r="J30" s="510">
        <f>'비용 세부항목 추정'!I96</f>
        <v>-399.34300000000002</v>
      </c>
      <c r="K30" s="643">
        <f>'비용 세부항목 추정'!J96</f>
        <v>-399.34300000000002</v>
      </c>
      <c r="L30" s="510"/>
    </row>
    <row r="31" spans="2:12" s="442" customFormat="1" ht="15">
      <c r="B31" s="519" t="s">
        <v>1281</v>
      </c>
      <c r="C31" s="511" t="s">
        <v>1167</v>
      </c>
      <c r="D31" s="510">
        <v>-34484.581400000003</v>
      </c>
      <c r="E31" s="510">
        <v>-20775.115440000001</v>
      </c>
      <c r="F31" s="510">
        <v>3824.9159</v>
      </c>
      <c r="G31" s="510">
        <v>-3945.2096200000001</v>
      </c>
      <c r="H31" s="510">
        <f>H15+H28+H29+H30</f>
        <v>35721.961623397547</v>
      </c>
      <c r="I31" s="510">
        <f>I15+I28+I29+I30</f>
        <v>84113.08360581554</v>
      </c>
      <c r="J31" s="510">
        <f>J15+J28+J29+J30</f>
        <v>79056.1220584275</v>
      </c>
      <c r="K31" s="643">
        <f>K15+K28+K29+K30</f>
        <v>75680.769507224017</v>
      </c>
      <c r="L31" s="716"/>
    </row>
    <row r="32" spans="2:12" s="581" customFormat="1" ht="15">
      <c r="B32" s="519" t="s">
        <v>1280</v>
      </c>
      <c r="C32" s="511" t="s">
        <v>1167</v>
      </c>
      <c r="D32" s="510">
        <v>102.52471</v>
      </c>
      <c r="E32" s="510">
        <v>-1657.3596500000001</v>
      </c>
      <c r="F32" s="510">
        <v>-3638.8661400000001</v>
      </c>
      <c r="G32" s="510">
        <v>-23530.262050000001</v>
      </c>
      <c r="H32" s="510">
        <f>H31*21%</f>
        <v>7501.6119409134844</v>
      </c>
      <c r="I32" s="510">
        <f>I31*21%</f>
        <v>17663.747557221264</v>
      </c>
      <c r="J32" s="510">
        <f>J31*21%</f>
        <v>16601.785632269773</v>
      </c>
      <c r="K32" s="643">
        <f>K31*21%</f>
        <v>15892.961596517043</v>
      </c>
    </row>
    <row r="33" spans="2:46" ht="15">
      <c r="B33" s="715" t="s">
        <v>1526</v>
      </c>
      <c r="C33" s="963"/>
      <c r="D33" s="964">
        <f>D32/D31</f>
        <v>-2.9730594322945731E-3</v>
      </c>
      <c r="E33" s="964">
        <f t="shared" ref="E33:K33" si="4">E32/E31</f>
        <v>7.9776194495119496E-2</v>
      </c>
      <c r="F33" s="964">
        <f t="shared" si="4"/>
        <v>-0.9513584703914667</v>
      </c>
      <c r="G33" s="964">
        <f t="shared" si="4"/>
        <v>5.9642615517093871</v>
      </c>
      <c r="H33" s="964">
        <f t="shared" si="4"/>
        <v>0.21</v>
      </c>
      <c r="I33" s="964">
        <f t="shared" si="4"/>
        <v>0.21000000000000002</v>
      </c>
      <c r="J33" s="964">
        <f t="shared" si="4"/>
        <v>0.21</v>
      </c>
      <c r="K33" s="965">
        <f t="shared" si="4"/>
        <v>0.21</v>
      </c>
      <c r="M33" s="292"/>
      <c r="N33" s="292"/>
      <c r="AE33" s="289">
        <v>1000</v>
      </c>
    </row>
    <row r="34" spans="2:46" ht="15.6" thickBot="1">
      <c r="B34" s="518" t="s">
        <v>1279</v>
      </c>
      <c r="C34" s="517" t="s">
        <v>1167</v>
      </c>
      <c r="D34" s="516">
        <v>-34587.106110000001</v>
      </c>
      <c r="E34" s="516">
        <v>-19117.755789999999</v>
      </c>
      <c r="F34" s="516">
        <v>7463.7820499999998</v>
      </c>
      <c r="G34" s="516">
        <v>19585.05243</v>
      </c>
      <c r="H34" s="516">
        <f>H31-H32</f>
        <v>28220.349682484062</v>
      </c>
      <c r="I34" s="516">
        <f>I31-I32</f>
        <v>66449.336048594269</v>
      </c>
      <c r="J34" s="516">
        <f>J31-J32</f>
        <v>62454.336426157723</v>
      </c>
      <c r="K34" s="648">
        <f>K31-K32</f>
        <v>59787.807910706972</v>
      </c>
      <c r="M34" s="599"/>
      <c r="N34" s="599"/>
    </row>
    <row r="35" spans="2:46" hidden="1">
      <c r="D35" s="292"/>
      <c r="E35" s="292"/>
      <c r="F35" s="292"/>
      <c r="G35" s="292"/>
      <c r="H35" s="292"/>
      <c r="I35" s="292"/>
      <c r="J35" s="292"/>
      <c r="K35" s="292"/>
    </row>
    <row r="36" spans="2:46" hidden="1">
      <c r="D36" s="292"/>
      <c r="E36" s="292"/>
      <c r="F36" s="292"/>
      <c r="G36" s="292"/>
      <c r="H36" s="292"/>
      <c r="I36" s="292"/>
      <c r="J36" s="292"/>
      <c r="K36" s="292"/>
      <c r="O36" s="289" t="s">
        <v>1278</v>
      </c>
      <c r="AG36" s="289">
        <v>2024</v>
      </c>
      <c r="AT36" s="289">
        <v>1000</v>
      </c>
    </row>
    <row r="37" spans="2:46" ht="15" hidden="1">
      <c r="B37" s="513" t="s">
        <v>1207</v>
      </c>
      <c r="C37" s="513" t="s">
        <v>1206</v>
      </c>
      <c r="D37" s="512">
        <v>202112</v>
      </c>
      <c r="E37" s="512">
        <v>202212</v>
      </c>
      <c r="F37" s="512">
        <v>202312</v>
      </c>
      <c r="G37" s="512">
        <v>202412</v>
      </c>
      <c r="H37" s="512">
        <v>202512</v>
      </c>
      <c r="I37" s="512">
        <v>202612</v>
      </c>
      <c r="J37" s="512">
        <v>202712</v>
      </c>
      <c r="K37" s="512">
        <v>202812</v>
      </c>
      <c r="O37" s="580" t="s">
        <v>1277</v>
      </c>
      <c r="P37" s="578">
        <v>2021</v>
      </c>
      <c r="Q37" s="579">
        <v>2022</v>
      </c>
      <c r="R37" s="586">
        <v>2023</v>
      </c>
      <c r="S37" s="587">
        <v>2024</v>
      </c>
      <c r="V37" s="289" t="s">
        <v>418</v>
      </c>
      <c r="X37" s="289" t="s">
        <v>1207</v>
      </c>
      <c r="Y37" s="289" t="s">
        <v>1206</v>
      </c>
      <c r="Z37" s="289">
        <v>202012</v>
      </c>
      <c r="AA37" s="289">
        <v>202112</v>
      </c>
      <c r="AB37" s="289">
        <v>202212</v>
      </c>
      <c r="AC37" s="289">
        <v>202312</v>
      </c>
      <c r="AD37" s="289">
        <v>202412</v>
      </c>
      <c r="AG37" s="580" t="s">
        <v>1276</v>
      </c>
      <c r="AH37" s="579" t="s">
        <v>1275</v>
      </c>
      <c r="AI37" s="579" t="s">
        <v>1274</v>
      </c>
      <c r="AJ37" s="579" t="s">
        <v>1273</v>
      </c>
      <c r="AK37" s="579" t="s">
        <v>1272</v>
      </c>
      <c r="AL37" s="579" t="s">
        <v>34</v>
      </c>
      <c r="AQ37" s="588">
        <v>31065.083999999999</v>
      </c>
      <c r="AR37" s="588">
        <v>33357.714999999997</v>
      </c>
      <c r="AS37" s="588">
        <v>37304.192999999999</v>
      </c>
      <c r="AT37" s="588">
        <v>43458.932000000001</v>
      </c>
    </row>
    <row r="38" spans="2:46" ht="15" hidden="1">
      <c r="B38" s="515" t="s">
        <v>1270</v>
      </c>
      <c r="C38" s="515" t="s">
        <v>1167</v>
      </c>
      <c r="D38" s="514">
        <v>234883.71634000001</v>
      </c>
      <c r="E38" s="514">
        <v>330197.10940000002</v>
      </c>
      <c r="F38" s="514">
        <v>367399.20864000003</v>
      </c>
      <c r="G38" s="514">
        <v>404741.03860000003</v>
      </c>
      <c r="H38" s="514"/>
      <c r="I38" s="514"/>
      <c r="J38" s="514"/>
      <c r="K38" s="514"/>
      <c r="O38" s="589" t="s">
        <v>1235</v>
      </c>
      <c r="P38" s="590">
        <v>118149580</v>
      </c>
      <c r="Q38" s="591">
        <v>107443312</v>
      </c>
      <c r="R38" s="583">
        <v>92510020</v>
      </c>
      <c r="S38" s="584">
        <v>106199675</v>
      </c>
      <c r="U38" s="592" t="s">
        <v>1230</v>
      </c>
      <c r="V38" s="593" t="s">
        <v>1271</v>
      </c>
      <c r="X38" s="289" t="s">
        <v>1270</v>
      </c>
      <c r="Z38" s="588">
        <v>243441.14642</v>
      </c>
      <c r="AA38" s="588">
        <v>234883.71634000001</v>
      </c>
      <c r="AB38" s="588">
        <v>330197.10940000002</v>
      </c>
      <c r="AC38" s="588">
        <v>367399.20864000003</v>
      </c>
      <c r="AD38" s="588">
        <v>404741.03860000003</v>
      </c>
      <c r="AG38" s="1032" t="s">
        <v>1269</v>
      </c>
      <c r="AH38" s="1023" t="s">
        <v>1268</v>
      </c>
      <c r="AI38" s="582" t="s">
        <v>1267</v>
      </c>
      <c r="AJ38" s="594" t="s">
        <v>1266</v>
      </c>
      <c r="AK38" s="584">
        <v>44240</v>
      </c>
      <c r="AL38" s="595">
        <v>15.5</v>
      </c>
    </row>
    <row r="39" spans="2:46" ht="28.8" hidden="1" customHeight="1">
      <c r="B39" s="511" t="s">
        <v>1264</v>
      </c>
      <c r="C39" s="511" t="s">
        <v>1167</v>
      </c>
      <c r="D39" s="510">
        <v>241249.51876000001</v>
      </c>
      <c r="E39" s="510">
        <v>295265.47146999999</v>
      </c>
      <c r="F39" s="510">
        <v>323957.62202000001</v>
      </c>
      <c r="G39" s="510">
        <v>345623.02108999999</v>
      </c>
      <c r="H39" s="510"/>
      <c r="I39" s="510"/>
      <c r="J39" s="510"/>
      <c r="K39" s="510"/>
      <c r="O39" s="592" t="s">
        <v>1230</v>
      </c>
      <c r="P39" s="590">
        <v>31065084</v>
      </c>
      <c r="Q39" s="591">
        <v>33357715</v>
      </c>
      <c r="R39" s="583">
        <v>37304193</v>
      </c>
      <c r="S39" s="584">
        <v>43458932</v>
      </c>
      <c r="V39" s="592" t="s">
        <v>1265</v>
      </c>
      <c r="X39" s="289" t="s">
        <v>1264</v>
      </c>
      <c r="Z39" s="588">
        <v>209367.57149</v>
      </c>
      <c r="AA39" s="588">
        <v>241249.51876000001</v>
      </c>
      <c r="AB39" s="588">
        <v>295265.47146999999</v>
      </c>
      <c r="AC39" s="588">
        <v>323957.62202000001</v>
      </c>
      <c r="AD39" s="588">
        <v>345623.02108999999</v>
      </c>
      <c r="AG39" s="1033"/>
      <c r="AH39" s="1036"/>
      <c r="AI39" s="582" t="s">
        <v>1263</v>
      </c>
      <c r="AJ39" s="585" t="s">
        <v>1262</v>
      </c>
      <c r="AK39" s="584">
        <v>30388</v>
      </c>
      <c r="AL39" s="595">
        <v>10.6</v>
      </c>
    </row>
    <row r="40" spans="2:46" ht="28.8" hidden="1" customHeight="1">
      <c r="B40" s="6" t="s">
        <v>1261</v>
      </c>
      <c r="C40" s="511" t="s">
        <v>1167</v>
      </c>
      <c r="D40" s="596">
        <f>P50</f>
        <v>118149580</v>
      </c>
      <c r="E40" s="596">
        <f>Q50</f>
        <v>107443312</v>
      </c>
      <c r="F40" s="596">
        <f>R50</f>
        <v>92510020</v>
      </c>
      <c r="G40" s="596">
        <f>S50</f>
        <v>106199675</v>
      </c>
      <c r="H40" s="596"/>
      <c r="I40" s="596"/>
      <c r="J40" s="596"/>
      <c r="K40" s="596"/>
      <c r="O40" s="592" t="s">
        <v>1226</v>
      </c>
      <c r="P40" s="590">
        <v>8451273</v>
      </c>
      <c r="Q40" s="591">
        <v>8194515</v>
      </c>
      <c r="R40" s="583">
        <v>8384344</v>
      </c>
      <c r="S40" s="584">
        <v>4360717</v>
      </c>
      <c r="V40" s="592" t="s">
        <v>1260</v>
      </c>
      <c r="X40" s="289" t="s">
        <v>1259</v>
      </c>
      <c r="Z40" s="588"/>
      <c r="AA40" s="588">
        <v>118149.58</v>
      </c>
      <c r="AB40" s="588">
        <v>107443.31200000001</v>
      </c>
      <c r="AC40" s="588">
        <v>92510.02</v>
      </c>
      <c r="AD40" s="588">
        <v>106199.675</v>
      </c>
      <c r="AG40" s="1033"/>
      <c r="AH40" s="1036"/>
      <c r="AI40" s="582" t="s">
        <v>1258</v>
      </c>
      <c r="AJ40" s="585"/>
      <c r="AK40" s="584">
        <v>13429</v>
      </c>
      <c r="AL40" s="595">
        <v>4.7</v>
      </c>
    </row>
    <row r="41" spans="2:46" ht="15" hidden="1">
      <c r="B41" s="6" t="s">
        <v>26</v>
      </c>
      <c r="C41" s="511" t="s">
        <v>1167</v>
      </c>
      <c r="D41" s="596">
        <f>P56</f>
        <v>68726184</v>
      </c>
      <c r="E41" s="596">
        <f>Q56</f>
        <v>124425012</v>
      </c>
      <c r="F41" s="596">
        <f>R56</f>
        <v>162700676</v>
      </c>
      <c r="G41" s="596">
        <f>S56</f>
        <v>169062007</v>
      </c>
      <c r="H41" s="596"/>
      <c r="I41" s="596"/>
      <c r="J41" s="596"/>
      <c r="K41" s="596"/>
      <c r="O41" s="592" t="s">
        <v>1222</v>
      </c>
      <c r="P41" s="590">
        <v>2334760</v>
      </c>
      <c r="Q41" s="591">
        <v>2361849</v>
      </c>
      <c r="R41" s="583">
        <v>2210519</v>
      </c>
      <c r="S41" s="584">
        <v>1697179</v>
      </c>
      <c r="U41" s="592" t="s">
        <v>1226</v>
      </c>
      <c r="V41" s="592" t="s">
        <v>1226</v>
      </c>
      <c r="Z41" s="588"/>
      <c r="AA41" s="293">
        <f>AA40/AA38</f>
        <v>0.5030130731965069</v>
      </c>
      <c r="AB41" s="293">
        <f>AB40/AB38</f>
        <v>0.32539143723951691</v>
      </c>
      <c r="AC41" s="293">
        <f>AC40/AC38</f>
        <v>0.25179700397952387</v>
      </c>
      <c r="AD41" s="293">
        <f>AD40/AD38</f>
        <v>0.26238919425454083</v>
      </c>
      <c r="AE41" s="597">
        <f>AVERAGE(AC41:AD41)</f>
        <v>0.25709309911703238</v>
      </c>
      <c r="AG41" s="1033"/>
      <c r="AH41" s="1036"/>
      <c r="AI41" s="582" t="s">
        <v>1257</v>
      </c>
      <c r="AJ41" s="585"/>
      <c r="AK41" s="584">
        <v>3162</v>
      </c>
      <c r="AL41" s="595">
        <v>1.1000000000000001</v>
      </c>
    </row>
    <row r="42" spans="2:46" ht="28.8" hidden="1" customHeight="1">
      <c r="B42" s="6" t="s">
        <v>1256</v>
      </c>
      <c r="C42" s="511" t="s">
        <v>1167</v>
      </c>
      <c r="D42" s="596" t="e">
        <f>P51</f>
        <v>#REF!</v>
      </c>
      <c r="E42" s="596" t="e">
        <f>Q51</f>
        <v>#REF!</v>
      </c>
      <c r="F42" s="596" t="e">
        <f>R51</f>
        <v>#REF!</v>
      </c>
      <c r="G42" s="596" t="e">
        <f>S51</f>
        <v>#REF!</v>
      </c>
      <c r="H42" s="596"/>
      <c r="I42" s="596"/>
      <c r="J42" s="596"/>
      <c r="K42" s="596"/>
      <c r="O42" s="592" t="s">
        <v>5</v>
      </c>
      <c r="P42" s="590">
        <v>9545010</v>
      </c>
      <c r="Q42" s="591">
        <v>13135121</v>
      </c>
      <c r="R42" s="583">
        <v>13777995</v>
      </c>
      <c r="S42" s="584">
        <v>19144745</v>
      </c>
      <c r="U42" s="592" t="s">
        <v>1222</v>
      </c>
      <c r="V42" s="592" t="s">
        <v>1222</v>
      </c>
      <c r="X42" s="289" t="s">
        <v>1211</v>
      </c>
      <c r="Z42" s="588"/>
      <c r="AA42" s="588">
        <v>68726.183999999994</v>
      </c>
      <c r="AB42" s="588">
        <v>124425.012</v>
      </c>
      <c r="AC42" s="588">
        <v>162700.67600000001</v>
      </c>
      <c r="AD42" s="588">
        <v>169062.00700000001</v>
      </c>
      <c r="AG42" s="1033"/>
      <c r="AH42" s="1037"/>
      <c r="AI42" s="582" t="s">
        <v>6</v>
      </c>
      <c r="AJ42" s="598"/>
      <c r="AK42" s="584">
        <v>7708</v>
      </c>
      <c r="AL42" s="595">
        <v>2.7</v>
      </c>
      <c r="AN42" s="599"/>
    </row>
    <row r="43" spans="2:46" ht="28.8" hidden="1" customHeight="1">
      <c r="B43" s="6" t="s">
        <v>1255</v>
      </c>
      <c r="C43" s="511" t="s">
        <v>1167</v>
      </c>
      <c r="D43" s="596" t="e">
        <f>P52+P53</f>
        <v>#REF!</v>
      </c>
      <c r="E43" s="596" t="e">
        <f>Q52+Q53</f>
        <v>#REF!</v>
      </c>
      <c r="F43" s="596" t="e">
        <f>R52+R53</f>
        <v>#REF!</v>
      </c>
      <c r="G43" s="596" t="e">
        <f>S52+S53</f>
        <v>#REF!</v>
      </c>
      <c r="H43" s="596"/>
      <c r="I43" s="596"/>
      <c r="J43" s="596"/>
      <c r="K43" s="596"/>
      <c r="O43" s="592" t="s">
        <v>1214</v>
      </c>
      <c r="P43" s="590">
        <v>439149</v>
      </c>
      <c r="Q43" s="591">
        <v>454860</v>
      </c>
      <c r="R43" s="583">
        <v>547485</v>
      </c>
      <c r="S43" s="584">
        <v>803576</v>
      </c>
      <c r="U43" s="592" t="s">
        <v>5</v>
      </c>
      <c r="V43" s="592" t="s">
        <v>5</v>
      </c>
      <c r="Z43" s="588"/>
      <c r="AA43" s="293">
        <f>AA42/AA38</f>
        <v>0.29259663066858638</v>
      </c>
      <c r="AB43" s="293">
        <f>AB42/AB38</f>
        <v>0.37682041561809021</v>
      </c>
      <c r="AC43" s="293">
        <f>AC42/AC38</f>
        <v>0.44284438336780407</v>
      </c>
      <c r="AD43" s="293">
        <f>AD42/AD38</f>
        <v>0.41770413888541125</v>
      </c>
      <c r="AG43" s="1033"/>
      <c r="AH43" s="1023" t="s">
        <v>1254</v>
      </c>
      <c r="AI43" s="594" t="s">
        <v>1253</v>
      </c>
      <c r="AJ43" s="1023" t="s">
        <v>1252</v>
      </c>
      <c r="AK43" s="1025">
        <v>187057</v>
      </c>
      <c r="AL43" s="1027">
        <v>65.400000000000006</v>
      </c>
    </row>
    <row r="44" spans="2:46" ht="28.8" hidden="1" customHeight="1">
      <c r="B44" s="6" t="s">
        <v>1251</v>
      </c>
      <c r="C44" s="511" t="s">
        <v>1167</v>
      </c>
      <c r="D44" s="596" t="e">
        <f>P57</f>
        <v>#REF!</v>
      </c>
      <c r="E44" s="596" t="e">
        <f>Q57</f>
        <v>#REF!</v>
      </c>
      <c r="F44" s="596" t="e">
        <f>R57</f>
        <v>#REF!</v>
      </c>
      <c r="G44" s="596" t="e">
        <f>S57</f>
        <v>#REF!</v>
      </c>
      <c r="H44" s="596"/>
      <c r="I44" s="596"/>
      <c r="J44" s="596"/>
      <c r="K44" s="596"/>
      <c r="O44" s="592" t="s">
        <v>1211</v>
      </c>
      <c r="P44" s="590">
        <v>68726184</v>
      </c>
      <c r="Q44" s="591">
        <v>124425012</v>
      </c>
      <c r="R44" s="583">
        <v>162700676</v>
      </c>
      <c r="S44" s="584">
        <v>169062007</v>
      </c>
      <c r="U44" s="592" t="s">
        <v>1214</v>
      </c>
      <c r="V44" s="592" t="s">
        <v>1214</v>
      </c>
      <c r="X44" s="289" t="s">
        <v>1230</v>
      </c>
      <c r="Z44" s="588"/>
      <c r="AA44" s="588">
        <v>18100.127</v>
      </c>
      <c r="AB44" s="588">
        <v>19458.435000000001</v>
      </c>
      <c r="AC44" s="588">
        <v>23214.915000000001</v>
      </c>
      <c r="AD44" s="588">
        <v>26366.581999999999</v>
      </c>
      <c r="AG44" s="1035"/>
      <c r="AH44" s="1024"/>
      <c r="AI44" s="600" t="s">
        <v>1250</v>
      </c>
      <c r="AJ44" s="1024"/>
      <c r="AK44" s="1026"/>
      <c r="AL44" s="1028"/>
    </row>
    <row r="45" spans="2:46" ht="15" hidden="1">
      <c r="B45" s="6" t="s">
        <v>1249</v>
      </c>
      <c r="C45" s="511" t="s">
        <v>1167</v>
      </c>
      <c r="D45" s="596" t="e">
        <f t="shared" ref="D45:G46" si="5">P54</f>
        <v>#REF!</v>
      </c>
      <c r="E45" s="596" t="e">
        <f t="shared" si="5"/>
        <v>#REF!</v>
      </c>
      <c r="F45" s="596" t="e">
        <f t="shared" si="5"/>
        <v>#REF!</v>
      </c>
      <c r="G45" s="596" t="e">
        <f t="shared" si="5"/>
        <v>#REF!</v>
      </c>
      <c r="H45" s="596"/>
      <c r="I45" s="596"/>
      <c r="J45" s="596"/>
      <c r="K45" s="596"/>
      <c r="O45" s="592" t="s">
        <v>1205</v>
      </c>
      <c r="P45" s="590">
        <v>3344129</v>
      </c>
      <c r="Q45" s="591">
        <v>12327057</v>
      </c>
      <c r="R45" s="583">
        <v>8820988</v>
      </c>
      <c r="S45" s="584">
        <v>3350557</v>
      </c>
      <c r="U45" s="592" t="s">
        <v>1205</v>
      </c>
      <c r="V45" s="592" t="s">
        <v>1205</v>
      </c>
      <c r="Z45" s="588"/>
      <c r="AA45" s="588"/>
      <c r="AB45" s="293">
        <f>AB44/AA44-1</f>
        <v>7.5044114331352496E-2</v>
      </c>
      <c r="AC45" s="293">
        <f>AC44/AB44-1</f>
        <v>0.19305149669025279</v>
      </c>
      <c r="AD45" s="293">
        <f>AD44/AC44-1</f>
        <v>0.1357604367709293</v>
      </c>
    </row>
    <row r="46" spans="2:46" ht="15" hidden="1">
      <c r="B46" s="6" t="s">
        <v>1248</v>
      </c>
      <c r="C46" s="511" t="s">
        <v>1167</v>
      </c>
      <c r="D46" s="596" t="e">
        <f t="shared" si="5"/>
        <v>#REF!</v>
      </c>
      <c r="E46" s="596" t="e">
        <f t="shared" si="5"/>
        <v>#REF!</v>
      </c>
      <c r="F46" s="596" t="e">
        <f t="shared" si="5"/>
        <v>#REF!</v>
      </c>
      <c r="G46" s="596" t="e">
        <f t="shared" si="5"/>
        <v>#REF!</v>
      </c>
      <c r="H46" s="596"/>
      <c r="I46" s="596"/>
      <c r="J46" s="596"/>
      <c r="K46" s="596"/>
      <c r="O46" s="592" t="s">
        <v>6</v>
      </c>
      <c r="P46" s="590">
        <v>23439427</v>
      </c>
      <c r="Q46" s="591">
        <v>20389614</v>
      </c>
      <c r="R46" s="583">
        <v>26056290</v>
      </c>
      <c r="S46" s="584">
        <v>34736392</v>
      </c>
      <c r="U46" s="592" t="s">
        <v>6</v>
      </c>
      <c r="V46" s="592" t="s">
        <v>1247</v>
      </c>
      <c r="X46" s="289" t="s">
        <v>1246</v>
      </c>
      <c r="Z46" s="588"/>
      <c r="AA46" s="588">
        <v>9744.0740000000005</v>
      </c>
      <c r="AB46" s="588">
        <v>9379.5840000000007</v>
      </c>
      <c r="AC46" s="588">
        <v>8879.3410000000003</v>
      </c>
      <c r="AD46" s="588">
        <v>4144.7820000000002</v>
      </c>
    </row>
    <row r="47" spans="2:46" ht="15" hidden="1">
      <c r="B47" s="59" t="s">
        <v>4</v>
      </c>
      <c r="C47" s="508" t="s">
        <v>1167</v>
      </c>
      <c r="D47" s="601" t="e">
        <f>P58</f>
        <v>#REF!</v>
      </c>
      <c r="E47" s="601" t="e">
        <f>Q58</f>
        <v>#REF!</v>
      </c>
      <c r="F47" s="601" t="e">
        <f>R58</f>
        <v>#REF!</v>
      </c>
      <c r="G47" s="601" t="e">
        <f>S58</f>
        <v>#REF!</v>
      </c>
      <c r="H47" s="601"/>
      <c r="I47" s="601"/>
      <c r="J47" s="601"/>
      <c r="K47" s="601"/>
      <c r="O47" s="602" t="s">
        <v>1187</v>
      </c>
      <c r="P47" s="603">
        <v>265494596</v>
      </c>
      <c r="Q47" s="604">
        <v>322089055</v>
      </c>
      <c r="R47" s="605">
        <v>352312510</v>
      </c>
      <c r="S47" s="606">
        <v>382813780</v>
      </c>
      <c r="V47" s="592" t="s">
        <v>1245</v>
      </c>
      <c r="X47" s="289" t="s">
        <v>1205</v>
      </c>
      <c r="Z47" s="588"/>
      <c r="AA47" s="588">
        <v>3342.0340000000001</v>
      </c>
      <c r="AB47" s="588">
        <v>12326.903</v>
      </c>
      <c r="AC47" s="588">
        <v>8820.9879999999994</v>
      </c>
      <c r="AD47" s="588">
        <v>3349.84</v>
      </c>
      <c r="AG47" s="1029" t="s">
        <v>1244</v>
      </c>
      <c r="AH47" s="1030"/>
      <c r="AI47" s="1031"/>
      <c r="AJ47" s="579">
        <v>2021</v>
      </c>
      <c r="AK47" s="578">
        <v>2022</v>
      </c>
      <c r="AL47" s="579">
        <v>2023</v>
      </c>
      <c r="AM47" s="579">
        <v>2024</v>
      </c>
      <c r="AN47" s="289" t="s">
        <v>1243</v>
      </c>
    </row>
    <row r="48" spans="2:46" hidden="1">
      <c r="D48" s="599"/>
      <c r="E48" s="599"/>
      <c r="F48" s="599"/>
      <c r="G48" s="599"/>
      <c r="H48" s="599"/>
      <c r="I48" s="599"/>
      <c r="J48" s="599"/>
      <c r="K48" s="599"/>
      <c r="V48" s="592" t="s">
        <v>1242</v>
      </c>
      <c r="X48" s="289" t="s">
        <v>1241</v>
      </c>
      <c r="Z48" s="588"/>
      <c r="AA48" s="588">
        <v>4363.5010000000002</v>
      </c>
      <c r="AB48" s="588">
        <v>7587.1559999999999</v>
      </c>
      <c r="AC48" s="588">
        <v>7757.8739999999998</v>
      </c>
      <c r="AD48" s="588">
        <v>10930.226000000001</v>
      </c>
      <c r="AG48" s="1032" t="s">
        <v>1240</v>
      </c>
      <c r="AH48" s="582" t="s">
        <v>1233</v>
      </c>
      <c r="AI48" s="582" t="s">
        <v>1197</v>
      </c>
      <c r="AJ48" s="583">
        <v>1800</v>
      </c>
      <c r="AK48" s="583">
        <v>1900</v>
      </c>
      <c r="AL48" s="584">
        <v>2800</v>
      </c>
      <c r="AM48" s="584">
        <v>2500</v>
      </c>
      <c r="AN48" s="289" t="s">
        <v>1239</v>
      </c>
    </row>
    <row r="49" spans="2:40" ht="15" hidden="1">
      <c r="B49" s="513" t="s">
        <v>1207</v>
      </c>
      <c r="C49" s="513" t="s">
        <v>1206</v>
      </c>
      <c r="D49" s="512">
        <v>202112</v>
      </c>
      <c r="E49" s="512">
        <v>202212</v>
      </c>
      <c r="F49" s="512">
        <v>202312</v>
      </c>
      <c r="G49" s="512">
        <v>202412</v>
      </c>
      <c r="H49" s="512">
        <v>202512</v>
      </c>
      <c r="I49" s="512">
        <v>202612</v>
      </c>
      <c r="J49" s="512">
        <v>202712</v>
      </c>
      <c r="K49" s="512">
        <v>202812</v>
      </c>
      <c r="O49" s="607" t="s">
        <v>8</v>
      </c>
      <c r="P49" s="578">
        <v>2021</v>
      </c>
      <c r="Q49" s="579">
        <v>2022</v>
      </c>
      <c r="R49" s="586">
        <v>2023</v>
      </c>
      <c r="S49" s="587">
        <v>2024</v>
      </c>
      <c r="V49" s="592" t="s">
        <v>1238</v>
      </c>
      <c r="X49" s="289" t="s">
        <v>1214</v>
      </c>
      <c r="Z49" s="588"/>
      <c r="AA49" s="588">
        <v>183.54900000000001</v>
      </c>
      <c r="AB49" s="588">
        <v>71.239999999999995</v>
      </c>
      <c r="AC49" s="588">
        <v>154.613</v>
      </c>
      <c r="AD49" s="588">
        <v>293.05700000000002</v>
      </c>
      <c r="AG49" s="1033"/>
      <c r="AH49" s="582" t="s">
        <v>1224</v>
      </c>
      <c r="AI49" s="582" t="s">
        <v>1197</v>
      </c>
      <c r="AJ49" s="583">
        <v>9000</v>
      </c>
      <c r="AK49" s="583">
        <v>10000</v>
      </c>
      <c r="AL49" s="584">
        <v>12000</v>
      </c>
      <c r="AM49" s="584">
        <v>11000</v>
      </c>
      <c r="AN49" s="289" t="s">
        <v>1237</v>
      </c>
    </row>
    <row r="50" spans="2:40" ht="15" hidden="1">
      <c r="B50" s="511" t="s">
        <v>1236</v>
      </c>
      <c r="C50" s="511" t="s">
        <v>1167</v>
      </c>
      <c r="D50" s="510">
        <v>24245.07762</v>
      </c>
      <c r="E50" s="510">
        <v>26823.58381</v>
      </c>
      <c r="F50" s="510">
        <v>28354.888439999999</v>
      </c>
      <c r="G50" s="510">
        <v>37190.759140000002</v>
      </c>
      <c r="H50" s="510"/>
      <c r="I50" s="510"/>
      <c r="J50" s="510"/>
      <c r="K50" s="510"/>
      <c r="O50" s="589" t="s">
        <v>1235</v>
      </c>
      <c r="P50" s="599">
        <f>P38</f>
        <v>118149580</v>
      </c>
      <c r="Q50" s="599">
        <f>Q38</f>
        <v>107443312</v>
      </c>
      <c r="R50" s="599">
        <f>R38</f>
        <v>92510020</v>
      </c>
      <c r="S50" s="599">
        <f>S38</f>
        <v>106199675</v>
      </c>
      <c r="V50" s="592" t="s">
        <v>1234</v>
      </c>
      <c r="X50" s="289" t="s">
        <v>6</v>
      </c>
      <c r="Z50" s="588"/>
      <c r="AA50" s="588">
        <v>18640.469000000001</v>
      </c>
      <c r="AB50" s="588">
        <v>14573.829</v>
      </c>
      <c r="AC50" s="588">
        <v>19919.195</v>
      </c>
      <c r="AD50" s="588">
        <v>25276.851999999999</v>
      </c>
      <c r="AG50" s="1033"/>
      <c r="AH50" s="582" t="s">
        <v>1233</v>
      </c>
      <c r="AI50" s="582" t="s">
        <v>1219</v>
      </c>
      <c r="AJ50" s="608">
        <v>2.2999999999999998</v>
      </c>
      <c r="AK50" s="608">
        <v>2.4</v>
      </c>
      <c r="AL50" s="609">
        <v>1.7</v>
      </c>
      <c r="AM50" s="609">
        <v>1.3</v>
      </c>
      <c r="AN50" s="289" t="s">
        <v>1232</v>
      </c>
    </row>
    <row r="51" spans="2:40" ht="15" hidden="1">
      <c r="B51" s="509" t="s">
        <v>1231</v>
      </c>
      <c r="C51" s="509" t="s">
        <v>1167</v>
      </c>
      <c r="D51" s="3">
        <v>13000.707</v>
      </c>
      <c r="E51" s="3">
        <v>13948.49</v>
      </c>
      <c r="F51" s="3">
        <v>14157.436</v>
      </c>
      <c r="G51" s="3">
        <v>17165.348999999998</v>
      </c>
      <c r="H51" s="3"/>
      <c r="I51" s="3"/>
      <c r="J51" s="3"/>
      <c r="K51" s="3"/>
      <c r="O51" s="592" t="s">
        <v>1230</v>
      </c>
      <c r="P51" s="599" t="e">
        <f>P39-SUM(#REF!)</f>
        <v>#REF!</v>
      </c>
      <c r="Q51" s="599" t="e">
        <f>Q39-SUM(#REF!)</f>
        <v>#REF!</v>
      </c>
      <c r="R51" s="599" t="e">
        <f>R39-SUM(#REF!)</f>
        <v>#REF!</v>
      </c>
      <c r="S51" s="599" t="e">
        <f>S39-SUM(#REF!)</f>
        <v>#REF!</v>
      </c>
      <c r="V51" s="592" t="s">
        <v>1229</v>
      </c>
      <c r="AG51" s="1033"/>
      <c r="AH51" s="582" t="s">
        <v>1228</v>
      </c>
      <c r="AI51" s="582" t="s">
        <v>1219</v>
      </c>
      <c r="AJ51" s="608">
        <v>5.6</v>
      </c>
      <c r="AK51" s="608">
        <v>5.8</v>
      </c>
      <c r="AL51" s="609">
        <v>3.3</v>
      </c>
      <c r="AM51" s="609">
        <v>3</v>
      </c>
    </row>
    <row r="52" spans="2:40" ht="15" hidden="1">
      <c r="B52" s="509" t="s">
        <v>1227</v>
      </c>
      <c r="C52" s="509" t="s">
        <v>1167</v>
      </c>
      <c r="D52" s="3">
        <v>1041.9590000000001</v>
      </c>
      <c r="E52" s="3">
        <v>1176.78</v>
      </c>
      <c r="F52" s="3">
        <v>1715.5219999999999</v>
      </c>
      <c r="G52" s="3">
        <v>1913.114</v>
      </c>
      <c r="H52" s="3"/>
      <c r="I52" s="3"/>
      <c r="J52" s="3"/>
      <c r="K52" s="3"/>
      <c r="O52" s="592" t="s">
        <v>1226</v>
      </c>
      <c r="P52" s="599" t="e">
        <f>P40-#REF!</f>
        <v>#REF!</v>
      </c>
      <c r="Q52" s="599" t="e">
        <f>Q40-#REF!</f>
        <v>#REF!</v>
      </c>
      <c r="R52" s="599" t="e">
        <f>R40-#REF!</f>
        <v>#REF!</v>
      </c>
      <c r="S52" s="599" t="e">
        <f>S40-#REF!</f>
        <v>#REF!</v>
      </c>
      <c r="V52" s="592" t="s">
        <v>1225</v>
      </c>
      <c r="AG52" s="1033"/>
      <c r="AH52" s="582" t="s">
        <v>1224</v>
      </c>
      <c r="AI52" s="582" t="s">
        <v>1219</v>
      </c>
      <c r="AJ52" s="608">
        <v>13.5</v>
      </c>
      <c r="AK52" s="608">
        <v>14</v>
      </c>
      <c r="AL52" s="609">
        <v>12.5</v>
      </c>
      <c r="AM52" s="609">
        <v>12.1</v>
      </c>
    </row>
    <row r="53" spans="2:40" ht="15" hidden="1">
      <c r="B53" s="509" t="s">
        <v>1223</v>
      </c>
      <c r="C53" s="509" t="s">
        <v>1167</v>
      </c>
      <c r="D53" s="3">
        <v>19.024999999999999</v>
      </c>
      <c r="E53" s="3">
        <v>464.98399999999998</v>
      </c>
      <c r="F53" s="3">
        <v>207.73400000000001</v>
      </c>
      <c r="G53" s="3">
        <v>1484.1220000000001</v>
      </c>
      <c r="H53" s="3"/>
      <c r="I53" s="3"/>
      <c r="J53" s="3"/>
      <c r="K53" s="3"/>
      <c r="O53" s="592" t="s">
        <v>1222</v>
      </c>
      <c r="P53" s="599" t="e">
        <f>P41-#REF!</f>
        <v>#REF!</v>
      </c>
      <c r="Q53" s="599" t="e">
        <f>Q41-#REF!</f>
        <v>#REF!</v>
      </c>
      <c r="R53" s="599" t="e">
        <f>R41-#REF!</f>
        <v>#REF!</v>
      </c>
      <c r="S53" s="599" t="e">
        <f>S41-#REF!</f>
        <v>#REF!</v>
      </c>
      <c r="V53" s="592" t="s">
        <v>1221</v>
      </c>
      <c r="Y53" s="514">
        <v>234883.71634000001</v>
      </c>
      <c r="Z53" s="514">
        <v>330197.10940000002</v>
      </c>
      <c r="AA53" s="514">
        <v>367399.20864000003</v>
      </c>
      <c r="AB53" s="514">
        <v>404741.03860000003</v>
      </c>
      <c r="AC53" s="588">
        <v>1000</v>
      </c>
      <c r="AG53" s="1034"/>
      <c r="AH53" s="582" t="s">
        <v>1220</v>
      </c>
      <c r="AI53" s="582" t="s">
        <v>1219</v>
      </c>
      <c r="AJ53" s="608">
        <v>25</v>
      </c>
      <c r="AK53" s="608">
        <v>24</v>
      </c>
      <c r="AL53" s="609">
        <v>24</v>
      </c>
      <c r="AM53" s="609">
        <v>24</v>
      </c>
    </row>
    <row r="54" spans="2:40" ht="15" hidden="1">
      <c r="B54" s="509" t="s">
        <v>1218</v>
      </c>
      <c r="C54" s="509" t="s">
        <v>1167</v>
      </c>
      <c r="D54" s="3">
        <v>10162.212</v>
      </c>
      <c r="E54" s="3">
        <v>11202.227999999999</v>
      </c>
      <c r="F54" s="3">
        <v>12257.797</v>
      </c>
      <c r="G54" s="3">
        <v>16614.842000000001</v>
      </c>
      <c r="H54" s="3"/>
      <c r="I54" s="3"/>
      <c r="J54" s="3"/>
      <c r="K54" s="3"/>
      <c r="O54" s="592" t="s">
        <v>5</v>
      </c>
      <c r="P54" s="599" t="e">
        <f>P42-#REF!</f>
        <v>#REF!</v>
      </c>
      <c r="Q54" s="599" t="e">
        <f>Q42-#REF!</f>
        <v>#REF!</v>
      </c>
      <c r="R54" s="599" t="e">
        <f>R42-#REF!</f>
        <v>#REF!</v>
      </c>
      <c r="S54" s="599" t="e">
        <f>S42-#REF!</f>
        <v>#REF!</v>
      </c>
      <c r="V54" s="592" t="s">
        <v>1217</v>
      </c>
      <c r="X54" s="592" t="s">
        <v>5</v>
      </c>
      <c r="Y54" s="588">
        <v>9545.01</v>
      </c>
      <c r="Z54" s="588">
        <v>13135.120999999999</v>
      </c>
      <c r="AA54" s="588">
        <v>13777.995000000001</v>
      </c>
      <c r="AB54" s="588">
        <v>19144.744999999999</v>
      </c>
      <c r="AG54" s="1032" t="s">
        <v>1216</v>
      </c>
      <c r="AH54" s="582" t="s">
        <v>1202</v>
      </c>
      <c r="AI54" s="582" t="s">
        <v>1197</v>
      </c>
      <c r="AJ54" s="583">
        <v>1700</v>
      </c>
      <c r="AK54" s="583">
        <v>1800</v>
      </c>
      <c r="AL54" s="584">
        <v>2300</v>
      </c>
      <c r="AM54" s="584">
        <v>2100</v>
      </c>
    </row>
    <row r="55" spans="2:40" ht="21.6" hidden="1">
      <c r="B55" s="507" t="s">
        <v>1215</v>
      </c>
      <c r="C55" s="507" t="s">
        <v>1167</v>
      </c>
      <c r="D55" s="290">
        <v>21.175000000000001</v>
      </c>
      <c r="E55" s="290">
        <v>31.102</v>
      </c>
      <c r="F55" s="290">
        <v>16.399000000000001</v>
      </c>
      <c r="G55" s="290">
        <v>13.332000000000001</v>
      </c>
      <c r="H55" s="290"/>
      <c r="I55" s="290"/>
      <c r="J55" s="290"/>
      <c r="K55" s="290"/>
      <c r="O55" s="592" t="s">
        <v>1214</v>
      </c>
      <c r="P55" s="599" t="e">
        <f>P43-#REF!</f>
        <v>#REF!</v>
      </c>
      <c r="Q55" s="599" t="e">
        <f>Q43-#REF!</f>
        <v>#REF!</v>
      </c>
      <c r="R55" s="599" t="e">
        <f>R43-#REF!</f>
        <v>#REF!</v>
      </c>
      <c r="S55" s="599" t="e">
        <f>S43-#REF!</f>
        <v>#REF!</v>
      </c>
      <c r="V55" s="592" t="s">
        <v>1213</v>
      </c>
      <c r="Y55" s="610">
        <f>Y54/Y53</f>
        <v>4.0637172081283666E-2</v>
      </c>
      <c r="Z55" s="610">
        <f>Z54/Z53</f>
        <v>3.9779636544571152E-2</v>
      </c>
      <c r="AA55" s="610">
        <f>AA54/AA53</f>
        <v>3.7501428081464686E-2</v>
      </c>
      <c r="AB55" s="610">
        <f>AB54/AB53</f>
        <v>4.7301220222742191E-2</v>
      </c>
      <c r="AG55" s="1033"/>
      <c r="AH55" s="582" t="s">
        <v>1212</v>
      </c>
      <c r="AI55" s="582" t="s">
        <v>1197</v>
      </c>
      <c r="AJ55" s="583">
        <v>10000</v>
      </c>
      <c r="AK55" s="583">
        <v>11000</v>
      </c>
      <c r="AL55" s="584">
        <v>17000</v>
      </c>
      <c r="AM55" s="584">
        <v>12500</v>
      </c>
    </row>
    <row r="56" spans="2:40" ht="15" hidden="1">
      <c r="B56" s="509"/>
      <c r="C56" s="509"/>
      <c r="D56" s="3"/>
      <c r="E56" s="3"/>
      <c r="F56" s="3"/>
      <c r="G56" s="3"/>
      <c r="H56" s="3"/>
      <c r="I56" s="3"/>
      <c r="J56" s="3"/>
      <c r="K56" s="3"/>
      <c r="O56" s="592" t="s">
        <v>1211</v>
      </c>
      <c r="P56" s="599">
        <f>P44</f>
        <v>68726184</v>
      </c>
      <c r="Q56" s="599">
        <f>Q44</f>
        <v>124425012</v>
      </c>
      <c r="R56" s="599">
        <f>R44</f>
        <v>162700676</v>
      </c>
      <c r="S56" s="599">
        <f>S44</f>
        <v>169062007</v>
      </c>
      <c r="V56" s="592" t="s">
        <v>1210</v>
      </c>
      <c r="X56" s="289" t="s">
        <v>1209</v>
      </c>
      <c r="Y56" s="588">
        <v>5181.509</v>
      </c>
      <c r="Z56" s="588">
        <v>5547.9650000000001</v>
      </c>
      <c r="AA56" s="588">
        <v>6020.1210000000001</v>
      </c>
      <c r="AB56" s="588">
        <v>8214.5190000000002</v>
      </c>
      <c r="AG56" s="1034"/>
      <c r="AH56" s="582" t="s">
        <v>1208</v>
      </c>
      <c r="AI56" s="582" t="s">
        <v>1197</v>
      </c>
      <c r="AJ56" s="583">
        <v>5500</v>
      </c>
      <c r="AK56" s="583">
        <v>5800</v>
      </c>
      <c r="AL56" s="584">
        <v>7500</v>
      </c>
      <c r="AM56" s="584">
        <v>7000</v>
      </c>
    </row>
    <row r="57" spans="2:40" ht="15" hidden="1">
      <c r="B57" s="513" t="s">
        <v>1207</v>
      </c>
      <c r="C57" s="513" t="s">
        <v>1206</v>
      </c>
      <c r="D57" s="512">
        <v>202112</v>
      </c>
      <c r="E57" s="512">
        <v>202212</v>
      </c>
      <c r="F57" s="512">
        <v>202312</v>
      </c>
      <c r="G57" s="512">
        <v>202412</v>
      </c>
      <c r="H57" s="512">
        <v>202512</v>
      </c>
      <c r="I57" s="512">
        <v>202612</v>
      </c>
      <c r="J57" s="512">
        <v>202712</v>
      </c>
      <c r="K57" s="512">
        <v>202812</v>
      </c>
      <c r="O57" s="592" t="s">
        <v>1205</v>
      </c>
      <c r="P57" s="599" t="e">
        <f>P45-#REF!</f>
        <v>#REF!</v>
      </c>
      <c r="Q57" s="599" t="e">
        <f>Q45-#REF!</f>
        <v>#REF!</v>
      </c>
      <c r="R57" s="599" t="e">
        <f>R45-#REF!</f>
        <v>#REF!</v>
      </c>
      <c r="S57" s="599" t="e">
        <f>S45-#REF!</f>
        <v>#REF!</v>
      </c>
      <c r="V57" s="592" t="s">
        <v>1204</v>
      </c>
      <c r="Y57" s="611">
        <f>Y56/Y53</f>
        <v>2.2059890233087239E-2</v>
      </c>
      <c r="Z57" s="611">
        <f>Z56/Z53</f>
        <v>1.6801979308907904E-2</v>
      </c>
      <c r="AA57" s="611">
        <f>AA56/AA53</f>
        <v>1.638577563159337E-2</v>
      </c>
      <c r="AB57" s="611">
        <f>AB56/AB53</f>
        <v>2.0295740279794795E-2</v>
      </c>
      <c r="AG57" s="1032" t="s">
        <v>1203</v>
      </c>
      <c r="AH57" s="582" t="s">
        <v>1202</v>
      </c>
      <c r="AI57" s="582" t="s">
        <v>1197</v>
      </c>
      <c r="AJ57" s="583">
        <v>1400</v>
      </c>
      <c r="AK57" s="583">
        <v>1450</v>
      </c>
      <c r="AL57" s="584">
        <v>1200</v>
      </c>
      <c r="AM57" s="584">
        <v>1100</v>
      </c>
    </row>
    <row r="58" spans="2:40" ht="15" hidden="1">
      <c r="B58" s="511" t="s">
        <v>1201</v>
      </c>
      <c r="C58" s="511" t="s">
        <v>1167</v>
      </c>
      <c r="D58" s="510">
        <v>7196.576</v>
      </c>
      <c r="E58" s="510">
        <v>8323.5759999999991</v>
      </c>
      <c r="F58" s="510">
        <v>10770.512000000001</v>
      </c>
      <c r="G58" s="510">
        <v>18569.587</v>
      </c>
      <c r="H58" s="510"/>
      <c r="I58" s="510"/>
      <c r="J58" s="510"/>
      <c r="K58" s="510"/>
      <c r="O58" s="592" t="s">
        <v>6</v>
      </c>
      <c r="P58" s="599" t="e">
        <f>P46-SUM(#REF!)</f>
        <v>#REF!</v>
      </c>
      <c r="Q58" s="599" t="e">
        <f>Q46-SUM(#REF!)</f>
        <v>#REF!</v>
      </c>
      <c r="R58" s="599" t="e">
        <f>R46-SUM(#REF!)</f>
        <v>#REF!</v>
      </c>
      <c r="S58" s="599" t="e">
        <f>S46-SUM(#REF!)</f>
        <v>#REF!</v>
      </c>
      <c r="V58" s="592" t="s">
        <v>1200</v>
      </c>
      <c r="X58" s="289" t="s">
        <v>1199</v>
      </c>
      <c r="Y58" s="588">
        <v>4363.5010000000002</v>
      </c>
      <c r="Z58" s="588">
        <v>7587.1559999999999</v>
      </c>
      <c r="AA58" s="588">
        <v>7757.8739999999998</v>
      </c>
      <c r="AB58" s="588">
        <v>10930.226000000001</v>
      </c>
      <c r="AG58" s="1035"/>
      <c r="AH58" s="612" t="s">
        <v>1198</v>
      </c>
      <c r="AI58" s="612" t="s">
        <v>1197</v>
      </c>
      <c r="AJ58" s="605">
        <v>4500</v>
      </c>
      <c r="AK58" s="605">
        <v>5000</v>
      </c>
      <c r="AL58" s="606">
        <v>4000</v>
      </c>
      <c r="AM58" s="606">
        <v>3700</v>
      </c>
    </row>
    <row r="59" spans="2:40" ht="15" hidden="1">
      <c r="B59" s="509" t="s">
        <v>1196</v>
      </c>
      <c r="C59" s="509" t="s">
        <v>1167</v>
      </c>
      <c r="D59" s="3">
        <v>141.376</v>
      </c>
      <c r="E59" s="3">
        <v>281.41800000000001</v>
      </c>
      <c r="F59" s="3">
        <v>958.346</v>
      </c>
      <c r="G59" s="3">
        <v>1352.5830000000001</v>
      </c>
      <c r="H59" s="3"/>
      <c r="I59" s="3"/>
      <c r="J59" s="3"/>
      <c r="K59" s="3"/>
      <c r="O59" s="602" t="s">
        <v>1187</v>
      </c>
      <c r="P59" s="599" t="e">
        <f>SUM(P50:P58)</f>
        <v>#REF!</v>
      </c>
      <c r="Q59" s="599" t="e">
        <f>SUM(Q50:Q58)</f>
        <v>#REF!</v>
      </c>
      <c r="R59" s="599" t="e">
        <f>SUM(R50:R58)</f>
        <v>#REF!</v>
      </c>
      <c r="S59" s="599" t="e">
        <f>SUM(S50:S58)</f>
        <v>#REF!</v>
      </c>
      <c r="V59" s="592" t="s">
        <v>1195</v>
      </c>
      <c r="Y59" s="610">
        <f>Y58/Y53</f>
        <v>1.8577281848196424E-2</v>
      </c>
      <c r="Z59" s="610">
        <f>Z58/Z53</f>
        <v>2.2977657235663248E-2</v>
      </c>
      <c r="AA59" s="610">
        <f>AA58/AA53</f>
        <v>2.1115652449871316E-2</v>
      </c>
      <c r="AB59" s="610">
        <f>AB58/AB53</f>
        <v>2.70054799429474E-2</v>
      </c>
    </row>
    <row r="60" spans="2:40" ht="15" hidden="1">
      <c r="B60" s="509" t="s">
        <v>1194</v>
      </c>
      <c r="C60" s="509" t="s">
        <v>1167</v>
      </c>
      <c r="D60" s="3">
        <v>131.44499999999999</v>
      </c>
      <c r="E60" s="3">
        <v>92.436000000000007</v>
      </c>
      <c r="F60" s="3">
        <v>242.70500000000001</v>
      </c>
      <c r="G60" s="3">
        <v>190.57499999999999</v>
      </c>
      <c r="H60" s="3"/>
      <c r="I60" s="3"/>
      <c r="J60" s="3"/>
      <c r="K60" s="3"/>
      <c r="V60" s="592" t="s">
        <v>1193</v>
      </c>
    </row>
    <row r="61" spans="2:40" ht="15" hidden="1">
      <c r="B61" s="509" t="s">
        <v>1192</v>
      </c>
      <c r="C61" s="509" t="s">
        <v>1167</v>
      </c>
      <c r="D61" s="3">
        <v>5857.7939999999999</v>
      </c>
      <c r="E61" s="3">
        <v>7309.4139999999998</v>
      </c>
      <c r="F61" s="3">
        <v>8337.759</v>
      </c>
      <c r="G61" s="3">
        <v>16104.773999999999</v>
      </c>
      <c r="H61" s="3"/>
      <c r="I61" s="3"/>
      <c r="J61" s="3"/>
      <c r="K61" s="3"/>
      <c r="V61" s="592" t="s">
        <v>1191</v>
      </c>
    </row>
    <row r="62" spans="2:40" ht="15" hidden="1">
      <c r="B62" s="509" t="s">
        <v>1190</v>
      </c>
      <c r="C62" s="509" t="s">
        <v>1167</v>
      </c>
      <c r="D62" s="3">
        <v>512.46500000000003</v>
      </c>
      <c r="E62" s="3">
        <v>637.60799999999995</v>
      </c>
      <c r="F62" s="3">
        <v>461.90300000000002</v>
      </c>
      <c r="G62" s="3">
        <v>571.28</v>
      </c>
      <c r="H62" s="3"/>
      <c r="I62" s="3"/>
      <c r="J62" s="3"/>
      <c r="K62" s="3"/>
      <c r="V62" s="592" t="s">
        <v>1189</v>
      </c>
    </row>
    <row r="63" spans="2:40" ht="15" hidden="1">
      <c r="B63" s="509" t="s">
        <v>1188</v>
      </c>
      <c r="C63" s="509" t="s">
        <v>1167</v>
      </c>
      <c r="D63" s="3">
        <v>553.49599999999998</v>
      </c>
      <c r="E63" s="3">
        <v>2.7</v>
      </c>
      <c r="F63" s="3">
        <v>769.79899999999998</v>
      </c>
      <c r="G63" s="3">
        <v>350.375</v>
      </c>
      <c r="H63" s="3"/>
      <c r="I63" s="3"/>
      <c r="J63" s="3"/>
      <c r="K63" s="3"/>
      <c r="V63" s="602" t="s">
        <v>1187</v>
      </c>
    </row>
    <row r="64" spans="2:40" ht="15" hidden="1">
      <c r="B64" s="511" t="s">
        <v>1186</v>
      </c>
      <c r="C64" s="511" t="s">
        <v>1167</v>
      </c>
      <c r="D64" s="510">
        <v>13853.978999999999</v>
      </c>
      <c r="E64" s="510">
        <v>37272.428</v>
      </c>
      <c r="F64" s="510">
        <v>22758.851999999999</v>
      </c>
      <c r="G64" s="510">
        <v>44883.533000000003</v>
      </c>
      <c r="H64" s="510"/>
      <c r="I64" s="510"/>
      <c r="J64" s="510"/>
      <c r="K64" s="510"/>
    </row>
    <row r="65" spans="2:20" ht="15" hidden="1">
      <c r="B65" s="509" t="s">
        <v>1185</v>
      </c>
      <c r="C65" s="509" t="s">
        <v>1167</v>
      </c>
      <c r="D65" s="3">
        <v>6922.6059999999998</v>
      </c>
      <c r="E65" s="3">
        <v>9204.768</v>
      </c>
      <c r="F65" s="3">
        <v>11546.804</v>
      </c>
      <c r="G65" s="3">
        <v>10416.513999999999</v>
      </c>
      <c r="H65" s="3"/>
      <c r="I65" s="3"/>
      <c r="J65" s="3"/>
      <c r="K65" s="3"/>
      <c r="O65" s="289" t="s">
        <v>1184</v>
      </c>
    </row>
    <row r="66" spans="2:20" ht="15" hidden="1">
      <c r="B66" s="509" t="s">
        <v>1183</v>
      </c>
      <c r="C66" s="509" t="s">
        <v>1167</v>
      </c>
      <c r="D66" s="3">
        <v>2956.4850000000001</v>
      </c>
      <c r="E66" s="3">
        <v>7109.6589999999997</v>
      </c>
      <c r="F66" s="3">
        <v>7083.6030000000001</v>
      </c>
      <c r="G66" s="3">
        <v>10073.078</v>
      </c>
      <c r="H66" s="3"/>
      <c r="I66" s="3"/>
      <c r="J66" s="3"/>
      <c r="K66" s="3"/>
      <c r="O66" s="1020" t="s">
        <v>1182</v>
      </c>
      <c r="P66" s="1021"/>
      <c r="Q66" s="1021"/>
      <c r="R66" s="1021"/>
      <c r="S66" s="1021"/>
      <c r="T66" s="1022"/>
    </row>
    <row r="67" spans="2:20" ht="15" hidden="1">
      <c r="B67" s="509" t="s">
        <v>1181</v>
      </c>
      <c r="C67" s="509" t="s">
        <v>1167</v>
      </c>
      <c r="D67" s="3">
        <v>45.58</v>
      </c>
      <c r="E67" s="3">
        <v>4.6029999999999998</v>
      </c>
      <c r="F67" s="3">
        <v>133.846</v>
      </c>
      <c r="G67" s="3">
        <v>31.97</v>
      </c>
      <c r="H67" s="3"/>
      <c r="I67" s="3"/>
      <c r="J67" s="3"/>
      <c r="K67" s="3"/>
      <c r="O67" s="613" t="s">
        <v>1180</v>
      </c>
      <c r="P67" s="614" t="s">
        <v>1179</v>
      </c>
      <c r="Q67" s="614" t="s">
        <v>1178</v>
      </c>
      <c r="R67" s="614" t="s">
        <v>1177</v>
      </c>
      <c r="S67" s="614" t="s">
        <v>1176</v>
      </c>
      <c r="T67" s="615" t="s">
        <v>1175</v>
      </c>
    </row>
    <row r="68" spans="2:20" ht="15" hidden="1">
      <c r="B68" s="509" t="s">
        <v>1174</v>
      </c>
      <c r="C68" s="509" t="s">
        <v>1167</v>
      </c>
      <c r="D68" s="3">
        <v>14.327</v>
      </c>
      <c r="E68" s="3">
        <v>10.698</v>
      </c>
      <c r="F68" s="3">
        <v>63.125</v>
      </c>
      <c r="G68" s="3">
        <v>1.867</v>
      </c>
      <c r="H68" s="3"/>
      <c r="I68" s="3"/>
      <c r="J68" s="3"/>
      <c r="K68" s="3"/>
      <c r="O68" s="592" t="s">
        <v>1173</v>
      </c>
      <c r="P68" s="584">
        <v>144354284</v>
      </c>
      <c r="Q68" s="595" t="s">
        <v>29</v>
      </c>
      <c r="R68" s="595" t="s">
        <v>29</v>
      </c>
      <c r="S68" s="595" t="s">
        <v>29</v>
      </c>
      <c r="T68" s="583">
        <v>144354284</v>
      </c>
    </row>
    <row r="69" spans="2:20" ht="15" hidden="1">
      <c r="B69" s="509" t="s">
        <v>1172</v>
      </c>
      <c r="C69" s="509" t="s">
        <v>1167</v>
      </c>
      <c r="D69" s="3"/>
      <c r="E69" s="3"/>
      <c r="F69" s="3">
        <v>1299.999</v>
      </c>
      <c r="G69" s="3"/>
      <c r="H69" s="3"/>
      <c r="I69" s="3"/>
      <c r="J69" s="3"/>
      <c r="K69" s="3"/>
      <c r="O69" s="592" t="s">
        <v>1171</v>
      </c>
      <c r="P69" s="584">
        <v>66936647</v>
      </c>
      <c r="Q69" s="595" t="s">
        <v>29</v>
      </c>
      <c r="R69" s="584">
        <v>-2655388</v>
      </c>
      <c r="S69" s="595" t="s">
        <v>29</v>
      </c>
      <c r="T69" s="583">
        <v>64281259</v>
      </c>
    </row>
    <row r="70" spans="2:20" ht="15" hidden="1">
      <c r="B70" s="509" t="s">
        <v>1170</v>
      </c>
      <c r="C70" s="509" t="s">
        <v>1167</v>
      </c>
      <c r="D70" s="3">
        <v>3914.9810000000002</v>
      </c>
      <c r="E70" s="3">
        <v>20942.7</v>
      </c>
      <c r="F70" s="3">
        <v>2631.4749999999999</v>
      </c>
      <c r="G70" s="3">
        <v>21948.103999999999</v>
      </c>
      <c r="H70" s="3"/>
      <c r="I70" s="3"/>
      <c r="J70" s="3"/>
      <c r="K70" s="3"/>
      <c r="O70" s="592" t="s">
        <v>1169</v>
      </c>
      <c r="P70" s="584">
        <v>3767674</v>
      </c>
      <c r="Q70" s="584">
        <v>-12089</v>
      </c>
      <c r="R70" s="584">
        <v>-2286127</v>
      </c>
      <c r="S70" s="595" t="s">
        <v>29</v>
      </c>
      <c r="T70" s="583">
        <v>1469458</v>
      </c>
    </row>
    <row r="71" spans="2:20" ht="15" hidden="1">
      <c r="B71" s="509" t="s">
        <v>1168</v>
      </c>
      <c r="C71" s="509" t="s">
        <v>1167</v>
      </c>
      <c r="D71" s="3"/>
      <c r="E71" s="3"/>
      <c r="F71" s="3"/>
      <c r="G71" s="3">
        <v>2412</v>
      </c>
      <c r="H71" s="3"/>
      <c r="I71" s="3"/>
      <c r="J71" s="3"/>
      <c r="K71" s="3"/>
      <c r="O71" s="592" t="s">
        <v>43</v>
      </c>
      <c r="P71" s="584">
        <v>26596797</v>
      </c>
      <c r="Q71" s="584">
        <v>-247116</v>
      </c>
      <c r="R71" s="584">
        <v>-20644750</v>
      </c>
      <c r="S71" s="595">
        <v>-556</v>
      </c>
      <c r="T71" s="583">
        <v>5704375</v>
      </c>
    </row>
    <row r="72" spans="2:20" ht="15" hidden="1">
      <c r="B72" s="508" t="s">
        <v>1166</v>
      </c>
      <c r="C72" s="507"/>
      <c r="D72" s="290">
        <f t="shared" ref="D72:K72" si="6">D58-D64</f>
        <v>-6657.4029999999993</v>
      </c>
      <c r="E72" s="290">
        <f t="shared" si="6"/>
        <v>-28948.851999999999</v>
      </c>
      <c r="F72" s="290">
        <f t="shared" si="6"/>
        <v>-11988.339999999998</v>
      </c>
      <c r="G72" s="290">
        <f t="shared" si="6"/>
        <v>-26313.946000000004</v>
      </c>
      <c r="H72" s="290">
        <f t="shared" si="6"/>
        <v>0</v>
      </c>
      <c r="I72" s="290">
        <f t="shared" si="6"/>
        <v>0</v>
      </c>
      <c r="J72" s="290">
        <f t="shared" si="6"/>
        <v>0</v>
      </c>
      <c r="K72" s="290">
        <f t="shared" si="6"/>
        <v>0</v>
      </c>
      <c r="O72" s="592" t="s">
        <v>44</v>
      </c>
      <c r="P72" s="584">
        <v>1422407</v>
      </c>
      <c r="Q72" s="595" t="s">
        <v>29</v>
      </c>
      <c r="R72" s="584">
        <v>-970015</v>
      </c>
      <c r="S72" s="595" t="s">
        <v>29</v>
      </c>
      <c r="T72" s="583">
        <v>452392</v>
      </c>
    </row>
    <row r="73" spans="2:20" hidden="1">
      <c r="O73" s="592" t="s">
        <v>45</v>
      </c>
      <c r="P73" s="584">
        <v>660510</v>
      </c>
      <c r="Q73" s="584">
        <v>-49974</v>
      </c>
      <c r="R73" s="584">
        <v>-581388</v>
      </c>
      <c r="S73" s="595" t="s">
        <v>29</v>
      </c>
      <c r="T73" s="583">
        <v>29148</v>
      </c>
    </row>
    <row r="74" spans="2:20" hidden="1">
      <c r="O74" s="592" t="s">
        <v>46</v>
      </c>
      <c r="P74" s="584">
        <v>4942327</v>
      </c>
      <c r="Q74" s="595">
        <v>-1</v>
      </c>
      <c r="R74" s="584">
        <v>-3933979</v>
      </c>
      <c r="S74" s="595" t="s">
        <v>29</v>
      </c>
      <c r="T74" s="583">
        <v>1008347</v>
      </c>
    </row>
    <row r="75" spans="2:20" hidden="1">
      <c r="O75" s="592" t="s">
        <v>1165</v>
      </c>
      <c r="P75" s="584">
        <v>3617512</v>
      </c>
      <c r="Q75" s="595" t="s">
        <v>29</v>
      </c>
      <c r="R75" s="595" t="s">
        <v>29</v>
      </c>
      <c r="S75" s="595" t="s">
        <v>29</v>
      </c>
      <c r="T75" s="583">
        <v>3617512</v>
      </c>
    </row>
    <row r="76" spans="2:20" hidden="1">
      <c r="O76" s="592" t="s">
        <v>1164</v>
      </c>
      <c r="P76" s="584">
        <v>2066085</v>
      </c>
      <c r="Q76" s="595" t="s">
        <v>29</v>
      </c>
      <c r="R76" s="584">
        <v>-650419</v>
      </c>
      <c r="S76" s="595" t="s">
        <v>29</v>
      </c>
      <c r="T76" s="583">
        <v>1415666</v>
      </c>
    </row>
    <row r="77" spans="2:20" hidden="1">
      <c r="O77" s="616" t="s">
        <v>1163</v>
      </c>
      <c r="P77" s="606">
        <v>254364243</v>
      </c>
      <c r="Q77" s="606">
        <v>-309180</v>
      </c>
      <c r="R77" s="606">
        <v>-31722066</v>
      </c>
      <c r="S77" s="617">
        <v>-556</v>
      </c>
      <c r="T77" s="618" t="s">
        <v>1162</v>
      </c>
    </row>
    <row r="78" spans="2:20" hidden="1"/>
    <row r="79" spans="2:20" hidden="1">
      <c r="P79" s="289">
        <f>P71/P77</f>
        <v>0.10456185463143104</v>
      </c>
    </row>
    <row r="80" spans="2:20" hidden="1"/>
    <row r="81" spans="13:14">
      <c r="M81" s="599"/>
      <c r="N81" s="599"/>
    </row>
    <row r="82" spans="13:14">
      <c r="M82" s="599"/>
      <c r="N82" s="599"/>
    </row>
    <row r="84" spans="13:14">
      <c r="M84" s="623"/>
      <c r="N84" s="623"/>
    </row>
  </sheetData>
  <mergeCells count="11">
    <mergeCell ref="O66:T66"/>
    <mergeCell ref="AJ43:AJ44"/>
    <mergeCell ref="AK43:AK44"/>
    <mergeCell ref="AL43:AL44"/>
    <mergeCell ref="AG47:AI47"/>
    <mergeCell ref="AG48:AG53"/>
    <mergeCell ref="AG54:AG56"/>
    <mergeCell ref="AG38:AG44"/>
    <mergeCell ref="AH38:AH42"/>
    <mergeCell ref="AH43:AH44"/>
    <mergeCell ref="AG57:AG5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B821-4034-405B-8D08-C0F816E5E1D3}">
  <dimension ref="A1:AE55"/>
  <sheetViews>
    <sheetView zoomScale="70" zoomScaleNormal="70" workbookViewId="0">
      <pane ySplit="6" topLeftCell="A7" activePane="bottomLeft" state="frozen"/>
      <selection pane="bottomLeft"/>
    </sheetView>
  </sheetViews>
  <sheetFormatPr defaultRowHeight="15"/>
  <cols>
    <col min="1" max="1" width="2.5" style="6" customWidth="1"/>
    <col min="2" max="2" width="25.69921875" style="6" customWidth="1"/>
    <col min="3" max="18" width="10.69921875" style="6" customWidth="1"/>
    <col min="19" max="19" width="1.69921875" style="6" customWidth="1"/>
    <col min="20" max="24" width="10.69921875" style="6" customWidth="1"/>
    <col min="25" max="25" width="1.69921875" style="6" customWidth="1"/>
    <col min="26" max="26" width="10.69921875" style="6" customWidth="1"/>
    <col min="27" max="16384" width="8.796875" style="6"/>
  </cols>
  <sheetData>
    <row r="1" spans="1:31" s="197" customFormat="1" ht="16.8">
      <c r="B1" s="198" t="s">
        <v>1777</v>
      </c>
    </row>
    <row r="2" spans="1:31" s="197" customFormat="1" ht="22.8" thickBot="1">
      <c r="B2" s="199" t="s">
        <v>1760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31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4" spans="1:31" ht="15" customHeight="1" thickBot="1"/>
    <row r="5" spans="1:31" ht="15" customHeight="1">
      <c r="B5" s="86" t="s">
        <v>454</v>
      </c>
      <c r="C5" s="85" t="s">
        <v>1028</v>
      </c>
    </row>
    <row r="6" spans="1:31" ht="15" customHeight="1" thickBot="1">
      <c r="B6" s="84" t="s">
        <v>452</v>
      </c>
      <c r="C6" s="83">
        <f>IF(C5="Bull",1, IF(C5="Base",2,3))</f>
        <v>2</v>
      </c>
      <c r="E6" s="368"/>
      <c r="F6" s="368"/>
      <c r="G6" s="368"/>
      <c r="H6" s="368"/>
    </row>
    <row r="7" spans="1:31" s="118" customFormat="1" ht="15" customHeight="1">
      <c r="C7" s="486">
        <f>2000+RIGHT(C8,2)</f>
        <v>2025</v>
      </c>
      <c r="D7" s="486">
        <f t="shared" ref="D7:R7" si="0">2000+RIGHT(D8,2)</f>
        <v>2025</v>
      </c>
      <c r="E7" s="486">
        <f t="shared" si="0"/>
        <v>2025</v>
      </c>
      <c r="F7" s="486">
        <f t="shared" si="0"/>
        <v>2025</v>
      </c>
      <c r="G7" s="486">
        <f t="shared" si="0"/>
        <v>2026</v>
      </c>
      <c r="H7" s="486">
        <f t="shared" si="0"/>
        <v>2026</v>
      </c>
      <c r="I7" s="486">
        <f t="shared" si="0"/>
        <v>2026</v>
      </c>
      <c r="J7" s="486">
        <f t="shared" si="0"/>
        <v>2026</v>
      </c>
      <c r="K7" s="486">
        <f t="shared" si="0"/>
        <v>2027</v>
      </c>
      <c r="L7" s="486">
        <f t="shared" si="0"/>
        <v>2027</v>
      </c>
      <c r="M7" s="486">
        <f t="shared" si="0"/>
        <v>2027</v>
      </c>
      <c r="N7" s="486">
        <f t="shared" si="0"/>
        <v>2027</v>
      </c>
      <c r="O7" s="486">
        <f t="shared" si="0"/>
        <v>2028</v>
      </c>
      <c r="P7" s="486">
        <f t="shared" si="0"/>
        <v>2028</v>
      </c>
      <c r="Q7" s="486">
        <f t="shared" si="0"/>
        <v>2028</v>
      </c>
      <c r="R7" s="486">
        <f t="shared" si="0"/>
        <v>2028</v>
      </c>
    </row>
    <row r="8" spans="1:31" ht="15" customHeight="1">
      <c r="A8" s="6" t="s">
        <v>423</v>
      </c>
      <c r="B8" s="810" t="s">
        <v>3</v>
      </c>
      <c r="C8" s="811" t="s">
        <v>58</v>
      </c>
      <c r="D8" s="812" t="s">
        <v>59</v>
      </c>
      <c r="E8" s="812" t="s">
        <v>60</v>
      </c>
      <c r="F8" s="813" t="s">
        <v>61</v>
      </c>
      <c r="G8" s="812" t="s">
        <v>449</v>
      </c>
      <c r="H8" s="812" t="s">
        <v>448</v>
      </c>
      <c r="I8" s="812" t="s">
        <v>447</v>
      </c>
      <c r="J8" s="813" t="s">
        <v>446</v>
      </c>
      <c r="K8" s="812" t="s">
        <v>445</v>
      </c>
      <c r="L8" s="812" t="s">
        <v>444</v>
      </c>
      <c r="M8" s="812" t="s">
        <v>443</v>
      </c>
      <c r="N8" s="813" t="s">
        <v>442</v>
      </c>
      <c r="O8" s="812" t="s">
        <v>441</v>
      </c>
      <c r="P8" s="812" t="s">
        <v>440</v>
      </c>
      <c r="Q8" s="812" t="s">
        <v>439</v>
      </c>
      <c r="R8" s="812" t="s">
        <v>438</v>
      </c>
      <c r="T8" s="82" t="s">
        <v>1686</v>
      </c>
      <c r="U8" s="82" t="s">
        <v>1160</v>
      </c>
      <c r="V8" s="82" t="s">
        <v>1349</v>
      </c>
      <c r="W8" s="82" t="s">
        <v>1347</v>
      </c>
      <c r="X8" s="82" t="s">
        <v>1348</v>
      </c>
      <c r="Z8" s="484" t="s">
        <v>437</v>
      </c>
    </row>
    <row r="9" spans="1:31" s="581" customFormat="1" ht="15" customHeight="1">
      <c r="B9" s="889" t="s">
        <v>10</v>
      </c>
      <c r="C9" s="890">
        <v>135275</v>
      </c>
      <c r="D9" s="890">
        <f t="shared" ref="D9:R9" si="1">SUM(D11,D13,D15,D17)</f>
        <v>144360.39950022922</v>
      </c>
      <c r="E9" s="890">
        <f t="shared" si="1"/>
        <v>196610.32975637991</v>
      </c>
      <c r="F9" s="891">
        <f t="shared" si="1"/>
        <v>247366.39823645487</v>
      </c>
      <c r="G9" s="890">
        <f t="shared" si="1"/>
        <v>270455.87165916944</v>
      </c>
      <c r="H9" s="890">
        <f t="shared" si="1"/>
        <v>273993.94624489767</v>
      </c>
      <c r="I9" s="890">
        <f t="shared" si="1"/>
        <v>265735.05557700968</v>
      </c>
      <c r="J9" s="891">
        <f t="shared" si="1"/>
        <v>245238.60577124663</v>
      </c>
      <c r="K9" s="890">
        <f t="shared" si="1"/>
        <v>253748.9643593395</v>
      </c>
      <c r="L9" s="890">
        <f t="shared" si="1"/>
        <v>273070.66410365654</v>
      </c>
      <c r="M9" s="890">
        <f t="shared" si="1"/>
        <v>302432.89653350913</v>
      </c>
      <c r="N9" s="891">
        <f t="shared" si="1"/>
        <v>292493.32106530294</v>
      </c>
      <c r="O9" s="890">
        <f t="shared" si="1"/>
        <v>294918.42965775303</v>
      </c>
      <c r="P9" s="890">
        <f t="shared" si="1"/>
        <v>316854.63397526479</v>
      </c>
      <c r="Q9" s="890">
        <f t="shared" si="1"/>
        <v>336962.51467765024</v>
      </c>
      <c r="R9" s="890">
        <f t="shared" si="1"/>
        <v>276407.282836659</v>
      </c>
      <c r="T9" s="890">
        <v>404742</v>
      </c>
      <c r="U9" s="890">
        <f>SUM(U11,U13,U15,U17)</f>
        <v>818060.12749306392</v>
      </c>
      <c r="V9" s="890">
        <f>SUM(V11,V13,V15,V17)</f>
        <v>1055423.4792523235</v>
      </c>
      <c r="W9" s="890">
        <f>SUM(W11,W13,W15,W17)</f>
        <v>1121745.8460618081</v>
      </c>
      <c r="X9" s="890">
        <f>SUM(X11,X13,X15,X17)</f>
        <v>1225142.8611473271</v>
      </c>
      <c r="Z9" s="892">
        <f>RATE(3,0,-U9,X9)</f>
        <v>0.14410838741086029</v>
      </c>
    </row>
    <row r="10" spans="1:31" s="66" customFormat="1" ht="15" customHeight="1">
      <c r="B10" s="807" t="s">
        <v>1589</v>
      </c>
      <c r="C10" s="814"/>
      <c r="D10" s="808">
        <f>D9/C9-1</f>
        <v>6.7162443173012232E-2</v>
      </c>
      <c r="E10" s="808">
        <f t="shared" ref="E10:R10" si="2">E9/D9-1</f>
        <v>0.36194088155088355</v>
      </c>
      <c r="F10" s="809">
        <f t="shared" si="2"/>
        <v>0.25815565511215444</v>
      </c>
      <c r="G10" s="808">
        <f t="shared" si="2"/>
        <v>9.3341187757617794E-2</v>
      </c>
      <c r="H10" s="808">
        <f t="shared" si="2"/>
        <v>1.3081892302885256E-2</v>
      </c>
      <c r="I10" s="808">
        <f t="shared" si="2"/>
        <v>-3.0142602714682387E-2</v>
      </c>
      <c r="J10" s="809">
        <f t="shared" si="2"/>
        <v>-7.7131147643496378E-2</v>
      </c>
      <c r="K10" s="808">
        <f t="shared" si="2"/>
        <v>3.4702360834782953E-2</v>
      </c>
      <c r="L10" s="808">
        <f t="shared" si="2"/>
        <v>7.6144940307835807E-2</v>
      </c>
      <c r="M10" s="808">
        <f t="shared" si="2"/>
        <v>0.10752613257170252</v>
      </c>
      <c r="N10" s="809">
        <f t="shared" si="2"/>
        <v>-3.286539123929233E-2</v>
      </c>
      <c r="O10" s="808">
        <f t="shared" si="2"/>
        <v>8.2911588668674874E-3</v>
      </c>
      <c r="P10" s="808">
        <f t="shared" si="2"/>
        <v>7.4380581583078031E-2</v>
      </c>
      <c r="Q10" s="808">
        <f t="shared" si="2"/>
        <v>6.346090145538219E-2</v>
      </c>
      <c r="R10" s="808">
        <f t="shared" si="2"/>
        <v>-0.17970910473208102</v>
      </c>
      <c r="T10" s="816"/>
      <c r="U10" s="816">
        <f>U9/T9-1</f>
        <v>1.0211891216949658</v>
      </c>
      <c r="V10" s="816">
        <f>V9/U9-1</f>
        <v>0.29015391874269314</v>
      </c>
      <c r="W10" s="816">
        <f t="shared" ref="W10:X10" si="3">W9/V9-1</f>
        <v>6.2839578721963107E-2</v>
      </c>
      <c r="X10" s="816">
        <f t="shared" si="3"/>
        <v>9.2175081769656053E-2</v>
      </c>
      <c r="Z10" s="815"/>
    </row>
    <row r="11" spans="1:31" s="581" customFormat="1" ht="15" customHeight="1">
      <c r="B11" s="889" t="s">
        <v>54</v>
      </c>
      <c r="C11" s="890">
        <f>CHOOSE($C$6,HRSG!C42,HRSG!C47,HRSG!C52)</f>
        <v>98656</v>
      </c>
      <c r="D11" s="890">
        <f>CHOOSE($C$6,HRSG!D42,HRSG!D47,HRSG!D52)</f>
        <v>100885.48322015253</v>
      </c>
      <c r="E11" s="890">
        <f>CHOOSE($C$6,HRSG!E42,HRSG!E47,HRSG!E52)</f>
        <v>136278.5277620175</v>
      </c>
      <c r="F11" s="891">
        <f>CHOOSE($C$6,HRSG!F42,HRSG!F47,HRSG!F52)</f>
        <v>187034.59624209246</v>
      </c>
      <c r="G11" s="890">
        <f>CHOOSE($C$6,HRSG!G42,HRSG!G47,HRSG!G52)</f>
        <v>210124.069664807</v>
      </c>
      <c r="H11" s="890">
        <f>CHOOSE($C$6,HRSG!H42,HRSG!H47,HRSG!H52)</f>
        <v>213662.14425053523</v>
      </c>
      <c r="I11" s="890">
        <f>CHOOSE($C$6,HRSG!I42,HRSG!I47,HRSG!I52)</f>
        <v>205403.25358264724</v>
      </c>
      <c r="J11" s="891">
        <f>CHOOSE($C$6,HRSG!J42,HRSG!J47,HRSG!J52)</f>
        <v>184906.80377688422</v>
      </c>
      <c r="K11" s="890">
        <f>CHOOSE($C$6,HRSG!K42,HRSG!K47,HRSG!K52)</f>
        <v>164355.98589438887</v>
      </c>
      <c r="L11" s="890">
        <f>CHOOSE($C$6,HRSG!L42,HRSG!L47,HRSG!L52)</f>
        <v>181258.88700568798</v>
      </c>
      <c r="M11" s="890">
        <f>CHOOSE($C$6,HRSG!M42,HRSG!M47,HRSG!M52)</f>
        <v>207535.4681750364</v>
      </c>
      <c r="N11" s="891">
        <f>CHOOSE($C$6,HRSG!N42,HRSG!N47,HRSG!N52)</f>
        <v>200014.6913398481</v>
      </c>
      <c r="O11" s="890">
        <f>CHOOSE($C$6,HRSG!O42,HRSG!O47,HRSG!O52)</f>
        <v>202439.79993229816</v>
      </c>
      <c r="P11" s="890">
        <f>CHOOSE($C$6,HRSG!P42,HRSG!P47,HRSG!P52)</f>
        <v>208304.90392790601</v>
      </c>
      <c r="Q11" s="890">
        <f>CHOOSE($C$6,HRSG!Q42,HRSG!Q47,HRSG!Q52)</f>
        <v>222241.48210928304</v>
      </c>
      <c r="R11" s="890">
        <f>CHOOSE($C$6,HRSG!R42,HRSG!R47,HRSG!R52)</f>
        <v>161686.25026829183</v>
      </c>
      <c r="T11" s="890">
        <v>259014</v>
      </c>
      <c r="U11" s="890">
        <f>SUMIF($C$7:$R$7,U$8,$C11:$R11)</f>
        <v>522854.60722426244</v>
      </c>
      <c r="V11" s="890">
        <f t="shared" ref="V11:X11" si="4">SUMIF($C$7:$R$7,V$8,$C11:$R11)</f>
        <v>814096.27127487375</v>
      </c>
      <c r="W11" s="890">
        <f t="shared" si="4"/>
        <v>753165.03241496137</v>
      </c>
      <c r="X11" s="890">
        <f t="shared" si="4"/>
        <v>794672.4362377791</v>
      </c>
      <c r="Z11" s="892">
        <f>RATE(3,0,-U11,X11)</f>
        <v>0.14974731333868563</v>
      </c>
    </row>
    <row r="12" spans="1:31" ht="15" customHeight="1">
      <c r="B12" s="807" t="s">
        <v>1029</v>
      </c>
      <c r="C12" s="814"/>
      <c r="D12" s="808">
        <f t="shared" ref="D12:R12" si="5">D11/C11-1</f>
        <v>2.2598556804984238E-2</v>
      </c>
      <c r="E12" s="808">
        <f t="shared" si="5"/>
        <v>0.35082395813707112</v>
      </c>
      <c r="F12" s="809">
        <f t="shared" si="5"/>
        <v>0.37244362199678305</v>
      </c>
      <c r="G12" s="808">
        <f t="shared" si="5"/>
        <v>0.1234502807856368</v>
      </c>
      <c r="H12" s="808">
        <f t="shared" si="5"/>
        <v>1.6838026178401355E-2</v>
      </c>
      <c r="I12" s="808">
        <f t="shared" si="5"/>
        <v>-3.8653972592373687E-2</v>
      </c>
      <c r="J12" s="809">
        <f t="shared" si="5"/>
        <v>-9.9786393098763471E-2</v>
      </c>
      <c r="K12" s="808">
        <f t="shared" si="5"/>
        <v>-0.11114149107943461</v>
      </c>
      <c r="L12" s="808">
        <f t="shared" si="5"/>
        <v>0.10284323396752049</v>
      </c>
      <c r="M12" s="808">
        <f t="shared" si="5"/>
        <v>0.14496713294131536</v>
      </c>
      <c r="N12" s="809">
        <f t="shared" si="5"/>
        <v>-3.6238513355438817E-2</v>
      </c>
      <c r="O12" s="808">
        <f t="shared" si="5"/>
        <v>1.2124652325311125E-2</v>
      </c>
      <c r="P12" s="808">
        <f t="shared" si="5"/>
        <v>2.8972089468421336E-2</v>
      </c>
      <c r="Q12" s="808">
        <f t="shared" si="5"/>
        <v>6.6904705163352451E-2</v>
      </c>
      <c r="R12" s="808">
        <f t="shared" si="5"/>
        <v>-0.27247492802092776</v>
      </c>
      <c r="T12" s="59"/>
      <c r="U12" s="808">
        <f>U11/T11-1</f>
        <v>1.0186345418558935</v>
      </c>
      <c r="V12" s="808">
        <f>V11/U11-1</f>
        <v>0.55702227737221066</v>
      </c>
      <c r="W12" s="808">
        <f>W11/V11-1</f>
        <v>-7.4845249892244503E-2</v>
      </c>
      <c r="X12" s="808">
        <f>X11/W11-1</f>
        <v>5.5110635832000376E-2</v>
      </c>
      <c r="Z12" s="485"/>
    </row>
    <row r="13" spans="1:31" s="581" customFormat="1" ht="15" customHeight="1">
      <c r="B13" s="889" t="s">
        <v>425</v>
      </c>
      <c r="C13" s="890">
        <f>Boiler!C9</f>
        <v>20124</v>
      </c>
      <c r="D13" s="890">
        <f>Boiler!D9</f>
        <v>20124</v>
      </c>
      <c r="E13" s="890">
        <f>Boiler!E9</f>
        <v>36980.885714285716</v>
      </c>
      <c r="F13" s="891">
        <f>Boiler!F9</f>
        <v>36980.885714285716</v>
      </c>
      <c r="G13" s="890">
        <f>Boiler!G9</f>
        <v>36980.885714285716</v>
      </c>
      <c r="H13" s="890">
        <f>Boiler!H9</f>
        <v>36980.885714285716</v>
      </c>
      <c r="I13" s="890">
        <f>Boiler!I9</f>
        <v>36980.885714285716</v>
      </c>
      <c r="J13" s="891">
        <f>Boiler!J9</f>
        <v>36980.885714285716</v>
      </c>
      <c r="K13" s="890">
        <f>Boiler!K9</f>
        <v>57400.885714285716</v>
      </c>
      <c r="L13" s="890">
        <f>Boiler!L9</f>
        <v>57400.885714285716</v>
      </c>
      <c r="M13" s="890">
        <f>Boiler!M9</f>
        <v>57400.885714285716</v>
      </c>
      <c r="N13" s="891">
        <f>Boiler!N9</f>
        <v>57400.885714285716</v>
      </c>
      <c r="O13" s="890">
        <f>Boiler!O9</f>
        <v>57400.885714285716</v>
      </c>
      <c r="P13" s="890">
        <f>Boiler!P9</f>
        <v>57400.885714285716</v>
      </c>
      <c r="Q13" s="890">
        <f>Boiler!Q9</f>
        <v>57400.885714285716</v>
      </c>
      <c r="R13" s="890">
        <f>Boiler!R9</f>
        <v>57400.885714285716</v>
      </c>
      <c r="T13" s="890">
        <v>68413</v>
      </c>
      <c r="U13" s="890">
        <f>SUMIF($C$7:$R$7,U$8,$C13:$R13)</f>
        <v>114209.77142857143</v>
      </c>
      <c r="V13" s="890">
        <f t="shared" ref="V13:X13" si="6">SUMIF($C$7:$R$7,V$8,$C13:$R13)</f>
        <v>147923.54285714286</v>
      </c>
      <c r="W13" s="890">
        <f t="shared" si="6"/>
        <v>229603.54285714286</v>
      </c>
      <c r="X13" s="890">
        <f t="shared" si="6"/>
        <v>229603.54285714286</v>
      </c>
      <c r="Z13" s="892">
        <f>RATE(3,0,-재무분석!W40,재무분석!Z40)</f>
        <v>0.10708628135781831</v>
      </c>
      <c r="AA13" s="892"/>
      <c r="AB13" s="894"/>
      <c r="AC13" s="894"/>
      <c r="AD13" s="894"/>
      <c r="AE13" s="894"/>
    </row>
    <row r="14" spans="1:31" ht="15" customHeight="1">
      <c r="B14" s="807" t="s">
        <v>1029</v>
      </c>
      <c r="C14" s="808"/>
      <c r="D14" s="808">
        <f>D13/C13-1</f>
        <v>0</v>
      </c>
      <c r="E14" s="808">
        <f t="shared" ref="E14" si="7">E13/D13-1</f>
        <v>0.8376508504415483</v>
      </c>
      <c r="F14" s="809">
        <f t="shared" ref="F14" si="8">F13/E13-1</f>
        <v>0</v>
      </c>
      <c r="G14" s="808">
        <f t="shared" ref="G14" si="9">G13/F13-1</f>
        <v>0</v>
      </c>
      <c r="H14" s="808">
        <f t="shared" ref="H14" si="10">H13/G13-1</f>
        <v>0</v>
      </c>
      <c r="I14" s="808">
        <f t="shared" ref="I14" si="11">I13/H13-1</f>
        <v>0</v>
      </c>
      <c r="J14" s="809">
        <f t="shared" ref="J14" si="12">J13/I13-1</f>
        <v>0</v>
      </c>
      <c r="K14" s="808">
        <f t="shared" ref="K14" si="13">K13/J13-1</f>
        <v>0.55217714788566452</v>
      </c>
      <c r="L14" s="808">
        <f t="shared" ref="L14" si="14">L13/K13-1</f>
        <v>0</v>
      </c>
      <c r="M14" s="808">
        <f t="shared" ref="M14" si="15">M13/L13-1</f>
        <v>0</v>
      </c>
      <c r="N14" s="809">
        <f t="shared" ref="N14" si="16">N13/M13-1</f>
        <v>0</v>
      </c>
      <c r="O14" s="808">
        <f t="shared" ref="O14" si="17">O13/N13-1</f>
        <v>0</v>
      </c>
      <c r="P14" s="808">
        <f t="shared" ref="P14" si="18">P13/O13-1</f>
        <v>0</v>
      </c>
      <c r="Q14" s="808">
        <f t="shared" ref="Q14" si="19">Q13/P13-1</f>
        <v>0</v>
      </c>
      <c r="R14" s="808">
        <f t="shared" ref="R14" si="20">R13/Q13-1</f>
        <v>0</v>
      </c>
      <c r="T14" s="59"/>
      <c r="U14" s="808">
        <f>U13/T13-1</f>
        <v>0.66941621371042692</v>
      </c>
      <c r="V14" s="808">
        <f t="shared" ref="V14:X14" si="21">V13/U13-1</f>
        <v>0.29519165485465093</v>
      </c>
      <c r="W14" s="808">
        <f t="shared" si="21"/>
        <v>0.55217714788566452</v>
      </c>
      <c r="X14" s="808">
        <f t="shared" si="21"/>
        <v>0</v>
      </c>
      <c r="Z14" s="485"/>
    </row>
    <row r="15" spans="1:31" s="581" customFormat="1" ht="15" customHeight="1">
      <c r="B15" s="889" t="s">
        <v>56</v>
      </c>
      <c r="C15" s="890">
        <f>CHOOSE($C$6,BOP!C53,BOP!C58,BOP!C63)</f>
        <v>98656</v>
      </c>
      <c r="D15" s="890">
        <f>CHOOSE($C$6,BOP!D53,BOP!D58,BOP!D63)</f>
        <v>11063.916280076699</v>
      </c>
      <c r="E15" s="890">
        <f>CHOOSE($C$6,BOP!E53,BOP!E58,BOP!E63)</f>
        <v>11063.916280076699</v>
      </c>
      <c r="F15" s="891">
        <f>CHOOSE($C$6,BOP!F53,BOP!F58,BOP!F63)</f>
        <v>11063.916280076699</v>
      </c>
      <c r="G15" s="890">
        <f>CHOOSE($C$6,BOP!G53,BOP!G58,BOP!G63)</f>
        <v>11063.916280076699</v>
      </c>
      <c r="H15" s="890">
        <f>CHOOSE($C$6,BOP!H53,BOP!H58,BOP!H63)</f>
        <v>11063.916280076699</v>
      </c>
      <c r="I15" s="890">
        <f>CHOOSE($C$6,BOP!I53,BOP!I58,BOP!I63)</f>
        <v>11063.916280076699</v>
      </c>
      <c r="J15" s="891">
        <f>CHOOSE($C$6,BOP!J53,BOP!J58,BOP!J63)</f>
        <v>11063.916280076699</v>
      </c>
      <c r="K15" s="890">
        <f>CHOOSE($C$6,BOP!K53,BOP!K58,BOP!K63)</f>
        <v>19705.092750664931</v>
      </c>
      <c r="L15" s="890">
        <f>CHOOSE($C$6,BOP!L53,BOP!L58,BOP!L63)</f>
        <v>22123.891383682807</v>
      </c>
      <c r="M15" s="890">
        <f>CHOOSE($C$6,BOP!M53,BOP!M58,BOP!M63)</f>
        <v>25209.542644187008</v>
      </c>
      <c r="N15" s="891">
        <f>CHOOSE($C$6,BOP!N53,BOP!N58,BOP!N63)</f>
        <v>22790.744011169132</v>
      </c>
      <c r="O15" s="890">
        <f>CHOOSE($C$6,BOP!O53,BOP!O58,BOP!O63)</f>
        <v>22790.744011169132</v>
      </c>
      <c r="P15" s="890">
        <f>CHOOSE($C$6,BOP!P53,BOP!P58,BOP!P63)</f>
        <v>38861.844333073059</v>
      </c>
      <c r="Q15" s="890">
        <f>CHOOSE($C$6,BOP!Q53,BOP!Q58,BOP!Q63)</f>
        <v>45033.146854081468</v>
      </c>
      <c r="R15" s="890">
        <f>CHOOSE($C$6,BOP!R53,BOP!R58,BOP!R63)</f>
        <v>45033.146854081468</v>
      </c>
      <c r="T15" s="890">
        <v>14305</v>
      </c>
      <c r="U15" s="890">
        <f>SUMIF($C$7:$R$7,U$8,$C15:$R15)</f>
        <v>131847.74884023008</v>
      </c>
      <c r="V15" s="890">
        <f t="shared" ref="V15:X15" si="22">SUMIF($C$7:$R$7,V$8,$C15:$R15)</f>
        <v>44255.665120306796</v>
      </c>
      <c r="W15" s="890">
        <f t="shared" si="22"/>
        <v>89829.270789703878</v>
      </c>
      <c r="X15" s="890">
        <f t="shared" si="22"/>
        <v>151718.88205240513</v>
      </c>
      <c r="Z15" s="892">
        <f>RATE(3,0,-U15,X15)</f>
        <v>4.7905946777542771E-2</v>
      </c>
    </row>
    <row r="16" spans="1:31" ht="15" customHeight="1">
      <c r="B16" s="807" t="s">
        <v>1029</v>
      </c>
      <c r="C16" s="808"/>
      <c r="D16" s="808">
        <f>D15/C15-1</f>
        <v>-0.88785358944132442</v>
      </c>
      <c r="E16" s="808">
        <f t="shared" ref="E16" si="23">E15/D15-1</f>
        <v>0</v>
      </c>
      <c r="F16" s="809">
        <f t="shared" ref="F16" si="24">F15/E15-1</f>
        <v>0</v>
      </c>
      <c r="G16" s="808">
        <f t="shared" ref="G16" si="25">G15/F15-1</f>
        <v>0</v>
      </c>
      <c r="H16" s="808">
        <f t="shared" ref="H16" si="26">H15/G15-1</f>
        <v>0</v>
      </c>
      <c r="I16" s="808">
        <f t="shared" ref="I16" si="27">I15/H15-1</f>
        <v>0</v>
      </c>
      <c r="J16" s="809">
        <f t="shared" ref="J16" si="28">J15/I15-1</f>
        <v>0</v>
      </c>
      <c r="K16" s="808">
        <f t="shared" ref="K16" si="29">K15/J15-1</f>
        <v>0.78102330601947845</v>
      </c>
      <c r="L16" s="808">
        <f t="shared" ref="L16" si="30">L15/K15-1</f>
        <v>0.12274992376964344</v>
      </c>
      <c r="M16" s="808">
        <f t="shared" ref="M16" si="31">M15/L15-1</f>
        <v>0.13947145224099144</v>
      </c>
      <c r="N16" s="809">
        <f t="shared" ref="N16" si="32">N15/M15-1</f>
        <v>-9.5947739598346904E-2</v>
      </c>
      <c r="O16" s="808">
        <f t="shared" ref="O16" si="33">O15/N15-1</f>
        <v>0</v>
      </c>
      <c r="P16" s="808">
        <f t="shared" ref="P16" si="34">P15/O15-1</f>
        <v>0.70515909063907301</v>
      </c>
      <c r="Q16" s="808">
        <f t="shared" ref="Q16" si="35">Q15/P15-1</f>
        <v>0.15880107151158485</v>
      </c>
      <c r="R16" s="808">
        <f t="shared" ref="R16" si="36">R15/Q15-1</f>
        <v>0</v>
      </c>
      <c r="T16" s="59"/>
      <c r="U16" s="808">
        <f t="shared" ref="U16:V16" si="37">U15/T15-1</f>
        <v>8.2168996043502336</v>
      </c>
      <c r="V16" s="808">
        <f t="shared" si="37"/>
        <v>-0.66434265651410751</v>
      </c>
      <c r="W16" s="808">
        <f t="shared" ref="W16" si="38">W15/V15-1</f>
        <v>1.0297801545973275</v>
      </c>
      <c r="X16" s="808">
        <f t="shared" ref="X16" si="39">X15/W15-1</f>
        <v>0.68896931611065648</v>
      </c>
      <c r="Z16" s="485"/>
    </row>
    <row r="17" spans="1:26" s="581" customFormat="1" ht="15" customHeight="1">
      <c r="B17" s="889" t="s">
        <v>4</v>
      </c>
      <c r="C17" s="890">
        <v>12287</v>
      </c>
      <c r="D17" s="890">
        <f>C17</f>
        <v>12287</v>
      </c>
      <c r="E17" s="890">
        <f t="shared" ref="E17:R17" si="40">D17</f>
        <v>12287</v>
      </c>
      <c r="F17" s="891">
        <f t="shared" si="40"/>
        <v>12287</v>
      </c>
      <c r="G17" s="890">
        <f t="shared" si="40"/>
        <v>12287</v>
      </c>
      <c r="H17" s="890">
        <f t="shared" si="40"/>
        <v>12287</v>
      </c>
      <c r="I17" s="890">
        <f t="shared" si="40"/>
        <v>12287</v>
      </c>
      <c r="J17" s="891">
        <f t="shared" si="40"/>
        <v>12287</v>
      </c>
      <c r="K17" s="890">
        <f t="shared" si="40"/>
        <v>12287</v>
      </c>
      <c r="L17" s="890">
        <f t="shared" si="40"/>
        <v>12287</v>
      </c>
      <c r="M17" s="890">
        <f t="shared" si="40"/>
        <v>12287</v>
      </c>
      <c r="N17" s="891">
        <f t="shared" si="40"/>
        <v>12287</v>
      </c>
      <c r="O17" s="890">
        <f t="shared" si="40"/>
        <v>12287</v>
      </c>
      <c r="P17" s="890">
        <f t="shared" si="40"/>
        <v>12287</v>
      </c>
      <c r="Q17" s="890">
        <f t="shared" si="40"/>
        <v>12287</v>
      </c>
      <c r="R17" s="890">
        <f t="shared" si="40"/>
        <v>12287</v>
      </c>
      <c r="T17" s="890">
        <v>63010</v>
      </c>
      <c r="U17" s="890">
        <f>SUMIF($C$7:$R$7,U$8,$C17:$R17)</f>
        <v>49148</v>
      </c>
      <c r="V17" s="890">
        <f t="shared" ref="V17:X17" si="41">SUMIF($C$7:$R$7,V$8,$C17:$R17)</f>
        <v>49148</v>
      </c>
      <c r="W17" s="890">
        <f t="shared" si="41"/>
        <v>49148</v>
      </c>
      <c r="X17" s="890">
        <f t="shared" si="41"/>
        <v>49148</v>
      </c>
      <c r="Z17" s="892">
        <f>RATE(3,0,-U17,X17)</f>
        <v>4.5814405318645221E-14</v>
      </c>
    </row>
    <row r="18" spans="1:26" ht="15" customHeight="1">
      <c r="B18" s="807" t="s">
        <v>1029</v>
      </c>
      <c r="C18" s="808"/>
      <c r="D18" s="808">
        <f>D17/C17-1</f>
        <v>0</v>
      </c>
      <c r="E18" s="808">
        <f t="shared" ref="E18" si="42">E17/D17-1</f>
        <v>0</v>
      </c>
      <c r="F18" s="809">
        <f t="shared" ref="F18" si="43">F17/E17-1</f>
        <v>0</v>
      </c>
      <c r="G18" s="808">
        <f t="shared" ref="G18" si="44">G17/F17-1</f>
        <v>0</v>
      </c>
      <c r="H18" s="808">
        <f t="shared" ref="H18" si="45">H17/G17-1</f>
        <v>0</v>
      </c>
      <c r="I18" s="808">
        <f t="shared" ref="I18" si="46">I17/H17-1</f>
        <v>0</v>
      </c>
      <c r="J18" s="809">
        <f t="shared" ref="J18" si="47">J17/I17-1</f>
        <v>0</v>
      </c>
      <c r="K18" s="808">
        <f t="shared" ref="K18" si="48">K17/J17-1</f>
        <v>0</v>
      </c>
      <c r="L18" s="808">
        <f t="shared" ref="L18" si="49">L17/K17-1</f>
        <v>0</v>
      </c>
      <c r="M18" s="808">
        <f t="shared" ref="M18" si="50">M17/L17-1</f>
        <v>0</v>
      </c>
      <c r="N18" s="809">
        <f t="shared" ref="N18" si="51">N17/M17-1</f>
        <v>0</v>
      </c>
      <c r="O18" s="808">
        <f t="shared" ref="O18" si="52">O17/N17-1</f>
        <v>0</v>
      </c>
      <c r="P18" s="808">
        <f t="shared" ref="P18" si="53">P17/O17-1</f>
        <v>0</v>
      </c>
      <c r="Q18" s="808">
        <f t="shared" ref="Q18" si="54">Q17/P17-1</f>
        <v>0</v>
      </c>
      <c r="R18" s="808">
        <f t="shared" ref="R18" si="55">R17/Q17-1</f>
        <v>0</v>
      </c>
      <c r="T18" s="59"/>
      <c r="U18" s="808">
        <f t="shared" ref="U18:V18" si="56">U17/T17-1</f>
        <v>-0.21999682590065073</v>
      </c>
      <c r="V18" s="808">
        <f t="shared" si="56"/>
        <v>0</v>
      </c>
      <c r="W18" s="808">
        <f t="shared" ref="W18" si="57">W17/V17-1</f>
        <v>0</v>
      </c>
      <c r="X18" s="808">
        <f t="shared" ref="X18" si="58">X17/W17-1</f>
        <v>0</v>
      </c>
    </row>
    <row r="19" spans="1:26" ht="15" customHeight="1"/>
    <row r="20" spans="1:26" ht="15" customHeight="1" thickBot="1">
      <c r="B20" s="639" t="s">
        <v>3</v>
      </c>
      <c r="C20" s="69">
        <v>2016</v>
      </c>
      <c r="D20" s="69">
        <f t="shared" ref="D20:O20" si="59">C20+1</f>
        <v>2017</v>
      </c>
      <c r="E20" s="69">
        <f t="shared" si="59"/>
        <v>2018</v>
      </c>
      <c r="F20" s="69">
        <f t="shared" si="59"/>
        <v>2019</v>
      </c>
      <c r="G20" s="69">
        <f t="shared" si="59"/>
        <v>2020</v>
      </c>
      <c r="H20" s="69">
        <f t="shared" si="59"/>
        <v>2021</v>
      </c>
      <c r="I20" s="69">
        <f t="shared" si="59"/>
        <v>2022</v>
      </c>
      <c r="J20" s="69">
        <f t="shared" si="59"/>
        <v>2023</v>
      </c>
      <c r="K20" s="69">
        <f t="shared" si="59"/>
        <v>2024</v>
      </c>
      <c r="L20" s="78">
        <f t="shared" si="59"/>
        <v>2025</v>
      </c>
      <c r="M20" s="78">
        <f t="shared" si="59"/>
        <v>2026</v>
      </c>
      <c r="N20" s="78">
        <f t="shared" si="59"/>
        <v>2027</v>
      </c>
      <c r="O20" s="78">
        <f t="shared" si="59"/>
        <v>2028</v>
      </c>
    </row>
    <row r="21" spans="1:26" s="913" customFormat="1" ht="15" customHeight="1" thickTop="1">
      <c r="A21" s="581" t="s">
        <v>423</v>
      </c>
      <c r="B21" s="950" t="s">
        <v>431</v>
      </c>
      <c r="C21" s="951">
        <f>SUMIF(수주내역!$G$4:$G$68,C$20,수주내역!$E$4:$E$68)</f>
        <v>255521.70774799999</v>
      </c>
      <c r="D21" s="951">
        <f>SUMIF(수주내역!$G$4:$G$68,D$20,수주내역!$E$4:$E$68)</f>
        <v>47224.687726999997</v>
      </c>
      <c r="E21" s="951">
        <f>SUMIF(수주내역!$G$4:$G$68,E$20,수주내역!$E$4:$E$68)</f>
        <v>50863.127189999999</v>
      </c>
      <c r="F21" s="951">
        <f>SUMIF(수주내역!$G$4:$G$68,F$20,수주내역!$E$4:$E$68)</f>
        <v>118121.03136399999</v>
      </c>
      <c r="G21" s="951">
        <f>SUMIF(수주내역!$G$4:$G$68,G$20,수주내역!$E$4:$E$68)</f>
        <v>143578.21798300001</v>
      </c>
      <c r="H21" s="951">
        <f>SUMIF(수주내역!$G$4:$G$68,H$20,수주내역!$E$4:$E$68)</f>
        <v>349188.38989300007</v>
      </c>
      <c r="I21" s="951">
        <f>SUMIF(수주내역!$G$4:$G$68,I$20,수주내역!$E$4:$E$68)</f>
        <v>313975.62766399997</v>
      </c>
      <c r="J21" s="951">
        <f>SUMIF(수주내역!$G$4:$G$68,J$20,수주내역!$E$4:$E$68)</f>
        <v>360259.61409000005</v>
      </c>
      <c r="K21" s="951">
        <f>SUMIF(수주내역!$G$4:$G$68,K$20,수주내역!$E$4:$E$68)</f>
        <v>1344171.5734819998</v>
      </c>
      <c r="L21" s="951">
        <f>SUM(L22,L29,L30,L31,L32)</f>
        <v>1613571.454154179</v>
      </c>
      <c r="M21" s="951">
        <f>SUM(M22,M29,M30,M31,M32)</f>
        <v>995986.71393151593</v>
      </c>
      <c r="N21" s="951">
        <f>SUM(N22,N29,N30,N31,N32)</f>
        <v>1273498.0571202168</v>
      </c>
      <c r="O21" s="951">
        <f>SUM(O22,O29,O30,O31,O32)</f>
        <v>390261.73665864265</v>
      </c>
    </row>
    <row r="22" spans="1:26" s="913" customFormat="1" ht="15" customHeight="1">
      <c r="B22" s="952" t="s">
        <v>54</v>
      </c>
      <c r="C22" s="953">
        <f>SUMIFS(수주내역!$E$4:$E$68,수주내역!$C$4:$C$68,$B22,수주내역!$G$4:$G$68,C$20)</f>
        <v>65858.958511999997</v>
      </c>
      <c r="D22" s="953">
        <f>SUMIFS(수주내역!$E$4:$E$68,수주내역!$C$4:$C$68,$B22,수주내역!$G$4:$G$68,D$20)</f>
        <v>47224.687726999997</v>
      </c>
      <c r="E22" s="953">
        <f>SUMIFS(수주내역!$E$4:$E$68,수주내역!$C$4:$C$68,$B22,수주내역!$G$4:$G$68,E$20)</f>
        <v>0</v>
      </c>
      <c r="F22" s="953">
        <f>SUMIFS(수주내역!$E$4:$E$68,수주내역!$C$4:$C$68,$B22,수주내역!$G$4:$G$68,F$20)</f>
        <v>57152.290687000001</v>
      </c>
      <c r="G22" s="953">
        <f>SUMIFS(수주내역!$E$4:$E$68,수주내역!$C$4:$C$68,$B22,수주내역!$G$4:$G$68,G$20)</f>
        <v>143578.21798300001</v>
      </c>
      <c r="H22" s="953">
        <f>SUMIFS(수주내역!$E$4:$E$68,수주내역!$C$4:$C$68,$B22,수주내역!$G$4:$G$68,H$20)</f>
        <v>180863.44416800002</v>
      </c>
      <c r="I22" s="953">
        <f>SUMIFS(수주내역!$E$4:$E$68,수주내역!$C$4:$C$68,$B22,수주내역!$G$4:$G$68,I$20)</f>
        <v>206944.62289</v>
      </c>
      <c r="J22" s="953">
        <f>SUMIFS(수주내역!$E$4:$E$68,수주내역!$C$4:$C$68,$B22,수주내역!$G$4:$G$68,J$20)</f>
        <v>104341.65044500001</v>
      </c>
      <c r="K22" s="953">
        <f>SUMIFS(수주내역!$E$4:$E$68,수주내역!$C$4:$C$68,$B22,수주내역!$G$4:$G$68,K$20)</f>
        <v>1071639.2774819999</v>
      </c>
      <c r="L22" s="953">
        <f>SUMIFS(수주내역!$E$4:$E$68,수주내역!$C$4:$C$68,$B22,수주내역!$G$4:$G$68,L$20)+CHOOSE($C$6,'Case Summary'!J36,'Case Summary'!J37,'Case Summary'!J38)</f>
        <v>777716.76782399998</v>
      </c>
      <c r="M22" s="953">
        <f>CHOOSE($C$6,'Case Summary'!K36,'Case Summary'!K37,'Case Summary'!K38)</f>
        <v>838618.49964580161</v>
      </c>
      <c r="N22" s="953">
        <f>CHOOSE($C$6,'Case Summary'!L36,'Case Summary'!L37,'Case Summary'!L38)</f>
        <v>688599.07079003798</v>
      </c>
      <c r="O22" s="953">
        <f>CHOOSE($C$6,'Case Summary'!M36,'Case Summary'!M37,'Case Summary'!M38)</f>
        <v>66187.838111999998</v>
      </c>
    </row>
    <row r="23" spans="1:26" ht="15" customHeight="1">
      <c r="B23" s="638" t="s">
        <v>430</v>
      </c>
      <c r="C23" s="81">
        <f>SUMIFS(수주내역!$E$4:$E$68,수주내역!$C$4:$C$68,'Case Summary'!$B$22,수주내역!$D$4:$D$68,'Case Summary'!$B23,수주내역!$G$4:$G$68,'Case Summary'!C$20)</f>
        <v>0</v>
      </c>
      <c r="D23" s="81">
        <f>SUMIFS(수주내역!$E$4:$E$68,수주내역!$C$4:$C$68,'Case Summary'!$B$22,수주내역!$D$4:$D$68,'Case Summary'!$B23,수주내역!$G$4:$G$68,'Case Summary'!D$20)</f>
        <v>0</v>
      </c>
      <c r="E23" s="81">
        <f>SUMIFS(수주내역!$E$4:$E$68,수주내역!$C$4:$C$68,'Case Summary'!$B$22,수주내역!$D$4:$D$68,'Case Summary'!$B23,수주내역!$G$4:$G$68,'Case Summary'!E$20)</f>
        <v>0</v>
      </c>
      <c r="F23" s="81">
        <f>SUMIFS(수주내역!$E$4:$E$68,수주내역!$C$4:$C$68,'Case Summary'!$B$22,수주내역!$D$4:$D$68,'Case Summary'!$B23,수주내역!$G$4:$G$68,'Case Summary'!F$20)</f>
        <v>0</v>
      </c>
      <c r="G23" s="81">
        <f>SUMIFS(수주내역!$E$4:$E$68,수주내역!$C$4:$C$68,'Case Summary'!$B$22,수주내역!$D$4:$D$68,'Case Summary'!$B23,수주내역!$G$4:$G$68,'Case Summary'!G$20)</f>
        <v>92547.217982999995</v>
      </c>
      <c r="H23" s="81">
        <f>SUMIFS(수주내역!$E$4:$E$68,수주내역!$C$4:$C$68,'Case Summary'!$B$22,수주내역!$D$4:$D$68,'Case Summary'!$B23,수주내역!$G$4:$G$68,'Case Summary'!H$20)</f>
        <v>41326.551999999996</v>
      </c>
      <c r="I23" s="81">
        <f>SUMIFS(수주내역!$E$4:$E$68,수주내역!$C$4:$C$68,'Case Summary'!$B$22,수주내역!$D$4:$D$68,'Case Summary'!$B23,수주내역!$G$4:$G$68,'Case Summary'!I$20)</f>
        <v>153838.6894</v>
      </c>
      <c r="J23" s="81">
        <f>SUMIFS(수주내역!$E$4:$E$68,수주내역!$C$4:$C$68,'Case Summary'!$B$22,수주내역!$D$4:$D$68,'Case Summary'!$B23,수주내역!$G$4:$G$68,'Case Summary'!J$20)</f>
        <v>87500</v>
      </c>
      <c r="K23" s="81">
        <f>SUMIFS(수주내역!$E$4:$E$68,수주내역!$C$4:$C$68,'Case Summary'!$B$22,수주내역!$D$4:$D$68,'Case Summary'!$B23,수주내역!$G$4:$G$68,'Case Summary'!K$20)</f>
        <v>272266.21424</v>
      </c>
      <c r="L23" s="81">
        <f>SUMIFS(수주내역!$E$4:$E$68,수주내역!$C$4:$C$68,'Case Summary'!$B$22,수주내역!$D$4:$D$68,'Case Summary'!$B23,수주내역!$G$4:$G$68,'Case Summary'!L$20)+CHOOSE($C$6,'Case Summary'!C36,'Case Summary'!C37,'Case Summary'!C38)</f>
        <v>43475</v>
      </c>
      <c r="M23" s="81">
        <f>CHOOSE($C$6,'Case Summary'!D36,'Case Summary'!D37,'Case Summary'!D38)</f>
        <v>43475</v>
      </c>
      <c r="N23" s="81">
        <f>CHOOSE($C$6,'Case Summary'!E36,'Case Summary'!E37,'Case Summary'!E38)</f>
        <v>165707.14285714284</v>
      </c>
      <c r="O23" s="81">
        <f>CHOOSE($C$6,'Case Summary'!F36,'Case Summary'!F37,'Case Summary'!F38)</f>
        <v>0</v>
      </c>
    </row>
    <row r="24" spans="1:26" ht="15" customHeight="1">
      <c r="B24" s="638" t="s">
        <v>429</v>
      </c>
      <c r="C24" s="81">
        <f>SUM(C25:C28)</f>
        <v>65858.958511999997</v>
      </c>
      <c r="D24" s="81">
        <f t="shared" ref="D24:L24" si="60">SUM(D25:D28)</f>
        <v>47224.687726999997</v>
      </c>
      <c r="E24" s="81">
        <f t="shared" si="60"/>
        <v>0</v>
      </c>
      <c r="F24" s="81">
        <f t="shared" si="60"/>
        <v>57152.290687000001</v>
      </c>
      <c r="G24" s="81">
        <f t="shared" si="60"/>
        <v>51031</v>
      </c>
      <c r="H24" s="81">
        <f t="shared" si="60"/>
        <v>139536.89216799999</v>
      </c>
      <c r="I24" s="81">
        <f t="shared" si="60"/>
        <v>53105.933490000003</v>
      </c>
      <c r="J24" s="81">
        <f t="shared" si="60"/>
        <v>16841.650444999999</v>
      </c>
      <c r="K24" s="81">
        <f t="shared" si="60"/>
        <v>799373.06324200006</v>
      </c>
      <c r="L24" s="81">
        <f t="shared" si="60"/>
        <v>734241.76782399998</v>
      </c>
      <c r="M24" s="81">
        <f t="shared" ref="M24" si="61">SUM(M25:M28)</f>
        <v>795143.49964580161</v>
      </c>
      <c r="N24" s="81">
        <f t="shared" ref="N24" si="62">SUM(N25:N28)</f>
        <v>522891.92793289514</v>
      </c>
      <c r="O24" s="81">
        <f t="shared" ref="O24" si="63">SUM(O25:O28)</f>
        <v>66187.838111999998</v>
      </c>
    </row>
    <row r="25" spans="1:26" ht="15" customHeight="1">
      <c r="B25" s="966" t="s">
        <v>427</v>
      </c>
      <c r="C25" s="81">
        <f>SUMIFS(수주내역!$E$4:$E$68,수주내역!$C$4:$C$68,'Case Summary'!$B$22,수주내역!$D$4:$D$68,'Case Summary'!$B25,수주내역!$G$4:$G$68,'Case Summary'!C$20)</f>
        <v>0</v>
      </c>
      <c r="D25" s="81">
        <f>SUMIFS(수주내역!$E$4:$E$68,수주내역!$C$4:$C$68,'Case Summary'!$B$22,수주내역!$D$4:$D$68,'Case Summary'!$B25,수주내역!$G$4:$G$68,'Case Summary'!D$20)</f>
        <v>47224.687726999997</v>
      </c>
      <c r="E25" s="81">
        <f>SUMIFS(수주내역!$E$4:$E$68,수주내역!$C$4:$C$68,'Case Summary'!$B$22,수주내역!$D$4:$D$68,'Case Summary'!$B25,수주내역!$G$4:$G$68,'Case Summary'!E$20)</f>
        <v>0</v>
      </c>
      <c r="F25" s="81">
        <f>SUMIFS(수주내역!$E$4:$E$68,수주내역!$C$4:$C$68,'Case Summary'!$B$22,수주내역!$D$4:$D$68,'Case Summary'!$B25,수주내역!$G$4:$G$68,'Case Summary'!F$20)</f>
        <v>0</v>
      </c>
      <c r="G25" s="81">
        <f>SUMIFS(수주내역!$E$4:$E$68,수주내역!$C$4:$C$68,'Case Summary'!$B$22,수주내역!$D$4:$D$68,'Case Summary'!$B25,수주내역!$G$4:$G$68,'Case Summary'!G$20)</f>
        <v>0</v>
      </c>
      <c r="H25" s="81">
        <f>SUMIFS(수주내역!$E$4:$E$68,수주내역!$C$4:$C$68,'Case Summary'!$B$22,수주내역!$D$4:$D$68,'Case Summary'!$B25,수주내역!$G$4:$G$68,'Case Summary'!H$20)</f>
        <v>0</v>
      </c>
      <c r="I25" s="81">
        <f>SUMIFS(수주내역!$E$4:$E$68,수주내역!$C$4:$C$68,'Case Summary'!$B$22,수주내역!$D$4:$D$68,'Case Summary'!$B25,수주내역!$G$4:$G$68,'Case Summary'!I$20)</f>
        <v>0</v>
      </c>
      <c r="J25" s="81">
        <f>SUMIFS(수주내역!$E$4:$E$68,수주내역!$C$4:$C$68,'Case Summary'!$B$22,수주내역!$D$4:$D$68,'Case Summary'!$B25,수주내역!$G$4:$G$68,'Case Summary'!J$20)</f>
        <v>0</v>
      </c>
      <c r="K25" s="81">
        <f>SUMIFS(수주내역!$E$4:$E$68,수주내역!$C$4:$C$68,'Case Summary'!$B$22,수주내역!$D$4:$D$68,'Case Summary'!$B25,수주내역!$G$4:$G$68,'Case Summary'!K$20)</f>
        <v>409476.52960800001</v>
      </c>
      <c r="L25" s="81">
        <f>SUMIFS(수주내역!$E$4:$E$68,수주내역!$C$4:$C$68,'Case Summary'!$B$22,수주내역!$D$4:$D$68,'Case Summary'!$B25,수주내역!$G$4:$G$68,'Case Summary'!L$20)+CHOOSE($C$6,'Case Summary'!C41,'Case Summary'!C42,'Case Summary'!C43)</f>
        <v>601866.09159999993</v>
      </c>
      <c r="M25" s="81">
        <f>CHOOSE($C$6,'Case Summary'!D41,'Case Summary'!D42,'Case Summary'!D43)</f>
        <v>634608.9919415554</v>
      </c>
      <c r="N25" s="81">
        <f>CHOOSE($C$6,'Case Summary'!E41,'Case Summary'!E42,'Case Summary'!E43)</f>
        <v>359582.51818181819</v>
      </c>
      <c r="O25" s="81">
        <f>CHOOSE($C$6,'Case Summary'!F41,'Case Summary'!F42,'Case Summary'!F43)</f>
        <v>0</v>
      </c>
    </row>
    <row r="26" spans="1:26" ht="15" customHeight="1">
      <c r="B26" s="966" t="s">
        <v>428</v>
      </c>
      <c r="C26" s="81">
        <f>SUMIFS(수주내역!$E$4:$E$68,수주내역!$C$4:$C$68,'Case Summary'!$B$22,수주내역!$D$4:$D$68,'Case Summary'!$B26,수주내역!$G$4:$G$68,'Case Summary'!C$20)</f>
        <v>0</v>
      </c>
      <c r="D26" s="81">
        <f>SUMIFS(수주내역!$E$4:$E$68,수주내역!$C$4:$C$68,'Case Summary'!$B$22,수주내역!$D$4:$D$68,'Case Summary'!$B26,수주내역!$G$4:$G$68,'Case Summary'!D$20)</f>
        <v>0</v>
      </c>
      <c r="E26" s="81">
        <f>SUMIFS(수주내역!$E$4:$E$68,수주내역!$C$4:$C$68,'Case Summary'!$B$22,수주내역!$D$4:$D$68,'Case Summary'!$B26,수주내역!$G$4:$G$68,'Case Summary'!E$20)</f>
        <v>0</v>
      </c>
      <c r="F26" s="81">
        <f>SUMIFS(수주내역!$E$4:$E$68,수주내역!$C$4:$C$68,'Case Summary'!$B$22,수주내역!$D$4:$D$68,'Case Summary'!$B26,수주내역!$G$4:$G$68,'Case Summary'!F$20)</f>
        <v>0</v>
      </c>
      <c r="G26" s="81">
        <f>SUMIFS(수주내역!$E$4:$E$68,수주내역!$C$4:$C$68,'Case Summary'!$B$22,수주내역!$D$4:$D$68,'Case Summary'!$B26,수주내역!$G$4:$G$68,'Case Summary'!G$20)</f>
        <v>0</v>
      </c>
      <c r="H26" s="81">
        <f>SUMIFS(수주내역!$E$4:$E$68,수주내역!$C$4:$C$68,'Case Summary'!$B$22,수주내역!$D$4:$D$68,'Case Summary'!$B26,수주내역!$G$4:$G$68,'Case Summary'!H$20)</f>
        <v>0</v>
      </c>
      <c r="I26" s="81">
        <f>SUMIFS(수주내역!$E$4:$E$68,수주내역!$C$4:$C$68,'Case Summary'!$B$22,수주내역!$D$4:$D$68,'Case Summary'!$B26,수주내역!$G$4:$G$68,'Case Summary'!I$20)</f>
        <v>0</v>
      </c>
      <c r="J26" s="81">
        <f>SUMIFS(수주내역!$E$4:$E$68,수주내역!$C$4:$C$68,'Case Summary'!$B$22,수주내역!$D$4:$D$68,'Case Summary'!$B26,수주내역!$G$4:$G$68,'Case Summary'!J$20)</f>
        <v>16841.650444999999</v>
      </c>
      <c r="K26" s="81">
        <f>SUMIFS(수주내역!$E$4:$E$68,수주내역!$C$4:$C$68,'Case Summary'!$B$22,수주내역!$D$4:$D$68,'Case Summary'!$B26,수주내역!$G$4:$G$68,'Case Summary'!K$20)</f>
        <v>389896.53363399999</v>
      </c>
      <c r="L26" s="81">
        <f>SUMIFS(수주내역!$E$4:$E$68,수주내역!$C$4:$C$68,'Case Summary'!$B$22,수주내역!$D$4:$D$68,'Case Summary'!$B26,수주내역!$G$4:$G$68,'Case Summary'!L$20)+CHOOSE($C$6,'Case Summary'!C51,'Case Summary'!C52,'Case Summary'!C53)</f>
        <v>132375.676224</v>
      </c>
      <c r="M26" s="81">
        <f>CHOOSE($C$6,'Case Summary'!D51,'Case Summary'!D52,'Case Summary'!D53)</f>
        <v>66187.838111999998</v>
      </c>
      <c r="N26" s="81">
        <f>CHOOSE($C$6,'Case Summary'!E51,'Case Summary'!E52,'Case Summary'!E53)</f>
        <v>66187.838111999998</v>
      </c>
      <c r="O26" s="81">
        <f>CHOOSE($C$6,'Case Summary'!F51,'Case Summary'!F52,'Case Summary'!F53)</f>
        <v>66187.838111999998</v>
      </c>
    </row>
    <row r="27" spans="1:26" ht="15" customHeight="1">
      <c r="B27" s="966" t="s">
        <v>450</v>
      </c>
      <c r="C27" s="81">
        <v>0</v>
      </c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f>CHOOSE($C$6,'Case Summary'!D46,'Case Summary'!D47,'Case Summary'!D48)</f>
        <v>94346.669592246151</v>
      </c>
      <c r="N27" s="81">
        <f>CHOOSE($C$6,'Case Summary'!E46,'Case Summary'!E47,'Case Summary'!E48)</f>
        <v>97121.571639076923</v>
      </c>
      <c r="O27" s="81">
        <f>CHOOSE($C$6,'Case Summary'!F46,'Case Summary'!F47,'Case Summary'!F48)</f>
        <v>0</v>
      </c>
    </row>
    <row r="28" spans="1:26" ht="15" customHeight="1">
      <c r="B28" s="966" t="s">
        <v>4</v>
      </c>
      <c r="C28" s="81">
        <f>SUMIFS(수주내역!$E$4:$E$68,수주내역!$C$4:$C$68,'Case Summary'!$B$22,수주내역!$D$4:$D$68,"해외",수주내역!$G$4:$G$68,'Case Summary'!C$20)</f>
        <v>65858.958511999997</v>
      </c>
      <c r="D28" s="81">
        <f>SUMIFS(수주내역!$E$4:$E$68,수주내역!$C$4:$C$68,'Case Summary'!$B$22,수주내역!$D$4:$D$68,"해외",수주내역!$G$4:$G$68,'Case Summary'!D$20)</f>
        <v>0</v>
      </c>
      <c r="E28" s="81">
        <f>SUMIFS(수주내역!$E$4:$E$68,수주내역!$C$4:$C$68,'Case Summary'!$B$22,수주내역!$D$4:$D$68,"해외",수주내역!$G$4:$G$68,'Case Summary'!E$20)</f>
        <v>0</v>
      </c>
      <c r="F28" s="81">
        <f>SUMIFS(수주내역!$E$4:$E$68,수주내역!$C$4:$C$68,'Case Summary'!$B$22,수주내역!$D$4:$D$68,"해외",수주내역!$G$4:$G$68,'Case Summary'!F$20)</f>
        <v>57152.290687000001</v>
      </c>
      <c r="G28" s="81">
        <f>SUMIFS(수주내역!$E$4:$E$68,수주내역!$C$4:$C$68,'Case Summary'!$B$22,수주내역!$D$4:$D$68,"해외",수주내역!$G$4:$G$68,'Case Summary'!G$20)</f>
        <v>51031</v>
      </c>
      <c r="H28" s="81">
        <f>SUMIFS(수주내역!$E$4:$E$68,수주내역!$C$4:$C$68,'Case Summary'!$B$22,수주내역!$D$4:$D$68,"해외",수주내역!$G$4:$G$68,'Case Summary'!H$20)</f>
        <v>139536.89216799999</v>
      </c>
      <c r="I28" s="81">
        <f>SUMIFS(수주내역!$E$4:$E$68,수주내역!$C$4:$C$68,'Case Summary'!$B$22,수주내역!$D$4:$D$68,"해외",수주내역!$G$4:$G$68,'Case Summary'!I$20)</f>
        <v>53105.933490000003</v>
      </c>
      <c r="J28" s="81">
        <f>SUMIFS(수주내역!$E$4:$E$68,수주내역!$C$4:$C$68,'Case Summary'!$B$22,수주내역!$D$4:$D$68,"해외",수주내역!$G$4:$G$68,'Case Summary'!J$20)</f>
        <v>0</v>
      </c>
      <c r="K28" s="81">
        <f>SUMIFS(수주내역!$E$4:$E$68,수주내역!$C$4:$C$68,'Case Summary'!$B$22,수주내역!$D$4:$D$68,"해외",수주내역!$G$4:$G$68,'Case Summary'!K$20)</f>
        <v>0</v>
      </c>
      <c r="L28" s="81">
        <f>SUMIFS(수주내역!$E$4:$E$68,수주내역!$C$4:$C$68,'Case Summary'!$B$22,수주내역!$D$4:$D$68,"해외",수주내역!$G$4:$G$68,'Case Summary'!L$20)</f>
        <v>0</v>
      </c>
      <c r="M28" s="81">
        <v>0</v>
      </c>
      <c r="N28" s="81">
        <v>0</v>
      </c>
      <c r="O28" s="81">
        <v>0</v>
      </c>
    </row>
    <row r="29" spans="1:26" s="581" customFormat="1" ht="15" customHeight="1">
      <c r="B29" s="954" t="s">
        <v>425</v>
      </c>
      <c r="C29" s="955">
        <f>SUMIFS(수주내역!$E$4:$E$68,수주내역!$C$4:$C$68,$B29,수주내역!$G$4:$G$68,C$20)</f>
        <v>113969.995</v>
      </c>
      <c r="D29" s="955">
        <f>SUMIFS(수주내역!$E$4:$E$68,수주내역!$C$4:$C$68,$B29,수주내역!$G$4:$G$68,D$20)</f>
        <v>0</v>
      </c>
      <c r="E29" s="955">
        <f>SUMIFS(수주내역!$E$4:$E$68,수주내역!$C$4:$C$68,$B29,수주내역!$G$4:$G$68,E$20)</f>
        <v>50863.127189999999</v>
      </c>
      <c r="F29" s="955">
        <f>SUMIFS(수주내역!$E$4:$E$68,수주내역!$C$4:$C$68,$B29,수주내역!$G$4:$G$68,F$20)</f>
        <v>32268.740677000002</v>
      </c>
      <c r="G29" s="955">
        <f>SUMIFS(수주내역!$E$4:$E$68,수주내역!$C$4:$C$68,$B29,수주내역!$G$4:$G$68,G$20)</f>
        <v>0</v>
      </c>
      <c r="H29" s="955">
        <f>SUMIFS(수주내역!$E$4:$E$68,수주내역!$C$4:$C$68,$B29,수주내역!$G$4:$G$68,H$20)</f>
        <v>77427.68217</v>
      </c>
      <c r="I29" s="955">
        <f>SUMIFS(수주내역!$E$4:$E$68,수주내역!$C$4:$C$68,$B29,수주내역!$G$4:$G$68,I$20)</f>
        <v>107031.004774</v>
      </c>
      <c r="J29" s="955">
        <f>SUMIFS(수주내역!$E$4:$E$68,수주내역!$C$4:$C$68,$B29,수주내역!$G$4:$G$68,J$20)</f>
        <v>255917.96364500001</v>
      </c>
      <c r="K29" s="955">
        <f>SUMIFS(수주내역!$E$4:$E$68,수주내역!$C$4:$C$68,$B29,수주내역!$G$4:$G$68,K$20)</f>
        <v>0</v>
      </c>
      <c r="L29" s="955">
        <f>SUMIFS(수주내역!$E$4:$E$68,수주내역!$C$4:$C$68,$B29,수주내역!$G$4:$G$68,L$20)</f>
        <v>517732.4</v>
      </c>
      <c r="M29" s="955">
        <v>0</v>
      </c>
      <c r="N29" s="955">
        <v>0</v>
      </c>
      <c r="O29" s="955">
        <v>0</v>
      </c>
    </row>
    <row r="30" spans="1:26" s="581" customFormat="1" ht="15" customHeight="1">
      <c r="B30" s="954" t="s">
        <v>56</v>
      </c>
      <c r="C30" s="955">
        <f>SUMIFS(수주내역!$E$4:$E$68,수주내역!$C$4:$C$68,$B30,수주내역!$G$4:$G$68,C$20)</f>
        <v>75692.754235999993</v>
      </c>
      <c r="D30" s="955">
        <f>SUMIFS(수주내역!$E$4:$E$68,수주내역!$C$4:$C$68,$B30,수주내역!$G$4:$G$68,D$20)</f>
        <v>0</v>
      </c>
      <c r="E30" s="955">
        <f>SUMIFS(수주내역!$E$4:$E$68,수주내역!$C$4:$C$68,$B30,수주내역!$G$4:$G$68,E$20)</f>
        <v>0</v>
      </c>
      <c r="F30" s="955">
        <f>SUMIFS(수주내역!$E$4:$E$68,수주내역!$C$4:$C$68,$B30,수주내역!$G$4:$G$68,F$20)</f>
        <v>0</v>
      </c>
      <c r="G30" s="955">
        <f>SUMIFS(수주내역!$E$4:$E$68,수주내역!$C$4:$C$68,$B30,수주내역!$G$4:$G$68,G$20)</f>
        <v>0</v>
      </c>
      <c r="H30" s="955">
        <f>SUMIFS(수주내역!$E$4:$E$68,수주내역!$C$4:$C$68,$B30,수주내역!$G$4:$G$68,H$20)</f>
        <v>90897.263554999998</v>
      </c>
      <c r="I30" s="955">
        <f>SUMIFS(수주내역!$E$4:$E$68,수주내역!$C$4:$C$68,$B30,수주내역!$G$4:$G$68,I$20)</f>
        <v>0</v>
      </c>
      <c r="J30" s="955">
        <f>SUMIFS(수주내역!$E$4:$E$68,수주내역!$C$4:$C$68,$B30,수주내역!$G$4:$G$68,J$20)</f>
        <v>0</v>
      </c>
      <c r="K30" s="955">
        <f>SUMIFS(수주내역!$E$4:$E$68,수주내역!$C$4:$C$68,$B30,수주내역!$G$4:$G$68,K$20)</f>
        <v>91538.3</v>
      </c>
      <c r="L30" s="955">
        <f>SUMIFS(수주내역!$E$4:$E$68,수주내역!$C$4:$C$68,$B30,수주내역!$G$4:$G$68,L$20)+CHOOSE($C$6,J41,J42,J43)</f>
        <v>318122.28633017873</v>
      </c>
      <c r="M30" s="955">
        <f>CHOOSE($C$6,K41,K42,K43)</f>
        <v>157368.21428571432</v>
      </c>
      <c r="N30" s="955">
        <f>CHOOSE($C$6,L41,L42,L43)</f>
        <v>584898.9863301788</v>
      </c>
      <c r="O30" s="955">
        <f>CHOOSE($C$6,M41,M42,M43)</f>
        <v>324073.89854664268</v>
      </c>
    </row>
    <row r="31" spans="1:26" ht="15" customHeight="1">
      <c r="B31" s="215" t="s">
        <v>424</v>
      </c>
      <c r="C31" s="81">
        <f>SUMIFS(수주내역!$E$4:$E$68,수주내역!$C$4:$C$68,$B31,수주내역!$G$4:$G$68,C$20)</f>
        <v>0</v>
      </c>
      <c r="D31" s="81">
        <f>SUMIFS(수주내역!$E$4:$E$68,수주내역!$C$4:$C$68,$B31,수주내역!$G$4:$G$68,D$20)</f>
        <v>0</v>
      </c>
      <c r="E31" s="81">
        <f>SUMIFS(수주내역!$E$4:$E$68,수주내역!$C$4:$C$68,$B31,수주내역!$G$4:$G$68,E$20)</f>
        <v>0</v>
      </c>
      <c r="F31" s="81">
        <f>SUMIFS(수주내역!$E$4:$E$68,수주내역!$C$4:$C$68,$B31,수주내역!$G$4:$G$68,F$20)</f>
        <v>0</v>
      </c>
      <c r="G31" s="81">
        <f>SUMIFS(수주내역!$E$4:$E$68,수주내역!$C$4:$C$68,$B31,수주내역!$G$4:$G$68,G$20)</f>
        <v>0</v>
      </c>
      <c r="H31" s="81">
        <f>SUMIFS(수주내역!$E$4:$E$68,수주내역!$C$4:$C$68,$B31,수주내역!$G$4:$G$68,H$20)</f>
        <v>0</v>
      </c>
      <c r="I31" s="81">
        <f>SUMIFS(수주내역!$E$4:$E$68,수주내역!$C$4:$C$68,$B31,수주내역!$G$4:$G$68,I$20)</f>
        <v>0</v>
      </c>
      <c r="J31" s="81">
        <f>SUMIFS(수주내역!$E$4:$E$68,수주내역!$C$4:$C$68,$B31,수주내역!$G$4:$G$68,J$20)</f>
        <v>0</v>
      </c>
      <c r="K31" s="81">
        <f>SUMIFS(수주내역!$E$4:$E$68,수주내역!$C$4:$C$68,$B31,수주내역!$G$4:$G$68,K$20)</f>
        <v>180993.99600000001</v>
      </c>
      <c r="L31" s="81">
        <f>SUMIFS(수주내역!$E$4:$E$68,수주내역!$C$4:$C$68,$B31,수주내역!$G$4:$G$68,L$20)</f>
        <v>0</v>
      </c>
      <c r="M31" s="81">
        <v>0</v>
      </c>
      <c r="N31" s="81">
        <v>0</v>
      </c>
      <c r="O31" s="81">
        <v>0</v>
      </c>
    </row>
    <row r="32" spans="1:26" ht="15" customHeight="1">
      <c r="B32" s="215" t="s">
        <v>4</v>
      </c>
      <c r="C32" s="81">
        <f>SUMIFS(수주내역!$E$4:$E$68,수주내역!$C$4:$C$68,$B32,수주내역!$G$4:$G$68,C$20)</f>
        <v>0</v>
      </c>
      <c r="D32" s="81">
        <f>SUMIFS(수주내역!$E$4:$E$68,수주내역!$C$4:$C$68,$B32,수주내역!$G$4:$G$68,D$20)</f>
        <v>0</v>
      </c>
      <c r="E32" s="81">
        <f>SUMIFS(수주내역!$E$4:$E$68,수주내역!$C$4:$C$68,$B32,수주내역!$G$4:$G$68,E$20)</f>
        <v>0</v>
      </c>
      <c r="F32" s="81">
        <f>SUMIFS(수주내역!$E$4:$E$68,수주내역!$C$4:$C$68,$B32,수주내역!$G$4:$G$68,F$20)</f>
        <v>28700</v>
      </c>
      <c r="G32" s="81">
        <f>SUMIFS(수주내역!$E$4:$E$68,수주내역!$C$4:$C$68,$B32,수주내역!$G$4:$G$68,G$20)</f>
        <v>0</v>
      </c>
      <c r="H32" s="81">
        <f>SUMIFS(수주내역!$E$4:$E$68,수주내역!$C$4:$C$68,$B32,수주내역!$G$4:$G$68,H$20)</f>
        <v>0</v>
      </c>
      <c r="I32" s="81">
        <f>SUMIFS(수주내역!$E$4:$E$68,수주내역!$C$4:$C$68,$B32,수주내역!$G$4:$G$68,I$20)</f>
        <v>0</v>
      </c>
      <c r="J32" s="81">
        <f>SUMIFS(수주내역!$E$4:$E$68,수주내역!$C$4:$C$68,$B32,수주내역!$G$4:$G$68,J$20)</f>
        <v>0</v>
      </c>
      <c r="K32" s="81">
        <f>SUMIFS(수주내역!$E$4:$E$68,수주내역!$C$4:$C$68,$B32,수주내역!$G$4:$G$68,K$20)</f>
        <v>0</v>
      </c>
      <c r="L32" s="81">
        <f>SUMIFS(수주내역!$E$4:$E$68,수주내역!$C$4:$C$68,$B32,수주내역!$G$4:$G$68,L$20)</f>
        <v>0</v>
      </c>
      <c r="M32" s="81">
        <v>0</v>
      </c>
      <c r="N32" s="81">
        <v>0</v>
      </c>
      <c r="O32" s="81">
        <v>0</v>
      </c>
    </row>
    <row r="33" spans="2:15" ht="15" customHeight="1"/>
    <row r="34" spans="2:15" ht="15" customHeight="1"/>
    <row r="35" spans="2:15" ht="15" customHeight="1">
      <c r="B35" s="281" t="s">
        <v>893</v>
      </c>
      <c r="C35" s="281">
        <v>2025</v>
      </c>
      <c r="D35" s="281">
        <v>2026</v>
      </c>
      <c r="E35" s="281">
        <v>2027</v>
      </c>
      <c r="F35" s="281">
        <v>2028</v>
      </c>
      <c r="G35" s="281">
        <v>2029</v>
      </c>
      <c r="H35" s="8"/>
      <c r="I35" s="62" t="s">
        <v>894</v>
      </c>
      <c r="J35" s="281">
        <v>2025</v>
      </c>
      <c r="K35" s="281">
        <v>2026</v>
      </c>
      <c r="L35" s="281">
        <v>2027</v>
      </c>
      <c r="M35" s="281">
        <v>2028</v>
      </c>
      <c r="N35" s="281">
        <v>2029</v>
      </c>
      <c r="O35" s="281"/>
    </row>
    <row r="36" spans="2:15" ht="15" customHeight="1">
      <c r="B36" s="6" t="s">
        <v>675</v>
      </c>
      <c r="C36" s="58">
        <f>C37+SUMIFS('HRSG 수주 시나리오'!$F$16:$F$21,'HRSG 수주 시나리오'!$B$16:$B$21,"잠재",'HRSG 수주 시나리오'!$I$16:$I$21,C$40)</f>
        <v>107646.875</v>
      </c>
      <c r="D36" s="58">
        <f>D37+SUMIFS('HRSG 수주 시나리오'!$F$16:$F$21,'HRSG 수주 시나리오'!$B$16:$B$21,"잠재",'HRSG 수주 시나리오'!$I$16:$I$21,D$40)</f>
        <v>43475</v>
      </c>
      <c r="E36" s="58">
        <f>E37+SUMIFS('HRSG 수주 시나리오'!$F$16:$F$21,'HRSG 수주 시나리오'!$B$16:$B$21,"잠재",'HRSG 수주 시나리오'!$I$16:$I$21,E$40)</f>
        <v>229879.01785714284</v>
      </c>
      <c r="F36" s="58">
        <f>F37+SUMIFS('HRSG 수주 시나리오'!$F$16:$F$21,'HRSG 수주 시나리오'!$B$16:$B$21,"잠재",'HRSG 수주 시나리오'!$I$16:$I$21,F$40)</f>
        <v>0</v>
      </c>
      <c r="G36" s="58">
        <f>G37+SUMIFS('HRSG 수주 시나리오'!$F$16:$F$21,'HRSG 수주 시나리오'!$B$16:$B$21,"잠재",'HRSG 수주 시나리오'!$I$16:$I$21,G$40)</f>
        <v>0</v>
      </c>
      <c r="H36" s="58"/>
      <c r="I36" s="6" t="s">
        <v>675</v>
      </c>
      <c r="J36" s="58">
        <f>SUMIF($B$35:$B$53,$I36,C$35:C$53)</f>
        <v>173834.713112</v>
      </c>
      <c r="K36" s="58">
        <f t="shared" ref="K36:N38" si="64">SUMIF($B$35:$B$53,$I36,D$35:D$53)</f>
        <v>838618.49964580161</v>
      </c>
      <c r="L36" s="58">
        <f t="shared" si="64"/>
        <v>930518.00719496107</v>
      </c>
      <c r="M36" s="58">
        <f t="shared" si="64"/>
        <v>66187.838111999998</v>
      </c>
      <c r="N36" s="58">
        <f t="shared" si="64"/>
        <v>0</v>
      </c>
    </row>
    <row r="37" spans="2:15" ht="15" customHeight="1">
      <c r="B37" s="58" t="s">
        <v>674</v>
      </c>
      <c r="C37" s="58">
        <f>C38+SUMIFS('HRSG 수주 시나리오'!$F$16:$F$21,'HRSG 수주 시나리오'!$B$16:$B$21,"가능",'HRSG 수주 시나리오'!$I$16:$I$21,C$40)</f>
        <v>43475</v>
      </c>
      <c r="D37" s="58">
        <f>D38+SUMIFS('HRSG 수주 시나리오'!$F$16:$F$21,'HRSG 수주 시나리오'!$B$16:$B$21,"가능",'HRSG 수주 시나리오'!$I$16:$I$21,D$40)</f>
        <v>43475</v>
      </c>
      <c r="E37" s="58">
        <f>E38+SUMIFS('HRSG 수주 시나리오'!$F$16:$F$21,'HRSG 수주 시나리오'!$B$16:$B$21,"가능",'HRSG 수주 시나리오'!$I$16:$I$21,E$40)</f>
        <v>165707.14285714284</v>
      </c>
      <c r="F37" s="58">
        <f>F38+SUMIFS('HRSG 수주 시나리오'!$F$16:$F$21,'HRSG 수주 시나리오'!$B$16:$B$21,"가능",'HRSG 수주 시나리오'!$I$16:$I$21,F$40)</f>
        <v>0</v>
      </c>
      <c r="G37" s="58">
        <f>G38+SUMIFS('HRSG 수주 시나리오'!$F$16:$F$21,'HRSG 수주 시나리오'!$B$16:$B$21,"가능",'HRSG 수주 시나리오'!$I$16:$I$21,G$40)</f>
        <v>0</v>
      </c>
      <c r="I37" s="58" t="s">
        <v>674</v>
      </c>
      <c r="J37" s="58">
        <f t="shared" ref="J37:J38" si="65">SUMIF($B$35:$B$53,$I37,C$35:C$53)</f>
        <v>109662.838112</v>
      </c>
      <c r="K37" s="58">
        <f t="shared" si="64"/>
        <v>838618.49964580161</v>
      </c>
      <c r="L37" s="58">
        <f t="shared" si="64"/>
        <v>688599.07079003798</v>
      </c>
      <c r="M37" s="58">
        <f t="shared" si="64"/>
        <v>66187.838111999998</v>
      </c>
      <c r="N37" s="58">
        <f t="shared" si="64"/>
        <v>0</v>
      </c>
    </row>
    <row r="38" spans="2:15" ht="15" customHeight="1">
      <c r="B38" s="58" t="s">
        <v>673</v>
      </c>
      <c r="C38" s="58">
        <f>SUMIFS('HRSG 수주 시나리오'!$F$16:$F$21,'HRSG 수주 시나리오'!$B$16:$B$21,"확실",'HRSG 수주 시나리오'!$I$16:$I$21,C$40)</f>
        <v>43475</v>
      </c>
      <c r="D38" s="58">
        <f>SUMIFS('HRSG 수주 시나리오'!$F$16:$F$21,'HRSG 수주 시나리오'!$B$16:$B$21,"확실",'HRSG 수주 시나리오'!$I$16:$I$21,D$40)</f>
        <v>43475</v>
      </c>
      <c r="E38" s="58">
        <f>SUMIFS('HRSG 수주 시나리오'!$F$16:$F$21,'HRSG 수주 시나리오'!$B$16:$B$21,"확실",'HRSG 수주 시나리오'!$I$16:$I$21,E$40)</f>
        <v>0</v>
      </c>
      <c r="F38" s="58">
        <f>SUMIFS('HRSG 수주 시나리오'!$F$16:$F$21,'HRSG 수주 시나리오'!$B$16:$B$21,"확실",'HRSG 수주 시나리오'!$I$16:$I$21,F$40)</f>
        <v>0</v>
      </c>
      <c r="G38" s="58">
        <f>SUMIFS('HRSG 수주 시나리오'!$F$16:$F$21,'HRSG 수주 시나리오'!$B$16:$B$21,"확실",'HRSG 수주 시나리오'!$I$16:$I$21,G$40)</f>
        <v>0</v>
      </c>
      <c r="I38" s="58" t="s">
        <v>673</v>
      </c>
      <c r="J38" s="58">
        <f t="shared" si="65"/>
        <v>43475</v>
      </c>
      <c r="K38" s="58">
        <f t="shared" si="64"/>
        <v>388111.98972077772</v>
      </c>
      <c r="L38" s="58">
        <f t="shared" si="64"/>
        <v>140922.56818181818</v>
      </c>
      <c r="M38" s="58">
        <f t="shared" si="64"/>
        <v>0</v>
      </c>
      <c r="N38" s="58">
        <f t="shared" si="64"/>
        <v>0</v>
      </c>
    </row>
    <row r="39" spans="2:15" ht="15" customHeight="1"/>
    <row r="40" spans="2:15" ht="15" customHeight="1">
      <c r="B40" s="281" t="s">
        <v>891</v>
      </c>
      <c r="C40" s="281">
        <v>2025</v>
      </c>
      <c r="D40" s="281">
        <v>2026</v>
      </c>
      <c r="E40" s="281">
        <v>2027</v>
      </c>
      <c r="F40" s="281">
        <v>2028</v>
      </c>
      <c r="G40" s="281">
        <v>2029</v>
      </c>
      <c r="I40" s="62" t="s">
        <v>1159</v>
      </c>
      <c r="J40" s="281">
        <v>2025</v>
      </c>
      <c r="K40" s="281">
        <v>2026</v>
      </c>
      <c r="L40" s="281">
        <v>2027</v>
      </c>
      <c r="M40" s="281">
        <v>2028</v>
      </c>
      <c r="N40" s="281">
        <v>2029</v>
      </c>
      <c r="O40" s="281"/>
    </row>
    <row r="41" spans="2:15" ht="15" customHeight="1">
      <c r="B41" s="6" t="s">
        <v>675</v>
      </c>
      <c r="C41" s="58">
        <f>C42+SUMIFS('HRSG 수주 시나리오'!$F$38:$F$44,'HRSG 수주 시나리오'!$B$38:$B$44,"잠재",'HRSG 수주 시나리오'!$I$38:$I$44,C$40)</f>
        <v>0</v>
      </c>
      <c r="D41" s="58">
        <f>D42+SUMIFS('HRSG 수주 시나리오'!$F$38:$F$44,'HRSG 수주 시나리오'!$B$38:$B$44,"잠재",'HRSG 수주 시나리오'!$I$38:$I$44,D$40)</f>
        <v>634608.9919415554</v>
      </c>
      <c r="E41" s="58">
        <f>E42+SUMIFS('HRSG 수주 시나리오'!$F$38:$F$44,'HRSG 수주 시나리오'!$B$38:$B$44,"잠재",'HRSG 수주 시나리오'!$I$38:$I$44,E$40)</f>
        <v>454082.51818181819</v>
      </c>
      <c r="F41" s="58">
        <f>F42+SUMIFS('HRSG 수주 시나리오'!$F$38:$F$44,'HRSG 수주 시나리오'!$B$38:$B$44,"잠재",'HRSG 수주 시나리오'!$I$38:$I$44,F$40)</f>
        <v>0</v>
      </c>
      <c r="G41" s="58">
        <f>G42+SUMIFS('HRSG 수주 시나리오'!$F$38:$F$44,'HRSG 수주 시나리오'!$B$38:$B$44,"잠재",'HRSG 수주 시나리오'!$I$38:$I$44,G$40)</f>
        <v>0</v>
      </c>
      <c r="I41" s="6" t="s">
        <v>675</v>
      </c>
      <c r="J41" s="58">
        <f>J42+SUMIFS('BOP 수주 시나리오'!$G$20:$G$83,'BOP 수주 시나리오'!$B$20:$B$83,"잠재",'BOP 수주 시나리오'!$J$20:$J$83,J$40)</f>
        <v>171154.98633017877</v>
      </c>
      <c r="K41" s="58">
        <f>K42+SUMIFS('BOP 수주 시나리오'!$G$20:$G$83,'BOP 수주 시나리오'!$B$20:$B$83,"잠재",'BOP 수주 시나리오'!$J$20:$J$83,K$40)</f>
        <v>476829.60770617396</v>
      </c>
      <c r="L41" s="58">
        <f>L42+SUMIFS('BOP 수주 시나리오'!$G$20:$G$83,'BOP 수주 시나리오'!$B$20:$B$83,"잠재",'BOP 수주 시나리오'!$J$20:$J$83,L$40)</f>
        <v>1005729.1622540184</v>
      </c>
      <c r="M41" s="58">
        <f>M42+SUMIFS('BOP 수주 시나리오'!$G$20:$G$83,'BOP 수주 시나리오'!$B$20:$B$83,"잠재",'BOP 수주 시나리오'!$J$20:$J$83,M$40)</f>
        <v>648647.85363151575</v>
      </c>
      <c r="N41" s="58">
        <f>N42+SUMIFS('BOP 수주 시나리오'!$G$20:$G$83,'BOP 수주 시나리오'!$B$20:$B$83,"잠재",'BOP 수주 시나리오'!$J$20:$J$83,N$40)</f>
        <v>155140.76325672225</v>
      </c>
      <c r="O41" s="58"/>
    </row>
    <row r="42" spans="2:15" ht="15" customHeight="1">
      <c r="B42" s="58" t="s">
        <v>674</v>
      </c>
      <c r="C42" s="58">
        <f>C43+SUMIFS('HRSG 수주 시나리오'!$F$38:$F$44,'HRSG 수주 시나리오'!$B$38:$B$44,"가능",'HRSG 수주 시나리오'!$I$38:$I$44,C$40)</f>
        <v>0</v>
      </c>
      <c r="D42" s="58">
        <f>D43+SUMIFS('HRSG 수주 시나리오'!$F$38:$F$44,'HRSG 수주 시나리오'!$B$38:$B$44,"가능",'HRSG 수주 시나리오'!$I$38:$I$44,D$40)</f>
        <v>634608.9919415554</v>
      </c>
      <c r="E42" s="58">
        <f>E43+SUMIFS('HRSG 수주 시나리오'!$F$38:$F$44,'HRSG 수주 시나리오'!$B$38:$B$44,"가능",'HRSG 수주 시나리오'!$I$38:$I$44,E$40)</f>
        <v>359582.51818181819</v>
      </c>
      <c r="F42" s="58">
        <f>F43+SUMIFS('HRSG 수주 시나리오'!$F$38:$F$44,'HRSG 수주 시나리오'!$B$38:$B$44,"가능",'HRSG 수주 시나리오'!$I$38:$I$44,F$40)</f>
        <v>0</v>
      </c>
      <c r="G42" s="58">
        <f>G43+SUMIFS('HRSG 수주 시나리오'!$F$38:$F$44,'HRSG 수주 시나리오'!$B$38:$B$44,"가능",'HRSG 수주 시나리오'!$I$38:$I$44,G$40)</f>
        <v>0</v>
      </c>
      <c r="I42" s="58" t="s">
        <v>674</v>
      </c>
      <c r="J42" s="58">
        <f>J43+SUMIFS('BOP 수주 시나리오'!$G$20:$G$83,'BOP 수주 시나리오'!$B$20:$B$83,"가능",'BOP 수주 시나리오'!$J$20:$J$83,J$40)</f>
        <v>171154.98633017877</v>
      </c>
      <c r="K42" s="58">
        <f>K43+SUMIFS('BOP 수주 시나리오'!$G$20:$G$83,'BOP 수주 시나리오'!$B$20:$B$83,"가능",'BOP 수주 시나리오'!$J$20:$J$83,K$40)</f>
        <v>157368.21428571432</v>
      </c>
      <c r="L42" s="58">
        <f>L43+SUMIFS('BOP 수주 시나리오'!$G$20:$G$83,'BOP 수주 시나리오'!$B$20:$B$83,"가능",'BOP 수주 시나리오'!$J$20:$J$83,L$40)</f>
        <v>584898.9863301788</v>
      </c>
      <c r="M42" s="58">
        <f>M43+SUMIFS('BOP 수주 시나리오'!$G$20:$G$83,'BOP 수주 시나리오'!$B$20:$B$83,"가능",'BOP 수주 시나리오'!$J$20:$J$83,M$40)</f>
        <v>324073.89854664268</v>
      </c>
      <c r="N42" s="58">
        <f>N43+SUMIFS('BOP 수주 시나리오'!$G$20:$G$83,'BOP 수주 시나리오'!$B$20:$B$83,"가능",'BOP 수주 시나리오'!$J$20:$J$83,N$40)</f>
        <v>0</v>
      </c>
      <c r="O42" s="58"/>
    </row>
    <row r="43" spans="2:15" ht="15" customHeight="1">
      <c r="B43" s="58" t="s">
        <v>673</v>
      </c>
      <c r="C43" s="58">
        <f>SUMIFS('HRSG 수주 시나리오'!$F$38:$F$44,'HRSG 수주 시나리오'!$B$38:$B$44,"확실",'HRSG 수주 시나리오'!$I$38:$I$44,C$40)</f>
        <v>0</v>
      </c>
      <c r="D43" s="58">
        <f>SUMIFS('HRSG 수주 시나리오'!$F$38:$F$44,'HRSG 수주 시나리오'!$B$38:$B$44,"확실",'HRSG 수주 시나리오'!$I$38:$I$44,D$40)</f>
        <v>344636.98972077772</v>
      </c>
      <c r="E43" s="58">
        <f>SUMIFS('HRSG 수주 시나리오'!$F$38:$F$44,'HRSG 수주 시나리오'!$B$38:$B$44,"확실",'HRSG 수주 시나리오'!$I$38:$I$44,E$40)</f>
        <v>140922.56818181818</v>
      </c>
      <c r="F43" s="58">
        <f>SUMIFS('HRSG 수주 시나리오'!$F$38:$F$44,'HRSG 수주 시나리오'!$B$38:$B$44,"확실",'HRSG 수주 시나리오'!$I$38:$I$44,F$40)</f>
        <v>0</v>
      </c>
      <c r="G43" s="58">
        <f>SUMIFS('HRSG 수주 시나리오'!$F$38:$F$44,'HRSG 수주 시나리오'!$B$38:$B$44,"확실",'HRSG 수주 시나리오'!$I$38:$I$44,G$40)</f>
        <v>0</v>
      </c>
      <c r="I43" s="58" t="s">
        <v>673</v>
      </c>
      <c r="J43" s="58">
        <f>SUMIFS('BOP 수주 시나리오'!$G$20:$G$83,'BOP 수주 시나리오'!$B$20:$B$83,"확실",'BOP 수주 시나리오'!$J$20:$J$83,J$40)</f>
        <v>171154.98633017877</v>
      </c>
      <c r="K43" s="58">
        <f>SUMIFS('BOP 수주 시나리오'!$G$20:$G$83,'BOP 수주 시나리오'!$B$20:$B$83,"확실",'BOP 수주 시나리오'!$J$20:$J$83,K$40)</f>
        <v>0</v>
      </c>
      <c r="L43" s="58">
        <f>SUMIFS('BOP 수주 시나리오'!$G$20:$G$83,'BOP 수주 시나리오'!$B$20:$B$83,"확실",'BOP 수주 시나리오'!$J$20:$J$83,L$40)</f>
        <v>394232.27204446448</v>
      </c>
      <c r="M43" s="58">
        <f>SUMIFS('BOP 수주 시나리오'!$G$20:$G$83,'BOP 수주 시나리오'!$B$20:$B$83,"확실",'BOP 수주 시나리오'!$J$20:$J$83,M$40)</f>
        <v>32394.624549346554</v>
      </c>
      <c r="N43" s="58">
        <f>SUMIFS('BOP 수주 시나리오'!$G$20:$G$83,'BOP 수주 시나리오'!$B$20:$B$83,"확실",'BOP 수주 시나리오'!$J$20:$J$83,N$40)</f>
        <v>0</v>
      </c>
      <c r="O43" s="58"/>
    </row>
    <row r="44" spans="2:15" ht="15" customHeight="1"/>
    <row r="45" spans="2:15" ht="15" customHeight="1">
      <c r="B45" s="281" t="s">
        <v>929</v>
      </c>
      <c r="C45" s="281">
        <v>2025</v>
      </c>
      <c r="D45" s="281">
        <v>2026</v>
      </c>
      <c r="E45" s="281">
        <v>2027</v>
      </c>
      <c r="F45" s="281">
        <v>2028</v>
      </c>
      <c r="G45" s="281">
        <v>2029</v>
      </c>
    </row>
    <row r="46" spans="2:15" ht="15" customHeight="1">
      <c r="B46" s="6" t="s">
        <v>675</v>
      </c>
      <c r="C46" s="58">
        <f>C47+SUMIFS('HRSG 수주 시나리오'!$F$54:$F$56,'HRSG 수주 시나리오'!$B$54:$B$56,"잠재",'HRSG 수주 시나리오'!$I$54:$I$56,C$40)</f>
        <v>0</v>
      </c>
      <c r="D46" s="58">
        <f>D47+SUMIFS('HRSG 수주 시나리오'!$F$54:$F$56,'HRSG 수주 시나리오'!$B$54:$B$56,"잠재",'HRSG 수주 시나리오'!$I$54:$I$56,D$40)</f>
        <v>94346.669592246151</v>
      </c>
      <c r="E46" s="58">
        <f>E47+SUMIFS('HRSG 수주 시나리오'!$F$54:$F$56,'HRSG 수주 시나리오'!$B$54:$B$56,"잠재",'HRSG 수주 시나리오'!$I$54:$I$56,E$40)</f>
        <v>180368.63304400002</v>
      </c>
      <c r="F46" s="58">
        <f>F47+SUMIFS('HRSG 수주 시나리오'!$F$54:$F$56,'HRSG 수주 시나리오'!$B$54:$B$56,"잠재",'HRSG 수주 시나리오'!$I$54:$I$56,F$40)</f>
        <v>0</v>
      </c>
      <c r="G46" s="58">
        <f>G47+SUMIFS('HRSG 수주 시나리오'!$F$54:$F$56,'HRSG 수주 시나리오'!$B$54:$B$56,"잠재",'HRSG 수주 시나리오'!$I$54:$I$56,G$40)</f>
        <v>0</v>
      </c>
    </row>
    <row r="47" spans="2:15" ht="15" customHeight="1">
      <c r="B47" s="58" t="s">
        <v>674</v>
      </c>
      <c r="C47" s="58">
        <f>C48+SUMIFS('HRSG 수주 시나리오'!$F$54:$F$56,'HRSG 수주 시나리오'!$B$54:$B$56,"가능",'HRSG 수주 시나리오'!$I$54:$I$56,C$40)</f>
        <v>0</v>
      </c>
      <c r="D47" s="58">
        <f>D48+SUMIFS('HRSG 수주 시나리오'!$F$54:$F$56,'HRSG 수주 시나리오'!$B$54:$B$56,"가능",'HRSG 수주 시나리오'!$I$54:$I$56,D$40)</f>
        <v>94346.669592246151</v>
      </c>
      <c r="E47" s="58">
        <f>E48+SUMIFS('HRSG 수주 시나리오'!$F$54:$F$56,'HRSG 수주 시나리오'!$B$54:$B$56,"가능",'HRSG 수주 시나리오'!$I$54:$I$56,E$40)</f>
        <v>97121.571639076923</v>
      </c>
      <c r="F47" s="58">
        <f>F48+SUMIFS('HRSG 수주 시나리오'!$F$54:$F$56,'HRSG 수주 시나리오'!$B$54:$B$56,"가능",'HRSG 수주 시나리오'!$I$54:$I$56,F$40)</f>
        <v>0</v>
      </c>
      <c r="G47" s="58">
        <f>G48+SUMIFS('HRSG 수주 시나리오'!$F$54:$F$56,'HRSG 수주 시나리오'!$B$54:$B$56,"가능",'HRSG 수주 시나리오'!$I$54:$I$56,G$40)</f>
        <v>0</v>
      </c>
    </row>
    <row r="48" spans="2:15" ht="15" customHeight="1">
      <c r="B48" s="58" t="s">
        <v>673</v>
      </c>
      <c r="C48" s="58">
        <f>SUMIFS('HRSG 수주 시나리오'!$F$54:$F$56,'HRSG 수주 시나리오'!$B$54:$B$56,"확실",'HRSG 수주 시나리오'!$I$54:$I$56,C$40)</f>
        <v>0</v>
      </c>
      <c r="D48" s="58">
        <f>SUMIFS('HRSG 수주 시나리오'!$F$54:$F$56,'HRSG 수주 시나리오'!$B$54:$B$56,"확실",'HRSG 수주 시나리오'!$I$54:$I$56,D$40)</f>
        <v>0</v>
      </c>
      <c r="E48" s="58">
        <f>SUMIFS('HRSG 수주 시나리오'!$F$54:$F$56,'HRSG 수주 시나리오'!$B$54:$B$56,"확실",'HRSG 수주 시나리오'!$I$54:$I$56,E$40)</f>
        <v>0</v>
      </c>
      <c r="F48" s="58">
        <f>SUMIFS('HRSG 수주 시나리오'!$F$54:$F$56,'HRSG 수주 시나리오'!$B$54:$B$56,"확실",'HRSG 수주 시나리오'!$I$54:$I$56,F$40)</f>
        <v>0</v>
      </c>
      <c r="G48" s="58">
        <f>SUMIFS('HRSG 수주 시나리오'!$F$54:$F$56,'HRSG 수주 시나리오'!$B$54:$B$56,"확실",'HRSG 수주 시나리오'!$I$54:$I$56,G$40)</f>
        <v>0</v>
      </c>
    </row>
    <row r="49" spans="2:7" ht="15" customHeight="1"/>
    <row r="50" spans="2:7" ht="15" customHeight="1">
      <c r="B50" s="281" t="s">
        <v>892</v>
      </c>
      <c r="C50" s="281">
        <v>2025</v>
      </c>
      <c r="D50" s="281">
        <v>2026</v>
      </c>
      <c r="E50" s="281">
        <v>2027</v>
      </c>
      <c r="F50" s="281">
        <v>2028</v>
      </c>
      <c r="G50" s="281">
        <v>2029</v>
      </c>
    </row>
    <row r="51" spans="2:7" ht="15" customHeight="1">
      <c r="B51" s="6" t="s">
        <v>675</v>
      </c>
      <c r="C51" s="58">
        <f>C52+SUMIFS('HRSG 수주 시나리오'!$F$67:$F$70,'HRSG 수주 시나리오'!$B$67:$B$70,"잠재",'HRSG 수주 시나리오'!$I$67:$I$70,C$40)</f>
        <v>66187.838111999998</v>
      </c>
      <c r="D51" s="58">
        <f>D52+SUMIFS('HRSG 수주 시나리오'!$F$67:$F$70,'HRSG 수주 시나리오'!$B$67:$B$70,"잠재",'HRSG 수주 시나리오'!$I$67:$I$70,D$40)</f>
        <v>66187.838111999998</v>
      </c>
      <c r="E51" s="58">
        <f>E52+SUMIFS('HRSG 수주 시나리오'!$F$67:$F$70,'HRSG 수주 시나리오'!$B$67:$B$70,"잠재",'HRSG 수주 시나리오'!$I$67:$I$70,E$40)</f>
        <v>66187.838111999998</v>
      </c>
      <c r="F51" s="58">
        <f>F52+SUMIFS('HRSG 수주 시나리오'!$F$67:$F$70,'HRSG 수주 시나리오'!$B$67:$B$70,"잠재",'HRSG 수주 시나리오'!$I$67:$I$70,F$40)</f>
        <v>66187.838111999998</v>
      </c>
      <c r="G51" s="58">
        <f>G52+SUMIFS('HRSG 수주 시나리오'!$F$67:$F$70,'HRSG 수주 시나리오'!$B$67:$B$70,"잠재",'HRSG 수주 시나리오'!$I$67:$I$70,G$40)</f>
        <v>0</v>
      </c>
    </row>
    <row r="52" spans="2:7" ht="15" customHeight="1">
      <c r="B52" s="58" t="s">
        <v>674</v>
      </c>
      <c r="C52" s="58">
        <f>C53+SUMIFS('HRSG 수주 시나리오'!$F$67:$F$70,'HRSG 수주 시나리오'!$B$67:$B$70,"가능",'HRSG 수주 시나리오'!$I$67:$I$70,C$40)</f>
        <v>66187.838111999998</v>
      </c>
      <c r="D52" s="58">
        <f>D53+SUMIFS('HRSG 수주 시나리오'!$F$67:$F$70,'HRSG 수주 시나리오'!$B$67:$B$70,"가능",'HRSG 수주 시나리오'!$I$67:$I$70,D$40)</f>
        <v>66187.838111999998</v>
      </c>
      <c r="E52" s="58">
        <f>E53+SUMIFS('HRSG 수주 시나리오'!$F$67:$F$70,'HRSG 수주 시나리오'!$B$67:$B$70,"가능",'HRSG 수주 시나리오'!$I$67:$I$70,E$40)</f>
        <v>66187.838111999998</v>
      </c>
      <c r="F52" s="58">
        <f>F53+SUMIFS('HRSG 수주 시나리오'!$F$67:$F$70,'HRSG 수주 시나리오'!$B$67:$B$70,"가능",'HRSG 수주 시나리오'!$I$67:$I$70,F$40)</f>
        <v>66187.838111999998</v>
      </c>
      <c r="G52" s="58">
        <f>G53+SUMIFS('HRSG 수주 시나리오'!$F$67:$F$70,'HRSG 수주 시나리오'!$B$67:$B$70,"가능",'HRSG 수주 시나리오'!$I$67:$I$70,G$40)</f>
        <v>0</v>
      </c>
    </row>
    <row r="53" spans="2:7" ht="15" customHeight="1">
      <c r="B53" s="58" t="s">
        <v>673</v>
      </c>
      <c r="C53" s="58">
        <f>SUMIFS('HRSG 수주 시나리오'!$F$67:$F$70,'HRSG 수주 시나리오'!$B$67:$B$70,"확실",'HRSG 수주 시나리오'!$I$67:$I$70,C$40)</f>
        <v>0</v>
      </c>
      <c r="D53" s="58">
        <f>SUMIFS('HRSG 수주 시나리오'!$F$67:$F$70,'HRSG 수주 시나리오'!$B$67:$B$70,"확실",'HRSG 수주 시나리오'!$I$67:$I$70,D$40)</f>
        <v>0</v>
      </c>
      <c r="E53" s="58">
        <f>SUMIFS('HRSG 수주 시나리오'!$F$67:$F$70,'HRSG 수주 시나리오'!$B$67:$B$70,"확실",'HRSG 수주 시나리오'!$I$67:$I$70,E$40)</f>
        <v>0</v>
      </c>
      <c r="F53" s="58">
        <f>SUMIFS('HRSG 수주 시나리오'!$F$67:$F$70,'HRSG 수주 시나리오'!$B$67:$B$70,"확실",'HRSG 수주 시나리오'!$I$67:$I$70,F$40)</f>
        <v>0</v>
      </c>
      <c r="G53" s="58">
        <f>SUMIFS('HRSG 수주 시나리오'!$F$67:$F$70,'HRSG 수주 시나리오'!$B$67:$B$70,"확실",'HRSG 수주 시나리오'!$I$67:$I$70,G$40)</f>
        <v>0</v>
      </c>
    </row>
    <row r="54" spans="2:7" ht="15" customHeight="1">
      <c r="D54" s="58"/>
    </row>
    <row r="55" spans="2:7" ht="15" customHeight="1"/>
  </sheetData>
  <phoneticPr fontId="2" type="noConversion"/>
  <conditionalFormatting sqref="B20:O20">
    <cfRule type="cellIs" dxfId="175" priority="7" operator="lessThan">
      <formula>0</formula>
    </cfRule>
  </conditionalFormatting>
  <conditionalFormatting sqref="C8:R8">
    <cfRule type="cellIs" dxfId="174" priority="8" operator="lessThan">
      <formula>0</formula>
    </cfRule>
  </conditionalFormatting>
  <conditionalFormatting sqref="D12:R12">
    <cfRule type="cellIs" dxfId="173" priority="9" operator="lessThan">
      <formula>0</formula>
    </cfRule>
  </conditionalFormatting>
  <conditionalFormatting sqref="T8:X8">
    <cfRule type="cellIs" dxfId="172" priority="3" operator="lessThan">
      <formula>0</formula>
    </cfRule>
  </conditionalFormatting>
  <conditionalFormatting sqref="Z8">
    <cfRule type="cellIs" dxfId="171" priority="2" operator="lessThan">
      <formula>0</formula>
    </cfRule>
  </conditionalFormatting>
  <dataValidations count="1">
    <dataValidation type="list" allowBlank="1" showInputMessage="1" showErrorMessage="1" sqref="C5" xr:uid="{E40C74E9-F899-4D4A-A458-D266E4B9F2F1}">
      <formula1>"Bull, Base, Bear"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56BB-07E1-4B76-A37E-565CD3F91981}">
  <sheetPr>
    <tabColor theme="1" tint="0.499984740745262"/>
  </sheetPr>
  <dimension ref="A1:AH56"/>
  <sheetViews>
    <sheetView showGridLines="0" zoomScale="85" zoomScaleNormal="85" workbookViewId="0"/>
  </sheetViews>
  <sheetFormatPr defaultColWidth="8.796875" defaultRowHeight="17.55" customHeight="1"/>
  <cols>
    <col min="1" max="1" width="2.5" style="667" customWidth="1"/>
    <col min="2" max="2" width="25" style="667" customWidth="1"/>
    <col min="3" max="9" width="9.69921875" style="667" customWidth="1"/>
    <col min="10" max="10" width="1.69921875" style="667" customWidth="1"/>
    <col min="11" max="11" width="23.19921875" style="667" bestFit="1" customWidth="1"/>
    <col min="12" max="16" width="9.69921875" style="846" customWidth="1"/>
    <col min="17" max="17" width="10.5" style="846" bestFit="1" customWidth="1"/>
    <col min="18" max="18" width="10.5" style="846" customWidth="1"/>
    <col min="19" max="19" width="10.5" style="667" customWidth="1"/>
    <col min="20" max="20" width="12.296875" style="667" bestFit="1" customWidth="1"/>
    <col min="21" max="21" width="28.69921875" style="667" bestFit="1" customWidth="1"/>
    <col min="22" max="28" width="10.69921875" style="667" customWidth="1"/>
    <col min="29" max="16384" width="8.796875" style="667"/>
  </cols>
  <sheetData>
    <row r="1" spans="1:30" s="197" customFormat="1" ht="16.8">
      <c r="B1" s="198" t="s">
        <v>1777</v>
      </c>
    </row>
    <row r="2" spans="1:30" s="197" customFormat="1" ht="22.8" thickBot="1">
      <c r="B2" s="199" t="s">
        <v>1776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30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4" spans="1:30" ht="17.55" customHeight="1">
      <c r="B4" s="667" t="s">
        <v>1757</v>
      </c>
      <c r="C4" s="667">
        <v>100</v>
      </c>
      <c r="O4" s="846">
        <f>SUM(O23,O29)-O15</f>
        <v>-21.706775923434179</v>
      </c>
      <c r="P4" s="846">
        <f t="shared" ref="P4:Q4" si="0">SUM(P23,P29)-P15</f>
        <v>-40.195080495195725</v>
      </c>
      <c r="Q4" s="846">
        <f t="shared" si="0"/>
        <v>1.6718349712300551</v>
      </c>
      <c r="R4" s="846">
        <f>SUM(R23,R29)-R15</f>
        <v>6.8882414201725624</v>
      </c>
    </row>
    <row r="5" spans="1:30" ht="17.55" customHeight="1" thickBot="1">
      <c r="B5" s="758" t="s">
        <v>1363</v>
      </c>
      <c r="C5" s="759">
        <v>2022</v>
      </c>
      <c r="D5" s="759">
        <v>2023</v>
      </c>
      <c r="E5" s="759">
        <v>2024</v>
      </c>
      <c r="F5" s="759" t="s">
        <v>1364</v>
      </c>
      <c r="G5" s="759" t="s">
        <v>1365</v>
      </c>
      <c r="H5" s="759" t="s">
        <v>1593</v>
      </c>
      <c r="I5" s="759" t="s">
        <v>1594</v>
      </c>
      <c r="J5" s="668"/>
      <c r="K5" s="758" t="s">
        <v>1366</v>
      </c>
      <c r="L5" s="759">
        <v>2022</v>
      </c>
      <c r="M5" s="759">
        <v>2023</v>
      </c>
      <c r="N5" s="759">
        <v>2024</v>
      </c>
      <c r="O5" s="759" t="s">
        <v>1364</v>
      </c>
      <c r="P5" s="759" t="s">
        <v>1365</v>
      </c>
      <c r="Q5" s="759" t="s">
        <v>1593</v>
      </c>
      <c r="R5" s="759" t="s">
        <v>1594</v>
      </c>
      <c r="U5" s="747"/>
      <c r="V5" s="837" t="s">
        <v>1596</v>
      </c>
      <c r="W5" s="714"/>
      <c r="X5" s="838"/>
      <c r="Y5" s="836" t="s">
        <v>1367</v>
      </c>
      <c r="Z5" s="834"/>
      <c r="AA5" s="834"/>
      <c r="AB5" s="835"/>
    </row>
    <row r="6" spans="1:30" ht="17.55" customHeight="1" thickBot="1">
      <c r="B6" s="822" t="s">
        <v>1368</v>
      </c>
      <c r="C6" s="973">
        <f>('Expected IS'!E7)/100</f>
        <v>3301.971094</v>
      </c>
      <c r="D6" s="973">
        <f>('Expected IS'!F7)/100</f>
        <v>3673.9920864000001</v>
      </c>
      <c r="E6" s="973">
        <f>('Expected IS'!G7)/100</f>
        <v>4047.4103860000005</v>
      </c>
      <c r="F6" s="973">
        <f>('Expected IS'!H7)/100</f>
        <v>8180.6012749306392</v>
      </c>
      <c r="G6" s="973">
        <f>('Expected IS'!I7)/100</f>
        <v>10554.234792523235</v>
      </c>
      <c r="H6" s="973">
        <f>('Expected IS'!J7)/100</f>
        <v>11217.45846061808</v>
      </c>
      <c r="I6" s="973">
        <f>('Expected IS'!K7)/100</f>
        <v>12251.428611473271</v>
      </c>
      <c r="J6" s="668"/>
      <c r="K6" s="670" t="s">
        <v>1369</v>
      </c>
      <c r="L6" s="847">
        <v>2022.3101743</v>
      </c>
      <c r="M6" s="847">
        <v>1880.804772</v>
      </c>
      <c r="N6" s="847">
        <v>2473.2046032000003</v>
      </c>
      <c r="O6" s="847">
        <f>SUM(O7:O10)</f>
        <v>3903.2215833150067</v>
      </c>
      <c r="P6" s="847">
        <f t="shared" ref="P6:R6" si="1">SUM(P7:P10)</f>
        <v>5299.524022124966</v>
      </c>
      <c r="Q6" s="847">
        <f t="shared" si="1"/>
        <v>5875.6656326934553</v>
      </c>
      <c r="R6" s="847">
        <f t="shared" si="1"/>
        <v>6940.9498643318975</v>
      </c>
      <c r="U6" s="752" t="s">
        <v>1370</v>
      </c>
      <c r="V6" s="872">
        <v>2022</v>
      </c>
      <c r="W6" s="704">
        <v>2023</v>
      </c>
      <c r="X6" s="970">
        <v>2024</v>
      </c>
      <c r="Y6" s="705">
        <v>2025</v>
      </c>
      <c r="Z6" s="705">
        <v>2026</v>
      </c>
      <c r="AA6" s="705">
        <v>2027</v>
      </c>
      <c r="AB6" s="706">
        <v>2028</v>
      </c>
    </row>
    <row r="7" spans="1:30" ht="17.55" customHeight="1">
      <c r="B7" s="670" t="s">
        <v>1371</v>
      </c>
      <c r="C7" s="974">
        <f>('Expected IS'!E8)/100</f>
        <v>2952.6547147000001</v>
      </c>
      <c r="D7" s="974">
        <f>('Expected IS'!F8)/100</f>
        <v>3239.5762202000001</v>
      </c>
      <c r="E7" s="974">
        <f>('Expected IS'!G8)/100</f>
        <v>3456.2302108999997</v>
      </c>
      <c r="F7" s="974">
        <f>('Expected IS'!H8)/100</f>
        <v>7150.0959949154349</v>
      </c>
      <c r="G7" s="974">
        <f>('Expected IS'!I8)/100</f>
        <v>8958.5570137058239</v>
      </c>
      <c r="H7" s="974">
        <f>('Expected IS'!J8)/100</f>
        <v>9623.2177091226094</v>
      </c>
      <c r="I7" s="974">
        <f>('Expected IS'!K8)/100</f>
        <v>10628.884080943799</v>
      </c>
      <c r="J7" s="668"/>
      <c r="K7" s="821" t="s">
        <v>1372</v>
      </c>
      <c r="L7" s="848">
        <v>236.03234</v>
      </c>
      <c r="M7" s="848">
        <v>138.72466</v>
      </c>
      <c r="N7" s="848">
        <v>176.07751999999999</v>
      </c>
      <c r="O7" s="848">
        <f>F53</f>
        <v>348.66451086114313</v>
      </c>
      <c r="P7" s="848">
        <f>G53</f>
        <v>744.30945008817002</v>
      </c>
      <c r="Q7" s="848">
        <f>H53</f>
        <v>1112.9010322058994</v>
      </c>
      <c r="R7" s="848">
        <f>I53</f>
        <v>1649.148400252385</v>
      </c>
      <c r="U7" s="748" t="s">
        <v>1373</v>
      </c>
      <c r="V7" s="844">
        <f>C11</f>
        <v>81.080541100000005</v>
      </c>
      <c r="W7" s="844">
        <f t="shared" ref="W7:X7" si="2">D11</f>
        <v>150.8669817</v>
      </c>
      <c r="X7" s="883">
        <f t="shared" si="2"/>
        <v>219.27258369999998</v>
      </c>
      <c r="Y7" s="672">
        <f t="shared" ref="Y7" si="3">F11</f>
        <v>638.29656623397545</v>
      </c>
      <c r="Z7" s="672">
        <f t="shared" ref="Z7" si="4">G11</f>
        <v>1122.2077860581553</v>
      </c>
      <c r="AA7" s="672">
        <f t="shared" ref="AA7" si="5">H11</f>
        <v>1071.638170584275</v>
      </c>
      <c r="AB7" s="741">
        <f t="shared" ref="AB7" si="6">I11</f>
        <v>1037.8846450722401</v>
      </c>
      <c r="AD7" s="667" t="s">
        <v>1374</v>
      </c>
    </row>
    <row r="8" spans="1:30" ht="17.55" customHeight="1">
      <c r="B8" s="673" t="s">
        <v>1375</v>
      </c>
      <c r="C8" s="975">
        <f>('Expected IS'!E10)/100</f>
        <v>349.31637920000003</v>
      </c>
      <c r="D8" s="975">
        <f>('Expected IS'!F10)/100</f>
        <v>434.41586609999996</v>
      </c>
      <c r="E8" s="975">
        <f>('Expected IS'!G10)/100</f>
        <v>591.18017509999993</v>
      </c>
      <c r="F8" s="975">
        <f>('Expected IS'!H10)/100</f>
        <v>1030.5052800152043</v>
      </c>
      <c r="G8" s="975">
        <f>('Expected IS'!I10)/100</f>
        <v>1595.6777788174118</v>
      </c>
      <c r="H8" s="975">
        <f>('Expected IS'!J10)/100</f>
        <v>1594.2407514954718</v>
      </c>
      <c r="I8" s="975">
        <f>('Expected IS'!K10)/100</f>
        <v>1622.5445305294729</v>
      </c>
      <c r="J8" s="668"/>
      <c r="K8" s="671" t="s">
        <v>1376</v>
      </c>
      <c r="L8" s="849">
        <v>1609.6437117999999</v>
      </c>
      <c r="M8" s="849">
        <v>1439.2018739</v>
      </c>
      <c r="N8" s="849">
        <v>1891.4084151</v>
      </c>
      <c r="O8" s="849">
        <f>(Y20)</f>
        <v>3204.5623418980545</v>
      </c>
      <c r="P8" s="849">
        <f t="shared" ref="P8:R8" si="7">(Z20)</f>
        <v>4134.3786632550373</v>
      </c>
      <c r="Q8" s="849">
        <f t="shared" si="7"/>
        <v>4394.1812767310566</v>
      </c>
      <c r="R8" s="849">
        <f t="shared" si="7"/>
        <v>4799.2152952244332</v>
      </c>
      <c r="U8" s="749" t="s">
        <v>1377</v>
      </c>
      <c r="V8" s="674">
        <v>0.21</v>
      </c>
      <c r="W8" s="674">
        <v>0.21</v>
      </c>
      <c r="X8" s="742">
        <v>0.21</v>
      </c>
      <c r="Y8" s="674">
        <f>'Expected IS'!H33</f>
        <v>0.21</v>
      </c>
      <c r="Z8" s="674">
        <f>'Expected IS'!I33</f>
        <v>0.21000000000000002</v>
      </c>
      <c r="AA8" s="674">
        <f>'Expected IS'!J33</f>
        <v>0.21</v>
      </c>
      <c r="AB8" s="742">
        <f>'Expected IS'!K33</f>
        <v>0.21</v>
      </c>
      <c r="AD8" s="667" t="s">
        <v>1378</v>
      </c>
    </row>
    <row r="9" spans="1:30" ht="17.55" customHeight="1">
      <c r="B9" s="670" t="s">
        <v>1379</v>
      </c>
      <c r="C9" s="974">
        <f>('Expected IS'!E11)/100</f>
        <v>268.23583810000002</v>
      </c>
      <c r="D9" s="974">
        <f>('Expected IS'!F11)/100</f>
        <v>283.54888439999996</v>
      </c>
      <c r="E9" s="974">
        <f>('Expected IS'!G11)/100</f>
        <v>371.9075914</v>
      </c>
      <c r="F9" s="974">
        <f>('Expected IS'!H11)/100</f>
        <v>392.20871378122888</v>
      </c>
      <c r="G9" s="974">
        <f>('Expected IS'!I11)/100</f>
        <v>473.4699927592564</v>
      </c>
      <c r="H9" s="974">
        <f>('Expected IS'!J11)/100</f>
        <v>522.60258091119704</v>
      </c>
      <c r="I9" s="974">
        <f>('Expected IS'!K11)/100</f>
        <v>584.65988545723292</v>
      </c>
      <c r="J9" s="668"/>
      <c r="K9" s="671" t="s">
        <v>1380</v>
      </c>
      <c r="L9" s="849">
        <v>43.527622899999997</v>
      </c>
      <c r="M9" s="849">
        <v>55.213445499999999</v>
      </c>
      <c r="N9" s="849">
        <v>108.05143050000001</v>
      </c>
      <c r="O9" s="849">
        <f>(Y21)</f>
        <v>198.11452591866288</v>
      </c>
      <c r="P9" s="849">
        <f t="shared" ref="P9:R9" si="8">(Z21)</f>
        <v>216.37699118714599</v>
      </c>
      <c r="Q9" s="849">
        <f t="shared" si="8"/>
        <v>198.22155803523935</v>
      </c>
      <c r="R9" s="849">
        <f t="shared" si="8"/>
        <v>181.15249404219219</v>
      </c>
      <c r="U9" s="750" t="s">
        <v>1542</v>
      </c>
      <c r="V9" s="736">
        <f>V7*V8</f>
        <v>17.026913630999999</v>
      </c>
      <c r="W9" s="736">
        <f>W7*W8</f>
        <v>31.682066156999998</v>
      </c>
      <c r="X9" s="743">
        <f t="shared" ref="X9:AB9" si="9">X7*X8</f>
        <v>46.047242576999992</v>
      </c>
      <c r="Y9" s="736">
        <f t="shared" si="9"/>
        <v>134.04227890913484</v>
      </c>
      <c r="Z9" s="736">
        <f t="shared" si="9"/>
        <v>235.66363507221263</v>
      </c>
      <c r="AA9" s="736">
        <f t="shared" si="9"/>
        <v>225.04401582269776</v>
      </c>
      <c r="AB9" s="743">
        <f t="shared" si="9"/>
        <v>217.9557754651704</v>
      </c>
      <c r="AD9" s="667" t="s">
        <v>1381</v>
      </c>
    </row>
    <row r="10" spans="1:30" ht="17.55" customHeight="1">
      <c r="B10" s="670" t="s">
        <v>1382</v>
      </c>
      <c r="C10" s="976">
        <f>('Expected IS'!E15)/100</f>
        <v>81.080541100000005</v>
      </c>
      <c r="D10" s="976">
        <f>('Expected IS'!F15)/100</f>
        <v>150.8669817</v>
      </c>
      <c r="E10" s="976">
        <f>('Expected IS'!G15)/100</f>
        <v>219.27258369999998</v>
      </c>
      <c r="F10" s="976">
        <f>('Expected IS'!H15)/100</f>
        <v>638.29656623397545</v>
      </c>
      <c r="G10" s="976">
        <f>('Expected IS'!I15)/100</f>
        <v>1122.2077860581553</v>
      </c>
      <c r="H10" s="976">
        <f>('Expected IS'!J15)/100</f>
        <v>1071.638170584275</v>
      </c>
      <c r="I10" s="976">
        <f>('Expected IS'!K15)/100</f>
        <v>1037.8846450722401</v>
      </c>
      <c r="J10" s="668"/>
      <c r="K10" s="671" t="s">
        <v>1383</v>
      </c>
      <c r="L10" s="849">
        <v>133.10649960000009</v>
      </c>
      <c r="M10" s="849">
        <v>247.66479259999994</v>
      </c>
      <c r="N10" s="849">
        <v>297.66723759999991</v>
      </c>
      <c r="O10" s="849">
        <f>N10/SUM(N10,N14)*O30</f>
        <v>151.88020463714631</v>
      </c>
      <c r="P10" s="849">
        <f t="shared" ref="P10:R10" si="10">O10/SUM(O10,O14)*P30</f>
        <v>204.45891759461318</v>
      </c>
      <c r="Q10" s="849">
        <f t="shared" si="10"/>
        <v>170.36176572126004</v>
      </c>
      <c r="R10" s="849">
        <f t="shared" si="10"/>
        <v>311.43367481288738</v>
      </c>
      <c r="U10" s="748" t="s">
        <v>1384</v>
      </c>
      <c r="V10" s="675">
        <f>V7-V9</f>
        <v>64.053627469000006</v>
      </c>
      <c r="W10" s="675">
        <f>W7-W9</f>
        <v>119.184915543</v>
      </c>
      <c r="X10" s="744">
        <f t="shared" ref="X10:AB10" si="11">X7-X9</f>
        <v>173.22534112299999</v>
      </c>
      <c r="Y10" s="675">
        <f t="shared" si="11"/>
        <v>504.25428732484062</v>
      </c>
      <c r="Z10" s="675">
        <f t="shared" si="11"/>
        <v>886.54415098594268</v>
      </c>
      <c r="AA10" s="675">
        <f t="shared" si="11"/>
        <v>846.59415476157733</v>
      </c>
      <c r="AB10" s="744">
        <f t="shared" si="11"/>
        <v>819.92886960706971</v>
      </c>
    </row>
    <row r="11" spans="1:30" ht="17.55" customHeight="1" thickBot="1">
      <c r="B11" s="822" t="s">
        <v>1385</v>
      </c>
      <c r="C11" s="973">
        <f>(C10)</f>
        <v>81.080541100000005</v>
      </c>
      <c r="D11" s="973">
        <f t="shared" ref="D11:I11" si="12">(D10)</f>
        <v>150.8669817</v>
      </c>
      <c r="E11" s="973">
        <f t="shared" si="12"/>
        <v>219.27258369999998</v>
      </c>
      <c r="F11" s="973">
        <f t="shared" si="12"/>
        <v>638.29656623397545</v>
      </c>
      <c r="G11" s="973">
        <f t="shared" si="12"/>
        <v>1122.2077860581553</v>
      </c>
      <c r="H11" s="973">
        <f t="shared" si="12"/>
        <v>1071.638170584275</v>
      </c>
      <c r="I11" s="973">
        <f t="shared" si="12"/>
        <v>1037.8846450722401</v>
      </c>
      <c r="J11" s="668"/>
      <c r="K11" s="670" t="s">
        <v>1386</v>
      </c>
      <c r="L11" s="847">
        <v>2471.4331688000002</v>
      </c>
      <c r="M11" s="847">
        <v>2373.6906435000001</v>
      </c>
      <c r="N11" s="847">
        <v>2774.5594544999999</v>
      </c>
      <c r="O11" s="847">
        <f>SUM(O12:O14)</f>
        <v>2659.8413052228698</v>
      </c>
      <c r="P11" s="847">
        <f t="shared" ref="P11:R11" si="13">SUM(P12:P14)</f>
        <v>2784.2032006179766</v>
      </c>
      <c r="Q11" s="847">
        <f t="shared" si="13"/>
        <v>2796.6843609756174</v>
      </c>
      <c r="R11" s="847">
        <f t="shared" si="13"/>
        <v>3035.9988218716917</v>
      </c>
      <c r="U11" s="749" t="s">
        <v>1387</v>
      </c>
      <c r="V11" s="676"/>
      <c r="W11" s="677">
        <f>W10/V10-1</f>
        <v>0.86070516616224202</v>
      </c>
      <c r="X11" s="745">
        <f>X10/W10-1</f>
        <v>0.45341665372496798</v>
      </c>
      <c r="Y11" s="677">
        <f t="shared" ref="Y11:AB11" si="14">Y10/X10-1</f>
        <v>1.9109729792178096</v>
      </c>
      <c r="Z11" s="677">
        <f t="shared" si="14"/>
        <v>0.75812912903372287</v>
      </c>
      <c r="AA11" s="677">
        <f t="shared" si="14"/>
        <v>-4.5062613271923513E-2</v>
      </c>
      <c r="AB11" s="745">
        <f t="shared" si="14"/>
        <v>-3.1497128824397813E-2</v>
      </c>
    </row>
    <row r="12" spans="1:30" ht="17.55" customHeight="1">
      <c r="B12" s="670" t="s">
        <v>1388</v>
      </c>
      <c r="C12" s="976">
        <f>('Expected IS'!E29)/100</f>
        <v>12.86204</v>
      </c>
      <c r="D12" s="976">
        <f>('Expected IS'!F29)/100</f>
        <v>21.187169999999995</v>
      </c>
      <c r="E12" s="976">
        <f>('Expected IS'!G29)/100</f>
        <v>8.4082099999999969</v>
      </c>
      <c r="F12" s="976">
        <f>('Expected IS'!H29)/100</f>
        <v>8.4082099999999969</v>
      </c>
      <c r="G12" s="976">
        <f>('Expected IS'!I29)/100</f>
        <v>8.4082099999999969</v>
      </c>
      <c r="H12" s="976">
        <f>('Expected IS'!J29)/100</f>
        <v>8.4082099999999969</v>
      </c>
      <c r="I12" s="976">
        <f>('Expected IS'!K29)/100</f>
        <v>8.4082099999999969</v>
      </c>
      <c r="J12" s="668"/>
      <c r="K12" s="671" t="s">
        <v>1391</v>
      </c>
      <c r="L12" s="849">
        <v>1960.9197675999999</v>
      </c>
      <c r="M12" s="849">
        <v>1920.7692996000001</v>
      </c>
      <c r="N12" s="849">
        <v>2223.3244102999997</v>
      </c>
      <c r="O12" s="849">
        <f>Y40</f>
        <v>2288.3184765969122</v>
      </c>
      <c r="P12" s="849">
        <f t="shared" ref="P12:R12" si="15">Z40</f>
        <v>2348.9877487942163</v>
      </c>
      <c r="Q12" s="849">
        <f t="shared" si="15"/>
        <v>2405.9075207279361</v>
      </c>
      <c r="R12" s="849">
        <f t="shared" si="15"/>
        <v>2460.3473370275292</v>
      </c>
      <c r="U12" s="750" t="s">
        <v>1389</v>
      </c>
      <c r="V12" s="676">
        <f>V26</f>
        <v>0</v>
      </c>
      <c r="W12" s="676">
        <f>W26</f>
        <v>-734.41241219999972</v>
      </c>
      <c r="X12" s="746">
        <f t="shared" ref="X12:AB12" si="16">X26</f>
        <v>371.61774309999964</v>
      </c>
      <c r="Y12" s="676">
        <f>Y26</f>
        <v>-294.43955177479347</v>
      </c>
      <c r="Z12" s="676">
        <f>Z26</f>
        <v>135.32106104862396</v>
      </c>
      <c r="AA12" s="676">
        <f>AA26</f>
        <v>-39.361016660623136</v>
      </c>
      <c r="AB12" s="746">
        <f t="shared" si="16"/>
        <v>-44.619730838529904</v>
      </c>
    </row>
    <row r="13" spans="1:30" ht="17.55" customHeight="1">
      <c r="B13" s="670" t="s">
        <v>1390</v>
      </c>
      <c r="C13" s="977">
        <f>('Expected IS'!E28)/100</f>
        <v>-289.48851999999999</v>
      </c>
      <c r="D13" s="977">
        <f>('Expected IS'!F28)/100</f>
        <v>-119.88339999999998</v>
      </c>
      <c r="E13" s="977">
        <f>('Expected IS'!G28)/100</f>
        <v>-263.13946000000004</v>
      </c>
      <c r="F13" s="977">
        <f>('Expected IS'!H28)/100</f>
        <v>-285.49172999999996</v>
      </c>
      <c r="G13" s="977">
        <f>('Expected IS'!I28)/100</f>
        <v>-285.49172999999996</v>
      </c>
      <c r="H13" s="977">
        <f>('Expected IS'!J28)/100</f>
        <v>-285.49172999999996</v>
      </c>
      <c r="I13" s="977">
        <f>('Expected IS'!K28)/100</f>
        <v>-285.49172999999996</v>
      </c>
      <c r="J13" s="668"/>
      <c r="K13" s="671" t="s">
        <v>1394</v>
      </c>
      <c r="L13" s="849">
        <v>188.05133999999998</v>
      </c>
      <c r="M13" s="849">
        <v>170.08757000000003</v>
      </c>
      <c r="N13" s="849">
        <v>164.58957999999998</v>
      </c>
      <c r="O13" s="849">
        <f>AVERAGE(L13:N13)</f>
        <v>174.24283</v>
      </c>
      <c r="P13" s="849">
        <f t="shared" ref="P13:R13" si="17">AVERAGE(M13:O13)</f>
        <v>169.63999333333334</v>
      </c>
      <c r="Q13" s="849">
        <f t="shared" si="17"/>
        <v>169.4908011111111</v>
      </c>
      <c r="R13" s="849">
        <f t="shared" si="17"/>
        <v>171.12454148148149</v>
      </c>
      <c r="S13" s="678"/>
      <c r="T13" s="678"/>
      <c r="U13" s="750" t="s">
        <v>1392</v>
      </c>
      <c r="V13" s="737">
        <f>V41</f>
        <v>35.12690339999989</v>
      </c>
      <c r="W13" s="737">
        <f t="shared" ref="W13:AB13" si="18">W41</f>
        <v>65.79816200000019</v>
      </c>
      <c r="X13" s="839">
        <f t="shared" si="18"/>
        <v>363.13407069999965</v>
      </c>
      <c r="Y13" s="737">
        <f t="shared" si="18"/>
        <v>177.46853629691248</v>
      </c>
      <c r="Z13" s="737">
        <f t="shared" si="18"/>
        <v>171.77793886397072</v>
      </c>
      <c r="AA13" s="737">
        <f t="shared" si="18"/>
        <v>167.42233415594208</v>
      </c>
      <c r="AB13" s="839">
        <f t="shared" si="18"/>
        <v>165.80171592922269</v>
      </c>
    </row>
    <row r="14" spans="1:30" ht="17.55" customHeight="1" thickBot="1">
      <c r="B14" s="669" t="s">
        <v>1393</v>
      </c>
      <c r="C14" s="978">
        <f>('Expected IS'!E30)/100</f>
        <v>-12.205219999999999</v>
      </c>
      <c r="D14" s="978">
        <f>('Expected IS'!F30)/100</f>
        <v>-13.921600000000002</v>
      </c>
      <c r="E14" s="978">
        <f>('Expected IS'!G30)/100</f>
        <v>-3.99343</v>
      </c>
      <c r="F14" s="978">
        <f>('Expected IS'!H30)/100</f>
        <v>-3.99343</v>
      </c>
      <c r="G14" s="978">
        <f>('Expected IS'!I30)/100</f>
        <v>-3.99343</v>
      </c>
      <c r="H14" s="978">
        <f>('Expected IS'!J30)/100</f>
        <v>-3.99343</v>
      </c>
      <c r="I14" s="978">
        <f>('Expected IS'!K30)/100</f>
        <v>-3.99343</v>
      </c>
      <c r="J14" s="668"/>
      <c r="K14" s="845" t="s">
        <v>1597</v>
      </c>
      <c r="L14" s="846">
        <v>322.46206120000016</v>
      </c>
      <c r="M14" s="846">
        <v>282.83377389999981</v>
      </c>
      <c r="N14" s="846">
        <v>386.64546420000028</v>
      </c>
      <c r="O14" s="849">
        <f>N14/SUM(N10,N14)*O30</f>
        <v>197.27999862595723</v>
      </c>
      <c r="P14" s="849">
        <f t="shared" ref="P14:R14" si="19">O14/SUM(O10,O14)*P30</f>
        <v>265.57545849042691</v>
      </c>
      <c r="Q14" s="849">
        <f t="shared" si="19"/>
        <v>221.28603913657005</v>
      </c>
      <c r="R14" s="849">
        <f t="shared" si="19"/>
        <v>404.52694336268064</v>
      </c>
      <c r="T14" s="679"/>
      <c r="U14" s="748" t="s">
        <v>1395</v>
      </c>
      <c r="V14" s="738">
        <f>V12+V13</f>
        <v>35.12690339999989</v>
      </c>
      <c r="W14" s="738">
        <f t="shared" ref="W14:AB14" si="20">W12+W13</f>
        <v>-668.61425019999956</v>
      </c>
      <c r="X14" s="840">
        <f t="shared" si="20"/>
        <v>734.75181379999935</v>
      </c>
      <c r="Y14" s="738">
        <f t="shared" si="20"/>
        <v>-116.971015477881</v>
      </c>
      <c r="Z14" s="738">
        <f t="shared" si="20"/>
        <v>307.09899991259465</v>
      </c>
      <c r="AA14" s="738">
        <f t="shared" si="20"/>
        <v>128.06131749531895</v>
      </c>
      <c r="AB14" s="840">
        <f t="shared" si="20"/>
        <v>121.18198509069279</v>
      </c>
    </row>
    <row r="15" spans="1:30" ht="17.55" customHeight="1" thickBot="1">
      <c r="B15" s="670" t="s">
        <v>1396</v>
      </c>
      <c r="C15" s="977">
        <f>('Expected IS'!E31)/100</f>
        <v>-207.75115440000002</v>
      </c>
      <c r="D15" s="977">
        <f>('Expected IS'!F31)/100</f>
        <v>38.249158999999999</v>
      </c>
      <c r="E15" s="977">
        <f>('Expected IS'!G31)/100</f>
        <v>-39.4520962</v>
      </c>
      <c r="F15" s="977">
        <f>('Expected IS'!H31)/100</f>
        <v>357.21961623397544</v>
      </c>
      <c r="G15" s="977">
        <f>('Expected IS'!I31)/100</f>
        <v>841.13083605815541</v>
      </c>
      <c r="H15" s="977">
        <f>('Expected IS'!J31)/100</f>
        <v>790.56122058427502</v>
      </c>
      <c r="I15" s="977">
        <f>('Expected IS'!K31)/100</f>
        <v>756.80769507224022</v>
      </c>
      <c r="J15" s="668"/>
      <c r="K15" s="669" t="s">
        <v>1397</v>
      </c>
      <c r="L15" s="851">
        <v>4493.7433430999999</v>
      </c>
      <c r="M15" s="851">
        <v>4254.4954154999996</v>
      </c>
      <c r="N15" s="851">
        <v>5247.7640577000011</v>
      </c>
      <c r="O15" s="851">
        <f>O11+O6</f>
        <v>6563.0628885378765</v>
      </c>
      <c r="P15" s="851">
        <f t="shared" ref="P15:R15" si="21">P11+P6</f>
        <v>8083.7272227429421</v>
      </c>
      <c r="Q15" s="851">
        <f t="shared" si="21"/>
        <v>8672.3499936690732</v>
      </c>
      <c r="R15" s="851">
        <f t="shared" si="21"/>
        <v>9976.9486862035883</v>
      </c>
      <c r="S15" s="680"/>
      <c r="T15" s="680"/>
      <c r="U15" s="748" t="s">
        <v>1398</v>
      </c>
      <c r="V15" s="739">
        <f>V10-V14</f>
        <v>28.926724069000116</v>
      </c>
      <c r="W15" s="739">
        <f t="shared" ref="W15:AB15" si="22">W10-W14</f>
        <v>787.79916574299955</v>
      </c>
      <c r="X15" s="841">
        <f t="shared" si="22"/>
        <v>-561.52647267699933</v>
      </c>
      <c r="Y15" s="739">
        <f t="shared" si="22"/>
        <v>621.22530280272167</v>
      </c>
      <c r="Z15" s="739">
        <f t="shared" si="22"/>
        <v>579.44515107334803</v>
      </c>
      <c r="AA15" s="739">
        <f t="shared" si="22"/>
        <v>718.53283726625841</v>
      </c>
      <c r="AB15" s="841">
        <f t="shared" si="22"/>
        <v>698.74688451637689</v>
      </c>
    </row>
    <row r="16" spans="1:30" ht="17.55" customHeight="1">
      <c r="B16" s="670" t="s">
        <v>1399</v>
      </c>
      <c r="C16" s="977">
        <f>('Expected IS'!E32)/100</f>
        <v>-16.573596500000001</v>
      </c>
      <c r="D16" s="977">
        <f>('Expected IS'!F32)/100</f>
        <v>-36.388661400000004</v>
      </c>
      <c r="E16" s="977">
        <f>('Expected IS'!G32)/100</f>
        <v>-235.30262050000002</v>
      </c>
      <c r="F16" s="977">
        <f>('Expected IS'!H32)/100</f>
        <v>75.016119409134845</v>
      </c>
      <c r="G16" s="977">
        <f>('Expected IS'!I32)/100</f>
        <v>176.63747557221265</v>
      </c>
      <c r="H16" s="977">
        <f>('Expected IS'!J32)/100</f>
        <v>166.01785632269772</v>
      </c>
      <c r="I16" s="977">
        <f>('Expected IS'!K32)/100</f>
        <v>158.92961596517043</v>
      </c>
      <c r="J16" s="668"/>
      <c r="K16" s="670" t="s">
        <v>1400</v>
      </c>
      <c r="L16" s="847">
        <v>3098.9525195000001</v>
      </c>
      <c r="M16" s="847">
        <v>3211.3514894999998</v>
      </c>
      <c r="N16" s="847">
        <v>3799.0560504</v>
      </c>
      <c r="O16" s="847">
        <f>SUM(O17:O19)</f>
        <v>4959.481215358177</v>
      </c>
      <c r="P16" s="847">
        <f t="shared" ref="P16:R16" si="23">SUM(P17:P19)</f>
        <v>5801.5541317572415</v>
      </c>
      <c r="Q16" s="847">
        <f t="shared" si="23"/>
        <v>5806.8635855716075</v>
      </c>
      <c r="R16" s="847">
        <f t="shared" si="23"/>
        <v>6501.240603283306</v>
      </c>
      <c r="U16" s="750" t="s">
        <v>1401</v>
      </c>
      <c r="V16" s="740">
        <f>C37</f>
        <v>0.92436000000000007</v>
      </c>
      <c r="W16" s="740">
        <f t="shared" ref="W16:AB16" si="24">D37</f>
        <v>2.4270499999999999</v>
      </c>
      <c r="X16" s="842">
        <f t="shared" si="24"/>
        <v>1.905745</v>
      </c>
      <c r="Y16" s="740">
        <f t="shared" si="24"/>
        <v>1.7523850000000001</v>
      </c>
      <c r="Z16" s="740">
        <f t="shared" si="24"/>
        <v>2.0283933333333333</v>
      </c>
      <c r="AA16" s="740">
        <f t="shared" si="24"/>
        <v>1.8955077777777778</v>
      </c>
      <c r="AB16" s="842">
        <f t="shared" si="24"/>
        <v>1.8920953703703702</v>
      </c>
    </row>
    <row r="17" spans="2:28" ht="17.55" customHeight="1">
      <c r="B17" s="670" t="s">
        <v>1402</v>
      </c>
      <c r="C17" s="977">
        <f>('Expected IS'!E34)/100</f>
        <v>-191.17755789999998</v>
      </c>
      <c r="D17" s="977">
        <f>('Expected IS'!F34)/100</f>
        <v>74.637820500000004</v>
      </c>
      <c r="E17" s="977">
        <f>('Expected IS'!G34)/100</f>
        <v>195.85052429999999</v>
      </c>
      <c r="F17" s="977">
        <f>('Expected IS'!H34)/100</f>
        <v>282.20349682484061</v>
      </c>
      <c r="G17" s="977">
        <f>('Expected IS'!I34)/100</f>
        <v>664.49336048594273</v>
      </c>
      <c r="H17" s="977">
        <f>('Expected IS'!J34)/100</f>
        <v>624.54336426157727</v>
      </c>
      <c r="I17" s="977">
        <f>('Expected IS'!K34)/100</f>
        <v>597.87807910706977</v>
      </c>
      <c r="J17" s="668"/>
      <c r="K17" s="821" t="s">
        <v>1592</v>
      </c>
      <c r="L17" s="853">
        <v>1544.2790508000001</v>
      </c>
      <c r="M17" s="853">
        <v>1563.7791287</v>
      </c>
      <c r="N17" s="853">
        <v>1261.4842713</v>
      </c>
      <c r="O17" s="848">
        <f>L17</f>
        <v>1544.2790508000001</v>
      </c>
      <c r="P17" s="848">
        <f t="shared" ref="P17:R17" si="25">M17</f>
        <v>1563.7791287</v>
      </c>
      <c r="Q17" s="848">
        <f t="shared" si="25"/>
        <v>1261.4842713</v>
      </c>
      <c r="R17" s="848">
        <f t="shared" si="25"/>
        <v>1544.2790508000001</v>
      </c>
      <c r="U17" s="751" t="s">
        <v>1403</v>
      </c>
      <c r="V17" s="681">
        <f>V15+V16</f>
        <v>29.851084069000116</v>
      </c>
      <c r="W17" s="681">
        <f t="shared" ref="W17:AB17" si="26">W15+W16</f>
        <v>790.22621574299956</v>
      </c>
      <c r="X17" s="843">
        <f t="shared" si="26"/>
        <v>-559.62072767699931</v>
      </c>
      <c r="Y17" s="681">
        <f t="shared" si="26"/>
        <v>622.97768780272168</v>
      </c>
      <c r="Z17" s="681">
        <f t="shared" si="26"/>
        <v>581.47354440668141</v>
      </c>
      <c r="AA17" s="681">
        <f t="shared" si="26"/>
        <v>720.42834504403618</v>
      </c>
      <c r="AB17" s="843">
        <f t="shared" si="26"/>
        <v>700.63897988674728</v>
      </c>
    </row>
    <row r="18" spans="2:28" ht="17.55" customHeight="1" thickBot="1">
      <c r="B18" s="669" t="s">
        <v>1404</v>
      </c>
      <c r="C18" s="978">
        <v>0</v>
      </c>
      <c r="D18" s="978">
        <v>0</v>
      </c>
      <c r="E18" s="978">
        <v>0</v>
      </c>
      <c r="F18" s="978">
        <v>0</v>
      </c>
      <c r="G18" s="978">
        <v>0</v>
      </c>
      <c r="H18" s="978">
        <v>0.01</v>
      </c>
      <c r="I18" s="978">
        <v>0.02</v>
      </c>
      <c r="J18" s="668"/>
      <c r="K18" s="671" t="s">
        <v>1590</v>
      </c>
      <c r="L18" s="849">
        <v>1471.9461468999998</v>
      </c>
      <c r="M18" s="849">
        <v>1605.37293</v>
      </c>
      <c r="N18" s="849">
        <v>2325.9805499999998</v>
      </c>
      <c r="O18" s="849">
        <f>Y23</f>
        <v>3303.0295039915109</v>
      </c>
      <c r="P18" s="849">
        <f t="shared" ref="P18:R18" si="27">Z23</f>
        <v>4115.7872295683528</v>
      </c>
      <c r="Q18" s="849">
        <f t="shared" si="27"/>
        <v>4396.7954265530889</v>
      </c>
      <c r="R18" s="849">
        <f t="shared" si="27"/>
        <v>4829.3801118919482</v>
      </c>
    </row>
    <row r="19" spans="2:28" ht="17.55" customHeight="1">
      <c r="B19" s="823" t="s">
        <v>1405</v>
      </c>
      <c r="C19" s="979">
        <f>C17</f>
        <v>-191.17755789999998</v>
      </c>
      <c r="D19" s="979">
        <f t="shared" ref="D19:I19" si="28">D17</f>
        <v>74.637820500000004</v>
      </c>
      <c r="E19" s="979">
        <f t="shared" si="28"/>
        <v>195.85052429999999</v>
      </c>
      <c r="F19" s="979">
        <f t="shared" si="28"/>
        <v>282.20349682484061</v>
      </c>
      <c r="G19" s="979">
        <f t="shared" si="28"/>
        <v>664.49336048594273</v>
      </c>
      <c r="H19" s="979">
        <f t="shared" si="28"/>
        <v>624.54336426157727</v>
      </c>
      <c r="I19" s="979">
        <f t="shared" si="28"/>
        <v>597.87807910706977</v>
      </c>
      <c r="J19" s="668"/>
      <c r="K19" s="671" t="s">
        <v>1406</v>
      </c>
      <c r="L19" s="849">
        <v>82.727321799999913</v>
      </c>
      <c r="M19" s="849">
        <v>42.199430799999973</v>
      </c>
      <c r="N19" s="849">
        <v>211.59122909999977</v>
      </c>
      <c r="O19" s="849">
        <f>AVERAGE(L19:N19)</f>
        <v>112.17266056666655</v>
      </c>
      <c r="P19" s="849">
        <f t="shared" ref="P19:R19" si="29">AVERAGE(M19:O19)</f>
        <v>121.98777348888876</v>
      </c>
      <c r="Q19" s="849">
        <f t="shared" si="29"/>
        <v>148.58388771851835</v>
      </c>
      <c r="R19" s="849">
        <f t="shared" si="29"/>
        <v>127.58144059135789</v>
      </c>
      <c r="U19" s="871" t="s">
        <v>1407</v>
      </c>
      <c r="V19" s="872">
        <v>2022</v>
      </c>
      <c r="W19" s="704">
        <v>2023</v>
      </c>
      <c r="X19" s="970">
        <v>2024</v>
      </c>
      <c r="Y19" s="705">
        <v>2025</v>
      </c>
      <c r="Z19" s="705">
        <v>2026</v>
      </c>
      <c r="AA19" s="705">
        <v>2027</v>
      </c>
      <c r="AB19" s="706">
        <v>2028</v>
      </c>
    </row>
    <row r="20" spans="2:28" ht="17.55" customHeight="1">
      <c r="B20" s="670" t="s">
        <v>1408</v>
      </c>
      <c r="C20" s="977">
        <v>0</v>
      </c>
      <c r="D20" s="977">
        <v>0</v>
      </c>
      <c r="E20" s="977">
        <v>0</v>
      </c>
      <c r="F20" s="977">
        <v>0</v>
      </c>
      <c r="G20" s="977">
        <v>0</v>
      </c>
      <c r="H20" s="977">
        <v>0</v>
      </c>
      <c r="I20" s="977">
        <v>0</v>
      </c>
      <c r="J20" s="668"/>
      <c r="K20" s="670" t="s">
        <v>1409</v>
      </c>
      <c r="L20" s="847">
        <v>899.40530609999996</v>
      </c>
      <c r="M20" s="847">
        <v>306.11392749999999</v>
      </c>
      <c r="N20" s="847">
        <v>284.24241189999998</v>
      </c>
      <c r="O20" s="847">
        <f>SUM(O21:O22)</f>
        <v>304.41836683333332</v>
      </c>
      <c r="P20" s="847">
        <f t="shared" ref="P20:R20" si="30">SUM(P21:P22)</f>
        <v>298.25823541111112</v>
      </c>
      <c r="Q20" s="847">
        <f t="shared" si="30"/>
        <v>295.63967138148149</v>
      </c>
      <c r="R20" s="847">
        <f t="shared" si="30"/>
        <v>299.43875787530868</v>
      </c>
      <c r="U20" s="753" t="s">
        <v>1376</v>
      </c>
      <c r="V20" s="713">
        <f>('BS (Yearly)'!E8)/100</f>
        <v>1609.6437117999999</v>
      </c>
      <c r="W20" s="865">
        <f>('BS (Yearly)'!F8)/100</f>
        <v>1439.2018739</v>
      </c>
      <c r="X20" s="711">
        <f>('BS (Yearly)'!G8)/100</f>
        <v>1891.4084151</v>
      </c>
      <c r="Y20" s="683">
        <f>Y29*Y33/365</f>
        <v>3204.5623418980545</v>
      </c>
      <c r="Z20" s="683">
        <f t="shared" ref="Z20:AA20" si="31">Z29*Z33/365</f>
        <v>4134.3786632550373</v>
      </c>
      <c r="AA20" s="683">
        <f t="shared" si="31"/>
        <v>4394.1812767310566</v>
      </c>
      <c r="AB20" s="684">
        <f>AB29*AB33/365</f>
        <v>4799.2152952244332</v>
      </c>
    </row>
    <row r="21" spans="2:28" ht="17.55" customHeight="1" thickBot="1">
      <c r="B21" s="669" t="s">
        <v>1410</v>
      </c>
      <c r="C21" s="978">
        <v>0</v>
      </c>
      <c r="D21" s="978">
        <v>0</v>
      </c>
      <c r="E21" s="978">
        <v>0</v>
      </c>
      <c r="F21" s="978">
        <v>0</v>
      </c>
      <c r="G21" s="978">
        <v>0</v>
      </c>
      <c r="H21" s="978">
        <v>0</v>
      </c>
      <c r="I21" s="978">
        <v>0</v>
      </c>
      <c r="J21" s="668"/>
      <c r="K21" s="821" t="s">
        <v>1591</v>
      </c>
      <c r="L21" s="848">
        <v>576.50654499999996</v>
      </c>
      <c r="M21" s="848">
        <v>0</v>
      </c>
      <c r="N21" s="848">
        <v>0</v>
      </c>
      <c r="O21" s="848">
        <f>N21</f>
        <v>0</v>
      </c>
      <c r="P21" s="848">
        <f t="shared" ref="P21:R21" si="32">O21</f>
        <v>0</v>
      </c>
      <c r="Q21" s="848">
        <f t="shared" si="32"/>
        <v>0</v>
      </c>
      <c r="R21" s="848">
        <f t="shared" si="32"/>
        <v>0</v>
      </c>
      <c r="U21" s="753" t="s">
        <v>414</v>
      </c>
      <c r="V21" s="713">
        <f>('BS (Yearly)'!E6)/100</f>
        <v>43.527622899999997</v>
      </c>
      <c r="W21" s="865">
        <f>('BS (Yearly)'!F6)/100</f>
        <v>55.213445499999999</v>
      </c>
      <c r="X21" s="711">
        <f>('BS (Yearly)'!G6)/100</f>
        <v>108.05143050000001</v>
      </c>
      <c r="Y21" s="683">
        <f>Y30*Y34/365</f>
        <v>198.11452591866288</v>
      </c>
      <c r="Z21" s="683">
        <f t="shared" ref="Z21:AB21" si="33">Z30*Z34/365</f>
        <v>216.37699118714599</v>
      </c>
      <c r="AA21" s="683">
        <f t="shared" si="33"/>
        <v>198.22155803523935</v>
      </c>
      <c r="AB21" s="684">
        <f t="shared" si="33"/>
        <v>181.15249404219219</v>
      </c>
    </row>
    <row r="22" spans="2:28" ht="17.55" customHeight="1">
      <c r="B22" s="670" t="s">
        <v>1411</v>
      </c>
      <c r="C22" s="980">
        <f t="shared" ref="C22:I22" si="34">(C19)/100</f>
        <v>-1.9117755789999997</v>
      </c>
      <c r="D22" s="980">
        <f t="shared" si="34"/>
        <v>0.74637820500000007</v>
      </c>
      <c r="E22" s="980">
        <f t="shared" si="34"/>
        <v>1.9585052429999998</v>
      </c>
      <c r="F22" s="980">
        <f t="shared" si="34"/>
        <v>2.8220349682484063</v>
      </c>
      <c r="G22" s="980">
        <f t="shared" si="34"/>
        <v>6.6449336048594274</v>
      </c>
      <c r="H22" s="980">
        <f t="shared" si="34"/>
        <v>6.2454336426157724</v>
      </c>
      <c r="I22" s="980">
        <f t="shared" si="34"/>
        <v>5.9787807910706974</v>
      </c>
      <c r="J22" s="668"/>
      <c r="K22" s="671" t="s">
        <v>1412</v>
      </c>
      <c r="L22" s="849">
        <v>322.89876110000006</v>
      </c>
      <c r="M22" s="849">
        <v>306.11392749999999</v>
      </c>
      <c r="N22" s="849">
        <v>284.24241189999998</v>
      </c>
      <c r="O22" s="849">
        <f>AVERAGE(L22:N22)</f>
        <v>304.41836683333332</v>
      </c>
      <c r="P22" s="849">
        <f t="shared" ref="P22:R22" si="35">AVERAGE(M22:O22)</f>
        <v>298.25823541111112</v>
      </c>
      <c r="Q22" s="849">
        <f t="shared" si="35"/>
        <v>295.63967138148149</v>
      </c>
      <c r="R22" s="849">
        <f t="shared" si="35"/>
        <v>299.43875787530868</v>
      </c>
      <c r="U22" s="754" t="s">
        <v>1413</v>
      </c>
      <c r="V22" s="712">
        <f>V20+V21</f>
        <v>1653.1713347</v>
      </c>
      <c r="W22" s="685">
        <f>W20+W21</f>
        <v>1494.4153194</v>
      </c>
      <c r="X22" s="686">
        <f t="shared" ref="X22:AB22" si="36">X20+X21</f>
        <v>1999.4598455999999</v>
      </c>
      <c r="Y22" s="685">
        <f t="shared" si="36"/>
        <v>3402.6768678167173</v>
      </c>
      <c r="Z22" s="685">
        <f t="shared" si="36"/>
        <v>4350.7556544421832</v>
      </c>
      <c r="AA22" s="685">
        <f t="shared" si="36"/>
        <v>4592.4028347662961</v>
      </c>
      <c r="AB22" s="686">
        <f t="shared" si="36"/>
        <v>4980.3677892666256</v>
      </c>
    </row>
    <row r="23" spans="2:28" ht="17.55" customHeight="1" thickBot="1">
      <c r="B23" s="670" t="s">
        <v>1408</v>
      </c>
      <c r="C23" s="981">
        <v>0</v>
      </c>
      <c r="D23" s="981">
        <v>0</v>
      </c>
      <c r="E23" s="981">
        <v>0</v>
      </c>
      <c r="F23" s="981">
        <v>0</v>
      </c>
      <c r="G23" s="981">
        <v>0</v>
      </c>
      <c r="H23" s="981">
        <v>0</v>
      </c>
      <c r="I23" s="981">
        <v>0</v>
      </c>
      <c r="J23" s="668"/>
      <c r="K23" s="669" t="s">
        <v>1414</v>
      </c>
      <c r="L23" s="851">
        <v>3998.3578256000001</v>
      </c>
      <c r="M23" s="851">
        <v>3517.4654169999999</v>
      </c>
      <c r="N23" s="851">
        <v>4083.2984623000002</v>
      </c>
      <c r="O23" s="851">
        <f>O20+O16</f>
        <v>5263.8995821915105</v>
      </c>
      <c r="P23" s="851">
        <f t="shared" ref="P23:R23" si="37">P20+P16</f>
        <v>6099.8123671683525</v>
      </c>
      <c r="Q23" s="851">
        <f t="shared" si="37"/>
        <v>6102.5032569530886</v>
      </c>
      <c r="R23" s="851">
        <f t="shared" si="37"/>
        <v>6800.6793611586145</v>
      </c>
      <c r="U23" s="753" t="s">
        <v>1415</v>
      </c>
      <c r="V23" s="713">
        <f>('BS (Yearly)'!D25)/100</f>
        <v>896.28975000000003</v>
      </c>
      <c r="W23" s="865">
        <f>('BS (Yearly)'!E25)/100</f>
        <v>1471.9461468999998</v>
      </c>
      <c r="X23" s="711">
        <f>('BS (Yearly)'!F25)/100</f>
        <v>1605.37293</v>
      </c>
      <c r="Y23" s="865">
        <f>Y31*Y34/365</f>
        <v>3303.0295039915109</v>
      </c>
      <c r="Z23" s="865">
        <f t="shared" ref="Z23:AB23" si="38">Z31*Z34/365</f>
        <v>4115.7872295683528</v>
      </c>
      <c r="AA23" s="865">
        <f t="shared" si="38"/>
        <v>4396.7954265530889</v>
      </c>
      <c r="AB23" s="711">
        <f t="shared" si="38"/>
        <v>4829.3801118919482</v>
      </c>
    </row>
    <row r="24" spans="2:28" ht="17.55" customHeight="1">
      <c r="B24" s="670" t="s">
        <v>1410</v>
      </c>
      <c r="C24" s="981">
        <v>0</v>
      </c>
      <c r="D24" s="981">
        <v>0</v>
      </c>
      <c r="E24" s="981">
        <v>0</v>
      </c>
      <c r="F24" s="981">
        <v>0</v>
      </c>
      <c r="G24" s="981">
        <v>0</v>
      </c>
      <c r="H24" s="981">
        <v>0</v>
      </c>
      <c r="I24" s="981">
        <v>0</v>
      </c>
      <c r="J24" s="668"/>
      <c r="K24" s="670" t="s">
        <v>1416</v>
      </c>
      <c r="L24" s="847">
        <v>493.33302929999996</v>
      </c>
      <c r="M24" s="847">
        <v>735.44421610000006</v>
      </c>
      <c r="N24" s="847">
        <v>1163.6118686</v>
      </c>
      <c r="O24" s="847">
        <f>N24+(O27+N27)</f>
        <v>1276.5952062248407</v>
      </c>
      <c r="P24" s="847">
        <f>O24+(P27-O27)</f>
        <v>1941.0885667107834</v>
      </c>
      <c r="Q24" s="847">
        <f t="shared" ref="Q24:R24" si="39">P24+(Q27-P27)</f>
        <v>2565.6319309723604</v>
      </c>
      <c r="R24" s="847">
        <f t="shared" si="39"/>
        <v>3163.5100100794302</v>
      </c>
      <c r="U24" s="754" t="s">
        <v>1417</v>
      </c>
      <c r="V24" s="712">
        <f>V23</f>
        <v>896.28975000000003</v>
      </c>
      <c r="W24" s="685">
        <f>W23</f>
        <v>1471.9461468999998</v>
      </c>
      <c r="X24" s="686">
        <f t="shared" ref="X24:AB24" si="40">X23</f>
        <v>1605.37293</v>
      </c>
      <c r="Y24" s="685">
        <f t="shared" si="40"/>
        <v>3303.0295039915109</v>
      </c>
      <c r="Z24" s="685">
        <f t="shared" si="40"/>
        <v>4115.7872295683528</v>
      </c>
      <c r="AA24" s="685">
        <f t="shared" si="40"/>
        <v>4396.7954265530889</v>
      </c>
      <c r="AB24" s="686">
        <f t="shared" si="40"/>
        <v>4829.3801118919482</v>
      </c>
    </row>
    <row r="25" spans="2:28" ht="17.55" customHeight="1">
      <c r="B25" s="670" t="s">
        <v>1418</v>
      </c>
      <c r="C25" s="981">
        <f>('Expected IS'!E17)/100</f>
        <v>186.6441811</v>
      </c>
      <c r="D25" s="981">
        <f>('Expected IS'!F17)/100</f>
        <v>256.81561170000003</v>
      </c>
      <c r="E25" s="981">
        <f>('Expected IS'!G17)/100</f>
        <v>279.85154369999998</v>
      </c>
      <c r="F25" s="981">
        <f>('Expected IS'!H17)/100</f>
        <v>750.77103623397545</v>
      </c>
      <c r="G25" s="981">
        <f>('Expected IS'!I17)/100</f>
        <v>1233.3164527248221</v>
      </c>
      <c r="H25" s="981">
        <f>('Expected IS'!J17)/100</f>
        <v>1182.140732806497</v>
      </c>
      <c r="I25" s="981">
        <f>('Expected IS'!K17)/100</f>
        <v>1149.2465447018697</v>
      </c>
      <c r="J25" s="668"/>
      <c r="K25" s="671" t="s">
        <v>1419</v>
      </c>
      <c r="L25" s="849">
        <v>130</v>
      </c>
      <c r="M25" s="849">
        <v>154.72187500000001</v>
      </c>
      <c r="N25" s="849">
        <v>154.72187500000001</v>
      </c>
      <c r="O25" s="849">
        <f>N25</f>
        <v>154.72187500000001</v>
      </c>
      <c r="P25" s="849">
        <f t="shared" ref="P25:R25" si="41">O25</f>
        <v>154.72187500000001</v>
      </c>
      <c r="Q25" s="849">
        <f t="shared" si="41"/>
        <v>154.72187500000001</v>
      </c>
      <c r="R25" s="849">
        <f t="shared" si="41"/>
        <v>154.72187500000001</v>
      </c>
      <c r="U25" s="708" t="s">
        <v>1420</v>
      </c>
      <c r="V25" s="713">
        <f>V22-V24</f>
        <v>756.88158469999996</v>
      </c>
      <c r="W25" s="865">
        <f>W22-W24</f>
        <v>22.469172500000241</v>
      </c>
      <c r="X25" s="711">
        <f t="shared" ref="X25:AB25" si="42">X22-X24</f>
        <v>394.08691559999988</v>
      </c>
      <c r="Y25" s="865">
        <f t="shared" si="42"/>
        <v>99.647363825206412</v>
      </c>
      <c r="Z25" s="865">
        <f t="shared" si="42"/>
        <v>234.96842487383037</v>
      </c>
      <c r="AA25" s="865">
        <f t="shared" si="42"/>
        <v>195.60740821320724</v>
      </c>
      <c r="AB25" s="711">
        <f t="shared" si="42"/>
        <v>150.98767737467733</v>
      </c>
    </row>
    <row r="26" spans="2:28" ht="17.55" customHeight="1">
      <c r="B26" s="670" t="s">
        <v>1421</v>
      </c>
      <c r="C26" s="760"/>
      <c r="D26" s="760"/>
      <c r="E26" s="760"/>
      <c r="F26" s="760"/>
      <c r="G26" s="760"/>
      <c r="H26" s="760"/>
      <c r="I26" s="760"/>
      <c r="J26" s="668"/>
      <c r="K26" s="671" t="s">
        <v>1422</v>
      </c>
      <c r="L26" s="849">
        <v>109.11501</v>
      </c>
      <c r="M26" s="849">
        <v>260.98611</v>
      </c>
      <c r="N26" s="849">
        <v>260.28610000000003</v>
      </c>
      <c r="O26" s="849">
        <f>N26</f>
        <v>260.28610000000003</v>
      </c>
      <c r="P26" s="849">
        <f t="shared" ref="P26:R26" si="43">O26</f>
        <v>260.28610000000003</v>
      </c>
      <c r="Q26" s="849">
        <f t="shared" si="43"/>
        <v>260.28610000000003</v>
      </c>
      <c r="R26" s="849">
        <f t="shared" si="43"/>
        <v>260.28610000000003</v>
      </c>
      <c r="U26" s="709" t="s">
        <v>1423</v>
      </c>
      <c r="V26" s="866"/>
      <c r="W26" s="685">
        <f>W25-V25</f>
        <v>-734.41241219999972</v>
      </c>
      <c r="X26" s="686">
        <f>X25-W25</f>
        <v>371.61774309999964</v>
      </c>
      <c r="Y26" s="685">
        <f t="shared" ref="Y26:AB26" si="44">Y25-X25</f>
        <v>-294.43955177479347</v>
      </c>
      <c r="Z26" s="685">
        <f t="shared" si="44"/>
        <v>135.32106104862396</v>
      </c>
      <c r="AA26" s="685">
        <f t="shared" si="44"/>
        <v>-39.361016660623136</v>
      </c>
      <c r="AB26" s="686">
        <f t="shared" si="44"/>
        <v>-44.619730838529904</v>
      </c>
    </row>
    <row r="27" spans="2:28" ht="17.55" customHeight="1">
      <c r="B27" s="670" t="s">
        <v>1424</v>
      </c>
      <c r="C27" s="760">
        <f>C25/C6*100</f>
        <v>5.6525080258622031</v>
      </c>
      <c r="D27" s="760">
        <f t="shared" ref="D27:G27" si="45">D25/D6*100</f>
        <v>6.9900970296221709</v>
      </c>
      <c r="E27" s="760">
        <f t="shared" si="45"/>
        <v>6.9143357606633353</v>
      </c>
      <c r="F27" s="760">
        <f t="shared" si="45"/>
        <v>9.1774554339264132</v>
      </c>
      <c r="G27" s="760">
        <f t="shared" si="45"/>
        <v>11.685512753596502</v>
      </c>
      <c r="H27" s="760">
        <f t="shared" ref="H27:I27" si="46">H25/H6*100</f>
        <v>10.538400805821761</v>
      </c>
      <c r="I27" s="760">
        <f t="shared" si="46"/>
        <v>9.3805104787993301</v>
      </c>
      <c r="J27" s="668"/>
      <c r="K27" s="671" t="s">
        <v>1425</v>
      </c>
      <c r="L27" s="849">
        <v>-339.7232037</v>
      </c>
      <c r="M27" s="849">
        <v>-271.77552009999999</v>
      </c>
      <c r="N27" s="849">
        <v>-84.610079600000006</v>
      </c>
      <c r="O27" s="849">
        <f>N27+F19</f>
        <v>197.59341722484061</v>
      </c>
      <c r="P27" s="849">
        <f t="shared" ref="P27:R27" si="47">O27+G19</f>
        <v>862.08677771078328</v>
      </c>
      <c r="Q27" s="849">
        <f t="shared" si="47"/>
        <v>1486.6301419723604</v>
      </c>
      <c r="R27" s="849">
        <f t="shared" si="47"/>
        <v>2084.5082210794303</v>
      </c>
      <c r="U27" s="710" t="s">
        <v>1426</v>
      </c>
      <c r="V27" s="867"/>
      <c r="W27" s="703"/>
      <c r="X27" s="707"/>
      <c r="Y27" s="703"/>
      <c r="Z27" s="703"/>
      <c r="AA27" s="703"/>
      <c r="AB27" s="707"/>
    </row>
    <row r="28" spans="2:28" ht="17.55" customHeight="1">
      <c r="B28" s="823" t="s">
        <v>1427</v>
      </c>
      <c r="C28" s="824">
        <f>C11/C6*100</f>
        <v>2.45551940921988</v>
      </c>
      <c r="D28" s="824">
        <f t="shared" ref="D28:G28" si="48">D11/D6*100</f>
        <v>4.1063502084956474</v>
      </c>
      <c r="E28" s="824">
        <f t="shared" si="48"/>
        <v>5.4176019426758462</v>
      </c>
      <c r="F28" s="824">
        <f t="shared" si="48"/>
        <v>7.802562975291659</v>
      </c>
      <c r="G28" s="824">
        <f t="shared" si="48"/>
        <v>10.632772608518646</v>
      </c>
      <c r="H28" s="824">
        <f t="shared" ref="H28:I28" si="49">H11/H6*100</f>
        <v>9.5533063424888134</v>
      </c>
      <c r="I28" s="824">
        <f t="shared" si="49"/>
        <v>8.4715397525173302</v>
      </c>
      <c r="J28" s="668"/>
      <c r="K28" s="670" t="s">
        <v>1428</v>
      </c>
      <c r="L28" s="847">
        <v>2.0524880999999997</v>
      </c>
      <c r="M28" s="847">
        <v>1.5857823</v>
      </c>
      <c r="N28" s="847">
        <v>0.85372680000000001</v>
      </c>
      <c r="O28" s="847">
        <f>N28/E19*O27</f>
        <v>0.86132419809114624</v>
      </c>
      <c r="P28" s="847">
        <f t="shared" ref="P28:R28" si="50">O28/F19*P27</f>
        <v>2.6312083686106891</v>
      </c>
      <c r="Q28" s="847">
        <f t="shared" si="50"/>
        <v>5.8866407148537965</v>
      </c>
      <c r="R28" s="847">
        <f t="shared" si="50"/>
        <v>19.647556385715244</v>
      </c>
      <c r="U28" s="709" t="s">
        <v>1429</v>
      </c>
      <c r="V28" s="866"/>
      <c r="W28" s="687"/>
      <c r="X28" s="682"/>
      <c r="Y28" s="687"/>
      <c r="Z28" s="687"/>
      <c r="AA28" s="687"/>
      <c r="AB28" s="682"/>
    </row>
    <row r="29" spans="2:28" ht="17.55" customHeight="1" thickBot="1">
      <c r="B29" s="669" t="s">
        <v>1430</v>
      </c>
      <c r="C29" s="761"/>
      <c r="D29" s="761"/>
      <c r="E29" s="761"/>
      <c r="F29" s="761"/>
      <c r="G29" s="761"/>
      <c r="H29" s="761"/>
      <c r="I29" s="761"/>
      <c r="J29" s="668"/>
      <c r="K29" s="669" t="s">
        <v>1431</v>
      </c>
      <c r="L29" s="851">
        <v>495.38551739999997</v>
      </c>
      <c r="M29" s="851">
        <v>737.02999840000007</v>
      </c>
      <c r="N29" s="851">
        <v>1164.4655954</v>
      </c>
      <c r="O29" s="851">
        <f>SUM(O28,O24)</f>
        <v>1277.4565304229318</v>
      </c>
      <c r="P29" s="851">
        <f t="shared" ref="P29:R29" si="51">SUM(P28,P24)</f>
        <v>1943.7197750793941</v>
      </c>
      <c r="Q29" s="851">
        <f t="shared" si="51"/>
        <v>2571.5185716872143</v>
      </c>
      <c r="R29" s="851">
        <f t="shared" si="51"/>
        <v>3183.1575664651455</v>
      </c>
      <c r="U29" s="753" t="s">
        <v>1432</v>
      </c>
      <c r="V29" s="868">
        <f t="shared" ref="V29:W29" si="52">365*V20/V33</f>
        <v>177.93007209378072</v>
      </c>
      <c r="W29" s="820">
        <f t="shared" si="52"/>
        <v>142.98035260283569</v>
      </c>
      <c r="X29" s="688">
        <f>365*X20/X33</f>
        <v>170.56932845245208</v>
      </c>
      <c r="Y29" s="869">
        <f>W29</f>
        <v>142.98035260283569</v>
      </c>
      <c r="Z29" s="869">
        <f>Y29</f>
        <v>142.98035260283569</v>
      </c>
      <c r="AA29" s="869">
        <f t="shared" ref="AA29:AB29" si="53">Z29</f>
        <v>142.98035260283569</v>
      </c>
      <c r="AB29" s="869">
        <f t="shared" si="53"/>
        <v>142.98035260283569</v>
      </c>
    </row>
    <row r="30" spans="2:28" ht="17.55" customHeight="1">
      <c r="B30" s="670"/>
      <c r="C30" s="893"/>
      <c r="D30" s="670"/>
      <c r="E30" s="670"/>
      <c r="F30" s="670"/>
      <c r="G30" s="670"/>
      <c r="H30" s="670"/>
      <c r="I30" s="670"/>
      <c r="J30" s="668"/>
      <c r="K30" s="670"/>
      <c r="L30" s="864"/>
      <c r="M30" s="864"/>
      <c r="N30" s="864"/>
      <c r="O30" s="850">
        <v>349.16020326310354</v>
      </c>
      <c r="P30" s="850">
        <v>470.03437608504009</v>
      </c>
      <c r="Q30" s="850">
        <v>391.64780485783012</v>
      </c>
      <c r="R30" s="850">
        <v>715.96061817556802</v>
      </c>
      <c r="U30" s="753" t="s">
        <v>1433</v>
      </c>
      <c r="V30" s="868">
        <f t="shared" ref="V30:W30" si="54">365*V21/V34</f>
        <v>5.3807789577977232</v>
      </c>
      <c r="W30" s="820">
        <f t="shared" si="54"/>
        <v>6.220846875538502</v>
      </c>
      <c r="X30" s="688">
        <f>365*X21/X34</f>
        <v>11.410921647557203</v>
      </c>
      <c r="Y30" s="869">
        <f t="shared" ref="Y30:AA30" si="55">X30-($X30-$AB30)/4</f>
        <v>10.113402954552527</v>
      </c>
      <c r="Z30" s="869">
        <f t="shared" si="55"/>
        <v>8.8158842615478505</v>
      </c>
      <c r="AA30" s="869">
        <f t="shared" si="55"/>
        <v>7.5183655685431754</v>
      </c>
      <c r="AB30" s="825">
        <f t="shared" ref="AB30:AB31" si="56">W30</f>
        <v>6.220846875538502</v>
      </c>
    </row>
    <row r="31" spans="2:28" ht="17.55" customHeight="1" thickBot="1">
      <c r="B31" s="758" t="s">
        <v>1434</v>
      </c>
      <c r="C31" s="759">
        <v>2022</v>
      </c>
      <c r="D31" s="759">
        <v>2023</v>
      </c>
      <c r="E31" s="759">
        <v>2024</v>
      </c>
      <c r="F31" s="759" t="s">
        <v>1364</v>
      </c>
      <c r="G31" s="759" t="s">
        <v>1365</v>
      </c>
      <c r="H31" s="759" t="s">
        <v>1593</v>
      </c>
      <c r="I31" s="759" t="s">
        <v>1594</v>
      </c>
      <c r="J31" s="668"/>
      <c r="K31" s="758" t="s">
        <v>1435</v>
      </c>
      <c r="L31" s="759">
        <v>2022</v>
      </c>
      <c r="M31" s="759">
        <v>2023</v>
      </c>
      <c r="N31" s="759">
        <v>2024</v>
      </c>
      <c r="O31" s="759" t="s">
        <v>1364</v>
      </c>
      <c r="P31" s="759" t="s">
        <v>1365</v>
      </c>
      <c r="Q31" s="759" t="s">
        <v>1593</v>
      </c>
      <c r="R31" s="759" t="s">
        <v>1594</v>
      </c>
      <c r="U31" s="753" t="s">
        <v>1436</v>
      </c>
      <c r="V31" s="868">
        <f t="shared" ref="V31:W31" si="57">365*V23/V34</f>
        <v>110.79716064370201</v>
      </c>
      <c r="W31" s="820">
        <f t="shared" si="57"/>
        <v>165.84278532126382</v>
      </c>
      <c r="X31" s="688">
        <f>365*X23/X34</f>
        <v>169.53764179308419</v>
      </c>
      <c r="Y31" s="869">
        <f t="shared" ref="Y31:AA31" si="58">X31-($X31-$AB31)/4</f>
        <v>168.6139276751291</v>
      </c>
      <c r="Z31" s="869">
        <f t="shared" si="58"/>
        <v>167.69021355717402</v>
      </c>
      <c r="AA31" s="869">
        <f t="shared" si="58"/>
        <v>166.76649943921893</v>
      </c>
      <c r="AB31" s="825">
        <f t="shared" si="56"/>
        <v>165.84278532126382</v>
      </c>
    </row>
    <row r="32" spans="2:28" ht="17.55" customHeight="1">
      <c r="B32" s="670" t="s">
        <v>1470</v>
      </c>
      <c r="C32" s="971">
        <f>('CFS (Yearly)'!E4)/100</f>
        <v>152.42141340000001</v>
      </c>
      <c r="D32" s="971">
        <f>('CFS (Yearly)'!F4)/100</f>
        <v>437.15223919999994</v>
      </c>
      <c r="E32" s="971">
        <f>('CFS (Yearly)'!G4)/100</f>
        <v>399.63225779999999</v>
      </c>
      <c r="F32" s="971">
        <f>SUM(F33:F39)</f>
        <v>291.40219755817395</v>
      </c>
      <c r="G32" s="971">
        <f t="shared" ref="G32:I32" si="59">SUM(G33:G39)</f>
        <v>673.47782619705379</v>
      </c>
      <c r="H32" s="971">
        <f t="shared" si="59"/>
        <v>622.74710430972539</v>
      </c>
      <c r="I32" s="971">
        <f t="shared" si="59"/>
        <v>744.58038127126736</v>
      </c>
      <c r="J32" s="668"/>
      <c r="K32" s="823" t="s">
        <v>1437</v>
      </c>
      <c r="L32" s="982" t="s">
        <v>1758</v>
      </c>
      <c r="M32" s="983">
        <v>30.4</v>
      </c>
      <c r="N32" s="983">
        <v>24.4</v>
      </c>
      <c r="O32" s="983">
        <v>30.3</v>
      </c>
      <c r="P32" s="983">
        <v>24.1</v>
      </c>
      <c r="Q32" s="983">
        <v>43.2</v>
      </c>
      <c r="R32" s="983"/>
      <c r="U32" s="755" t="s">
        <v>1438</v>
      </c>
      <c r="V32" s="870">
        <f t="shared" ref="V32:W32" si="60">V29+V30-V31</f>
        <v>72.513690407876439</v>
      </c>
      <c r="W32" s="690">
        <f t="shared" si="60"/>
        <v>-16.641585842889612</v>
      </c>
      <c r="X32" s="691">
        <f>X29+X30-X31</f>
        <v>12.442608306925109</v>
      </c>
      <c r="Y32" s="826">
        <f t="shared" ref="Y32:AB32" si="61">Y29+Y30-Y31</f>
        <v>-15.520172117740884</v>
      </c>
      <c r="Z32" s="826">
        <f t="shared" si="61"/>
        <v>-15.89397669279046</v>
      </c>
      <c r="AA32" s="826">
        <f t="shared" si="61"/>
        <v>-16.267781267840064</v>
      </c>
      <c r="AB32" s="827">
        <f t="shared" si="61"/>
        <v>-16.641585842889612</v>
      </c>
    </row>
    <row r="33" spans="2:34" ht="17.55" customHeight="1">
      <c r="B33" s="670" t="s">
        <v>1279</v>
      </c>
      <c r="C33" s="971">
        <f>('CFS (Yearly)'!E5)/100</f>
        <v>-191.17756</v>
      </c>
      <c r="D33" s="971">
        <f>('CFS (Yearly)'!F5)/100</f>
        <v>74.637820000000005</v>
      </c>
      <c r="E33" s="971">
        <f>('CFS (Yearly)'!G5)/100</f>
        <v>195.85051999999999</v>
      </c>
      <c r="F33" s="971">
        <f t="shared" ref="F33:G33" si="62">F19</f>
        <v>282.20349682484061</v>
      </c>
      <c r="G33" s="971">
        <f t="shared" si="62"/>
        <v>664.49336048594273</v>
      </c>
      <c r="H33" s="971">
        <f t="shared" ref="H33:I33" si="63">H19</f>
        <v>624.54336426157727</v>
      </c>
      <c r="I33" s="971">
        <f t="shared" si="63"/>
        <v>597.87807910706977</v>
      </c>
      <c r="J33" s="668"/>
      <c r="K33" s="823" t="s">
        <v>1439</v>
      </c>
      <c r="L33" s="982">
        <v>3.4</v>
      </c>
      <c r="M33" s="983">
        <v>3.4</v>
      </c>
      <c r="N33" s="983">
        <v>4.0999999999999996</v>
      </c>
      <c r="O33" s="983">
        <v>4.8</v>
      </c>
      <c r="P33" s="983">
        <v>4</v>
      </c>
      <c r="Q33" s="983">
        <v>3.4</v>
      </c>
      <c r="R33" s="983"/>
      <c r="U33" s="544" t="s">
        <v>10</v>
      </c>
      <c r="V33" s="828">
        <f>C6</f>
        <v>3301.971094</v>
      </c>
      <c r="W33" s="829">
        <f t="shared" ref="W33:AB33" si="64">D6</f>
        <v>3673.9920864000001</v>
      </c>
      <c r="X33" s="884">
        <f t="shared" si="64"/>
        <v>4047.4103860000005</v>
      </c>
      <c r="Y33" s="829">
        <f t="shared" si="64"/>
        <v>8180.6012749306392</v>
      </c>
      <c r="Z33" s="829">
        <f t="shared" si="64"/>
        <v>10554.234792523235</v>
      </c>
      <c r="AA33" s="829">
        <f t="shared" si="64"/>
        <v>11217.45846061808</v>
      </c>
      <c r="AB33" s="830">
        <f t="shared" si="64"/>
        <v>12251.428611473271</v>
      </c>
      <c r="AC33" s="687"/>
      <c r="AD33" s="687"/>
      <c r="AE33" s="687"/>
      <c r="AF33" s="687"/>
      <c r="AG33" s="687"/>
      <c r="AH33" s="687"/>
    </row>
    <row r="34" spans="2:34" ht="17.55" customHeight="1" thickBot="1">
      <c r="B34" s="670" t="s">
        <v>49</v>
      </c>
      <c r="C34" s="971">
        <f t="shared" ref="C34:I34" si="65">(V39)/100</f>
        <v>1.0556364000000003</v>
      </c>
      <c r="D34" s="971">
        <f t="shared" si="65"/>
        <v>1.0594863000000001</v>
      </c>
      <c r="E34" s="971">
        <f t="shared" si="65"/>
        <v>0.60578960000000004</v>
      </c>
      <c r="F34" s="971">
        <f t="shared" si="65"/>
        <v>1.1247446999999999</v>
      </c>
      <c r="G34" s="971">
        <f t="shared" si="65"/>
        <v>1.1110866666666666</v>
      </c>
      <c r="H34" s="971">
        <f t="shared" si="65"/>
        <v>1.1050256222222223</v>
      </c>
      <c r="I34" s="971">
        <f t="shared" si="65"/>
        <v>1.1136189962962961</v>
      </c>
      <c r="J34" s="689"/>
      <c r="K34" s="669" t="s">
        <v>1440</v>
      </c>
      <c r="L34" s="854"/>
      <c r="M34" s="854"/>
      <c r="N34" s="854"/>
      <c r="O34" s="854"/>
      <c r="P34" s="854"/>
      <c r="Q34" s="854"/>
      <c r="R34" s="854"/>
      <c r="U34" s="542" t="s">
        <v>8</v>
      </c>
      <c r="V34" s="831">
        <f>C7</f>
        <v>2952.6547147000001</v>
      </c>
      <c r="W34" s="832">
        <f t="shared" ref="W34:AB34" si="66">D7</f>
        <v>3239.5762202000001</v>
      </c>
      <c r="X34" s="833">
        <f t="shared" si="66"/>
        <v>3456.2302108999997</v>
      </c>
      <c r="Y34" s="832">
        <f t="shared" si="66"/>
        <v>7150.0959949154349</v>
      </c>
      <c r="Z34" s="832">
        <f t="shared" si="66"/>
        <v>8958.5570137058239</v>
      </c>
      <c r="AA34" s="832">
        <f t="shared" si="66"/>
        <v>9623.2177091226094</v>
      </c>
      <c r="AB34" s="833">
        <f t="shared" si="66"/>
        <v>10628.884080943799</v>
      </c>
    </row>
    <row r="35" spans="2:34" ht="17.55" customHeight="1">
      <c r="B35" s="881" t="s">
        <v>1752</v>
      </c>
      <c r="C35" s="971">
        <f>('CFS (Yearly)'!E9)/100</f>
        <v>59.867650000000005</v>
      </c>
      <c r="D35" s="971">
        <f>('CFS (Yearly)'!F9)/100</f>
        <v>197.25756000000001</v>
      </c>
      <c r="E35" s="971">
        <f>('CFS (Yearly)'!G9)/100</f>
        <v>127.82714</v>
      </c>
      <c r="F35" s="971">
        <v>-166</v>
      </c>
      <c r="G35" s="971">
        <v>-130</v>
      </c>
      <c r="H35" s="971">
        <v>-132</v>
      </c>
      <c r="I35" s="971">
        <f>(AVERAGE(F35:H35))/100</f>
        <v>-1.4266666666666665</v>
      </c>
      <c r="J35" s="668"/>
      <c r="K35" s="823" t="s">
        <v>1443</v>
      </c>
      <c r="L35" s="852">
        <f>C19/$U$49*10^8</f>
        <v>-617.81037070549974</v>
      </c>
      <c r="M35" s="852">
        <f t="shared" ref="M35:R35" si="67">D19/$U$49*10^8</f>
        <v>241.19996122073883</v>
      </c>
      <c r="N35" s="852">
        <f t="shared" si="67"/>
        <v>632.91155274585435</v>
      </c>
      <c r="O35" s="852">
        <f t="shared" si="67"/>
        <v>911.97025897223853</v>
      </c>
      <c r="P35" s="852">
        <f t="shared" si="67"/>
        <v>2147.3801312385294</v>
      </c>
      <c r="Q35" s="852">
        <f t="shared" si="67"/>
        <v>2018.2775197805006</v>
      </c>
      <c r="R35" s="852">
        <f t="shared" si="67"/>
        <v>1932.1058483393824</v>
      </c>
    </row>
    <row r="36" spans="2:34" ht="17.55" customHeight="1">
      <c r="B36" s="881" t="s">
        <v>1753</v>
      </c>
      <c r="C36" s="971">
        <f>('CFS (Yearly)'!E15+'CFS (Yearly)'!E16)/100</f>
        <v>-89.284561100000005</v>
      </c>
      <c r="D36" s="971">
        <f>('CFS (Yearly)'!F15+'CFS (Yearly)'!F16)/100</f>
        <v>-102.94618499999999</v>
      </c>
      <c r="E36" s="971">
        <f>('CFS (Yearly)'!G15+'CFS (Yearly)'!G16)/100</f>
        <v>-93.484099000000001</v>
      </c>
      <c r="F36" s="971">
        <f>AVERAGE(C36:E36)</f>
        <v>-95.238281700000002</v>
      </c>
      <c r="G36" s="971">
        <f t="shared" ref="G36:I38" si="68">AVERAGE(D36:F36)</f>
        <v>-97.222855233333334</v>
      </c>
      <c r="H36" s="971">
        <f t="shared" si="68"/>
        <v>-95.315078644444441</v>
      </c>
      <c r="I36" s="971">
        <f t="shared" si="68"/>
        <v>-95.925405192592578</v>
      </c>
      <c r="J36" s="668"/>
      <c r="K36" s="670" t="s">
        <v>1445</v>
      </c>
      <c r="L36" s="850"/>
      <c r="M36" s="850"/>
      <c r="N36" s="850"/>
      <c r="O36" s="850"/>
      <c r="P36" s="850"/>
      <c r="Q36" s="850"/>
      <c r="R36" s="850"/>
      <c r="U36" s="752" t="s">
        <v>1442</v>
      </c>
      <c r="V36" s="872">
        <v>2022</v>
      </c>
      <c r="W36" s="704">
        <v>2023</v>
      </c>
      <c r="X36" s="970">
        <v>2024</v>
      </c>
      <c r="Y36" s="705">
        <v>2025</v>
      </c>
      <c r="Z36" s="705">
        <v>2026</v>
      </c>
      <c r="AA36" s="705">
        <v>2027</v>
      </c>
      <c r="AB36" s="706">
        <v>2028</v>
      </c>
    </row>
    <row r="37" spans="2:34" ht="17.55" customHeight="1" thickBot="1">
      <c r="B37" s="881" t="s">
        <v>1754</v>
      </c>
      <c r="C37" s="971">
        <f>('CFS (Yearly)'!E17)/100</f>
        <v>0.92436000000000007</v>
      </c>
      <c r="D37" s="971">
        <f>('CFS (Yearly)'!F17)/100</f>
        <v>2.4270499999999999</v>
      </c>
      <c r="E37" s="971">
        <f>('CFS (Yearly)'!G17)/100</f>
        <v>1.905745</v>
      </c>
      <c r="F37" s="971">
        <f t="shared" ref="F37:F38" si="69">AVERAGE(C37:E37)</f>
        <v>1.7523850000000001</v>
      </c>
      <c r="G37" s="971">
        <f t="shared" si="68"/>
        <v>2.0283933333333333</v>
      </c>
      <c r="H37" s="971">
        <f t="shared" si="68"/>
        <v>1.8955077777777778</v>
      </c>
      <c r="I37" s="971">
        <f t="shared" si="68"/>
        <v>1.8920953703703702</v>
      </c>
      <c r="J37" s="668"/>
      <c r="K37" s="669" t="s">
        <v>1447</v>
      </c>
      <c r="L37" s="855"/>
      <c r="M37" s="855"/>
      <c r="N37" s="855"/>
      <c r="O37" s="855"/>
      <c r="P37" s="855"/>
      <c r="Q37" s="855"/>
      <c r="R37" s="855"/>
      <c r="U37" s="753" t="s">
        <v>1444</v>
      </c>
      <c r="V37" s="683">
        <f>'BS (Yearly)'!D13/100</f>
        <v>2031.3565042</v>
      </c>
      <c r="W37" s="683">
        <f>V40</f>
        <v>1960.9197675999999</v>
      </c>
      <c r="X37" s="684">
        <f t="shared" ref="X37:AB37" si="70">W40</f>
        <v>1920.7692996000001</v>
      </c>
      <c r="Y37" s="683">
        <f t="shared" si="70"/>
        <v>2223.3244102999997</v>
      </c>
      <c r="Z37" s="683">
        <f t="shared" si="70"/>
        <v>2288.3184765969122</v>
      </c>
      <c r="AA37" s="683">
        <f t="shared" si="70"/>
        <v>2348.9877487942163</v>
      </c>
      <c r="AB37" s="684">
        <f t="shared" si="70"/>
        <v>2405.9075207279361</v>
      </c>
    </row>
    <row r="38" spans="2:34" ht="17.55" customHeight="1">
      <c r="B38" s="881" t="s">
        <v>1755</v>
      </c>
      <c r="C38" s="971">
        <f>('CFS (Yearly)'!E19+'CFS (Yearly)'!E20)/100</f>
        <v>-8.2396756</v>
      </c>
      <c r="D38" s="971">
        <f>('CFS (Yearly)'!F19+'CFS (Yearly)'!F20)/100</f>
        <v>-1.7820948000000001</v>
      </c>
      <c r="E38" s="971">
        <f>('CFS (Yearly)'!G19+'CFS (Yearly)'!G20)/100</f>
        <v>-4.9578651999999996</v>
      </c>
      <c r="F38" s="971">
        <f t="shared" si="69"/>
        <v>-4.9932118666666661</v>
      </c>
      <c r="G38" s="971">
        <f t="shared" si="68"/>
        <v>-3.9110572888888888</v>
      </c>
      <c r="H38" s="971">
        <f t="shared" si="68"/>
        <v>-4.6207114518518519</v>
      </c>
      <c r="I38" s="971">
        <f t="shared" si="68"/>
        <v>-4.5083268691358027</v>
      </c>
      <c r="J38" s="668"/>
      <c r="K38" s="670" t="s">
        <v>1449</v>
      </c>
      <c r="L38" s="850"/>
      <c r="M38" s="850"/>
      <c r="N38" s="850"/>
      <c r="O38" s="850"/>
      <c r="P38" s="850"/>
      <c r="Q38" s="850"/>
      <c r="R38" s="850"/>
      <c r="U38" s="753" t="s">
        <v>1446</v>
      </c>
      <c r="V38" s="683">
        <v>-15.167999999999999</v>
      </c>
      <c r="W38" s="683">
        <v>-42.073</v>
      </c>
      <c r="X38" s="684">
        <v>-44.695</v>
      </c>
      <c r="Y38" s="683">
        <f>X38*(1+$AC$38)</f>
        <v>-47.480403703087489</v>
      </c>
      <c r="Z38" s="683">
        <f t="shared" ref="Z38:AB38" si="71">Y38*(1+$AC$38)</f>
        <v>-50.439394469362661</v>
      </c>
      <c r="AA38" s="683">
        <f t="shared" si="71"/>
        <v>-53.582790288502466</v>
      </c>
      <c r="AB38" s="684">
        <f t="shared" si="71"/>
        <v>-56.922083330036308</v>
      </c>
      <c r="AC38" s="678">
        <f>X38/W38-1</f>
        <v>6.2320252893779848E-2</v>
      </c>
    </row>
    <row r="39" spans="2:34" ht="17.55" customHeight="1">
      <c r="B39" s="882" t="s">
        <v>1687</v>
      </c>
      <c r="C39" s="972">
        <f>(C32-SUM(C33:C38))</f>
        <v>379.27556370000002</v>
      </c>
      <c r="D39" s="972">
        <f t="shared" ref="D39:E39" si="72">(D32-SUM(D33:D38))</f>
        <v>266.49860269999988</v>
      </c>
      <c r="E39" s="972">
        <f t="shared" si="72"/>
        <v>171.88502740000001</v>
      </c>
      <c r="F39" s="972">
        <f t="shared" ref="F39" si="73">AVERAGE(C39:E39)</f>
        <v>272.55306459999997</v>
      </c>
      <c r="G39" s="972">
        <f t="shared" ref="G39" si="74">AVERAGE(D39:F39)</f>
        <v>236.9788982333333</v>
      </c>
      <c r="H39" s="972">
        <f t="shared" ref="H39" si="75">AVERAGE(E39:G39)</f>
        <v>227.13899674444443</v>
      </c>
      <c r="I39" s="972">
        <f t="shared" ref="I39" si="76">AVERAGE(F39:H39)</f>
        <v>245.55698652592591</v>
      </c>
      <c r="J39" s="668"/>
      <c r="K39" s="670" t="s">
        <v>1452</v>
      </c>
      <c r="L39" s="856"/>
      <c r="M39" s="856"/>
      <c r="N39" s="856"/>
      <c r="O39" s="856"/>
      <c r="P39" s="856"/>
      <c r="Q39" s="856"/>
      <c r="R39" s="856"/>
      <c r="U39" s="753" t="s">
        <v>1448</v>
      </c>
      <c r="V39" s="683">
        <f>('비용 세부항목 추정'!D62+'비용 세부항목 추정'!D75)/100</f>
        <v>105.56364000000002</v>
      </c>
      <c r="W39" s="683">
        <f>('비용 세부항목 추정'!E62+'비용 세부항목 추정'!E75)/100</f>
        <v>105.94863000000001</v>
      </c>
      <c r="X39" s="684">
        <f>('비용 세부항목 추정'!F62+'비용 세부항목 추정'!F75)/100</f>
        <v>60.578960000000009</v>
      </c>
      <c r="Y39" s="683">
        <f>('비용 세부항목 추정'!G62+'비용 세부항목 추정'!G75)/100</f>
        <v>112.47447</v>
      </c>
      <c r="Z39" s="683">
        <f>('비용 세부항목 추정'!H62+'비용 세부항목 추정'!H75)/100</f>
        <v>111.10866666666666</v>
      </c>
      <c r="AA39" s="683">
        <f>('비용 세부항목 추정'!I62+'비용 세부항목 추정'!I75)/100</f>
        <v>110.50256222222222</v>
      </c>
      <c r="AB39" s="684">
        <f>('비용 세부항목 추정'!J62+'비용 세부항목 추정'!J75)/100</f>
        <v>111.36189962962962</v>
      </c>
    </row>
    <row r="40" spans="2:34" ht="17.55" customHeight="1">
      <c r="B40" s="670" t="s">
        <v>1471</v>
      </c>
      <c r="C40" s="971">
        <f>('CFS (Yearly)'!E22)/100</f>
        <v>-251.8373464</v>
      </c>
      <c r="D40" s="971">
        <f>('CFS (Yearly)'!F22)/100</f>
        <v>-150.02307339999999</v>
      </c>
      <c r="E40" s="971">
        <f>('CFS (Yearly)'!G22)/100</f>
        <v>-2.1158982000000002</v>
      </c>
      <c r="F40" s="971">
        <f>SUM(F41:F43)</f>
        <v>-21.817993897030874</v>
      </c>
      <c r="G40" s="971">
        <f t="shared" ref="G40:I40" si="77">SUM(G41:G43)</f>
        <v>5.5436384633063733</v>
      </c>
      <c r="H40" s="971">
        <f t="shared" si="77"/>
        <v>-5.3064435475516918</v>
      </c>
      <c r="I40" s="971">
        <f t="shared" si="77"/>
        <v>1.4088548011440813</v>
      </c>
      <c r="J40" s="668"/>
      <c r="K40" s="670" t="s">
        <v>1453</v>
      </c>
      <c r="L40" s="856"/>
      <c r="M40" s="856"/>
      <c r="N40" s="856"/>
      <c r="O40" s="856"/>
      <c r="P40" s="856"/>
      <c r="Q40" s="856"/>
      <c r="R40" s="856"/>
      <c r="U40" s="753" t="s">
        <v>1451</v>
      </c>
      <c r="V40" s="683">
        <f>L12</f>
        <v>1960.9197675999999</v>
      </c>
      <c r="W40" s="683">
        <f t="shared" ref="W40:X40" si="78">M12</f>
        <v>1920.7692996000001</v>
      </c>
      <c r="X40" s="684">
        <f t="shared" si="78"/>
        <v>2223.3244102999997</v>
      </c>
      <c r="Y40" s="683">
        <f>Y37+Y38+Y39</f>
        <v>2288.3184765969122</v>
      </c>
      <c r="Z40" s="683">
        <f t="shared" ref="Z40:AB40" si="79">Z37+Z38+Z39</f>
        <v>2348.9877487942163</v>
      </c>
      <c r="AA40" s="683">
        <f t="shared" si="79"/>
        <v>2405.9075207279361</v>
      </c>
      <c r="AB40" s="684">
        <f t="shared" si="79"/>
        <v>2460.3473370275292</v>
      </c>
    </row>
    <row r="41" spans="2:34" ht="17.55" customHeight="1">
      <c r="B41" s="670" t="s">
        <v>1472</v>
      </c>
      <c r="C41" s="971">
        <f t="shared" ref="C41:I41" si="80">(V38)/100</f>
        <v>-0.15167999999999998</v>
      </c>
      <c r="D41" s="971">
        <f t="shared" si="80"/>
        <v>-0.42072999999999999</v>
      </c>
      <c r="E41" s="971">
        <f t="shared" si="80"/>
        <v>-0.44695000000000001</v>
      </c>
      <c r="F41" s="971">
        <f t="shared" si="80"/>
        <v>-0.47480403703087487</v>
      </c>
      <c r="G41" s="971">
        <f t="shared" si="80"/>
        <v>-0.50439394469362664</v>
      </c>
      <c r="H41" s="971">
        <f t="shared" si="80"/>
        <v>-0.53582790288502469</v>
      </c>
      <c r="I41" s="971">
        <f t="shared" si="80"/>
        <v>-0.5692208333003631</v>
      </c>
      <c r="J41" s="668"/>
      <c r="K41" s="670" t="s">
        <v>1454</v>
      </c>
      <c r="L41" s="856"/>
      <c r="M41" s="856"/>
      <c r="N41" s="856"/>
      <c r="O41" s="856"/>
      <c r="P41" s="856"/>
      <c r="Q41" s="856"/>
      <c r="R41" s="856"/>
      <c r="U41" s="709" t="s">
        <v>1442</v>
      </c>
      <c r="V41" s="685">
        <f>V40-V37+V39</f>
        <v>35.12690339999989</v>
      </c>
      <c r="W41" s="685">
        <f>W40-W37+W39</f>
        <v>65.79816200000019</v>
      </c>
      <c r="X41" s="686">
        <f t="shared" ref="X41:AB41" si="81">X40-X37+X39</f>
        <v>363.13407069999965</v>
      </c>
      <c r="Y41" s="685">
        <f t="shared" si="81"/>
        <v>177.46853629691248</v>
      </c>
      <c r="Z41" s="685">
        <f t="shared" si="81"/>
        <v>171.77793886397072</v>
      </c>
      <c r="AA41" s="685">
        <f t="shared" si="81"/>
        <v>167.42233415594208</v>
      </c>
      <c r="AB41" s="686">
        <f t="shared" si="81"/>
        <v>165.80171592922269</v>
      </c>
    </row>
    <row r="42" spans="2:34" ht="17.55" customHeight="1" thickBot="1">
      <c r="B42" s="670" t="s">
        <v>1756</v>
      </c>
      <c r="C42" s="971">
        <v>0</v>
      </c>
      <c r="D42" s="971">
        <v>-5</v>
      </c>
      <c r="E42" s="971">
        <v>14</v>
      </c>
      <c r="F42" s="971">
        <v>-20</v>
      </c>
      <c r="G42" s="971">
        <v>7</v>
      </c>
      <c r="H42" s="971">
        <v>-4</v>
      </c>
      <c r="I42" s="971">
        <v>3</v>
      </c>
      <c r="J42" s="668"/>
      <c r="K42" s="669" t="s">
        <v>1456</v>
      </c>
      <c r="L42" s="857"/>
      <c r="M42" s="857"/>
      <c r="N42" s="857"/>
      <c r="O42" s="857"/>
      <c r="P42" s="857"/>
      <c r="Q42" s="857"/>
      <c r="R42" s="857"/>
      <c r="U42" s="710" t="s">
        <v>1426</v>
      </c>
      <c r="V42" s="703"/>
      <c r="W42" s="703"/>
      <c r="X42" s="707"/>
      <c r="Y42" s="703"/>
      <c r="Z42" s="703"/>
      <c r="AA42" s="703"/>
      <c r="AB42" s="707"/>
    </row>
    <row r="43" spans="2:34" ht="17.55" customHeight="1">
      <c r="B43" s="673" t="s">
        <v>6</v>
      </c>
      <c r="C43" s="972">
        <f>(C40-C41)/100</f>
        <v>-2.5168566640000001</v>
      </c>
      <c r="D43" s="972">
        <f>(D40-D41)/100</f>
        <v>-1.496023434</v>
      </c>
      <c r="E43" s="972">
        <f>(E40-E41)/100</f>
        <v>-1.6689482000000002E-2</v>
      </c>
      <c r="F43" s="972">
        <f>AVERAGE(C43:E43)</f>
        <v>-1.3431898600000001</v>
      </c>
      <c r="G43" s="972">
        <f t="shared" ref="G43:I43" si="82">AVERAGE(D43:F43)</f>
        <v>-0.95196759200000003</v>
      </c>
      <c r="H43" s="972">
        <f t="shared" si="82"/>
        <v>-0.77061564466666665</v>
      </c>
      <c r="I43" s="972">
        <f t="shared" si="82"/>
        <v>-1.0219243655555557</v>
      </c>
      <c r="J43" s="668"/>
      <c r="K43" s="698" t="s">
        <v>1458</v>
      </c>
      <c r="L43" s="858"/>
      <c r="M43" s="858"/>
      <c r="N43" s="859"/>
      <c r="O43" s="850"/>
      <c r="P43" s="850"/>
      <c r="Q43" s="850"/>
      <c r="R43" s="850"/>
      <c r="U43" s="756" t="s">
        <v>1455</v>
      </c>
      <c r="V43" s="697">
        <f t="shared" ref="V43:W43" si="83">V41/C6</f>
        <v>1.0638161994763935E-2</v>
      </c>
      <c r="W43" s="697">
        <f t="shared" si="83"/>
        <v>1.7909173578126353E-2</v>
      </c>
      <c r="X43" s="885">
        <f>X41/E6</f>
        <v>8.9720101513817582E-2</v>
      </c>
      <c r="Y43" s="697">
        <f t="shared" ref="Y43" si="84">Y41/F6</f>
        <v>2.1693825469866476E-2</v>
      </c>
      <c r="Z43" s="697">
        <f t="shared" ref="Z43:AA43" si="85">Z41/G6</f>
        <v>1.6275735971466219E-2</v>
      </c>
      <c r="AA43" s="697">
        <f t="shared" si="85"/>
        <v>1.4925157489436973E-2</v>
      </c>
      <c r="AB43" s="885">
        <f t="shared" ref="AB43" si="86">AB41/I6</f>
        <v>1.3533255686928786E-2</v>
      </c>
    </row>
    <row r="44" spans="2:34" ht="17.55" customHeight="1">
      <c r="B44" s="670" t="s">
        <v>1473</v>
      </c>
      <c r="C44" s="971">
        <f>('CFS (Yearly)'!E32)/100</f>
        <v>225.42513920000002</v>
      </c>
      <c r="D44" s="971">
        <f>('CFS (Yearly)'!F32)/100</f>
        <v>-386.95886580000001</v>
      </c>
      <c r="E44" s="971">
        <f>('CFS (Yearly)'!G32)/100</f>
        <v>-366.17071049999998</v>
      </c>
      <c r="F44" s="971">
        <v>-97</v>
      </c>
      <c r="G44" s="971">
        <f>AVERAGE(D44:F44)</f>
        <v>-283.37652543333337</v>
      </c>
      <c r="H44" s="971">
        <f t="shared" ref="H44:I44" si="87">AVERAGE(E44:G44)</f>
        <v>-248.84907864444446</v>
      </c>
      <c r="I44" s="971">
        <f t="shared" si="87"/>
        <v>-209.74186802592592</v>
      </c>
      <c r="J44" s="668"/>
      <c r="K44" s="698" t="s">
        <v>1460</v>
      </c>
      <c r="L44" s="858"/>
      <c r="M44" s="858"/>
      <c r="N44" s="859"/>
      <c r="O44" s="850"/>
      <c r="P44" s="850"/>
      <c r="Q44" s="850"/>
      <c r="R44" s="850"/>
      <c r="U44" s="756" t="s">
        <v>1457</v>
      </c>
      <c r="V44" s="697">
        <f>-V38/C6</f>
        <v>4.5936198616522471E-3</v>
      </c>
      <c r="W44" s="697">
        <f t="shared" ref="W44:AB44" si="88">-W38/D6</f>
        <v>1.1451576108653428E-2</v>
      </c>
      <c r="X44" s="885">
        <f t="shared" si="88"/>
        <v>1.104286339596303E-2</v>
      </c>
      <c r="Y44" s="697">
        <f t="shared" si="88"/>
        <v>5.8040237028286236E-3</v>
      </c>
      <c r="Z44" s="697">
        <f t="shared" si="88"/>
        <v>4.7790669300909073E-3</v>
      </c>
      <c r="AA44" s="697">
        <f t="shared" si="88"/>
        <v>4.7767317772220274E-3</v>
      </c>
      <c r="AB44" s="885">
        <f t="shared" si="88"/>
        <v>4.6461588387112394E-3</v>
      </c>
    </row>
    <row r="45" spans="2:34" ht="17.55" customHeight="1" thickBot="1">
      <c r="B45" s="670" t="s">
        <v>1474</v>
      </c>
      <c r="C45" s="971"/>
      <c r="D45" s="971"/>
      <c r="E45" s="971"/>
      <c r="F45" s="971"/>
      <c r="G45" s="971"/>
      <c r="H45" s="971"/>
      <c r="I45" s="971"/>
      <c r="J45" s="668"/>
      <c r="K45" s="700" t="s">
        <v>1462</v>
      </c>
      <c r="L45" s="860"/>
      <c r="M45" s="860"/>
      <c r="N45" s="861"/>
      <c r="O45" s="862"/>
      <c r="P45" s="862"/>
      <c r="Q45" s="862"/>
      <c r="R45" s="862"/>
      <c r="U45" s="756" t="s">
        <v>1459</v>
      </c>
      <c r="V45" s="697">
        <f>V39/C6</f>
        <v>3.1969886166423246E-2</v>
      </c>
      <c r="W45" s="697">
        <f t="shared" ref="W45:AB45" si="89">W39/D6</f>
        <v>2.8837468211265226E-2</v>
      </c>
      <c r="X45" s="885">
        <f t="shared" si="89"/>
        <v>1.4967338179874898E-2</v>
      </c>
      <c r="Y45" s="697">
        <f t="shared" si="89"/>
        <v>1.3748924586347553E-2</v>
      </c>
      <c r="Z45" s="697">
        <f t="shared" si="89"/>
        <v>1.0527401450778561E-2</v>
      </c>
      <c r="AA45" s="697">
        <f t="shared" si="89"/>
        <v>9.8509446333294969E-3</v>
      </c>
      <c r="AB45" s="885">
        <f t="shared" si="89"/>
        <v>9.0897072628200234E-3</v>
      </c>
    </row>
    <row r="46" spans="2:34" ht="17.55" customHeight="1">
      <c r="B46" s="670" t="s">
        <v>1475</v>
      </c>
      <c r="C46" s="971"/>
      <c r="D46" s="971"/>
      <c r="E46" s="971"/>
      <c r="F46" s="971"/>
      <c r="G46" s="971"/>
      <c r="H46" s="971"/>
      <c r="I46" s="971"/>
      <c r="J46" s="668"/>
      <c r="K46" s="698" t="s">
        <v>1463</v>
      </c>
      <c r="L46" s="859"/>
      <c r="M46" s="859"/>
      <c r="N46" s="859"/>
      <c r="O46" s="850"/>
      <c r="P46" s="850"/>
      <c r="Q46" s="850"/>
      <c r="R46" s="850"/>
      <c r="U46" s="757" t="s">
        <v>1461</v>
      </c>
      <c r="V46" s="699">
        <f>-V38/V39</f>
        <v>0.14368583728260978</v>
      </c>
      <c r="W46" s="699">
        <f t="shared" ref="W46:AB46" si="90">-W38/W39</f>
        <v>0.39710754164541812</v>
      </c>
      <c r="X46" s="886">
        <f t="shared" si="90"/>
        <v>0.7377974134914167</v>
      </c>
      <c r="Y46" s="699">
        <f t="shared" si="90"/>
        <v>0.42214383142314421</v>
      </c>
      <c r="Z46" s="699">
        <f t="shared" si="90"/>
        <v>0.45396453744408771</v>
      </c>
      <c r="AA46" s="699">
        <f t="shared" si="90"/>
        <v>0.48490088565319156</v>
      </c>
      <c r="AB46" s="886">
        <f t="shared" si="90"/>
        <v>0.51114504619038736</v>
      </c>
    </row>
    <row r="47" spans="2:34" ht="17.55" customHeight="1">
      <c r="B47" s="670" t="s">
        <v>1476</v>
      </c>
      <c r="C47" s="971"/>
      <c r="D47" s="971"/>
      <c r="E47" s="971"/>
      <c r="F47" s="971"/>
      <c r="G47" s="971"/>
      <c r="H47" s="971"/>
      <c r="I47" s="971"/>
      <c r="J47" s="668"/>
      <c r="K47" s="823" t="s">
        <v>1464</v>
      </c>
      <c r="L47" s="984">
        <f t="shared" ref="L47:R47" si="91">C19/L24</f>
        <v>-0.38752231564804329</v>
      </c>
      <c r="M47" s="984">
        <f t="shared" si="91"/>
        <v>0.10148671900065813</v>
      </c>
      <c r="N47" s="984">
        <f t="shared" si="91"/>
        <v>0.16831258737128355</v>
      </c>
      <c r="O47" s="984">
        <f t="shared" si="91"/>
        <v>0.22105949908693096</v>
      </c>
      <c r="P47" s="984">
        <f t="shared" si="91"/>
        <v>0.34233026348300072</v>
      </c>
      <c r="Q47" s="984">
        <f t="shared" si="91"/>
        <v>0.24342671944563724</v>
      </c>
      <c r="R47" s="984">
        <f t="shared" si="91"/>
        <v>0.18899199850866225</v>
      </c>
    </row>
    <row r="48" spans="2:34" ht="17.55" customHeight="1" thickBot="1">
      <c r="B48" s="670" t="s">
        <v>1477</v>
      </c>
      <c r="C48" s="971"/>
      <c r="D48" s="971"/>
      <c r="E48" s="971"/>
      <c r="F48" s="971"/>
      <c r="G48" s="971"/>
      <c r="H48" s="971"/>
      <c r="I48" s="971"/>
      <c r="J48" s="668"/>
      <c r="K48" s="700" t="s">
        <v>1465</v>
      </c>
      <c r="L48" s="985"/>
      <c r="M48" s="863"/>
      <c r="N48" s="863"/>
      <c r="O48" s="854"/>
      <c r="P48" s="854"/>
      <c r="Q48" s="854"/>
      <c r="R48" s="854"/>
      <c r="U48" s="692" t="s">
        <v>1441</v>
      </c>
    </row>
    <row r="49" spans="2:22" ht="17.55" customHeight="1">
      <c r="B49" s="670" t="s">
        <v>1478</v>
      </c>
      <c r="C49" s="971"/>
      <c r="D49" s="971"/>
      <c r="E49" s="971"/>
      <c r="F49" s="971"/>
      <c r="G49" s="971"/>
      <c r="H49" s="971"/>
      <c r="I49" s="971"/>
      <c r="J49" s="668"/>
      <c r="K49" s="698" t="s">
        <v>1466</v>
      </c>
      <c r="L49" s="859"/>
      <c r="M49" s="859"/>
      <c r="N49" s="859"/>
      <c r="O49" s="850"/>
      <c r="P49" s="850"/>
      <c r="Q49" s="850"/>
      <c r="R49" s="850"/>
      <c r="U49" s="693">
        <v>30944375</v>
      </c>
      <c r="V49" s="679"/>
    </row>
    <row r="50" spans="2:22" ht="17.55" customHeight="1">
      <c r="B50" s="670" t="s">
        <v>1479</v>
      </c>
      <c r="C50" s="971"/>
      <c r="D50" s="971"/>
      <c r="E50" s="971"/>
      <c r="F50" s="971"/>
      <c r="G50" s="971"/>
      <c r="H50" s="971"/>
      <c r="I50" s="971"/>
      <c r="J50" s="668"/>
      <c r="K50" s="698" t="s">
        <v>1467</v>
      </c>
      <c r="L50" s="859"/>
      <c r="M50" s="859"/>
      <c r="N50" s="859"/>
      <c r="O50" s="850"/>
      <c r="P50" s="850"/>
      <c r="Q50" s="850"/>
      <c r="R50" s="850"/>
      <c r="U50" s="692" t="s">
        <v>1541</v>
      </c>
    </row>
    <row r="51" spans="2:22" ht="17.55" customHeight="1">
      <c r="B51" s="670" t="s">
        <v>1480</v>
      </c>
      <c r="C51" s="971">
        <f>('CFS (Yearly)'!E46)/100</f>
        <v>110.24894560000001</v>
      </c>
      <c r="D51" s="971">
        <f>('CFS (Yearly)'!F46)/100</f>
        <v>236.03234430000001</v>
      </c>
      <c r="E51" s="971">
        <f>('CFS (Yearly)'!G46)/100</f>
        <v>138.7246581</v>
      </c>
      <c r="F51" s="971">
        <f>E53</f>
        <v>176.08030720000005</v>
      </c>
      <c r="G51" s="971">
        <f t="shared" ref="G51:I51" si="92">F53</f>
        <v>348.66451086114313</v>
      </c>
      <c r="H51" s="971">
        <f t="shared" si="92"/>
        <v>744.30945008817002</v>
      </c>
      <c r="I51" s="971">
        <f t="shared" si="92"/>
        <v>1112.9010322058994</v>
      </c>
      <c r="J51" s="668"/>
      <c r="K51" s="698" t="s">
        <v>1468</v>
      </c>
      <c r="L51" s="859"/>
      <c r="M51" s="859"/>
      <c r="N51" s="859"/>
      <c r="O51" s="850"/>
      <c r="P51" s="850"/>
      <c r="Q51" s="850"/>
      <c r="R51" s="850"/>
      <c r="U51" s="694" t="e">
        <f>U53*10^4-M7-#REF!-M10</f>
        <v>#REF!</v>
      </c>
      <c r="V51" s="817"/>
    </row>
    <row r="52" spans="2:22" ht="17.55" customHeight="1" thickBot="1">
      <c r="B52" s="670" t="s">
        <v>1481</v>
      </c>
      <c r="C52" s="971">
        <v>0</v>
      </c>
      <c r="D52" s="971"/>
      <c r="E52" s="971">
        <f>(17608-17007)/100</f>
        <v>6.01</v>
      </c>
      <c r="F52" s="971"/>
      <c r="G52" s="971"/>
      <c r="H52" s="971"/>
      <c r="I52" s="971"/>
      <c r="J52" s="668"/>
      <c r="K52" s="700" t="s">
        <v>1469</v>
      </c>
      <c r="L52" s="863"/>
      <c r="M52" s="863"/>
      <c r="N52" s="863"/>
      <c r="O52" s="854"/>
      <c r="P52" s="854"/>
      <c r="Q52" s="854"/>
      <c r="R52" s="854"/>
      <c r="U52" s="695" t="s">
        <v>1450</v>
      </c>
      <c r="V52" s="818"/>
    </row>
    <row r="53" spans="2:22" ht="17.55" customHeight="1">
      <c r="B53" s="673" t="s">
        <v>1482</v>
      </c>
      <c r="C53" s="972">
        <f>('CFS (Yearly)'!E47)/100</f>
        <v>236.03234430000001</v>
      </c>
      <c r="D53" s="972">
        <f>(D51+D32+D40+D44+D52)</f>
        <v>136.20264429999997</v>
      </c>
      <c r="E53" s="972">
        <f t="shared" ref="E53:I53" si="93">(E51+E32+E40+E44+E52)</f>
        <v>176.08030720000005</v>
      </c>
      <c r="F53" s="972">
        <f t="shared" si="93"/>
        <v>348.66451086114313</v>
      </c>
      <c r="G53" s="972">
        <f t="shared" si="93"/>
        <v>744.30945008817002</v>
      </c>
      <c r="H53" s="972">
        <f t="shared" si="93"/>
        <v>1112.9010322058994</v>
      </c>
      <c r="I53" s="972">
        <f t="shared" si="93"/>
        <v>1649.148400252385</v>
      </c>
      <c r="J53" s="668"/>
      <c r="K53" s="670"/>
      <c r="L53" s="850"/>
      <c r="M53" s="850"/>
      <c r="N53" s="850"/>
      <c r="O53" s="850"/>
      <c r="U53" s="696"/>
      <c r="V53" s="819"/>
    </row>
    <row r="54" spans="2:22" ht="17.55" customHeight="1">
      <c r="J54" s="668"/>
    </row>
    <row r="55" spans="2:22" ht="17.55" customHeight="1">
      <c r="J55" s="668"/>
    </row>
    <row r="56" spans="2:22" ht="17.55" customHeight="1">
      <c r="J56" s="670"/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E40F-1DA4-4552-AC09-746BE3A404F2}">
  <sheetPr>
    <tabColor theme="2" tint="-9.9978637043366805E-2"/>
  </sheetPr>
  <dimension ref="A1:Z64"/>
  <sheetViews>
    <sheetView zoomScale="85" zoomScaleNormal="85" workbookViewId="0">
      <selection activeCell="D19" sqref="D19"/>
    </sheetView>
  </sheetViews>
  <sheetFormatPr defaultRowHeight="15"/>
  <cols>
    <col min="1" max="1" width="2.5" style="6" bestFit="1" customWidth="1"/>
    <col min="2" max="2" width="25.69921875" style="6" customWidth="1"/>
    <col min="3" max="18" width="10.69921875" style="900" customWidth="1"/>
    <col min="19" max="19" width="1.69921875" style="6" customWidth="1"/>
    <col min="20" max="24" width="10.69921875" style="6" customWidth="1"/>
    <col min="25" max="25" width="1.69921875" style="6" customWidth="1"/>
    <col min="26" max="26" width="100.796875" style="6" customWidth="1"/>
    <col min="27" max="16384" width="8.796875" style="6"/>
  </cols>
  <sheetData>
    <row r="1" spans="1:26" s="197" customFormat="1" ht="16.8">
      <c r="B1" s="198" t="s">
        <v>1777</v>
      </c>
    </row>
    <row r="2" spans="1:26" s="197" customFormat="1" ht="22.8" thickBot="1">
      <c r="B2" s="199" t="s">
        <v>54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26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4" spans="1:26" ht="15.6" thickBot="1"/>
    <row r="5" spans="1:26" s="581" customFormat="1">
      <c r="B5" s="918" t="s">
        <v>1689</v>
      </c>
      <c r="C5" s="919" t="s">
        <v>1784</v>
      </c>
      <c r="D5" s="920"/>
      <c r="E5" s="920"/>
      <c r="F5" s="920"/>
      <c r="G5" s="920"/>
      <c r="H5" s="920"/>
      <c r="I5" s="920"/>
      <c r="J5" s="920"/>
      <c r="K5" s="920"/>
      <c r="L5" s="920"/>
      <c r="M5" s="920"/>
      <c r="N5" s="920"/>
      <c r="O5" s="920"/>
      <c r="P5" s="920"/>
      <c r="Q5" s="920"/>
      <c r="R5" s="920"/>
      <c r="X5" s="911" t="s">
        <v>1702</v>
      </c>
    </row>
    <row r="6" spans="1:26" ht="15.6" thickBot="1">
      <c r="B6" s="84" t="s">
        <v>1690</v>
      </c>
      <c r="C6" s="923">
        <f>IF(C5="Bull",1, IF(C5="Base",2,3))</f>
        <v>3</v>
      </c>
      <c r="X6" s="892">
        <f>RATE(5,0,-T9,X9)</f>
        <v>8.7942476534483602E-2</v>
      </c>
    </row>
    <row r="7" spans="1:26" s="118" customFormat="1">
      <c r="C7" s="901" t="e">
        <f>2000+RIGHT(C8,2)</f>
        <v>#VALUE!</v>
      </c>
      <c r="D7" s="901">
        <f t="shared" ref="D7:R7" si="0">2000+RIGHT(D8,2)</f>
        <v>2025</v>
      </c>
      <c r="E7" s="901">
        <f t="shared" si="0"/>
        <v>2025</v>
      </c>
      <c r="F7" s="901">
        <f t="shared" si="0"/>
        <v>2025</v>
      </c>
      <c r="G7" s="901">
        <f t="shared" si="0"/>
        <v>2026</v>
      </c>
      <c r="H7" s="901">
        <f t="shared" si="0"/>
        <v>2026</v>
      </c>
      <c r="I7" s="901">
        <f t="shared" si="0"/>
        <v>2026</v>
      </c>
      <c r="J7" s="901">
        <f t="shared" si="0"/>
        <v>2026</v>
      </c>
      <c r="K7" s="901">
        <f t="shared" si="0"/>
        <v>2027</v>
      </c>
      <c r="L7" s="901">
        <f t="shared" si="0"/>
        <v>2027</v>
      </c>
      <c r="M7" s="901">
        <f t="shared" si="0"/>
        <v>2027</v>
      </c>
      <c r="N7" s="901">
        <f t="shared" si="0"/>
        <v>2027</v>
      </c>
      <c r="O7" s="901">
        <f t="shared" si="0"/>
        <v>2028</v>
      </c>
      <c r="P7" s="901">
        <f t="shared" si="0"/>
        <v>2028</v>
      </c>
      <c r="Q7" s="901">
        <f t="shared" si="0"/>
        <v>2028</v>
      </c>
      <c r="R7" s="901">
        <f t="shared" si="0"/>
        <v>2028</v>
      </c>
    </row>
    <row r="8" spans="1:26" s="581" customFormat="1">
      <c r="A8" s="581" t="s">
        <v>1691</v>
      </c>
      <c r="B8" s="908" t="s">
        <v>7</v>
      </c>
      <c r="C8" s="909" t="s">
        <v>1697</v>
      </c>
      <c r="D8" s="921" t="s">
        <v>1161</v>
      </c>
      <c r="E8" s="921" t="s">
        <v>990</v>
      </c>
      <c r="F8" s="922" t="s">
        <v>982</v>
      </c>
      <c r="G8" s="921" t="s">
        <v>953</v>
      </c>
      <c r="H8" s="921" t="s">
        <v>939</v>
      </c>
      <c r="I8" s="921" t="s">
        <v>954</v>
      </c>
      <c r="J8" s="922" t="s">
        <v>940</v>
      </c>
      <c r="K8" s="921" t="s">
        <v>943</v>
      </c>
      <c r="L8" s="921" t="s">
        <v>944</v>
      </c>
      <c r="M8" s="921" t="s">
        <v>941</v>
      </c>
      <c r="N8" s="922" t="s">
        <v>942</v>
      </c>
      <c r="O8" s="921" t="s">
        <v>945</v>
      </c>
      <c r="P8" s="921" t="s">
        <v>946</v>
      </c>
      <c r="Q8" s="921" t="s">
        <v>955</v>
      </c>
      <c r="R8" s="921" t="s">
        <v>949</v>
      </c>
      <c r="T8" s="927" t="s">
        <v>1692</v>
      </c>
      <c r="U8" s="910" t="s">
        <v>1693</v>
      </c>
      <c r="V8" s="910" t="s">
        <v>1349</v>
      </c>
      <c r="W8" s="910" t="s">
        <v>1347</v>
      </c>
      <c r="X8" s="910" t="s">
        <v>1348</v>
      </c>
      <c r="Z8" s="946" t="s">
        <v>1703</v>
      </c>
    </row>
    <row r="9" spans="1:26" s="581" customFormat="1">
      <c r="B9" s="947" t="str">
        <f>B2</f>
        <v>HRSG</v>
      </c>
      <c r="C9" s="912">
        <v>98656</v>
      </c>
      <c r="D9" s="912">
        <f>SUM(D11:D12)</f>
        <v>96056.026225670532</v>
      </c>
      <c r="E9" s="912">
        <f t="shared" ref="E9:R9" si="1">SUM(E11:E12)</f>
        <v>115943.97199577749</v>
      </c>
      <c r="F9" s="926">
        <f t="shared" si="1"/>
        <v>165429.13074046245</v>
      </c>
      <c r="G9" s="912">
        <f t="shared" si="1"/>
        <v>187247.69442778701</v>
      </c>
      <c r="H9" s="912">
        <f t="shared" si="1"/>
        <v>189821.45350967924</v>
      </c>
      <c r="I9" s="912">
        <f t="shared" si="1"/>
        <v>181562.56284179125</v>
      </c>
      <c r="J9" s="926">
        <f t="shared" si="1"/>
        <v>170725.02702499222</v>
      </c>
      <c r="K9" s="912">
        <f t="shared" si="1"/>
        <v>156018.90946200729</v>
      </c>
      <c r="L9" s="912">
        <f t="shared" si="1"/>
        <v>137436.42648548217</v>
      </c>
      <c r="M9" s="912">
        <f t="shared" si="1"/>
        <v>131618.70638522593</v>
      </c>
      <c r="N9" s="926">
        <f t="shared" si="1"/>
        <v>119952.89551047885</v>
      </c>
      <c r="O9" s="912">
        <f t="shared" si="1"/>
        <v>121063.80576588954</v>
      </c>
      <c r="P9" s="912">
        <f t="shared" si="1"/>
        <v>110554.68674266148</v>
      </c>
      <c r="Q9" s="912">
        <f t="shared" si="1"/>
        <v>95447.146388564521</v>
      </c>
      <c r="R9" s="912">
        <f t="shared" si="1"/>
        <v>67712.327042271005</v>
      </c>
      <c r="T9" s="912">
        <v>259014</v>
      </c>
      <c r="U9" s="912">
        <f>SUMIF($C$7:$R$7,U$8,$C9:$R9)</f>
        <v>377429.12896191049</v>
      </c>
      <c r="V9" s="912">
        <f t="shared" ref="V9:X9" si="2">SUMIF($C$7:$R$7,V$8,$C9:$R9)</f>
        <v>729356.73780424986</v>
      </c>
      <c r="W9" s="912">
        <f t="shared" si="2"/>
        <v>545026.93784319423</v>
      </c>
      <c r="X9" s="912">
        <f t="shared" si="2"/>
        <v>394777.96593938651</v>
      </c>
      <c r="Z9" s="943"/>
    </row>
    <row r="10" spans="1:26" s="66" customFormat="1">
      <c r="B10" s="807" t="s">
        <v>1785</v>
      </c>
      <c r="C10" s="814"/>
      <c r="D10" s="808">
        <f t="shared" ref="D10:R10" si="3">D9/C9-1</f>
        <v>-2.6353934624649966E-2</v>
      </c>
      <c r="E10" s="808">
        <f t="shared" si="3"/>
        <v>0.20704526880367657</v>
      </c>
      <c r="F10" s="809">
        <f t="shared" si="3"/>
        <v>0.42680234162140951</v>
      </c>
      <c r="G10" s="808">
        <f t="shared" si="3"/>
        <v>0.13189069899397077</v>
      </c>
      <c r="H10" s="808">
        <f t="shared" si="3"/>
        <v>1.3745211067924812E-2</v>
      </c>
      <c r="I10" s="808">
        <f t="shared" si="3"/>
        <v>-4.3508731574784076E-2</v>
      </c>
      <c r="J10" s="809">
        <f t="shared" si="3"/>
        <v>-5.9690365938723677E-2</v>
      </c>
      <c r="K10" s="808">
        <f t="shared" si="3"/>
        <v>-8.6139201845504054E-2</v>
      </c>
      <c r="L10" s="808">
        <f t="shared" si="3"/>
        <v>-0.11910404348166659</v>
      </c>
      <c r="M10" s="808">
        <f t="shared" si="3"/>
        <v>-4.2330263155312631E-2</v>
      </c>
      <c r="N10" s="809">
        <f t="shared" si="3"/>
        <v>-8.8633380430006681E-2</v>
      </c>
      <c r="O10" s="808">
        <f t="shared" si="3"/>
        <v>9.2612208374214244E-3</v>
      </c>
      <c r="P10" s="808">
        <f t="shared" si="3"/>
        <v>-8.6806448523106594E-2</v>
      </c>
      <c r="Q10" s="808">
        <f t="shared" si="3"/>
        <v>-0.13665219267694029</v>
      </c>
      <c r="R10" s="808">
        <f t="shared" si="3"/>
        <v>-0.29057777414722596</v>
      </c>
      <c r="T10" s="808"/>
      <c r="U10" s="808">
        <f>U9/T9-1</f>
        <v>0.45717655787683475</v>
      </c>
      <c r="V10" s="808">
        <f>V9/U9-1</f>
        <v>0.93243361955207038</v>
      </c>
      <c r="W10" s="808">
        <f>W9/V9-1</f>
        <v>-0.25272927554763669</v>
      </c>
      <c r="X10" s="808">
        <f>X9/W9-1</f>
        <v>-0.27567256124693562</v>
      </c>
      <c r="Z10" s="944"/>
    </row>
    <row r="11" spans="1:26">
      <c r="B11" s="215" t="s">
        <v>524</v>
      </c>
      <c r="C11" s="900">
        <f>C18+CHOOSE($C$6,C24,C25,C26)</f>
        <v>25988.065846719997</v>
      </c>
      <c r="D11" s="900">
        <f t="shared" ref="D11:R11" si="4">D18+CHOOSE($C$6,D24,D25,D26)</f>
        <v>37613.773312719997</v>
      </c>
      <c r="E11" s="900">
        <f t="shared" si="4"/>
        <v>40607.890278719991</v>
      </c>
      <c r="F11" s="902">
        <f t="shared" si="4"/>
        <v>43661.828566400007</v>
      </c>
      <c r="G11" s="900">
        <f t="shared" si="4"/>
        <v>38769.6822072</v>
      </c>
      <c r="H11" s="900">
        <f t="shared" si="4"/>
        <v>37030.114460879995</v>
      </c>
      <c r="I11" s="900">
        <f t="shared" si="4"/>
        <v>37083.918999999994</v>
      </c>
      <c r="J11" s="902">
        <f t="shared" si="4"/>
        <v>30799.406499999997</v>
      </c>
      <c r="K11" s="900">
        <f t="shared" si="4"/>
        <v>34768.835000000006</v>
      </c>
      <c r="L11" s="900">
        <f t="shared" si="4"/>
        <v>30080.897499999999</v>
      </c>
      <c r="M11" s="900">
        <f t="shared" si="4"/>
        <v>29233.25499999999</v>
      </c>
      <c r="N11" s="902">
        <f t="shared" si="4"/>
        <v>26685.905000000002</v>
      </c>
      <c r="O11" s="900">
        <f t="shared" si="4"/>
        <v>17261.425000000003</v>
      </c>
      <c r="P11" s="900">
        <f t="shared" si="4"/>
        <v>5716.9625000000033</v>
      </c>
      <c r="Q11" s="900">
        <f t="shared" si="4"/>
        <v>4782.25</v>
      </c>
      <c r="R11" s="900">
        <f t="shared" si="4"/>
        <v>5760.4374999999982</v>
      </c>
      <c r="T11" s="900">
        <v>150052</v>
      </c>
      <c r="U11" s="900">
        <f>SUMIF($C$7:$R$7,U$8,$C11:$R11)</f>
        <v>121883.49215784</v>
      </c>
      <c r="V11" s="900">
        <f t="shared" ref="V11:X11" si="5">SUMIF($C$7:$R$7,V$8,$C11:$R11)</f>
        <v>143683.12216808001</v>
      </c>
      <c r="W11" s="900">
        <f t="shared" si="5"/>
        <v>120768.89249999999</v>
      </c>
      <c r="X11" s="900">
        <f t="shared" si="5"/>
        <v>33521.075000000004</v>
      </c>
      <c r="Z11" s="934"/>
    </row>
    <row r="12" spans="1:26">
      <c r="B12" s="215" t="s">
        <v>1563</v>
      </c>
      <c r="C12" s="900">
        <f t="shared" ref="C12" si="6">SUM(C13:C16)</f>
        <v>72667.934153280003</v>
      </c>
      <c r="D12" s="900">
        <f t="shared" ref="D12" si="7">SUM(D13:D16)</f>
        <v>58442.252912950527</v>
      </c>
      <c r="E12" s="900">
        <f t="shared" ref="E12" si="8">SUM(E13:E16)</f>
        <v>75336.081717057503</v>
      </c>
      <c r="F12" s="902">
        <f t="shared" ref="F12" si="9">SUM(F13:F16)</f>
        <v>121767.30217406245</v>
      </c>
      <c r="G12" s="900">
        <f t="shared" ref="G12" si="10">SUM(G13:G16)</f>
        <v>148478.012220587</v>
      </c>
      <c r="H12" s="900">
        <f t="shared" ref="H12" si="11">SUM(H13:H16)</f>
        <v>152791.33904879924</v>
      </c>
      <c r="I12" s="900">
        <f t="shared" ref="I12" si="12">SUM(I13:I16)</f>
        <v>144478.64384179126</v>
      </c>
      <c r="J12" s="902">
        <f t="shared" ref="J12" si="13">SUM(J13:J16)</f>
        <v>139925.62052499224</v>
      </c>
      <c r="K12" s="900">
        <f t="shared" ref="K12" si="14">SUM(K13:K16)</f>
        <v>121250.07446200729</v>
      </c>
      <c r="L12" s="900">
        <f t="shared" ref="L12" si="15">SUM(L13:L16)</f>
        <v>107355.52898548217</v>
      </c>
      <c r="M12" s="900">
        <f t="shared" ref="M12" si="16">SUM(M13:M16)</f>
        <v>102385.45138522594</v>
      </c>
      <c r="N12" s="902">
        <f t="shared" ref="N12" si="17">SUM(N13:N16)</f>
        <v>93266.990510478849</v>
      </c>
      <c r="O12" s="900">
        <f t="shared" ref="O12" si="18">SUM(O13:O16)</f>
        <v>103802.38076588954</v>
      </c>
      <c r="P12" s="900">
        <f t="shared" ref="P12" si="19">SUM(P13:P16)</f>
        <v>104837.72424266147</v>
      </c>
      <c r="Q12" s="900">
        <f t="shared" ref="Q12" si="20">SUM(Q13:Q16)</f>
        <v>90664.896388564521</v>
      </c>
      <c r="R12" s="900">
        <f t="shared" ref="R12" si="21">SUM(R13:R16)</f>
        <v>61951.889542271005</v>
      </c>
      <c r="T12" s="900">
        <v>108962</v>
      </c>
      <c r="U12" s="900">
        <f t="shared" ref="U12:X26" si="22">SUMIF($C$7:$R$7,U$8,$C12:$R12)</f>
        <v>255545.6368040705</v>
      </c>
      <c r="V12" s="900">
        <f t="shared" si="22"/>
        <v>585673.61563616968</v>
      </c>
      <c r="W12" s="900">
        <f t="shared" si="22"/>
        <v>424258.04534319427</v>
      </c>
      <c r="X12" s="900">
        <f t="shared" si="22"/>
        <v>361256.89093938656</v>
      </c>
      <c r="Z12" s="934"/>
    </row>
    <row r="13" spans="1:26">
      <c r="B13" s="638" t="s">
        <v>528</v>
      </c>
      <c r="C13" s="900">
        <f>C19+CHOOSE($C$6,C28,C29,C30)</f>
        <v>17797.934928579998</v>
      </c>
      <c r="D13" s="900">
        <f t="shared" ref="D13:R13" si="23">D19+CHOOSE($C$6,D28,D29,D30)</f>
        <v>41884.666118754001</v>
      </c>
      <c r="E13" s="900">
        <f t="shared" si="23"/>
        <v>60273.327870344001</v>
      </c>
      <c r="F13" s="902">
        <f t="shared" si="23"/>
        <v>102556.19464486599</v>
      </c>
      <c r="G13" s="900">
        <f t="shared" si="23"/>
        <v>123821.25633009199</v>
      </c>
      <c r="H13" s="900">
        <f t="shared" si="23"/>
        <v>127978.79789168801</v>
      </c>
      <c r="I13" s="900">
        <f t="shared" si="23"/>
        <v>117366.075310288</v>
      </c>
      <c r="J13" s="902">
        <f t="shared" si="23"/>
        <v>111708.81396289998</v>
      </c>
      <c r="K13" s="900">
        <f t="shared" si="23"/>
        <v>90530.962994389542</v>
      </c>
      <c r="L13" s="900">
        <f t="shared" si="23"/>
        <v>77107.983730324428</v>
      </c>
      <c r="M13" s="900">
        <f t="shared" si="23"/>
        <v>71525.668627532214</v>
      </c>
      <c r="N13" s="902">
        <f t="shared" si="23"/>
        <v>65749.766115649079</v>
      </c>
      <c r="O13" s="900">
        <f t="shared" si="23"/>
        <v>83859.700949947801</v>
      </c>
      <c r="P13" s="900">
        <f t="shared" si="23"/>
        <v>84612.946781765961</v>
      </c>
      <c r="Q13" s="900">
        <f t="shared" si="23"/>
        <v>72293.378394805026</v>
      </c>
      <c r="R13" s="900">
        <f t="shared" si="23"/>
        <v>41201.86825</v>
      </c>
      <c r="T13" s="900"/>
      <c r="U13" s="900">
        <f t="shared" si="22"/>
        <v>204714.18863396399</v>
      </c>
      <c r="V13" s="900">
        <f t="shared" si="22"/>
        <v>480874.94349496794</v>
      </c>
      <c r="W13" s="900">
        <f t="shared" si="22"/>
        <v>304914.38146789523</v>
      </c>
      <c r="X13" s="900">
        <f t="shared" si="22"/>
        <v>281967.89437651879</v>
      </c>
      <c r="Z13" s="934"/>
    </row>
    <row r="14" spans="1:26">
      <c r="B14" s="638" t="s">
        <v>676</v>
      </c>
      <c r="C14" s="900">
        <f>C20+CHOOSE($C$6,C32,C33,C34)</f>
        <v>9049.9245957577496</v>
      </c>
      <c r="D14" s="900">
        <f t="shared" ref="D14:R14" si="24">D20+CHOOSE($C$6,D32,D33,D34)</f>
        <v>9635.1719487215014</v>
      </c>
      <c r="E14" s="900">
        <f t="shared" si="24"/>
        <v>11107.851346713502</v>
      </c>
      <c r="F14" s="902">
        <f t="shared" si="24"/>
        <v>15256.205029196502</v>
      </c>
      <c r="G14" s="900">
        <f t="shared" si="24"/>
        <v>24656.755890495006</v>
      </c>
      <c r="H14" s="900">
        <f t="shared" si="24"/>
        <v>24812.541157111249</v>
      </c>
      <c r="I14" s="900">
        <f t="shared" si="24"/>
        <v>27112.56853150325</v>
      </c>
      <c r="J14" s="902">
        <f t="shared" si="24"/>
        <v>28216.806562092243</v>
      </c>
      <c r="K14" s="900">
        <f t="shared" si="24"/>
        <v>30719.111467617749</v>
      </c>
      <c r="L14" s="900">
        <f t="shared" si="24"/>
        <v>30247.545255157747</v>
      </c>
      <c r="M14" s="900">
        <f t="shared" si="24"/>
        <v>30859.782757693727</v>
      </c>
      <c r="N14" s="902">
        <f t="shared" si="24"/>
        <v>27517.224394829762</v>
      </c>
      <c r="O14" s="900">
        <f t="shared" si="24"/>
        <v>19942.679815941745</v>
      </c>
      <c r="P14" s="900">
        <f t="shared" si="24"/>
        <v>20224.777460895504</v>
      </c>
      <c r="Q14" s="900">
        <f t="shared" si="24"/>
        <v>18371.517993759498</v>
      </c>
      <c r="R14" s="900">
        <f t="shared" si="24"/>
        <v>20750.021292271009</v>
      </c>
      <c r="T14" s="900"/>
      <c r="U14" s="900">
        <f t="shared" si="22"/>
        <v>35999.228324631506</v>
      </c>
      <c r="V14" s="900">
        <f t="shared" si="22"/>
        <v>104798.67214120175</v>
      </c>
      <c r="W14" s="900">
        <f t="shared" si="22"/>
        <v>119343.66387529898</v>
      </c>
      <c r="X14" s="900">
        <f t="shared" si="22"/>
        <v>79288.996562867746</v>
      </c>
      <c r="Z14" s="934"/>
    </row>
    <row r="15" spans="1:26">
      <c r="B15" s="638" t="s">
        <v>927</v>
      </c>
      <c r="C15" s="900">
        <f>CHOOSE($C$6,C36,C37,C38)</f>
        <v>0</v>
      </c>
      <c r="D15" s="900">
        <f t="shared" ref="D15:R15" si="25">CHOOSE($C$6,D36,D37,D38)</f>
        <v>0</v>
      </c>
      <c r="E15" s="900">
        <f t="shared" si="25"/>
        <v>0</v>
      </c>
      <c r="F15" s="902">
        <f t="shared" si="25"/>
        <v>0</v>
      </c>
      <c r="G15" s="900">
        <f t="shared" si="25"/>
        <v>0</v>
      </c>
      <c r="H15" s="900">
        <f t="shared" si="25"/>
        <v>0</v>
      </c>
      <c r="I15" s="900">
        <f t="shared" si="25"/>
        <v>0</v>
      </c>
      <c r="J15" s="902">
        <f t="shared" si="25"/>
        <v>0</v>
      </c>
      <c r="K15" s="900">
        <f t="shared" si="25"/>
        <v>0</v>
      </c>
      <c r="L15" s="900">
        <f t="shared" si="25"/>
        <v>0</v>
      </c>
      <c r="M15" s="900">
        <f t="shared" si="25"/>
        <v>0</v>
      </c>
      <c r="N15" s="902">
        <f t="shared" si="25"/>
        <v>0</v>
      </c>
      <c r="O15" s="900">
        <f t="shared" si="25"/>
        <v>0</v>
      </c>
      <c r="P15" s="900">
        <f t="shared" si="25"/>
        <v>0</v>
      </c>
      <c r="Q15" s="900">
        <f t="shared" si="25"/>
        <v>0</v>
      </c>
      <c r="R15" s="900">
        <f t="shared" si="25"/>
        <v>0</v>
      </c>
      <c r="T15" s="900"/>
      <c r="U15" s="900">
        <f t="shared" si="22"/>
        <v>0</v>
      </c>
      <c r="V15" s="900">
        <f t="shared" si="22"/>
        <v>0</v>
      </c>
      <c r="W15" s="900">
        <f t="shared" si="22"/>
        <v>0</v>
      </c>
      <c r="X15" s="900">
        <f t="shared" si="22"/>
        <v>0</v>
      </c>
      <c r="Z15" s="934"/>
    </row>
    <row r="16" spans="1:26">
      <c r="B16" s="717" t="s">
        <v>6</v>
      </c>
      <c r="C16" s="900">
        <f>C21</f>
        <v>45820.074628942253</v>
      </c>
      <c r="D16" s="900">
        <f t="shared" ref="D16:R16" si="26">D21</f>
        <v>6922.4148454750248</v>
      </c>
      <c r="E16" s="900">
        <f t="shared" si="26"/>
        <v>3954.9024999999965</v>
      </c>
      <c r="F16" s="902">
        <f t="shared" si="26"/>
        <v>3954.9024999999674</v>
      </c>
      <c r="G16" s="900">
        <f t="shared" si="26"/>
        <v>0</v>
      </c>
      <c r="H16" s="900">
        <f t="shared" si="26"/>
        <v>0</v>
      </c>
      <c r="I16" s="900">
        <f t="shared" si="26"/>
        <v>0</v>
      </c>
      <c r="J16" s="902">
        <f t="shared" si="26"/>
        <v>0</v>
      </c>
      <c r="K16" s="900">
        <f t="shared" si="26"/>
        <v>0</v>
      </c>
      <c r="L16" s="900">
        <f t="shared" si="26"/>
        <v>0</v>
      </c>
      <c r="M16" s="900">
        <f t="shared" si="26"/>
        <v>0</v>
      </c>
      <c r="N16" s="902">
        <f t="shared" si="26"/>
        <v>0</v>
      </c>
      <c r="O16" s="900">
        <f t="shared" si="26"/>
        <v>0</v>
      </c>
      <c r="P16" s="900">
        <f t="shared" si="26"/>
        <v>0</v>
      </c>
      <c r="Q16" s="900">
        <f t="shared" si="26"/>
        <v>0</v>
      </c>
      <c r="R16" s="900">
        <f t="shared" si="26"/>
        <v>0</v>
      </c>
      <c r="T16" s="903"/>
      <c r="U16" s="903">
        <f t="shared" si="22"/>
        <v>14832.219845474989</v>
      </c>
      <c r="V16" s="903">
        <f t="shared" si="22"/>
        <v>0</v>
      </c>
      <c r="W16" s="903">
        <f t="shared" si="22"/>
        <v>0</v>
      </c>
      <c r="X16" s="903">
        <f t="shared" si="22"/>
        <v>0</v>
      </c>
      <c r="Z16" s="945"/>
    </row>
    <row r="17" spans="1:26" s="913" customFormat="1">
      <c r="A17" s="913" t="s">
        <v>423</v>
      </c>
      <c r="B17" s="914" t="s">
        <v>1695</v>
      </c>
      <c r="C17" s="915">
        <f>'기존수주 매출'!AF26</f>
        <v>59758.340216532742</v>
      </c>
      <c r="D17" s="915">
        <f>'기존수주 매출'!AG26</f>
        <v>96056.026225670517</v>
      </c>
      <c r="E17" s="915">
        <f>'기존수주 매출'!AH26</f>
        <v>115943.97199577749</v>
      </c>
      <c r="F17" s="924">
        <f>'기존수주 매출'!AI26</f>
        <v>165429.13074046248</v>
      </c>
      <c r="G17" s="915">
        <f>'기존수주 매출'!AJ26</f>
        <v>187247.69442778698</v>
      </c>
      <c r="H17" s="915">
        <f>'기존수주 매출'!AK26</f>
        <v>187886.81600967926</v>
      </c>
      <c r="I17" s="915">
        <f>'기존수주 매출'!AL26</f>
        <v>177693.28784179126</v>
      </c>
      <c r="J17" s="924">
        <f>'기존수주 매출'!AM26</f>
        <v>163834.23952499227</v>
      </c>
      <c r="K17" s="915">
        <f>'기존수주 매출'!AN26</f>
        <v>139242.21242761775</v>
      </c>
      <c r="L17" s="915">
        <f>'기존수주 매출'!AO26</f>
        <v>91585.306055157736</v>
      </c>
      <c r="M17" s="915">
        <f>'기존수주 매출'!AP26</f>
        <v>63149.492757693719</v>
      </c>
      <c r="N17" s="924">
        <f>'기존수주 매출'!AQ26</f>
        <v>45116.854394829759</v>
      </c>
      <c r="O17" s="915">
        <f>'기존수주 매출'!AR26</f>
        <v>30552.429815941745</v>
      </c>
      <c r="P17" s="915">
        <f>'기존수주 매출'!AS26</f>
        <v>20224.777460895504</v>
      </c>
      <c r="Q17" s="915">
        <f>'기존수주 매출'!AT26</f>
        <v>18371.517993759498</v>
      </c>
      <c r="R17" s="915">
        <f>'기존수주 매출'!AU26</f>
        <v>20750.021292271009</v>
      </c>
      <c r="T17" s="914" t="s">
        <v>1695</v>
      </c>
      <c r="U17" s="1016"/>
      <c r="V17" s="1016"/>
      <c r="W17" s="1016"/>
      <c r="X17" s="1016"/>
      <c r="Z17" s="941" t="s">
        <v>1585</v>
      </c>
    </row>
    <row r="18" spans="1:26">
      <c r="B18" s="905" t="s">
        <v>430</v>
      </c>
      <c r="C18" s="900">
        <f>'기존수주 매출'!AF27</f>
        <v>25988.065846719997</v>
      </c>
      <c r="D18" s="900">
        <f>'기존수주 매출'!AG27</f>
        <v>37613.773312719997</v>
      </c>
      <c r="E18" s="900">
        <f>'기존수주 매출'!AH27</f>
        <v>40607.890278719991</v>
      </c>
      <c r="F18" s="902">
        <f>'기존수주 매출'!AI27</f>
        <v>43661.828566400007</v>
      </c>
      <c r="G18" s="900">
        <f>'기존수주 매출'!AJ27</f>
        <v>38769.6822072</v>
      </c>
      <c r="H18" s="900">
        <f>'기존수주 매출'!AK27</f>
        <v>35095.476960879998</v>
      </c>
      <c r="I18" s="900">
        <f>'기존수주 매출'!AL27</f>
        <v>33214.643999999993</v>
      </c>
      <c r="J18" s="902">
        <f>'기존수주 매출'!AM27</f>
        <v>23908.618999999999</v>
      </c>
      <c r="K18" s="900">
        <f>'기존수주 매출'!AN27</f>
        <v>24856.535000000003</v>
      </c>
      <c r="L18" s="900">
        <f>'기존수주 매출'!AO27</f>
        <v>19364.310000000001</v>
      </c>
      <c r="M18" s="900">
        <f>'기존수주 매출'!AP27</f>
        <v>17712.379999999994</v>
      </c>
      <c r="N18" s="902">
        <f>'기존수주 매출'!AQ27</f>
        <v>17599.630000000005</v>
      </c>
      <c r="O18" s="900">
        <f>'기존수주 매출'!AR27</f>
        <v>10609.750000000002</v>
      </c>
      <c r="P18" s="900">
        <f>'기존수주 매출'!AS27</f>
        <v>0</v>
      </c>
      <c r="Q18" s="900">
        <f>'기존수주 매출'!AT27</f>
        <v>0</v>
      </c>
      <c r="R18" s="900">
        <f>'기존수주 매출'!AU27</f>
        <v>0</v>
      </c>
      <c r="T18" s="905" t="s">
        <v>430</v>
      </c>
      <c r="U18" s="900">
        <f t="shared" si="22"/>
        <v>121883.49215784</v>
      </c>
      <c r="V18" s="900">
        <f t="shared" si="22"/>
        <v>130988.42216808</v>
      </c>
      <c r="W18" s="900">
        <f t="shared" si="22"/>
        <v>79532.854999999996</v>
      </c>
      <c r="X18" s="900">
        <f t="shared" si="22"/>
        <v>10609.750000000002</v>
      </c>
      <c r="Z18" s="935" t="s">
        <v>1581</v>
      </c>
    </row>
    <row r="19" spans="1:26">
      <c r="B19" s="905" t="s">
        <v>427</v>
      </c>
      <c r="C19" s="900">
        <f>'기존수주 매출'!AF28</f>
        <v>17797.934928579998</v>
      </c>
      <c r="D19" s="900">
        <f>'기존수주 매출'!AG28</f>
        <v>41884.666118754001</v>
      </c>
      <c r="E19" s="900">
        <f>'기존수주 매출'!AH28</f>
        <v>60273.327870344001</v>
      </c>
      <c r="F19" s="902">
        <f>'기존수주 매출'!AI28</f>
        <v>102556.19464486599</v>
      </c>
      <c r="G19" s="900">
        <f>'기존수주 매출'!AJ28</f>
        <v>123821.25633009199</v>
      </c>
      <c r="H19" s="900">
        <f>'기존수주 매출'!AK28</f>
        <v>127978.79789168801</v>
      </c>
      <c r="I19" s="900">
        <f>'기존수주 매출'!AL28</f>
        <v>117366.075310288</v>
      </c>
      <c r="J19" s="902">
        <f>'기존수주 매출'!AM28</f>
        <v>111708.81396289998</v>
      </c>
      <c r="K19" s="900">
        <f>'기존수주 매출'!AN28</f>
        <v>83666.565959999993</v>
      </c>
      <c r="L19" s="900">
        <f>'기존수주 매출'!AO28</f>
        <v>41973.450799999984</v>
      </c>
      <c r="M19" s="900">
        <f>'기존수주 매출'!AP28</f>
        <v>14577.329999999996</v>
      </c>
      <c r="N19" s="902">
        <f>'기존수주 매출'!AQ28</f>
        <v>0</v>
      </c>
      <c r="O19" s="900">
        <f>'기존수주 매출'!AR28</f>
        <v>0</v>
      </c>
      <c r="P19" s="900">
        <f>'기존수주 매출'!AS28</f>
        <v>0</v>
      </c>
      <c r="Q19" s="900">
        <f>'기존수주 매출'!AT28</f>
        <v>0</v>
      </c>
      <c r="R19" s="900">
        <f>'기존수주 매출'!AU28</f>
        <v>0</v>
      </c>
      <c r="T19" s="905" t="s">
        <v>427</v>
      </c>
      <c r="U19" s="900">
        <f t="shared" si="22"/>
        <v>204714.18863396399</v>
      </c>
      <c r="V19" s="900">
        <f t="shared" si="22"/>
        <v>480874.94349496794</v>
      </c>
      <c r="W19" s="900">
        <f t="shared" si="22"/>
        <v>140217.34675999996</v>
      </c>
      <c r="X19" s="900">
        <f t="shared" si="22"/>
        <v>0</v>
      </c>
      <c r="Z19" s="935" t="s">
        <v>1583</v>
      </c>
    </row>
    <row r="20" spans="1:26">
      <c r="B20" s="905" t="s">
        <v>428</v>
      </c>
      <c r="C20" s="900">
        <f>'기존수주 매출'!AF29</f>
        <v>9049.9245957577496</v>
      </c>
      <c r="D20" s="900">
        <f>'기존수주 매출'!AG29</f>
        <v>9635.1719487215014</v>
      </c>
      <c r="E20" s="900">
        <f>'기존수주 매출'!AH29</f>
        <v>11107.851346713502</v>
      </c>
      <c r="F20" s="902">
        <f>'기존수주 매출'!AI29</f>
        <v>15256.205029196502</v>
      </c>
      <c r="G20" s="900">
        <f>'기존수주 매출'!AJ29</f>
        <v>24656.755890495006</v>
      </c>
      <c r="H20" s="900">
        <f>'기존수주 매출'!AK29</f>
        <v>24812.541157111249</v>
      </c>
      <c r="I20" s="900">
        <f>'기존수주 매출'!AL29</f>
        <v>27112.56853150325</v>
      </c>
      <c r="J20" s="902">
        <f>'기존수주 매출'!AM29</f>
        <v>28216.806562092243</v>
      </c>
      <c r="K20" s="900">
        <f>'기존수주 매출'!AN29</f>
        <v>30719.111467617749</v>
      </c>
      <c r="L20" s="900">
        <f>'기존수주 매출'!AO29</f>
        <v>30247.545255157747</v>
      </c>
      <c r="M20" s="900">
        <f>'기존수주 매출'!AP29</f>
        <v>30859.782757693727</v>
      </c>
      <c r="N20" s="902">
        <f>'기존수주 매출'!AQ29</f>
        <v>27517.224394829762</v>
      </c>
      <c r="O20" s="900">
        <f>'기존수주 매출'!AR29</f>
        <v>19942.679815941745</v>
      </c>
      <c r="P20" s="900">
        <f>'기존수주 매출'!AS29</f>
        <v>20224.777460895504</v>
      </c>
      <c r="Q20" s="900">
        <f>'기존수주 매출'!AT29</f>
        <v>18371.517993759498</v>
      </c>
      <c r="R20" s="900">
        <f>'기존수주 매출'!AU29</f>
        <v>20750.021292271009</v>
      </c>
      <c r="T20" s="905" t="s">
        <v>428</v>
      </c>
      <c r="U20" s="900">
        <f t="shared" si="22"/>
        <v>35999.228324631506</v>
      </c>
      <c r="V20" s="900">
        <f t="shared" si="22"/>
        <v>104798.67214120175</v>
      </c>
      <c r="W20" s="900">
        <f t="shared" si="22"/>
        <v>119343.66387529898</v>
      </c>
      <c r="X20" s="900">
        <f t="shared" si="22"/>
        <v>79288.996562867746</v>
      </c>
      <c r="Z20" s="936" t="s">
        <v>1582</v>
      </c>
    </row>
    <row r="21" spans="1:26">
      <c r="B21" s="905" t="s">
        <v>4</v>
      </c>
      <c r="C21" s="900">
        <f>'기존수주 매출'!AF30+C9-C17</f>
        <v>45820.074628942253</v>
      </c>
      <c r="D21" s="900">
        <f>'기존수주 매출'!AG30</f>
        <v>6922.4148454750248</v>
      </c>
      <c r="E21" s="900">
        <f>'기존수주 매출'!AH30</f>
        <v>3954.9024999999965</v>
      </c>
      <c r="F21" s="902">
        <f>'기존수주 매출'!AI30</f>
        <v>3954.9024999999674</v>
      </c>
      <c r="G21" s="900">
        <f>'기존수주 매출'!AJ30</f>
        <v>0</v>
      </c>
      <c r="H21" s="900">
        <f>'기존수주 매출'!AK30</f>
        <v>0</v>
      </c>
      <c r="I21" s="900">
        <f>'기존수주 매출'!AL30</f>
        <v>0</v>
      </c>
      <c r="J21" s="902">
        <f>'기존수주 매출'!AM30</f>
        <v>0</v>
      </c>
      <c r="K21" s="900">
        <f>'기존수주 매출'!AN30</f>
        <v>0</v>
      </c>
      <c r="L21" s="900">
        <f>'기존수주 매출'!AO30</f>
        <v>0</v>
      </c>
      <c r="M21" s="900">
        <f>'기존수주 매출'!AP30</f>
        <v>0</v>
      </c>
      <c r="N21" s="902">
        <f>'기존수주 매출'!AQ30</f>
        <v>0</v>
      </c>
      <c r="O21" s="900">
        <f>'기존수주 매출'!AR30</f>
        <v>0</v>
      </c>
      <c r="P21" s="900">
        <f>'기존수주 매출'!AS30</f>
        <v>0</v>
      </c>
      <c r="Q21" s="900">
        <f>'기존수주 매출'!AT30</f>
        <v>0</v>
      </c>
      <c r="R21" s="900">
        <f>'기존수주 매출'!AU30</f>
        <v>0</v>
      </c>
      <c r="T21" s="1017" t="s">
        <v>4</v>
      </c>
      <c r="U21" s="903">
        <f t="shared" si="22"/>
        <v>14832.219845474989</v>
      </c>
      <c r="V21" s="903">
        <f t="shared" si="22"/>
        <v>0</v>
      </c>
      <c r="W21" s="903">
        <f t="shared" si="22"/>
        <v>0</v>
      </c>
      <c r="X21" s="903">
        <f t="shared" si="22"/>
        <v>0</v>
      </c>
      <c r="Z21" s="942" t="s">
        <v>1584</v>
      </c>
    </row>
    <row r="22" spans="1:26" s="913" customFormat="1">
      <c r="A22" s="913" t="s">
        <v>423</v>
      </c>
      <c r="B22" s="916" t="s">
        <v>1711</v>
      </c>
      <c r="C22" s="917"/>
      <c r="D22" s="917"/>
      <c r="E22" s="917"/>
      <c r="F22" s="925"/>
      <c r="G22" s="917"/>
      <c r="H22" s="917"/>
      <c r="I22" s="917"/>
      <c r="J22" s="925"/>
      <c r="K22" s="917"/>
      <c r="L22" s="917"/>
      <c r="M22" s="917"/>
      <c r="N22" s="925"/>
      <c r="O22" s="917"/>
      <c r="P22" s="917"/>
      <c r="Q22" s="917"/>
      <c r="R22" s="917"/>
      <c r="T22" s="914" t="s">
        <v>1711</v>
      </c>
      <c r="U22" s="1016"/>
      <c r="V22" s="1016"/>
      <c r="W22" s="1016"/>
      <c r="X22" s="1016"/>
      <c r="Z22" s="940" t="s">
        <v>1699</v>
      </c>
    </row>
    <row r="23" spans="1:26" s="581" customFormat="1">
      <c r="B23" s="931" t="s">
        <v>430</v>
      </c>
      <c r="C23" s="932"/>
      <c r="D23" s="932"/>
      <c r="E23" s="932"/>
      <c r="F23" s="933"/>
      <c r="G23" s="932"/>
      <c r="H23" s="932"/>
      <c r="I23" s="932"/>
      <c r="J23" s="933"/>
      <c r="K23" s="932"/>
      <c r="L23" s="932"/>
      <c r="M23" s="932"/>
      <c r="N23" s="933"/>
      <c r="O23" s="932"/>
      <c r="P23" s="932"/>
      <c r="Q23" s="932"/>
      <c r="R23" s="932"/>
      <c r="T23" s="931" t="s">
        <v>430</v>
      </c>
      <c r="U23" s="932"/>
      <c r="V23" s="932"/>
      <c r="W23" s="932"/>
      <c r="X23" s="932"/>
      <c r="Z23" s="937" t="s">
        <v>430</v>
      </c>
    </row>
    <row r="24" spans="1:26">
      <c r="B24" s="906" t="s">
        <v>675</v>
      </c>
      <c r="C24" s="900">
        <f>'HRSG 수주 시나리오'!P23</f>
        <v>0</v>
      </c>
      <c r="D24" s="900">
        <f>'HRSG 수주 시나리오'!Q23</f>
        <v>0</v>
      </c>
      <c r="E24" s="900">
        <f>'HRSG 수주 시나리오'!R23</f>
        <v>0</v>
      </c>
      <c r="F24" s="902">
        <f>'HRSG 수주 시나리오'!S23</f>
        <v>0</v>
      </c>
      <c r="G24" s="900">
        <f>'HRSG 수주 시나리오'!T23</f>
        <v>2855.6484375</v>
      </c>
      <c r="H24" s="900">
        <f>'HRSG 수주 시나리오'!U23</f>
        <v>4790.2859374999998</v>
      </c>
      <c r="I24" s="900">
        <f>'HRSG 수주 시나리오'!V23</f>
        <v>11184.868750000001</v>
      </c>
      <c r="J24" s="902">
        <f>'HRSG 수주 시나리오'!W23</f>
        <v>14206.381249999999</v>
      </c>
      <c r="K24" s="900">
        <f>'HRSG 수주 시나리오'!X23</f>
        <v>18415.073437499999</v>
      </c>
      <c r="L24" s="900">
        <f>'HRSG 수주 시나리오'!Y23</f>
        <v>21153.998437499995</v>
      </c>
      <c r="M24" s="900">
        <f>'HRSG 수주 시나리오'!Z23</f>
        <v>23803.991294642856</v>
      </c>
      <c r="N24" s="902">
        <f>'HRSG 수주 시나리오'!AA23</f>
        <v>24526.887053571427</v>
      </c>
      <c r="O24" s="900">
        <f>'HRSG 수주 시나리오'!AB23</f>
        <v>20712.591741071432</v>
      </c>
      <c r="P24" s="900">
        <f>'HRSG 수주 시나리오'!AC23</f>
        <v>25042.112053571429</v>
      </c>
      <c r="Q24" s="900">
        <f>'HRSG 수주 시나리오'!AD23</f>
        <v>29798.833705357145</v>
      </c>
      <c r="R24" s="900">
        <f>'HRSG 수주 시나리오'!AE23</f>
        <v>29529.600892857139</v>
      </c>
      <c r="T24" s="906" t="s">
        <v>675</v>
      </c>
      <c r="U24" s="900">
        <f t="shared" si="22"/>
        <v>0</v>
      </c>
      <c r="V24" s="900">
        <f t="shared" si="22"/>
        <v>33037.184374999997</v>
      </c>
      <c r="W24" s="900">
        <f t="shared" si="22"/>
        <v>87899.950223214269</v>
      </c>
      <c r="X24" s="900">
        <f t="shared" si="22"/>
        <v>105083.13839285714</v>
      </c>
      <c r="Z24" s="935" t="s">
        <v>1734</v>
      </c>
    </row>
    <row r="25" spans="1:26">
      <c r="B25" s="906" t="s">
        <v>674</v>
      </c>
      <c r="C25" s="900">
        <f>'HRSG 수주 시나리오'!P24</f>
        <v>0</v>
      </c>
      <c r="D25" s="900">
        <f>'HRSG 수주 시나리오'!Q24</f>
        <v>0</v>
      </c>
      <c r="E25" s="900">
        <f>'HRSG 수주 시나리오'!R24</f>
        <v>0</v>
      </c>
      <c r="F25" s="902">
        <f>'HRSG 수주 시나리오'!S24</f>
        <v>0</v>
      </c>
      <c r="G25" s="900">
        <f>'HRSG 수주 시나리오'!T24</f>
        <v>0</v>
      </c>
      <c r="H25" s="900">
        <f>'HRSG 수주 시나리오'!U24</f>
        <v>1934.6374999999998</v>
      </c>
      <c r="I25" s="900">
        <f>'HRSG 수주 시나리오'!V24</f>
        <v>3869.2749999999996</v>
      </c>
      <c r="J25" s="902">
        <f>'HRSG 수주 시나리오'!W24</f>
        <v>6890.7875000000004</v>
      </c>
      <c r="K25" s="900">
        <f>'HRSG 수주 시나리오'!X24</f>
        <v>9912.2999999999993</v>
      </c>
      <c r="L25" s="900">
        <f>'HRSG 수주 시나리오'!Y24</f>
        <v>12651.224999999999</v>
      </c>
      <c r="M25" s="900">
        <f>'HRSG 수주 시나리오'!Z24</f>
        <v>18894.842857142856</v>
      </c>
      <c r="N25" s="902">
        <f>'HRSG 수주 시나리오'!AA24</f>
        <v>16762.090178571427</v>
      </c>
      <c r="O25" s="900">
        <f>'HRSG 수주 시나리오'!AB24</f>
        <v>14327.49017857143</v>
      </c>
      <c r="P25" s="900">
        <f>'HRSG 수주 시나리오'!AC24</f>
        <v>14197.065178571431</v>
      </c>
      <c r="Q25" s="900">
        <f>'HRSG 수주 시나리오'!AD24</f>
        <v>17509.919642857145</v>
      </c>
      <c r="R25" s="900">
        <f>'HRSG 수주 시나리오'!AE24</f>
        <v>16053.507142857141</v>
      </c>
      <c r="T25" s="906" t="s">
        <v>674</v>
      </c>
      <c r="U25" s="900">
        <f t="shared" si="22"/>
        <v>0</v>
      </c>
      <c r="V25" s="900">
        <f t="shared" si="22"/>
        <v>12694.7</v>
      </c>
      <c r="W25" s="900">
        <f t="shared" si="22"/>
        <v>58220.458035714284</v>
      </c>
      <c r="X25" s="900">
        <f t="shared" si="22"/>
        <v>62087.982142857145</v>
      </c>
      <c r="Z25" s="935" t="s">
        <v>1732</v>
      </c>
    </row>
    <row r="26" spans="1:26">
      <c r="B26" s="906" t="s">
        <v>673</v>
      </c>
      <c r="C26" s="900">
        <f>'HRSG 수주 시나리오'!P25</f>
        <v>0</v>
      </c>
      <c r="D26" s="900">
        <f>'HRSG 수주 시나리오'!Q25</f>
        <v>0</v>
      </c>
      <c r="E26" s="900">
        <f>'HRSG 수주 시나리오'!R25</f>
        <v>0</v>
      </c>
      <c r="F26" s="902">
        <f>'HRSG 수주 시나리오'!S25</f>
        <v>0</v>
      </c>
      <c r="G26" s="900">
        <f>'HRSG 수주 시나리오'!T25</f>
        <v>0</v>
      </c>
      <c r="H26" s="900">
        <f>'HRSG 수주 시나리오'!U25</f>
        <v>1934.6374999999998</v>
      </c>
      <c r="I26" s="900">
        <f>'HRSG 수주 시나리오'!V25</f>
        <v>3869.2749999999996</v>
      </c>
      <c r="J26" s="902">
        <f>'HRSG 수주 시나리오'!W25</f>
        <v>6890.7875000000004</v>
      </c>
      <c r="K26" s="900">
        <f>'HRSG 수주 시나리오'!X25</f>
        <v>9912.2999999999993</v>
      </c>
      <c r="L26" s="900">
        <f>'HRSG 수주 시나리오'!Y25</f>
        <v>10716.5875</v>
      </c>
      <c r="M26" s="900">
        <f>'HRSG 수주 시나리오'!Z25</f>
        <v>11520.874999999998</v>
      </c>
      <c r="N26" s="902">
        <f>'HRSG 수주 시나리오'!AA25</f>
        <v>9086.2749999999978</v>
      </c>
      <c r="O26" s="900">
        <f>'HRSG 수주 시나리오'!AB25</f>
        <v>6651.6750000000011</v>
      </c>
      <c r="P26" s="900">
        <f>'HRSG 수주 시나리오'!AC25</f>
        <v>5716.9625000000033</v>
      </c>
      <c r="Q26" s="900">
        <f>'HRSG 수주 시나리오'!AD25</f>
        <v>4782.25</v>
      </c>
      <c r="R26" s="900">
        <f>'HRSG 수주 시나리오'!AE25</f>
        <v>5760.4374999999982</v>
      </c>
      <c r="T26" s="906" t="s">
        <v>673</v>
      </c>
      <c r="U26" s="900">
        <f t="shared" si="22"/>
        <v>0</v>
      </c>
      <c r="V26" s="900">
        <f t="shared" si="22"/>
        <v>12694.7</v>
      </c>
      <c r="W26" s="900">
        <f t="shared" si="22"/>
        <v>41236.037499999991</v>
      </c>
      <c r="X26" s="900">
        <f t="shared" si="22"/>
        <v>22911.325000000004</v>
      </c>
      <c r="Z26" s="935" t="s">
        <v>1733</v>
      </c>
    </row>
    <row r="27" spans="1:26" s="581" customFormat="1">
      <c r="B27" s="931" t="s">
        <v>427</v>
      </c>
      <c r="C27" s="932"/>
      <c r="D27" s="932"/>
      <c r="E27" s="932"/>
      <c r="F27" s="933"/>
      <c r="G27" s="932"/>
      <c r="H27" s="932"/>
      <c r="I27" s="932"/>
      <c r="J27" s="933"/>
      <c r="K27" s="932"/>
      <c r="L27" s="932"/>
      <c r="M27" s="932"/>
      <c r="N27" s="933"/>
      <c r="O27" s="932"/>
      <c r="P27" s="932"/>
      <c r="Q27" s="932"/>
      <c r="R27" s="932"/>
      <c r="T27" s="931" t="s">
        <v>427</v>
      </c>
      <c r="U27" s="932"/>
      <c r="V27" s="932"/>
      <c r="W27" s="932"/>
      <c r="X27" s="932"/>
      <c r="Z27" s="937" t="s">
        <v>427</v>
      </c>
    </row>
    <row r="28" spans="1:26">
      <c r="B28" s="906" t="s">
        <v>675</v>
      </c>
      <c r="C28" s="900">
        <f>'HRSG 수주 시나리오'!P46</f>
        <v>0</v>
      </c>
      <c r="D28" s="900">
        <f>'HRSG 수주 시나리오'!Q46</f>
        <v>0</v>
      </c>
      <c r="E28" s="900">
        <f>'HRSG 수주 시나리오'!R46</f>
        <v>0</v>
      </c>
      <c r="F28" s="902">
        <f>'HRSG 수주 시나리오'!S46</f>
        <v>0</v>
      </c>
      <c r="G28" s="900">
        <f>'HRSG 수주 시나리오'!T46</f>
        <v>0</v>
      </c>
      <c r="H28" s="900">
        <f>'HRSG 수주 시나리오'!U46</f>
        <v>0</v>
      </c>
      <c r="I28" s="900">
        <f>'HRSG 수주 시나리오'!V46</f>
        <v>0</v>
      </c>
      <c r="J28" s="902">
        <f>'HRSG 수주 시나리오'!W46</f>
        <v>0</v>
      </c>
      <c r="K28" s="900">
        <f>'HRSG 수주 시나리오'!X46</f>
        <v>13728.794068779109</v>
      </c>
      <c r="L28" s="900">
        <f>'HRSG 수주 시나리오'!Y46</f>
        <v>68191.796335648891</v>
      </c>
      <c r="M28" s="900">
        <f>'HRSG 수주 시나리오'!Z46</f>
        <v>105150.27925506442</v>
      </c>
      <c r="N28" s="902">
        <f>'HRSG 수주 시나리오'!AA46</f>
        <v>116851.42676538907</v>
      </c>
      <c r="O28" s="900">
        <f>'HRSG 수주 시나리오'!AB46</f>
        <v>135332.09324080468</v>
      </c>
      <c r="P28" s="900">
        <f>'HRSG 수주 시나리오'!AC46</f>
        <v>147548.09727262284</v>
      </c>
      <c r="Q28" s="900">
        <f>'HRSG 수주 시나리오'!AD46</f>
        <v>159705.24871688278</v>
      </c>
      <c r="R28" s="900">
        <f>'HRSG 수주 시나리오'!AE46</f>
        <v>105372.05724999998</v>
      </c>
      <c r="T28" s="906" t="s">
        <v>675</v>
      </c>
      <c r="U28" s="900">
        <f t="shared" ref="U28:X38" si="27">SUMIF($C$7:$R$7,U$8,$C28:$R28)</f>
        <v>0</v>
      </c>
      <c r="V28" s="900">
        <f t="shared" si="27"/>
        <v>0</v>
      </c>
      <c r="W28" s="900">
        <f t="shared" si="27"/>
        <v>303922.2964248815</v>
      </c>
      <c r="X28" s="900">
        <f t="shared" si="27"/>
        <v>547957.49648031022</v>
      </c>
      <c r="Z28" s="938" t="s">
        <v>1700</v>
      </c>
    </row>
    <row r="29" spans="1:26">
      <c r="B29" s="906" t="s">
        <v>674</v>
      </c>
      <c r="C29" s="900">
        <f>'HRSG 수주 시나리오'!P47</f>
        <v>0</v>
      </c>
      <c r="D29" s="900">
        <f>'HRSG 수주 시나리오'!Q47</f>
        <v>0</v>
      </c>
      <c r="E29" s="900">
        <f>'HRSG 수주 시나리오'!R47</f>
        <v>0</v>
      </c>
      <c r="F29" s="902">
        <f>'HRSG 수주 시나리오'!S47</f>
        <v>0</v>
      </c>
      <c r="G29" s="900">
        <f>'HRSG 수주 시나리오'!T47</f>
        <v>0</v>
      </c>
      <c r="H29" s="900">
        <f>'HRSG 수주 시나리오'!U47</f>
        <v>0</v>
      </c>
      <c r="I29" s="900">
        <f>'HRSG 수주 시나리오'!V47</f>
        <v>0</v>
      </c>
      <c r="J29" s="902">
        <f>'HRSG 수주 시나리오'!W47</f>
        <v>0</v>
      </c>
      <c r="K29" s="900">
        <f>'HRSG 수주 시나리오'!X47</f>
        <v>13728.794068779109</v>
      </c>
      <c r="L29" s="900">
        <f>'HRSG 수주 시나리오'!Y47</f>
        <v>68191.796335648891</v>
      </c>
      <c r="M29" s="900">
        <f>'HRSG 수주 시나리오'!Z47</f>
        <v>105150.27925506442</v>
      </c>
      <c r="N29" s="902">
        <f>'HRSG 수주 시나리오'!AA47</f>
        <v>116851.42676538907</v>
      </c>
      <c r="O29" s="900">
        <f>'HRSG 수주 시나리오'!AB47</f>
        <v>135332.09324080468</v>
      </c>
      <c r="P29" s="900">
        <f>'HRSG 수주 시나리오'!AC47</f>
        <v>143957.09727262284</v>
      </c>
      <c r="Q29" s="900">
        <f>'HRSG 수주 시나리오'!AD47</f>
        <v>144585.24871688278</v>
      </c>
      <c r="R29" s="900">
        <f>'HRSG 수주 시나리오'!AE47</f>
        <v>89307.057249999983</v>
      </c>
      <c r="T29" s="906" t="s">
        <v>674</v>
      </c>
      <c r="U29" s="900">
        <f t="shared" si="27"/>
        <v>0</v>
      </c>
      <c r="V29" s="900">
        <f t="shared" si="27"/>
        <v>0</v>
      </c>
      <c r="W29" s="900">
        <f t="shared" si="27"/>
        <v>303922.2964248815</v>
      </c>
      <c r="X29" s="900">
        <f t="shared" si="27"/>
        <v>513181.49648031022</v>
      </c>
      <c r="Z29" s="935" t="s">
        <v>1701</v>
      </c>
    </row>
    <row r="30" spans="1:26">
      <c r="B30" s="906" t="s">
        <v>673</v>
      </c>
      <c r="C30" s="900">
        <f>'HRSG 수주 시나리오'!P48</f>
        <v>0</v>
      </c>
      <c r="D30" s="900">
        <f>'HRSG 수주 시나리오'!Q48</f>
        <v>0</v>
      </c>
      <c r="E30" s="900">
        <f>'HRSG 수주 시나리오'!R48</f>
        <v>0</v>
      </c>
      <c r="F30" s="902">
        <f>'HRSG 수주 시나리오'!S48</f>
        <v>0</v>
      </c>
      <c r="G30" s="900">
        <f>'HRSG 수주 시나리오'!T48</f>
        <v>0</v>
      </c>
      <c r="H30" s="900">
        <f>'HRSG 수주 시나리오'!U48</f>
        <v>0</v>
      </c>
      <c r="I30" s="900">
        <f>'HRSG 수주 시나리오'!V48</f>
        <v>0</v>
      </c>
      <c r="J30" s="902">
        <f>'HRSG 수주 시나리오'!W48</f>
        <v>0</v>
      </c>
      <c r="K30" s="900">
        <f>'HRSG 수주 시나리오'!X48</f>
        <v>6864.3970343895544</v>
      </c>
      <c r="L30" s="900">
        <f>'HRSG 수주 시나리오'!Y48</f>
        <v>35134.532930324443</v>
      </c>
      <c r="M30" s="900">
        <f>'HRSG 수주 시나리오'!Z48</f>
        <v>56948.338627532212</v>
      </c>
      <c r="N30" s="902">
        <f>'HRSG 수주 시나리오'!AA48</f>
        <v>65749.766115649079</v>
      </c>
      <c r="O30" s="900">
        <f>'HRSG 수주 시나리오'!AB48</f>
        <v>83859.700949947801</v>
      </c>
      <c r="P30" s="900">
        <f>'HRSG 수주 시나리오'!AC48</f>
        <v>84612.946781765961</v>
      </c>
      <c r="Q30" s="900">
        <f>'HRSG 수주 시나리오'!AD48</f>
        <v>72293.378394805026</v>
      </c>
      <c r="R30" s="900">
        <f>'HRSG 수주 시나리오'!AE48</f>
        <v>41201.86825</v>
      </c>
      <c r="T30" s="906" t="s">
        <v>673</v>
      </c>
      <c r="U30" s="900">
        <f t="shared" si="27"/>
        <v>0</v>
      </c>
      <c r="V30" s="900">
        <f t="shared" si="27"/>
        <v>0</v>
      </c>
      <c r="W30" s="900">
        <f t="shared" si="27"/>
        <v>164697.03470789531</v>
      </c>
      <c r="X30" s="900">
        <f t="shared" si="27"/>
        <v>281967.89437651879</v>
      </c>
      <c r="Z30" s="935" t="s">
        <v>1704</v>
      </c>
    </row>
    <row r="31" spans="1:26" s="581" customFormat="1">
      <c r="B31" s="931" t="s">
        <v>428</v>
      </c>
      <c r="C31" s="932"/>
      <c r="D31" s="932"/>
      <c r="E31" s="932"/>
      <c r="F31" s="933"/>
      <c r="G31" s="932"/>
      <c r="H31" s="932"/>
      <c r="I31" s="932"/>
      <c r="J31" s="933"/>
      <c r="K31" s="932"/>
      <c r="L31" s="932"/>
      <c r="M31" s="932"/>
      <c r="N31" s="933"/>
      <c r="O31" s="932"/>
      <c r="P31" s="932"/>
      <c r="Q31" s="932"/>
      <c r="R31" s="932"/>
      <c r="T31" s="931" t="s">
        <v>428</v>
      </c>
      <c r="U31" s="932"/>
      <c r="V31" s="932"/>
      <c r="W31" s="932"/>
      <c r="X31" s="932"/>
      <c r="Z31" s="937" t="s">
        <v>428</v>
      </c>
    </row>
    <row r="32" spans="1:26">
      <c r="B32" s="906" t="s">
        <v>675</v>
      </c>
      <c r="C32" s="900">
        <f>'HRSG 수주 시나리오'!P72</f>
        <v>0</v>
      </c>
      <c r="D32" s="900">
        <f>'HRSG 수주 시나리오'!Q72</f>
        <v>0</v>
      </c>
      <c r="E32" s="900">
        <f>'HRSG 수주 시나리오'!R72</f>
        <v>0</v>
      </c>
      <c r="F32" s="902">
        <f>'HRSG 수주 시나리오'!S72</f>
        <v>0</v>
      </c>
      <c r="G32" s="900">
        <f>'HRSG 수주 시나리오'!T72</f>
        <v>0</v>
      </c>
      <c r="H32" s="900">
        <f>'HRSG 수주 시나리오'!U72</f>
        <v>1472.6793979919998</v>
      </c>
      <c r="I32" s="900">
        <f>'HRSG 수주 시나리오'!V72</f>
        <v>1472.6793979919998</v>
      </c>
      <c r="J32" s="902">
        <f>'HRSG 수주 시나리오'!W72</f>
        <v>1472.6793979920003</v>
      </c>
      <c r="K32" s="900">
        <f>'HRSG 수주 시나리오'!X72</f>
        <v>1472.6793979919994</v>
      </c>
      <c r="L32" s="900">
        <f>'HRSG 수주 시나리오'!Y72</f>
        <v>5245.3861703760012</v>
      </c>
      <c r="M32" s="900">
        <f>'HRSG 수주 시나리오'!Z72</f>
        <v>5245.3861703759994</v>
      </c>
      <c r="N32" s="902">
        <f>'HRSG 수주 시나리오'!AA72</f>
        <v>5245.3861703759994</v>
      </c>
      <c r="O32" s="900">
        <f>'HRSG 수주 시나리오'!AB72</f>
        <v>5245.3861703759994</v>
      </c>
      <c r="P32" s="900">
        <f>'HRSG 수주 시나리오'!AC72</f>
        <v>9630.3304452960001</v>
      </c>
      <c r="Q32" s="900">
        <f>'HRSG 수주 시나리오'!AD72</f>
        <v>9630.3304452960019</v>
      </c>
      <c r="R32" s="900">
        <f>'HRSG 수주 시나리오'!AE72</f>
        <v>9630.3304452959947</v>
      </c>
      <c r="T32" s="906" t="s">
        <v>675</v>
      </c>
      <c r="U32" s="900">
        <f t="shared" si="27"/>
        <v>0</v>
      </c>
      <c r="V32" s="900">
        <f t="shared" si="27"/>
        <v>4418.038193976</v>
      </c>
      <c r="W32" s="900">
        <f t="shared" si="27"/>
        <v>17208.837909119997</v>
      </c>
      <c r="X32" s="900">
        <f t="shared" si="27"/>
        <v>34136.377506263998</v>
      </c>
      <c r="Z32" s="935" t="s">
        <v>1708</v>
      </c>
    </row>
    <row r="33" spans="2:26">
      <c r="B33" s="906" t="s">
        <v>674</v>
      </c>
      <c r="C33" s="900">
        <f>'HRSG 수주 시나리오'!P73</f>
        <v>0</v>
      </c>
      <c r="D33" s="900">
        <f>'HRSG 수주 시나리오'!Q73</f>
        <v>0</v>
      </c>
      <c r="E33" s="900">
        <f>'HRSG 수주 시나리오'!R73</f>
        <v>0</v>
      </c>
      <c r="F33" s="902">
        <f>'HRSG 수주 시나리오'!S73</f>
        <v>0</v>
      </c>
      <c r="G33" s="900">
        <f>'HRSG 수주 시나리오'!T73</f>
        <v>0</v>
      </c>
      <c r="H33" s="900">
        <f>'HRSG 수주 시나리오'!U73</f>
        <v>1472.6793979919998</v>
      </c>
      <c r="I33" s="900">
        <f>'HRSG 수주 시나리오'!V73</f>
        <v>1472.6793979919998</v>
      </c>
      <c r="J33" s="902">
        <f>'HRSG 수주 시나리오'!W73</f>
        <v>1472.6793979920003</v>
      </c>
      <c r="K33" s="900">
        <f>'HRSG 수주 시나리오'!X73</f>
        <v>1472.6793979919994</v>
      </c>
      <c r="L33" s="900">
        <f>'HRSG 수주 시나리오'!Y73</f>
        <v>5245.3861703760012</v>
      </c>
      <c r="M33" s="900">
        <f>'HRSG 수주 시나리오'!Z73</f>
        <v>5245.3861703759994</v>
      </c>
      <c r="N33" s="902">
        <f>'HRSG 수주 시나리오'!AA73</f>
        <v>5245.3861703759994</v>
      </c>
      <c r="O33" s="900">
        <f>'HRSG 수주 시나리오'!AB73</f>
        <v>5245.3861703759994</v>
      </c>
      <c r="P33" s="900">
        <f>'HRSG 수주 시나리오'!AC73</f>
        <v>9630.3304452960001</v>
      </c>
      <c r="Q33" s="900">
        <f>'HRSG 수주 시나리오'!AD73</f>
        <v>9630.3304452960019</v>
      </c>
      <c r="R33" s="900">
        <f>'HRSG 수주 시나리오'!AE73</f>
        <v>9630.3304452959947</v>
      </c>
      <c r="T33" s="906" t="s">
        <v>674</v>
      </c>
      <c r="U33" s="900">
        <f t="shared" si="27"/>
        <v>0</v>
      </c>
      <c r="V33" s="900">
        <f t="shared" si="27"/>
        <v>4418.038193976</v>
      </c>
      <c r="W33" s="900">
        <f t="shared" si="27"/>
        <v>17208.837909119997</v>
      </c>
      <c r="X33" s="900">
        <f t="shared" si="27"/>
        <v>34136.377506263998</v>
      </c>
      <c r="Z33" s="935" t="s">
        <v>1709</v>
      </c>
    </row>
    <row r="34" spans="2:26">
      <c r="B34" s="906" t="s">
        <v>673</v>
      </c>
      <c r="C34" s="900">
        <f>'HRSG 수주 시나리오'!P74</f>
        <v>0</v>
      </c>
      <c r="D34" s="900">
        <f>'HRSG 수주 시나리오'!Q74</f>
        <v>0</v>
      </c>
      <c r="E34" s="900">
        <f>'HRSG 수주 시나리오'!R74</f>
        <v>0</v>
      </c>
      <c r="F34" s="902">
        <f>'HRSG 수주 시나리오'!S74</f>
        <v>0</v>
      </c>
      <c r="G34" s="900">
        <f>'HRSG 수주 시나리오'!T74</f>
        <v>0</v>
      </c>
      <c r="H34" s="900">
        <f>'HRSG 수주 시나리오'!U74</f>
        <v>0</v>
      </c>
      <c r="I34" s="900">
        <f>'HRSG 수주 시나리오'!V74</f>
        <v>0</v>
      </c>
      <c r="J34" s="902">
        <f>'HRSG 수주 시나리오'!W74</f>
        <v>0</v>
      </c>
      <c r="K34" s="900">
        <f>'HRSG 수주 시나리오'!X74</f>
        <v>0</v>
      </c>
      <c r="L34" s="900">
        <f>'HRSG 수주 시나리오'!Y74</f>
        <v>0</v>
      </c>
      <c r="M34" s="900">
        <f>'HRSG 수주 시나리오'!Z74</f>
        <v>0</v>
      </c>
      <c r="N34" s="902">
        <f>'HRSG 수주 시나리오'!AA74</f>
        <v>0</v>
      </c>
      <c r="O34" s="900">
        <f>'HRSG 수주 시나리오'!AB74</f>
        <v>0</v>
      </c>
      <c r="P34" s="900">
        <f>'HRSG 수주 시나리오'!AC74</f>
        <v>0</v>
      </c>
      <c r="Q34" s="900">
        <f>'HRSG 수주 시나리오'!AD74</f>
        <v>0</v>
      </c>
      <c r="R34" s="900">
        <f>'HRSG 수주 시나리오'!AE74</f>
        <v>0</v>
      </c>
      <c r="T34" s="906" t="s">
        <v>673</v>
      </c>
      <c r="U34" s="900">
        <f t="shared" si="27"/>
        <v>0</v>
      </c>
      <c r="V34" s="900">
        <f t="shared" si="27"/>
        <v>0</v>
      </c>
      <c r="W34" s="900">
        <f t="shared" si="27"/>
        <v>0</v>
      </c>
      <c r="X34" s="900">
        <f t="shared" si="27"/>
        <v>0</v>
      </c>
      <c r="Z34" s="935" t="s">
        <v>1710</v>
      </c>
    </row>
    <row r="35" spans="2:26" s="581" customFormat="1">
      <c r="B35" s="931" t="s">
        <v>450</v>
      </c>
      <c r="C35" s="932"/>
      <c r="D35" s="932"/>
      <c r="E35" s="932"/>
      <c r="F35" s="933"/>
      <c r="G35" s="932"/>
      <c r="H35" s="932"/>
      <c r="I35" s="932"/>
      <c r="J35" s="933"/>
      <c r="K35" s="932"/>
      <c r="L35" s="932"/>
      <c r="M35" s="932"/>
      <c r="N35" s="933"/>
      <c r="O35" s="932"/>
      <c r="P35" s="932"/>
      <c r="Q35" s="932"/>
      <c r="R35" s="932"/>
      <c r="T35" s="931" t="s">
        <v>450</v>
      </c>
      <c r="U35" s="932"/>
      <c r="V35" s="932"/>
      <c r="W35" s="932"/>
      <c r="X35" s="932"/>
      <c r="Z35" s="937" t="s">
        <v>450</v>
      </c>
    </row>
    <row r="36" spans="2:26">
      <c r="B36" s="906" t="s">
        <v>675</v>
      </c>
      <c r="C36" s="900">
        <f>'HRSG 수주 시나리오'!P58</f>
        <v>0</v>
      </c>
      <c r="D36" s="900">
        <f>'HRSG 수주 시나리오'!Q58</f>
        <v>0</v>
      </c>
      <c r="E36" s="900">
        <f>'HRSG 수주 시나리오'!R58</f>
        <v>0</v>
      </c>
      <c r="F36" s="902">
        <f>'HRSG 수주 시나리오'!S58</f>
        <v>0</v>
      </c>
      <c r="G36" s="900">
        <f>'HRSG 수주 시나리오'!T58</f>
        <v>0</v>
      </c>
      <c r="H36" s="900">
        <f>'HRSG 수주 시나리오'!U58</f>
        <v>0</v>
      </c>
      <c r="I36" s="900">
        <f>'HRSG 수주 시나리오'!V58</f>
        <v>0</v>
      </c>
      <c r="J36" s="902">
        <f>'HRSG 수주 시나리오'!W58</f>
        <v>0</v>
      </c>
      <c r="K36" s="900">
        <f>'HRSG 수주 시나리오'!X58</f>
        <v>0</v>
      </c>
      <c r="L36" s="900">
        <f>'HRSG 수주 시나리오'!Y58</f>
        <v>3585.1734445053535</v>
      </c>
      <c r="M36" s="900">
        <f>'HRSG 수주 시나리오'!Z58</f>
        <v>15095.467134759385</v>
      </c>
      <c r="N36" s="902">
        <f>'HRSG 수주 시나리오'!AA58</f>
        <v>16038.933830681844</v>
      </c>
      <c r="O36" s="900">
        <f>'HRSG 수주 시나리오'!AB58</f>
        <v>16982.400526604306</v>
      </c>
      <c r="P36" s="900">
        <f>'HRSG 수주 시나리오'!AC58</f>
        <v>23459.021903907327</v>
      </c>
      <c r="Q36" s="900">
        <f>'HRSG 수주 시나리오'!AD58</f>
        <v>45463.99513527532</v>
      </c>
      <c r="R36" s="900">
        <f>'HRSG 수주 시나리오'!AE58</f>
        <v>40097.334576704605</v>
      </c>
      <c r="T36" s="906" t="s">
        <v>675</v>
      </c>
      <c r="U36" s="900">
        <f t="shared" si="27"/>
        <v>0</v>
      </c>
      <c r="V36" s="900">
        <f t="shared" si="27"/>
        <v>0</v>
      </c>
      <c r="W36" s="900">
        <f t="shared" si="27"/>
        <v>34719.574409946581</v>
      </c>
      <c r="X36" s="900">
        <f t="shared" si="27"/>
        <v>126002.75214249155</v>
      </c>
      <c r="Z36" s="935" t="s">
        <v>1705</v>
      </c>
    </row>
    <row r="37" spans="2:26">
      <c r="B37" s="906" t="s">
        <v>674</v>
      </c>
      <c r="C37" s="900">
        <f>'HRSG 수주 시나리오'!P59</f>
        <v>0</v>
      </c>
      <c r="D37" s="900">
        <f>'HRSG 수주 시나리오'!Q59</f>
        <v>0</v>
      </c>
      <c r="E37" s="900">
        <f>'HRSG 수주 시나리오'!R59</f>
        <v>0</v>
      </c>
      <c r="F37" s="902">
        <f>'HRSG 수주 시나리오'!S59</f>
        <v>0</v>
      </c>
      <c r="G37" s="900">
        <f>'HRSG 수주 시나리오'!T59</f>
        <v>0</v>
      </c>
      <c r="H37" s="900">
        <f>'HRSG 수주 시나리오'!U59</f>
        <v>0</v>
      </c>
      <c r="I37" s="900">
        <f>'HRSG 수주 시나리오'!V59</f>
        <v>0</v>
      </c>
      <c r="J37" s="902">
        <f>'HRSG 수주 시나리오'!W59</f>
        <v>0</v>
      </c>
      <c r="K37" s="900">
        <f>'HRSG 수주 시나리오'!X59</f>
        <v>0</v>
      </c>
      <c r="L37" s="900">
        <f>'HRSG 수주 시나리오'!Y59</f>
        <v>3585.1734445053535</v>
      </c>
      <c r="M37" s="900">
        <f>'HRSG 수주 시나리오'!Z59</f>
        <v>15095.467134759385</v>
      </c>
      <c r="N37" s="902">
        <f>'HRSG 수주 시나리오'!AA59</f>
        <v>16038.933830681844</v>
      </c>
      <c r="O37" s="900">
        <f>'HRSG 수주 시나리오'!AB59</f>
        <v>16982.400526604306</v>
      </c>
      <c r="P37" s="900">
        <f>'HRSG 수주 시나리오'!AC59</f>
        <v>20295.633570520251</v>
      </c>
      <c r="Q37" s="900">
        <f>'HRSG 수주 시나리오'!AD59</f>
        <v>32144.465310487627</v>
      </c>
      <c r="R37" s="900">
        <f>'HRSG 수주 시나리오'!AE59</f>
        <v>25945.334137867685</v>
      </c>
      <c r="T37" s="906" t="s">
        <v>674</v>
      </c>
      <c r="U37" s="928">
        <f t="shared" si="27"/>
        <v>0</v>
      </c>
      <c r="V37" s="900">
        <f t="shared" si="27"/>
        <v>0</v>
      </c>
      <c r="W37" s="900">
        <f t="shared" si="27"/>
        <v>34719.574409946581</v>
      </c>
      <c r="X37" s="900">
        <f t="shared" si="27"/>
        <v>95367.83354547988</v>
      </c>
      <c r="Z37" s="935" t="s">
        <v>1706</v>
      </c>
    </row>
    <row r="38" spans="2:26">
      <c r="B38" s="907" t="s">
        <v>673</v>
      </c>
      <c r="C38" s="903">
        <f>'HRSG 수주 시나리오'!P60</f>
        <v>0</v>
      </c>
      <c r="D38" s="903">
        <f>'HRSG 수주 시나리오'!Q60</f>
        <v>0</v>
      </c>
      <c r="E38" s="903">
        <f>'HRSG 수주 시나리오'!R60</f>
        <v>0</v>
      </c>
      <c r="F38" s="904">
        <f>'HRSG 수주 시나리오'!S60</f>
        <v>0</v>
      </c>
      <c r="G38" s="903">
        <f>'HRSG 수주 시나리오'!T60</f>
        <v>0</v>
      </c>
      <c r="H38" s="903">
        <f>'HRSG 수주 시나리오'!U60</f>
        <v>0</v>
      </c>
      <c r="I38" s="903">
        <f>'HRSG 수주 시나리오'!V60</f>
        <v>0</v>
      </c>
      <c r="J38" s="904">
        <f>'HRSG 수주 시나리오'!W60</f>
        <v>0</v>
      </c>
      <c r="K38" s="903">
        <f>'HRSG 수주 시나리오'!X60</f>
        <v>0</v>
      </c>
      <c r="L38" s="903">
        <f>'HRSG 수주 시나리오'!Y60</f>
        <v>0</v>
      </c>
      <c r="M38" s="903">
        <f>'HRSG 수주 시나리오'!Z60</f>
        <v>0</v>
      </c>
      <c r="N38" s="904">
        <f>'HRSG 수주 시나리오'!AA60</f>
        <v>0</v>
      </c>
      <c r="O38" s="903">
        <f>'HRSG 수주 시나리오'!AB60</f>
        <v>0</v>
      </c>
      <c r="P38" s="903">
        <f>'HRSG 수주 시나리오'!AC60</f>
        <v>0</v>
      </c>
      <c r="Q38" s="903">
        <f>'HRSG 수주 시나리오'!AD60</f>
        <v>0</v>
      </c>
      <c r="R38" s="903">
        <f>'HRSG 수주 시나리오'!AE60</f>
        <v>0</v>
      </c>
      <c r="T38" s="907" t="s">
        <v>673</v>
      </c>
      <c r="U38" s="929">
        <f t="shared" si="27"/>
        <v>0</v>
      </c>
      <c r="V38" s="903">
        <f t="shared" si="27"/>
        <v>0</v>
      </c>
      <c r="W38" s="903">
        <f t="shared" si="27"/>
        <v>0</v>
      </c>
      <c r="X38" s="903">
        <f t="shared" si="27"/>
        <v>0</v>
      </c>
      <c r="Z38" s="939" t="s">
        <v>1707</v>
      </c>
    </row>
    <row r="39" spans="2:26">
      <c r="C39" s="900" t="b">
        <f>C9=SUM(C11:C12)</f>
        <v>1</v>
      </c>
      <c r="D39" s="900" t="b">
        <f t="shared" ref="D39:R39" si="28">D9=SUM(D11:D12)</f>
        <v>1</v>
      </c>
      <c r="E39" s="900" t="b">
        <f t="shared" si="28"/>
        <v>1</v>
      </c>
      <c r="F39" s="900" t="b">
        <f t="shared" si="28"/>
        <v>1</v>
      </c>
      <c r="G39" s="900" t="b">
        <f t="shared" si="28"/>
        <v>1</v>
      </c>
      <c r="H39" s="900" t="b">
        <f t="shared" si="28"/>
        <v>1</v>
      </c>
      <c r="I39" s="900" t="b">
        <f t="shared" si="28"/>
        <v>1</v>
      </c>
      <c r="J39" s="900" t="b">
        <f t="shared" si="28"/>
        <v>1</v>
      </c>
      <c r="K39" s="900" t="b">
        <f t="shared" si="28"/>
        <v>1</v>
      </c>
      <c r="L39" s="900" t="b">
        <f t="shared" si="28"/>
        <v>1</v>
      </c>
      <c r="M39" s="900" t="b">
        <f t="shared" si="28"/>
        <v>1</v>
      </c>
      <c r="N39" s="900" t="b">
        <f t="shared" si="28"/>
        <v>1</v>
      </c>
      <c r="O39" s="900" t="b">
        <f t="shared" si="28"/>
        <v>1</v>
      </c>
      <c r="P39" s="900" t="b">
        <f t="shared" si="28"/>
        <v>1</v>
      </c>
      <c r="Q39" s="900" t="b">
        <f t="shared" si="28"/>
        <v>1</v>
      </c>
      <c r="R39" s="900" t="b">
        <f t="shared" si="28"/>
        <v>1</v>
      </c>
    </row>
    <row r="40" spans="2:26">
      <c r="B40" s="6" t="s">
        <v>675</v>
      </c>
      <c r="T40" s="6" t="s">
        <v>3</v>
      </c>
    </row>
    <row r="41" spans="2:26">
      <c r="B41" s="908" t="s">
        <v>7</v>
      </c>
      <c r="C41" s="909" t="s">
        <v>1696</v>
      </c>
      <c r="D41" s="921" t="s">
        <v>1161</v>
      </c>
      <c r="E41" s="921" t="s">
        <v>990</v>
      </c>
      <c r="F41" s="922" t="s">
        <v>982</v>
      </c>
      <c r="G41" s="921" t="s">
        <v>953</v>
      </c>
      <c r="H41" s="921" t="s">
        <v>939</v>
      </c>
      <c r="I41" s="921" t="s">
        <v>954</v>
      </c>
      <c r="J41" s="922" t="s">
        <v>940</v>
      </c>
      <c r="K41" s="921" t="s">
        <v>943</v>
      </c>
      <c r="L41" s="921" t="s">
        <v>944</v>
      </c>
      <c r="M41" s="921" t="s">
        <v>941</v>
      </c>
      <c r="N41" s="922" t="s">
        <v>942</v>
      </c>
      <c r="O41" s="921" t="s">
        <v>945</v>
      </c>
      <c r="P41" s="921" t="s">
        <v>946</v>
      </c>
      <c r="Q41" s="921" t="s">
        <v>955</v>
      </c>
      <c r="R41" s="921" t="s">
        <v>949</v>
      </c>
      <c r="T41" s="930" t="s">
        <v>1698</v>
      </c>
      <c r="U41" s="910" t="s">
        <v>1693</v>
      </c>
      <c r="V41" s="910" t="s">
        <v>1349</v>
      </c>
      <c r="W41" s="910" t="s">
        <v>1347</v>
      </c>
      <c r="X41" s="910" t="s">
        <v>1348</v>
      </c>
    </row>
    <row r="42" spans="2:26">
      <c r="B42" s="947" t="s">
        <v>53</v>
      </c>
      <c r="C42" s="912">
        <v>98656</v>
      </c>
      <c r="D42" s="912">
        <v>100885.48322015253</v>
      </c>
      <c r="E42" s="912">
        <v>136278.5277620175</v>
      </c>
      <c r="F42" s="926">
        <v>187034.59624209246</v>
      </c>
      <c r="G42" s="912">
        <v>212979.718102307</v>
      </c>
      <c r="H42" s="912">
        <v>216517.79268803523</v>
      </c>
      <c r="I42" s="912">
        <v>212718.84733264724</v>
      </c>
      <c r="J42" s="926">
        <v>192222.39752688422</v>
      </c>
      <c r="K42" s="912">
        <v>172858.75933188887</v>
      </c>
      <c r="L42" s="912">
        <v>189761.66044318798</v>
      </c>
      <c r="M42" s="912">
        <v>212444.6166125364</v>
      </c>
      <c r="N42" s="926">
        <v>207779.4882148481</v>
      </c>
      <c r="O42" s="912">
        <v>208824.90149479816</v>
      </c>
      <c r="P42" s="912">
        <v>225904.3391362931</v>
      </c>
      <c r="Q42" s="912">
        <v>262969.92599657073</v>
      </c>
      <c r="R42" s="912">
        <v>205379.34445712873</v>
      </c>
      <c r="T42" s="931" t="s">
        <v>430</v>
      </c>
      <c r="U42" s="932"/>
      <c r="V42" s="932"/>
      <c r="W42" s="932"/>
      <c r="X42" s="932"/>
    </row>
    <row r="43" spans="2:26">
      <c r="B43" s="807" t="s">
        <v>1694</v>
      </c>
      <c r="C43" s="814"/>
      <c r="D43" s="808">
        <v>2.2598556804984238E-2</v>
      </c>
      <c r="E43" s="808">
        <v>0.35082395813707112</v>
      </c>
      <c r="F43" s="809">
        <v>0.37244362199678305</v>
      </c>
      <c r="G43" s="808">
        <v>0.13871830335940571</v>
      </c>
      <c r="H43" s="808">
        <v>1.6612260628632525E-2</v>
      </c>
      <c r="I43" s="808">
        <v>-1.7545649751111281E-2</v>
      </c>
      <c r="J43" s="809">
        <v>-9.6354648696036382E-2</v>
      </c>
      <c r="K43" s="808">
        <v>-0.10073559816195277</v>
      </c>
      <c r="L43" s="808">
        <v>9.7784463897750973E-2</v>
      </c>
      <c r="M43" s="808">
        <v>0.11953392543242103</v>
      </c>
      <c r="N43" s="809">
        <v>-2.1959268594679004E-2</v>
      </c>
      <c r="O43" s="808">
        <v>5.0313593941915258E-3</v>
      </c>
      <c r="P43" s="808">
        <v>8.1788318918088354E-2</v>
      </c>
      <c r="Q43" s="808">
        <v>0.16407647149227689</v>
      </c>
      <c r="R43" s="808">
        <v>-0.21900063789116708</v>
      </c>
      <c r="T43" s="906" t="s">
        <v>675</v>
      </c>
      <c r="U43" s="900">
        <f>U44+SUMIFS('HRSG 수주 시나리오'!$F$16:$F$21,'HRSG 수주 시나리오'!$B$16:$B$21,"잠재",'HRSG 수주 시나리오'!$I$16:$I$21,U$41)</f>
        <v>107646.875</v>
      </c>
      <c r="V43" s="900">
        <f>V44+SUMIFS('HRSG 수주 시나리오'!$F$16:$F$21,'HRSG 수주 시나리오'!$B$16:$B$21,"잠재",'HRSG 수주 시나리오'!$I$16:$I$21,V$41)</f>
        <v>43475</v>
      </c>
      <c r="W43" s="900">
        <f>W44+SUMIFS('HRSG 수주 시나리오'!$F$16:$F$21,'HRSG 수주 시나리오'!$B$16:$B$21,"잠재",'HRSG 수주 시나리오'!$I$16:$I$21,W$41)</f>
        <v>229879.01785714284</v>
      </c>
      <c r="X43" s="900">
        <f>X44+SUMIFS('HRSG 수주 시나리오'!$F$16:$F$21,'HRSG 수주 시나리오'!$B$16:$B$21,"잠재",'HRSG 수주 시나리오'!$I$16:$I$21,X$41)</f>
        <v>0</v>
      </c>
    </row>
    <row r="44" spans="2:26">
      <c r="T44" s="906" t="s">
        <v>674</v>
      </c>
      <c r="U44" s="900">
        <f>U45+SUMIFS('HRSG 수주 시나리오'!$F$16:$F$21,'HRSG 수주 시나리오'!$B$16:$B$21,"가능",'HRSG 수주 시나리오'!$I$16:$I$21,U$41)</f>
        <v>43475</v>
      </c>
      <c r="V44" s="900">
        <f>V45+SUMIFS('HRSG 수주 시나리오'!$F$16:$F$21,'HRSG 수주 시나리오'!$B$16:$B$21,"가능",'HRSG 수주 시나리오'!$I$16:$I$21,V$41)</f>
        <v>43475</v>
      </c>
      <c r="W44" s="900">
        <f>W45+SUMIFS('HRSG 수주 시나리오'!$F$16:$F$21,'HRSG 수주 시나리오'!$B$16:$B$21,"가능",'HRSG 수주 시나리오'!$I$16:$I$21,W$41)</f>
        <v>165707.14285714284</v>
      </c>
      <c r="X44" s="900">
        <f>X45+SUMIFS('HRSG 수주 시나리오'!$F$16:$F$21,'HRSG 수주 시나리오'!$B$16:$B$21,"가능",'HRSG 수주 시나리오'!$I$16:$I$21,X$41)</f>
        <v>0</v>
      </c>
    </row>
    <row r="45" spans="2:26">
      <c r="B45" s="6" t="s">
        <v>674</v>
      </c>
      <c r="T45" s="906" t="s">
        <v>673</v>
      </c>
      <c r="U45" s="900">
        <f>SUMIFS('HRSG 수주 시나리오'!$F$16:$F$21,'HRSG 수주 시나리오'!$B$16:$B$21,"확실",'HRSG 수주 시나리오'!$I$16:$I$21,U$41)</f>
        <v>43475</v>
      </c>
      <c r="V45" s="900">
        <f>SUMIFS('HRSG 수주 시나리오'!$F$16:$F$21,'HRSG 수주 시나리오'!$B$16:$B$21,"확실",'HRSG 수주 시나리오'!$I$16:$I$21,V$41)</f>
        <v>43475</v>
      </c>
      <c r="W45" s="900">
        <f>SUMIFS('HRSG 수주 시나리오'!$F$16:$F$21,'HRSG 수주 시나리오'!$B$16:$B$21,"확실",'HRSG 수주 시나리오'!$I$16:$I$21,W$41)</f>
        <v>0</v>
      </c>
      <c r="X45" s="900">
        <f>SUMIFS('HRSG 수주 시나리오'!$F$16:$F$21,'HRSG 수주 시나리오'!$B$16:$B$21,"확실",'HRSG 수주 시나리오'!$I$16:$I$21,X$41)</f>
        <v>0</v>
      </c>
    </row>
    <row r="46" spans="2:26">
      <c r="B46" s="908" t="s">
        <v>7</v>
      </c>
      <c r="C46" s="909" t="s">
        <v>1696</v>
      </c>
      <c r="D46" s="921" t="s">
        <v>1161</v>
      </c>
      <c r="E46" s="921" t="s">
        <v>990</v>
      </c>
      <c r="F46" s="922" t="s">
        <v>982</v>
      </c>
      <c r="G46" s="921" t="s">
        <v>953</v>
      </c>
      <c r="H46" s="921" t="s">
        <v>939</v>
      </c>
      <c r="I46" s="921" t="s">
        <v>954</v>
      </c>
      <c r="J46" s="922" t="s">
        <v>940</v>
      </c>
      <c r="K46" s="921" t="s">
        <v>943</v>
      </c>
      <c r="L46" s="921" t="s">
        <v>944</v>
      </c>
      <c r="M46" s="921" t="s">
        <v>941</v>
      </c>
      <c r="N46" s="922" t="s">
        <v>942</v>
      </c>
      <c r="O46" s="921" t="s">
        <v>945</v>
      </c>
      <c r="P46" s="921" t="s">
        <v>946</v>
      </c>
      <c r="Q46" s="921" t="s">
        <v>955</v>
      </c>
      <c r="R46" s="921" t="s">
        <v>949</v>
      </c>
      <c r="T46" s="931" t="s">
        <v>427</v>
      </c>
      <c r="U46" s="932"/>
      <c r="V46" s="932"/>
      <c r="W46" s="932"/>
      <c r="X46" s="932"/>
    </row>
    <row r="47" spans="2:26">
      <c r="B47" s="947" t="s">
        <v>53</v>
      </c>
      <c r="C47" s="912">
        <v>98656</v>
      </c>
      <c r="D47" s="912">
        <v>100885.48322015253</v>
      </c>
      <c r="E47" s="912">
        <v>136278.5277620175</v>
      </c>
      <c r="F47" s="926">
        <v>187034.59624209246</v>
      </c>
      <c r="G47" s="912">
        <v>210124.069664807</v>
      </c>
      <c r="H47" s="912">
        <v>213662.14425053523</v>
      </c>
      <c r="I47" s="912">
        <v>205403.25358264724</v>
      </c>
      <c r="J47" s="926">
        <v>184906.80377688422</v>
      </c>
      <c r="K47" s="912">
        <v>164355.98589438887</v>
      </c>
      <c r="L47" s="912">
        <v>181258.88700568798</v>
      </c>
      <c r="M47" s="912">
        <v>207535.4681750364</v>
      </c>
      <c r="N47" s="926">
        <v>200014.6913398481</v>
      </c>
      <c r="O47" s="912">
        <v>202439.79993229816</v>
      </c>
      <c r="P47" s="912">
        <v>208304.90392790601</v>
      </c>
      <c r="Q47" s="912">
        <v>222241.48210928304</v>
      </c>
      <c r="R47" s="912">
        <v>161686.25026829183</v>
      </c>
      <c r="T47" s="906" t="s">
        <v>675</v>
      </c>
      <c r="U47" s="900">
        <f>U48+SUMIFS('HRSG 수주 시나리오'!$F$38:$F$44,'HRSG 수주 시나리오'!$B$38:$B$44,"잠재",'HRSG 수주 시나리오'!$I$38:$I$44,U$41)</f>
        <v>0</v>
      </c>
      <c r="V47" s="900">
        <f>V48+SUMIFS('HRSG 수주 시나리오'!$F$38:$F$44,'HRSG 수주 시나리오'!$B$38:$B$44,"잠재",'HRSG 수주 시나리오'!$I$38:$I$44,V$41)</f>
        <v>634608.9919415554</v>
      </c>
      <c r="W47" s="900">
        <f>W48+SUMIFS('HRSG 수주 시나리오'!$F$38:$F$44,'HRSG 수주 시나리오'!$B$38:$B$44,"잠재",'HRSG 수주 시나리오'!$I$38:$I$44,W$41)</f>
        <v>454082.51818181819</v>
      </c>
      <c r="X47" s="900">
        <f>X48+SUMIFS('HRSG 수주 시나리오'!$F$38:$F$44,'HRSG 수주 시나리오'!$B$38:$B$44,"잠재",'HRSG 수주 시나리오'!$I$38:$I$44,X$41)</f>
        <v>0</v>
      </c>
    </row>
    <row r="48" spans="2:26">
      <c r="B48" s="807" t="s">
        <v>1694</v>
      </c>
      <c r="C48" s="814"/>
      <c r="D48" s="808">
        <v>2.2598556804984238E-2</v>
      </c>
      <c r="E48" s="808">
        <v>0.35082395813707112</v>
      </c>
      <c r="F48" s="809">
        <v>0.37244362199678305</v>
      </c>
      <c r="G48" s="808">
        <v>0.1234502807856368</v>
      </c>
      <c r="H48" s="808">
        <v>1.6838026178401355E-2</v>
      </c>
      <c r="I48" s="808">
        <v>-3.8653972592373687E-2</v>
      </c>
      <c r="J48" s="809">
        <v>-9.9786393098763471E-2</v>
      </c>
      <c r="K48" s="808">
        <v>-0.11114149107943461</v>
      </c>
      <c r="L48" s="808">
        <v>0.10284323396752049</v>
      </c>
      <c r="M48" s="808">
        <v>0.14496713294131536</v>
      </c>
      <c r="N48" s="809">
        <v>-3.6238513355438817E-2</v>
      </c>
      <c r="O48" s="808">
        <v>1.2124652325311125E-2</v>
      </c>
      <c r="P48" s="808">
        <v>2.8972089468421336E-2</v>
      </c>
      <c r="Q48" s="808">
        <v>6.6904705163352451E-2</v>
      </c>
      <c r="R48" s="808">
        <v>-0.27247492802092776</v>
      </c>
      <c r="T48" s="906" t="s">
        <v>674</v>
      </c>
      <c r="U48" s="900">
        <f>U49+SUMIFS('HRSG 수주 시나리오'!$F$38:$F$44,'HRSG 수주 시나리오'!$B$38:$B$44,"가능",'HRSG 수주 시나리오'!$I$38:$I$44,U$41)</f>
        <v>0</v>
      </c>
      <c r="V48" s="900">
        <f>V49+SUMIFS('HRSG 수주 시나리오'!$F$38:$F$44,'HRSG 수주 시나리오'!$B$38:$B$44,"가능",'HRSG 수주 시나리오'!$I$38:$I$44,V$41)</f>
        <v>634608.9919415554</v>
      </c>
      <c r="W48" s="900">
        <f>W49+SUMIFS('HRSG 수주 시나리오'!$F$38:$F$44,'HRSG 수주 시나리오'!$B$38:$B$44,"가능",'HRSG 수주 시나리오'!$I$38:$I$44,W$41)</f>
        <v>359582.51818181819</v>
      </c>
      <c r="X48" s="900">
        <f>X49+SUMIFS('HRSG 수주 시나리오'!$F$38:$F$44,'HRSG 수주 시나리오'!$B$38:$B$44,"가능",'HRSG 수주 시나리오'!$I$38:$I$44,X$41)</f>
        <v>0</v>
      </c>
    </row>
    <row r="49" spans="2:24">
      <c r="T49" s="906" t="s">
        <v>673</v>
      </c>
      <c r="U49" s="900">
        <f>U50+SUMIFS('HRSG 수주 시나리오'!$F$38:$F$44,'HRSG 수주 시나리오'!$B$38:$B$44,"확실",'HRSG 수주 시나리오'!$I$38:$I$44,U$41)</f>
        <v>0</v>
      </c>
      <c r="V49" s="900">
        <f>V50+SUMIFS('HRSG 수주 시나리오'!$F$38:$F$44,'HRSG 수주 시나리오'!$B$38:$B$44,"확실",'HRSG 수주 시나리오'!$I$38:$I$44,V$41)</f>
        <v>344636.98972077772</v>
      </c>
      <c r="W49" s="900">
        <f>W50+SUMIFS('HRSG 수주 시나리오'!$F$38:$F$44,'HRSG 수주 시나리오'!$B$38:$B$44,"확실",'HRSG 수주 시나리오'!$I$38:$I$44,W$41)</f>
        <v>140922.56818181818</v>
      </c>
      <c r="X49" s="900">
        <f>X50+SUMIFS('HRSG 수주 시나리오'!$F$38:$F$44,'HRSG 수주 시나리오'!$B$38:$B$44,"확실",'HRSG 수주 시나리오'!$I$38:$I$44,X$41)</f>
        <v>0</v>
      </c>
    </row>
    <row r="50" spans="2:24">
      <c r="B50" s="6" t="s">
        <v>673</v>
      </c>
      <c r="T50" s="931" t="s">
        <v>428</v>
      </c>
      <c r="U50" s="932"/>
      <c r="V50" s="932"/>
      <c r="W50" s="932"/>
      <c r="X50" s="932"/>
    </row>
    <row r="51" spans="2:24">
      <c r="B51" s="908" t="s">
        <v>7</v>
      </c>
      <c r="C51" s="909" t="s">
        <v>1696</v>
      </c>
      <c r="D51" s="921" t="s">
        <v>1161</v>
      </c>
      <c r="E51" s="921" t="s">
        <v>990</v>
      </c>
      <c r="F51" s="922" t="s">
        <v>982</v>
      </c>
      <c r="G51" s="921" t="s">
        <v>953</v>
      </c>
      <c r="H51" s="921" t="s">
        <v>939</v>
      </c>
      <c r="I51" s="921" t="s">
        <v>954</v>
      </c>
      <c r="J51" s="922" t="s">
        <v>940</v>
      </c>
      <c r="K51" s="921" t="s">
        <v>943</v>
      </c>
      <c r="L51" s="921" t="s">
        <v>944</v>
      </c>
      <c r="M51" s="921" t="s">
        <v>941</v>
      </c>
      <c r="N51" s="922" t="s">
        <v>942</v>
      </c>
      <c r="O51" s="921" t="s">
        <v>945</v>
      </c>
      <c r="P51" s="921" t="s">
        <v>946</v>
      </c>
      <c r="Q51" s="921" t="s">
        <v>955</v>
      </c>
      <c r="R51" s="921" t="s">
        <v>949</v>
      </c>
      <c r="T51" s="906" t="s">
        <v>675</v>
      </c>
      <c r="U51" s="900">
        <f>U52+SUMIFS('HRSG 수주 시나리오'!$F$67:$F$70,'HRSG 수주 시나리오'!$B$67:$B$70,"잠재",'HRSG 수주 시나리오'!$I$67:$I$70,U$41)</f>
        <v>66187.838111999998</v>
      </c>
      <c r="V51" s="900">
        <f>V52+SUMIFS('HRSG 수주 시나리오'!$F$67:$F$70,'HRSG 수주 시나리오'!$B$67:$B$70,"잠재",'HRSG 수주 시나리오'!$I$67:$I$70,V$41)</f>
        <v>66187.838111999998</v>
      </c>
      <c r="W51" s="900">
        <f>W52+SUMIFS('HRSG 수주 시나리오'!$F$67:$F$70,'HRSG 수주 시나리오'!$B$67:$B$70,"잠재",'HRSG 수주 시나리오'!$I$67:$I$70,W$41)</f>
        <v>66187.838111999998</v>
      </c>
      <c r="X51" s="900">
        <f>X52+SUMIFS('HRSG 수주 시나리오'!$F$67:$F$70,'HRSG 수주 시나리오'!$B$67:$B$70,"잠재",'HRSG 수주 시나리오'!$I$67:$I$70,X$41)</f>
        <v>66187.838111999998</v>
      </c>
    </row>
    <row r="52" spans="2:24">
      <c r="B52" s="947" t="s">
        <v>53</v>
      </c>
      <c r="C52" s="912">
        <v>98656</v>
      </c>
      <c r="D52" s="912">
        <v>100885.48322015253</v>
      </c>
      <c r="E52" s="912">
        <v>136278.5277620175</v>
      </c>
      <c r="F52" s="926">
        <v>187034.59624209246</v>
      </c>
      <c r="G52" s="912">
        <v>210124.069664807</v>
      </c>
      <c r="H52" s="912">
        <v>212189.46485254326</v>
      </c>
      <c r="I52" s="912">
        <v>203930.57418465524</v>
      </c>
      <c r="J52" s="926">
        <v>183434.12437889219</v>
      </c>
      <c r="K52" s="912">
        <v>156018.90946200729</v>
      </c>
      <c r="L52" s="912">
        <v>137436.42648548217</v>
      </c>
      <c r="M52" s="912">
        <v>131618.70638522593</v>
      </c>
      <c r="N52" s="926">
        <v>119952.89551047885</v>
      </c>
      <c r="O52" s="912">
        <v>121063.80576588954</v>
      </c>
      <c r="P52" s="912">
        <v>110554.68674266148</v>
      </c>
      <c r="Q52" s="912">
        <v>95447.146388564521</v>
      </c>
      <c r="R52" s="912">
        <v>67712.327042271005</v>
      </c>
      <c r="T52" s="906" t="s">
        <v>674</v>
      </c>
      <c r="U52" s="900">
        <f>U53+SUMIFS('HRSG 수주 시나리오'!$F$67:$F$70,'HRSG 수주 시나리오'!$B$67:$B$70,"가능",'HRSG 수주 시나리오'!$I$67:$I$70,U$41)</f>
        <v>66187.838111999998</v>
      </c>
      <c r="V52" s="900">
        <f>V53+SUMIFS('HRSG 수주 시나리오'!$F$67:$F$70,'HRSG 수주 시나리오'!$B$67:$B$70,"가능",'HRSG 수주 시나리오'!$I$67:$I$70,V$41)</f>
        <v>66187.838111999998</v>
      </c>
      <c r="W52" s="900">
        <f>W53+SUMIFS('HRSG 수주 시나리오'!$F$67:$F$70,'HRSG 수주 시나리오'!$B$67:$B$70,"가능",'HRSG 수주 시나리오'!$I$67:$I$70,W$41)</f>
        <v>66187.838111999998</v>
      </c>
      <c r="X52" s="900">
        <f>X53+SUMIFS('HRSG 수주 시나리오'!$F$67:$F$70,'HRSG 수주 시나리오'!$B$67:$B$70,"가능",'HRSG 수주 시나리오'!$I$67:$I$70,X$41)</f>
        <v>66187.838111999998</v>
      </c>
    </row>
    <row r="53" spans="2:24">
      <c r="B53" s="807" t="s">
        <v>1694</v>
      </c>
      <c r="C53" s="814"/>
      <c r="D53" s="808">
        <v>2.2598556804984238E-2</v>
      </c>
      <c r="E53" s="808">
        <v>0.35082395813707112</v>
      </c>
      <c r="F53" s="809">
        <v>0.37244362199678305</v>
      </c>
      <c r="G53" s="808">
        <v>0.1234502807856368</v>
      </c>
      <c r="H53" s="808">
        <v>9.8294078875922342E-3</v>
      </c>
      <c r="I53" s="808">
        <v>-3.8922246557468676E-2</v>
      </c>
      <c r="J53" s="809">
        <v>-0.10050699797080898</v>
      </c>
      <c r="K53" s="808">
        <v>-0.14945536993028308</v>
      </c>
      <c r="L53" s="808">
        <v>-0.11910404348166659</v>
      </c>
      <c r="M53" s="808">
        <v>-4.2330263155312631E-2</v>
      </c>
      <c r="N53" s="809">
        <v>-8.8633380430006681E-2</v>
      </c>
      <c r="O53" s="808">
        <v>9.2612208374214244E-3</v>
      </c>
      <c r="P53" s="808">
        <v>-8.6806448523106594E-2</v>
      </c>
      <c r="Q53" s="808">
        <v>-0.13665219267694029</v>
      </c>
      <c r="R53" s="808">
        <v>-0.29057777414722596</v>
      </c>
      <c r="T53" s="906" t="s">
        <v>673</v>
      </c>
      <c r="U53" s="900">
        <f>U54+SUMIFS('HRSG 수주 시나리오'!$F$67:$F$70,'HRSG 수주 시나리오'!$B$67:$B$70,"확실",'HRSG 수주 시나리오'!$I$67:$I$70,U$41)</f>
        <v>0</v>
      </c>
      <c r="V53" s="900">
        <f>V54+SUMIFS('HRSG 수주 시나리오'!$F$67:$F$70,'HRSG 수주 시나리오'!$B$67:$B$70,"확실",'HRSG 수주 시나리오'!$I$67:$I$70,V$41)</f>
        <v>0</v>
      </c>
      <c r="W53" s="900">
        <f>W54+SUMIFS('HRSG 수주 시나리오'!$F$67:$F$70,'HRSG 수주 시나리오'!$B$67:$B$70,"확실",'HRSG 수주 시나리오'!$I$67:$I$70,W$41)</f>
        <v>0</v>
      </c>
      <c r="X53" s="900">
        <f>X54+SUMIFS('HRSG 수주 시나리오'!$F$67:$F$70,'HRSG 수주 시나리오'!$B$67:$B$70,"확실",'HRSG 수주 시나리오'!$I$67:$I$70,X$41)</f>
        <v>0</v>
      </c>
    </row>
    <row r="54" spans="2:24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T54" s="931" t="s">
        <v>450</v>
      </c>
      <c r="U54" s="932"/>
      <c r="V54" s="932"/>
      <c r="W54" s="932"/>
      <c r="X54" s="932"/>
    </row>
    <row r="55" spans="2:24">
      <c r="T55" s="906" t="s">
        <v>675</v>
      </c>
      <c r="U55" s="900">
        <f>U56+SUMIFS('HRSG 수주 시나리오'!$F$54:$F$56,'HRSG 수주 시나리오'!$B$54:$B$56,"잠재",'HRSG 수주 시나리오'!$I$54:$I$56,U$41)</f>
        <v>0</v>
      </c>
      <c r="V55" s="900">
        <f>V56+SUMIFS('HRSG 수주 시나리오'!$F$54:$F$56,'HRSG 수주 시나리오'!$B$54:$B$56,"잠재",'HRSG 수주 시나리오'!$I$54:$I$56,V$41)</f>
        <v>94346.669592246151</v>
      </c>
      <c r="W55" s="900">
        <f>W56+SUMIFS('HRSG 수주 시나리오'!$F$54:$F$56,'HRSG 수주 시나리오'!$B$54:$B$56,"잠재",'HRSG 수주 시나리오'!$I$54:$I$56,W$41)</f>
        <v>180368.63304400002</v>
      </c>
      <c r="X55" s="900">
        <f>X56+SUMIFS('HRSG 수주 시나리오'!$F$54:$F$56,'HRSG 수주 시나리오'!$B$54:$B$56,"잠재",'HRSG 수주 시나리오'!$I$54:$I$56,X$41)</f>
        <v>0</v>
      </c>
    </row>
    <row r="56" spans="2:24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T56" s="906" t="s">
        <v>674</v>
      </c>
      <c r="U56" s="928">
        <f>U57+SUMIFS('HRSG 수주 시나리오'!$F$54:$F$56,'HRSG 수주 시나리오'!$B$54:$B$56,"가능",'HRSG 수주 시나리오'!$I$54:$I$56,U$41)</f>
        <v>0</v>
      </c>
      <c r="V56" s="900">
        <f>V57+SUMIFS('HRSG 수주 시나리오'!$F$54:$F$56,'HRSG 수주 시나리오'!$B$54:$B$56,"가능",'HRSG 수주 시나리오'!$I$54:$I$56,V$41)</f>
        <v>94346.669592246151</v>
      </c>
      <c r="W56" s="900">
        <f>W57+SUMIFS('HRSG 수주 시나리오'!$F$54:$F$56,'HRSG 수주 시나리오'!$B$54:$B$56,"가능",'HRSG 수주 시나리오'!$I$54:$I$56,W$41)</f>
        <v>97121.571639076923</v>
      </c>
      <c r="X56" s="900">
        <f>X57+SUMIFS('HRSG 수주 시나리오'!$F$54:$F$56,'HRSG 수주 시나리오'!$B$54:$B$56,"가능",'HRSG 수주 시나리오'!$I$54:$I$56,X$41)</f>
        <v>0</v>
      </c>
    </row>
    <row r="57" spans="2:24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T57" s="907" t="s">
        <v>673</v>
      </c>
      <c r="U57" s="929">
        <f>U39+SUMIFS('HRSG 수주 시나리오'!$F$54:$F$56,'HRSG 수주 시나리오'!$B$54:$B$56,"확실",'HRSG 수주 시나리오'!$I$54:$I$56,U$41)</f>
        <v>0</v>
      </c>
      <c r="V57" s="903">
        <f>V39+SUMIFS('HRSG 수주 시나리오'!$F$54:$F$56,'HRSG 수주 시나리오'!$B$54:$B$56,"확실",'HRSG 수주 시나리오'!$I$54:$I$56,V$41)</f>
        <v>0</v>
      </c>
      <c r="W57" s="903">
        <f>W39+SUMIFS('HRSG 수주 시나리오'!$F$54:$F$56,'HRSG 수주 시나리오'!$B$54:$B$56,"확실",'HRSG 수주 시나리오'!$I$54:$I$56,W$41)</f>
        <v>0</v>
      </c>
      <c r="X57" s="903">
        <f>X39+SUMIFS('HRSG 수주 시나리오'!$F$54:$F$56,'HRSG 수주 시나리오'!$B$54:$B$56,"확실",'HRSG 수주 시나리오'!$I$54:$I$56,X$41)</f>
        <v>0</v>
      </c>
    </row>
    <row r="58" spans="2:24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2:24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1" spans="2:24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2:24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2:24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2:24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</sheetData>
  <phoneticPr fontId="2" type="noConversion"/>
  <conditionalFormatting sqref="B18:B21">
    <cfRule type="expression" dxfId="170" priority="27">
      <formula>$B18=3</formula>
    </cfRule>
    <cfRule type="expression" dxfId="169" priority="28">
      <formula>$B18=2</formula>
    </cfRule>
    <cfRule type="expression" dxfId="168" priority="29">
      <formula>$B18=1</formula>
    </cfRule>
  </conditionalFormatting>
  <conditionalFormatting sqref="B23:B38">
    <cfRule type="expression" dxfId="167" priority="23">
      <formula>$B23=3</formula>
    </cfRule>
    <cfRule type="expression" dxfId="166" priority="24">
      <formula>$B23=2</formula>
    </cfRule>
    <cfRule type="expression" dxfId="165" priority="25">
      <formula>$B23=1</formula>
    </cfRule>
  </conditionalFormatting>
  <conditionalFormatting sqref="C8:R8">
    <cfRule type="cellIs" dxfId="164" priority="32" operator="lessThan">
      <formula>0</formula>
    </cfRule>
  </conditionalFormatting>
  <conditionalFormatting sqref="C11:R11">
    <cfRule type="cellIs" dxfId="163" priority="33" operator="lessThan">
      <formula>0</formula>
    </cfRule>
  </conditionalFormatting>
  <conditionalFormatting sqref="C39:R39">
    <cfRule type="cellIs" dxfId="162" priority="21" operator="equal">
      <formula>TRUE</formula>
    </cfRule>
  </conditionalFormatting>
  <conditionalFormatting sqref="C41:R41">
    <cfRule type="cellIs" dxfId="161" priority="11" operator="lessThan">
      <formula>0</formula>
    </cfRule>
  </conditionalFormatting>
  <conditionalFormatting sqref="C46:R46">
    <cfRule type="cellIs" dxfId="160" priority="10" operator="lessThan">
      <formula>0</formula>
    </cfRule>
  </conditionalFormatting>
  <conditionalFormatting sqref="C51:R51">
    <cfRule type="cellIs" dxfId="159" priority="9" operator="lessThan">
      <formula>0</formula>
    </cfRule>
  </conditionalFormatting>
  <conditionalFormatting sqref="T18:T21">
    <cfRule type="expression" dxfId="158" priority="5">
      <formula>$B18=3</formula>
    </cfRule>
    <cfRule type="expression" dxfId="157" priority="6">
      <formula>$B18=2</formula>
    </cfRule>
    <cfRule type="expression" dxfId="156" priority="7">
      <formula>$B18=1</formula>
    </cfRule>
  </conditionalFormatting>
  <conditionalFormatting sqref="T23:T38">
    <cfRule type="expression" dxfId="155" priority="2">
      <formula>$B23=3</formula>
    </cfRule>
    <cfRule type="expression" dxfId="154" priority="3">
      <formula>$B23=2</formula>
    </cfRule>
    <cfRule type="expression" dxfId="153" priority="4">
      <formula>$B23=1</formula>
    </cfRule>
  </conditionalFormatting>
  <conditionalFormatting sqref="T42:T57">
    <cfRule type="expression" dxfId="152" priority="16">
      <formula>$B23=3</formula>
    </cfRule>
    <cfRule type="expression" dxfId="151" priority="17">
      <formula>$B23=2</formula>
    </cfRule>
    <cfRule type="expression" dxfId="150" priority="18">
      <formula>$B23=1</formula>
    </cfRule>
  </conditionalFormatting>
  <conditionalFormatting sqref="T8:X8">
    <cfRule type="cellIs" dxfId="149" priority="31" operator="lessThan">
      <formula>0</formula>
    </cfRule>
  </conditionalFormatting>
  <conditionalFormatting sqref="T11:X16">
    <cfRule type="cellIs" dxfId="148" priority="26" operator="lessThan">
      <formula>0</formula>
    </cfRule>
  </conditionalFormatting>
  <conditionalFormatting sqref="T41:X41">
    <cfRule type="cellIs" dxfId="147" priority="19" operator="lessThan">
      <formula>0</formula>
    </cfRule>
  </conditionalFormatting>
  <conditionalFormatting sqref="U18:X21">
    <cfRule type="cellIs" dxfId="146" priority="8" operator="lessThan">
      <formula>0</formula>
    </cfRule>
  </conditionalFormatting>
  <conditionalFormatting sqref="U24:X26 U28:X30 U32:X34 U36:X38">
    <cfRule type="cellIs" dxfId="145" priority="1" operator="lessThan">
      <formula>0</formula>
    </cfRule>
  </conditionalFormatting>
  <conditionalFormatting sqref="X5">
    <cfRule type="cellIs" dxfId="144" priority="30" operator="lessThan">
      <formula>0</formula>
    </cfRule>
  </conditionalFormatting>
  <conditionalFormatting sqref="Z8">
    <cfRule type="cellIs" dxfId="143" priority="12" operator="lessThan">
      <formula>0</formula>
    </cfRule>
  </conditionalFormatting>
  <conditionalFormatting sqref="Z17:Z19">
    <cfRule type="expression" dxfId="142" priority="104">
      <formula>$Z17=3</formula>
    </cfRule>
    <cfRule type="expression" dxfId="141" priority="105">
      <formula>$Z17=2</formula>
    </cfRule>
    <cfRule type="expression" dxfId="140" priority="106">
      <formula>$Z17=1</formula>
    </cfRule>
  </conditionalFormatting>
  <conditionalFormatting sqref="Z20:Z21">
    <cfRule type="expression" dxfId="139" priority="113">
      <formula>#REF!=3</formula>
    </cfRule>
    <cfRule type="expression" dxfId="138" priority="114">
      <formula>#REF!=2</formula>
    </cfRule>
    <cfRule type="expression" dxfId="137" priority="115">
      <formula>#REF!=1</formula>
    </cfRule>
  </conditionalFormatting>
  <dataValidations count="1">
    <dataValidation type="list" allowBlank="1" showInputMessage="1" showErrorMessage="1" sqref="C5" xr:uid="{96017C92-E6AC-4C33-AACB-F4EBCA4AE394}">
      <formula1>"Bull, Base, Bear"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1564-36F0-471D-AA69-13AB73D32595}">
  <sheetPr>
    <tabColor theme="2" tint="-9.9978637043366805E-2"/>
  </sheetPr>
  <dimension ref="A1:Z16"/>
  <sheetViews>
    <sheetView zoomScale="85" zoomScaleNormal="85" workbookViewId="0">
      <selection sqref="A1:XFD3"/>
    </sheetView>
  </sheetViews>
  <sheetFormatPr defaultRowHeight="15"/>
  <cols>
    <col min="1" max="1" width="2.5" style="6" bestFit="1" customWidth="1"/>
    <col min="2" max="2" width="25.69921875" style="6" customWidth="1"/>
    <col min="3" max="18" width="10.69921875" style="900" customWidth="1"/>
    <col min="19" max="19" width="1.69921875" style="6" customWidth="1"/>
    <col min="20" max="24" width="10.69921875" style="6" customWidth="1"/>
    <col min="25" max="25" width="1.69921875" style="6" customWidth="1"/>
    <col min="26" max="26" width="100.69921875" style="6" customWidth="1"/>
    <col min="27" max="16384" width="8.796875" style="6"/>
  </cols>
  <sheetData>
    <row r="1" spans="1:26" s="197" customFormat="1" ht="16.8">
      <c r="B1" s="198" t="s">
        <v>1777</v>
      </c>
    </row>
    <row r="2" spans="1:26" s="197" customFormat="1" ht="22.8" thickBot="1">
      <c r="B2" s="199" t="s">
        <v>425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26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4" spans="1:26" ht="15.6" thickBot="1"/>
    <row r="5" spans="1:26" s="581" customFormat="1">
      <c r="B5" s="918" t="s">
        <v>1689</v>
      </c>
      <c r="C5" s="919" t="s">
        <v>1688</v>
      </c>
      <c r="D5" s="920"/>
      <c r="E5" s="920"/>
      <c r="F5" s="920"/>
      <c r="G5" s="920"/>
      <c r="H5" s="920"/>
      <c r="I5" s="920"/>
      <c r="J5" s="920"/>
      <c r="K5" s="920"/>
      <c r="L5" s="920"/>
      <c r="M5" s="920"/>
      <c r="N5" s="920"/>
      <c r="O5" s="920"/>
      <c r="P5" s="920"/>
      <c r="Q5" s="920"/>
      <c r="R5" s="920"/>
      <c r="X5" s="911" t="s">
        <v>1702</v>
      </c>
    </row>
    <row r="6" spans="1:26" ht="15.6" thickBot="1">
      <c r="B6" s="84" t="s">
        <v>1690</v>
      </c>
      <c r="C6" s="923">
        <f>IF(C5="Bull",1, IF(C5="Base",2,3))</f>
        <v>1</v>
      </c>
      <c r="X6" s="892">
        <f>RATE(5,0,-T9,X9)</f>
        <v>0.27399578156105497</v>
      </c>
    </row>
    <row r="7" spans="1:26" s="118" customFormat="1">
      <c r="C7" s="901" t="e">
        <f>2000+RIGHT(C8,2)</f>
        <v>#VALUE!</v>
      </c>
      <c r="D7" s="901">
        <f t="shared" ref="D7:R7" si="0">2000+RIGHT(D8,2)</f>
        <v>2025</v>
      </c>
      <c r="E7" s="901">
        <f t="shared" si="0"/>
        <v>2025</v>
      </c>
      <c r="F7" s="901">
        <f t="shared" si="0"/>
        <v>2025</v>
      </c>
      <c r="G7" s="901">
        <f t="shared" si="0"/>
        <v>2026</v>
      </c>
      <c r="H7" s="901">
        <f t="shared" si="0"/>
        <v>2026</v>
      </c>
      <c r="I7" s="901">
        <f t="shared" si="0"/>
        <v>2026</v>
      </c>
      <c r="J7" s="901">
        <f t="shared" si="0"/>
        <v>2026</v>
      </c>
      <c r="K7" s="901">
        <f t="shared" si="0"/>
        <v>2027</v>
      </c>
      <c r="L7" s="901">
        <f t="shared" si="0"/>
        <v>2027</v>
      </c>
      <c r="M7" s="901">
        <f t="shared" si="0"/>
        <v>2027</v>
      </c>
      <c r="N7" s="901">
        <f t="shared" si="0"/>
        <v>2027</v>
      </c>
      <c r="O7" s="901">
        <f t="shared" si="0"/>
        <v>2028</v>
      </c>
      <c r="P7" s="901">
        <f t="shared" si="0"/>
        <v>2028</v>
      </c>
      <c r="Q7" s="901">
        <f t="shared" si="0"/>
        <v>2028</v>
      </c>
      <c r="R7" s="901">
        <f t="shared" si="0"/>
        <v>2028</v>
      </c>
    </row>
    <row r="8" spans="1:26" s="581" customFormat="1">
      <c r="A8" s="581" t="s">
        <v>1691</v>
      </c>
      <c r="B8" s="908" t="s">
        <v>7</v>
      </c>
      <c r="C8" s="909" t="s">
        <v>1697</v>
      </c>
      <c r="D8" s="921" t="s">
        <v>1161</v>
      </c>
      <c r="E8" s="921" t="s">
        <v>990</v>
      </c>
      <c r="F8" s="922" t="s">
        <v>982</v>
      </c>
      <c r="G8" s="921" t="s">
        <v>953</v>
      </c>
      <c r="H8" s="921" t="s">
        <v>939</v>
      </c>
      <c r="I8" s="921" t="s">
        <v>954</v>
      </c>
      <c r="J8" s="922" t="s">
        <v>940</v>
      </c>
      <c r="K8" s="921" t="s">
        <v>943</v>
      </c>
      <c r="L8" s="921" t="s">
        <v>944</v>
      </c>
      <c r="M8" s="921" t="s">
        <v>941</v>
      </c>
      <c r="N8" s="922" t="s">
        <v>942</v>
      </c>
      <c r="O8" s="921" t="s">
        <v>945</v>
      </c>
      <c r="P8" s="921" t="s">
        <v>946</v>
      </c>
      <c r="Q8" s="921" t="s">
        <v>955</v>
      </c>
      <c r="R8" s="921" t="s">
        <v>949</v>
      </c>
      <c r="T8" s="927" t="s">
        <v>1692</v>
      </c>
      <c r="U8" s="910" t="s">
        <v>1693</v>
      </c>
      <c r="V8" s="910" t="s">
        <v>1349</v>
      </c>
      <c r="W8" s="910" t="s">
        <v>1347</v>
      </c>
      <c r="X8" s="910" t="s">
        <v>1348</v>
      </c>
      <c r="Z8" s="946" t="s">
        <v>1703</v>
      </c>
    </row>
    <row r="9" spans="1:26" s="581" customFormat="1">
      <c r="B9" s="947" t="str">
        <f>B2</f>
        <v>Boiler</v>
      </c>
      <c r="C9" s="890">
        <f>SUM(C11,C14)</f>
        <v>20124</v>
      </c>
      <c r="D9" s="890">
        <f t="shared" ref="D9:R9" si="1">SUM(D11,D14)</f>
        <v>20124</v>
      </c>
      <c r="E9" s="890">
        <f t="shared" si="1"/>
        <v>36980.885714285716</v>
      </c>
      <c r="F9" s="891">
        <f t="shared" si="1"/>
        <v>36980.885714285716</v>
      </c>
      <c r="G9" s="890">
        <f t="shared" si="1"/>
        <v>36980.885714285716</v>
      </c>
      <c r="H9" s="890">
        <f t="shared" si="1"/>
        <v>36980.885714285716</v>
      </c>
      <c r="I9" s="890">
        <f t="shared" si="1"/>
        <v>36980.885714285716</v>
      </c>
      <c r="J9" s="891">
        <f t="shared" si="1"/>
        <v>36980.885714285716</v>
      </c>
      <c r="K9" s="890">
        <f t="shared" si="1"/>
        <v>57400.885714285716</v>
      </c>
      <c r="L9" s="890">
        <f t="shared" si="1"/>
        <v>57400.885714285716</v>
      </c>
      <c r="M9" s="890">
        <f t="shared" si="1"/>
        <v>57400.885714285716</v>
      </c>
      <c r="N9" s="891">
        <f t="shared" si="1"/>
        <v>57400.885714285716</v>
      </c>
      <c r="O9" s="890">
        <f t="shared" si="1"/>
        <v>57400.885714285716</v>
      </c>
      <c r="P9" s="890">
        <f t="shared" si="1"/>
        <v>57400.885714285716</v>
      </c>
      <c r="Q9" s="890">
        <f t="shared" si="1"/>
        <v>57400.885714285716</v>
      </c>
      <c r="R9" s="890">
        <f t="shared" si="1"/>
        <v>57400.885714285716</v>
      </c>
      <c r="T9" s="912">
        <v>68413</v>
      </c>
      <c r="U9" s="912">
        <f>SUMIF($C$7:$R$7,U$8,$C9:$R9)</f>
        <v>94085.771428571432</v>
      </c>
      <c r="V9" s="912">
        <f t="shared" ref="V9:X9" si="2">SUMIF($C$7:$R$7,V$8,$C9:$R9)</f>
        <v>147923.54285714286</v>
      </c>
      <c r="W9" s="912">
        <f t="shared" si="2"/>
        <v>229603.54285714286</v>
      </c>
      <c r="X9" s="912">
        <f t="shared" si="2"/>
        <v>229603.54285714286</v>
      </c>
      <c r="Z9" s="948"/>
    </row>
    <row r="10" spans="1:26" s="66" customFormat="1">
      <c r="B10" s="807" t="s">
        <v>422</v>
      </c>
      <c r="C10" s="814"/>
      <c r="D10" s="808">
        <f t="shared" ref="D10:R10" si="3">D9/C9-1</f>
        <v>0</v>
      </c>
      <c r="E10" s="808">
        <f t="shared" si="3"/>
        <v>0.8376508504415483</v>
      </c>
      <c r="F10" s="809">
        <f t="shared" si="3"/>
        <v>0</v>
      </c>
      <c r="G10" s="808">
        <f t="shared" si="3"/>
        <v>0</v>
      </c>
      <c r="H10" s="808">
        <f t="shared" si="3"/>
        <v>0</v>
      </c>
      <c r="I10" s="808">
        <f t="shared" si="3"/>
        <v>0</v>
      </c>
      <c r="J10" s="809">
        <f t="shared" si="3"/>
        <v>0</v>
      </c>
      <c r="K10" s="808">
        <f t="shared" si="3"/>
        <v>0.55217714788566452</v>
      </c>
      <c r="L10" s="808">
        <f t="shared" si="3"/>
        <v>0</v>
      </c>
      <c r="M10" s="808">
        <f t="shared" si="3"/>
        <v>0</v>
      </c>
      <c r="N10" s="809">
        <f t="shared" si="3"/>
        <v>0</v>
      </c>
      <c r="O10" s="808">
        <f t="shared" si="3"/>
        <v>0</v>
      </c>
      <c r="P10" s="808">
        <f t="shared" si="3"/>
        <v>0</v>
      </c>
      <c r="Q10" s="808">
        <f t="shared" si="3"/>
        <v>0</v>
      </c>
      <c r="R10" s="808">
        <f t="shared" si="3"/>
        <v>0</v>
      </c>
      <c r="T10" s="808"/>
      <c r="U10" s="808">
        <f>U9/T9-1</f>
        <v>0.37526159397441172</v>
      </c>
      <c r="V10" s="808">
        <f>V9/U9-1</f>
        <v>0.57222012012139678</v>
      </c>
      <c r="W10" s="808">
        <f>W9/V9-1</f>
        <v>0.55217714788566452</v>
      </c>
      <c r="X10" s="808">
        <f>X9/W9-1</f>
        <v>0</v>
      </c>
      <c r="Z10" s="936"/>
    </row>
    <row r="11" spans="1:26" s="913" customFormat="1">
      <c r="B11" s="914" t="s">
        <v>1695</v>
      </c>
      <c r="C11" s="915">
        <f>SUM(C12:C13)</f>
        <v>20124</v>
      </c>
      <c r="D11" s="915">
        <f t="shared" ref="D11:R11" si="4">SUM(D12:D13)</f>
        <v>20124</v>
      </c>
      <c r="E11" s="915">
        <f t="shared" si="4"/>
        <v>36980.885714285716</v>
      </c>
      <c r="F11" s="924">
        <f t="shared" si="4"/>
        <v>36980.885714285716</v>
      </c>
      <c r="G11" s="915">
        <f t="shared" si="4"/>
        <v>36980.885714285716</v>
      </c>
      <c r="H11" s="915">
        <f t="shared" si="4"/>
        <v>36980.885714285716</v>
      </c>
      <c r="I11" s="915">
        <f t="shared" si="4"/>
        <v>36980.885714285716</v>
      </c>
      <c r="J11" s="924">
        <f t="shared" si="4"/>
        <v>36980.885714285716</v>
      </c>
      <c r="K11" s="915">
        <f t="shared" si="4"/>
        <v>36980.885714285716</v>
      </c>
      <c r="L11" s="915">
        <f t="shared" si="4"/>
        <v>36980.885714285716</v>
      </c>
      <c r="M11" s="915">
        <f t="shared" si="4"/>
        <v>36980.885714285716</v>
      </c>
      <c r="N11" s="924">
        <f t="shared" si="4"/>
        <v>36980.885714285716</v>
      </c>
      <c r="O11" s="915">
        <f t="shared" si="4"/>
        <v>36980.885714285716</v>
      </c>
      <c r="P11" s="915">
        <f t="shared" si="4"/>
        <v>36980.885714285716</v>
      </c>
      <c r="Q11" s="915">
        <f t="shared" si="4"/>
        <v>36980.885714285716</v>
      </c>
      <c r="R11" s="915">
        <f t="shared" si="4"/>
        <v>36980.885714285716</v>
      </c>
      <c r="T11" s="6"/>
      <c r="U11" s="6"/>
      <c r="V11" s="6"/>
      <c r="W11" s="6"/>
      <c r="X11" s="6"/>
      <c r="Z11" s="940"/>
    </row>
    <row r="12" spans="1:26" s="913" customFormat="1">
      <c r="B12" s="905" t="s">
        <v>1715</v>
      </c>
      <c r="C12" s="900">
        <f>'기존수주 매출'!AF44</f>
        <v>0</v>
      </c>
      <c r="D12" s="900">
        <f>'기존수주 매출'!AG44</f>
        <v>0</v>
      </c>
      <c r="E12" s="900">
        <f>'기존수주 매출'!AH44</f>
        <v>36980.885714285716</v>
      </c>
      <c r="F12" s="902">
        <f>'기존수주 매출'!AI44</f>
        <v>36980.885714285716</v>
      </c>
      <c r="G12" s="900">
        <f>'기존수주 매출'!AJ44</f>
        <v>36980.885714285716</v>
      </c>
      <c r="H12" s="900">
        <f>'기존수주 매출'!AK44</f>
        <v>36980.885714285716</v>
      </c>
      <c r="I12" s="900">
        <f>'기존수주 매출'!AL44</f>
        <v>36980.885714285716</v>
      </c>
      <c r="J12" s="902">
        <f>'기존수주 매출'!AM44</f>
        <v>36980.885714285716</v>
      </c>
      <c r="K12" s="900">
        <f>'기존수주 매출'!AN44</f>
        <v>36980.885714285716</v>
      </c>
      <c r="L12" s="900">
        <f>'기존수주 매출'!AO44</f>
        <v>36980.885714285716</v>
      </c>
      <c r="M12" s="900">
        <f>'기존수주 매출'!AP44</f>
        <v>36980.885714285716</v>
      </c>
      <c r="N12" s="902">
        <f>'기존수주 매출'!AQ44</f>
        <v>36980.885714285716</v>
      </c>
      <c r="O12" s="900">
        <f>'기존수주 매출'!AR44</f>
        <v>36980.885714285716</v>
      </c>
      <c r="P12" s="900">
        <f>'기존수주 매출'!AS44</f>
        <v>36980.885714285716</v>
      </c>
      <c r="Q12" s="900">
        <f>'기존수주 매출'!AT44</f>
        <v>36980.885714285716</v>
      </c>
      <c r="R12" s="900">
        <f>'기존수주 매출'!AU44</f>
        <v>36980.885714285716</v>
      </c>
      <c r="T12" s="6"/>
      <c r="U12" s="6"/>
      <c r="V12" s="6"/>
      <c r="W12" s="6"/>
      <c r="X12" s="6"/>
      <c r="Z12" s="949" t="s">
        <v>1712</v>
      </c>
    </row>
    <row r="13" spans="1:26" s="8" customFormat="1">
      <c r="B13" s="967" t="s">
        <v>1719</v>
      </c>
      <c r="C13" s="968">
        <f>재무분석!AA40</f>
        <v>20124</v>
      </c>
      <c r="D13" s="968">
        <f>C13</f>
        <v>20124</v>
      </c>
      <c r="E13" s="968">
        <v>0</v>
      </c>
      <c r="F13" s="969">
        <v>0</v>
      </c>
      <c r="G13" s="968">
        <v>0</v>
      </c>
      <c r="H13" s="968">
        <v>0</v>
      </c>
      <c r="I13" s="968">
        <v>0</v>
      </c>
      <c r="J13" s="969">
        <v>0</v>
      </c>
      <c r="K13" s="968">
        <v>0</v>
      </c>
      <c r="L13" s="968">
        <v>0</v>
      </c>
      <c r="M13" s="968">
        <v>0</v>
      </c>
      <c r="N13" s="969">
        <v>0</v>
      </c>
      <c r="O13" s="968">
        <v>0</v>
      </c>
      <c r="P13" s="968">
        <v>0</v>
      </c>
      <c r="Q13" s="968">
        <v>0</v>
      </c>
      <c r="R13" s="968">
        <v>0</v>
      </c>
      <c r="Z13" s="957"/>
    </row>
    <row r="14" spans="1:26">
      <c r="A14" s="913"/>
      <c r="B14" s="914" t="s">
        <v>1711</v>
      </c>
      <c r="C14" s="915">
        <f>SUM(C15:C16)</f>
        <v>0</v>
      </c>
      <c r="D14" s="915">
        <f t="shared" ref="D14:R14" si="5">SUM(D15:D16)</f>
        <v>0</v>
      </c>
      <c r="E14" s="915">
        <f t="shared" si="5"/>
        <v>0</v>
      </c>
      <c r="F14" s="924">
        <f t="shared" si="5"/>
        <v>0</v>
      </c>
      <c r="G14" s="915">
        <f t="shared" si="5"/>
        <v>0</v>
      </c>
      <c r="H14" s="915">
        <f t="shared" si="5"/>
        <v>0</v>
      </c>
      <c r="I14" s="915">
        <f t="shared" si="5"/>
        <v>0</v>
      </c>
      <c r="J14" s="924">
        <f t="shared" si="5"/>
        <v>0</v>
      </c>
      <c r="K14" s="915">
        <f t="shared" si="5"/>
        <v>20420</v>
      </c>
      <c r="L14" s="915">
        <f t="shared" si="5"/>
        <v>20420</v>
      </c>
      <c r="M14" s="915">
        <f t="shared" si="5"/>
        <v>20420</v>
      </c>
      <c r="N14" s="924">
        <f t="shared" si="5"/>
        <v>20420</v>
      </c>
      <c r="O14" s="915">
        <f t="shared" si="5"/>
        <v>20420</v>
      </c>
      <c r="P14" s="915">
        <f t="shared" si="5"/>
        <v>20420</v>
      </c>
      <c r="Q14" s="915">
        <f t="shared" si="5"/>
        <v>20420</v>
      </c>
      <c r="R14" s="915">
        <f t="shared" si="5"/>
        <v>20420</v>
      </c>
      <c r="Z14" s="935" t="s">
        <v>1713</v>
      </c>
    </row>
    <row r="15" spans="1:26">
      <c r="B15" s="905" t="s">
        <v>1716</v>
      </c>
      <c r="C15" s="900">
        <f>'기존수주 매출'!AF48</f>
        <v>0</v>
      </c>
      <c r="D15" s="900">
        <f>'기존수주 매출'!AG48</f>
        <v>0</v>
      </c>
      <c r="E15" s="900">
        <f>'기존수주 매출'!AH48</f>
        <v>0</v>
      </c>
      <c r="F15" s="902">
        <f>'기존수주 매출'!AI48</f>
        <v>0</v>
      </c>
      <c r="G15" s="900">
        <f>'기존수주 매출'!AJ48</f>
        <v>0</v>
      </c>
      <c r="H15" s="900">
        <f>'기존수주 매출'!AK48</f>
        <v>0</v>
      </c>
      <c r="I15" s="900">
        <f>'기존수주 매출'!AL48</f>
        <v>0</v>
      </c>
      <c r="J15" s="902">
        <f>'기존수주 매출'!AM48</f>
        <v>0</v>
      </c>
      <c r="K15" s="900">
        <f>'기존수주 매출'!AN48</f>
        <v>10220</v>
      </c>
      <c r="L15" s="900">
        <f>'기존수주 매출'!AO48</f>
        <v>10220</v>
      </c>
      <c r="M15" s="900">
        <f>'기존수주 매출'!AP48</f>
        <v>10220</v>
      </c>
      <c r="N15" s="902">
        <f>'기존수주 매출'!AQ48</f>
        <v>10220</v>
      </c>
      <c r="O15" s="900">
        <f>'기존수주 매출'!AR48</f>
        <v>10220</v>
      </c>
      <c r="P15" s="900">
        <f>'기존수주 매출'!AS48</f>
        <v>10220</v>
      </c>
      <c r="Q15" s="900">
        <f>'기존수주 매출'!AT48</f>
        <v>10220</v>
      </c>
      <c r="R15" s="900">
        <f>'기존수주 매출'!AU48</f>
        <v>10220</v>
      </c>
      <c r="Z15" s="939"/>
    </row>
    <row r="16" spans="1:26">
      <c r="B16" s="222" t="s">
        <v>1717</v>
      </c>
      <c r="C16" s="903">
        <f>'기존수주 매출'!AF49</f>
        <v>0</v>
      </c>
      <c r="D16" s="903">
        <f>'기존수주 매출'!AG49</f>
        <v>0</v>
      </c>
      <c r="E16" s="903">
        <f>'기존수주 매출'!AH49</f>
        <v>0</v>
      </c>
      <c r="F16" s="904">
        <f>'기존수주 매출'!AI49</f>
        <v>0</v>
      </c>
      <c r="G16" s="903">
        <f>'기존수주 매출'!AJ49</f>
        <v>0</v>
      </c>
      <c r="H16" s="903">
        <f>'기존수주 매출'!AK49</f>
        <v>0</v>
      </c>
      <c r="I16" s="903">
        <f>'기존수주 매출'!AL49</f>
        <v>0</v>
      </c>
      <c r="J16" s="904">
        <f>'기존수주 매출'!AM49</f>
        <v>0</v>
      </c>
      <c r="K16" s="903">
        <f>'기존수주 매출'!AN49</f>
        <v>10200</v>
      </c>
      <c r="L16" s="903">
        <f>'기존수주 매출'!AO49</f>
        <v>10200</v>
      </c>
      <c r="M16" s="903">
        <f>'기존수주 매출'!AP49</f>
        <v>10200</v>
      </c>
      <c r="N16" s="904">
        <f>'기존수주 매출'!AQ49</f>
        <v>10200</v>
      </c>
      <c r="O16" s="903">
        <f>'기존수주 매출'!AR49</f>
        <v>10200</v>
      </c>
      <c r="P16" s="903">
        <f>'기존수주 매출'!AS49</f>
        <v>10200</v>
      </c>
      <c r="Q16" s="903">
        <f>'기존수주 매출'!AT49</f>
        <v>10200</v>
      </c>
      <c r="R16" s="903">
        <f>'기존수주 매출'!AU49</f>
        <v>10200</v>
      </c>
    </row>
  </sheetData>
  <phoneticPr fontId="2" type="noConversion"/>
  <conditionalFormatting sqref="B12:B13">
    <cfRule type="expression" dxfId="136" priority="7">
      <formula>$B12=3</formula>
    </cfRule>
    <cfRule type="expression" dxfId="135" priority="8">
      <formula>$B12=2</formula>
    </cfRule>
    <cfRule type="expression" dxfId="134" priority="9">
      <formula>$B12=1</formula>
    </cfRule>
  </conditionalFormatting>
  <conditionalFormatting sqref="B15">
    <cfRule type="expression" dxfId="133" priority="4">
      <formula>$B15=3</formula>
    </cfRule>
    <cfRule type="expression" dxfId="132" priority="5">
      <formula>$B15=2</formula>
    </cfRule>
    <cfRule type="expression" dxfId="131" priority="6">
      <formula>$B15=1</formula>
    </cfRule>
  </conditionalFormatting>
  <conditionalFormatting sqref="C8:R8">
    <cfRule type="cellIs" dxfId="130" priority="32" operator="lessThan">
      <formula>0</formula>
    </cfRule>
  </conditionalFormatting>
  <conditionalFormatting sqref="T8:X8">
    <cfRule type="cellIs" dxfId="129" priority="31" operator="lessThan">
      <formula>0</formula>
    </cfRule>
  </conditionalFormatting>
  <conditionalFormatting sqref="X5">
    <cfRule type="cellIs" dxfId="128" priority="30" operator="lessThan">
      <formula>0</formula>
    </cfRule>
  </conditionalFormatting>
  <conditionalFormatting sqref="Z8">
    <cfRule type="cellIs" dxfId="127" priority="16" operator="lessThan">
      <formula>0</formula>
    </cfRule>
  </conditionalFormatting>
  <conditionalFormatting sqref="Z10">
    <cfRule type="expression" dxfId="126" priority="13">
      <formula>#REF!=3</formula>
    </cfRule>
    <cfRule type="expression" dxfId="125" priority="14">
      <formula>#REF!=2</formula>
    </cfRule>
    <cfRule type="expression" dxfId="124" priority="15">
      <formula>#REF!=1</formula>
    </cfRule>
  </conditionalFormatting>
  <conditionalFormatting sqref="Z12">
    <cfRule type="expression" dxfId="123" priority="34">
      <formula>$Z12=3</formula>
    </cfRule>
    <cfRule type="expression" dxfId="122" priority="35">
      <formula>$Z12=2</formula>
    </cfRule>
    <cfRule type="expression" dxfId="121" priority="36">
      <formula>$Z12=1</formula>
    </cfRule>
  </conditionalFormatting>
  <dataValidations disablePrompts="1" count="1">
    <dataValidation type="list" allowBlank="1" showInputMessage="1" showErrorMessage="1" sqref="C5" xr:uid="{30704EED-127B-48D2-8327-4FF5EB7E9690}">
      <formula1>"Bull, Base, Bear"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8F78-C4BE-4264-B7D3-5F247F802291}">
  <sheetPr>
    <tabColor theme="2" tint="-9.9978637043366805E-2"/>
  </sheetPr>
  <dimension ref="A1:Z64"/>
  <sheetViews>
    <sheetView zoomScale="85" zoomScaleNormal="85" workbookViewId="0">
      <selection activeCell="D9" sqref="D9"/>
    </sheetView>
  </sheetViews>
  <sheetFormatPr defaultRowHeight="15"/>
  <cols>
    <col min="1" max="1" width="2.5" style="6" bestFit="1" customWidth="1"/>
    <col min="2" max="2" width="25.69921875" style="6" customWidth="1"/>
    <col min="3" max="18" width="10.69921875" style="900" customWidth="1"/>
    <col min="19" max="19" width="1.69921875" style="6" customWidth="1"/>
    <col min="20" max="24" width="10.69921875" style="6" customWidth="1"/>
    <col min="25" max="25" width="1.69921875" style="6" customWidth="1"/>
    <col min="26" max="26" width="137.8984375" style="6" customWidth="1"/>
    <col min="27" max="16384" width="8.796875" style="6"/>
  </cols>
  <sheetData>
    <row r="1" spans="1:26" s="197" customFormat="1" ht="16.8">
      <c r="B1" s="198" t="s">
        <v>1777</v>
      </c>
    </row>
    <row r="2" spans="1:26" s="197" customFormat="1" ht="22.8" thickBot="1">
      <c r="B2" s="199" t="s">
        <v>56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26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4" spans="1:26" ht="15.6" thickBot="1"/>
    <row r="5" spans="1:26" s="581" customFormat="1">
      <c r="B5" s="918" t="s">
        <v>1689</v>
      </c>
      <c r="C5" s="919" t="s">
        <v>1028</v>
      </c>
      <c r="D5" s="920"/>
      <c r="E5" s="920"/>
      <c r="F5" s="920"/>
      <c r="G5" s="920"/>
      <c r="H5" s="920"/>
      <c r="I5" s="920"/>
      <c r="J5" s="920"/>
      <c r="K5" s="920"/>
      <c r="L5" s="920"/>
      <c r="M5" s="920"/>
      <c r="N5" s="920"/>
      <c r="O5" s="920"/>
      <c r="P5" s="920"/>
      <c r="Q5" s="920"/>
      <c r="R5" s="920"/>
      <c r="X5" s="911" t="s">
        <v>1702</v>
      </c>
    </row>
    <row r="6" spans="1:26" ht="15.6" thickBot="1">
      <c r="B6" s="84" t="s">
        <v>1690</v>
      </c>
      <c r="C6" s="923">
        <f>IF(C5="Bull",1, IF(C5="Base",2,3))</f>
        <v>2</v>
      </c>
      <c r="X6" s="892">
        <f>RATE(5,0,-T9,X9)</f>
        <v>0.60365282758131478</v>
      </c>
    </row>
    <row r="7" spans="1:26" s="118" customFormat="1">
      <c r="C7" s="901" t="e">
        <f>2000+RIGHT(C8,2)</f>
        <v>#VALUE!</v>
      </c>
      <c r="D7" s="901">
        <f t="shared" ref="D7:R7" si="0">2000+RIGHT(D8,2)</f>
        <v>2025</v>
      </c>
      <c r="E7" s="901">
        <f t="shared" si="0"/>
        <v>2025</v>
      </c>
      <c r="F7" s="901">
        <f t="shared" si="0"/>
        <v>2025</v>
      </c>
      <c r="G7" s="901">
        <f t="shared" si="0"/>
        <v>2026</v>
      </c>
      <c r="H7" s="901">
        <f t="shared" si="0"/>
        <v>2026</v>
      </c>
      <c r="I7" s="901">
        <f t="shared" si="0"/>
        <v>2026</v>
      </c>
      <c r="J7" s="901">
        <f t="shared" si="0"/>
        <v>2026</v>
      </c>
      <c r="K7" s="901">
        <f t="shared" si="0"/>
        <v>2027</v>
      </c>
      <c r="L7" s="901">
        <f t="shared" si="0"/>
        <v>2027</v>
      </c>
      <c r="M7" s="901">
        <f t="shared" si="0"/>
        <v>2027</v>
      </c>
      <c r="N7" s="901">
        <f t="shared" si="0"/>
        <v>2027</v>
      </c>
      <c r="O7" s="901">
        <f t="shared" si="0"/>
        <v>2028</v>
      </c>
      <c r="P7" s="901">
        <f t="shared" si="0"/>
        <v>2028</v>
      </c>
      <c r="Q7" s="901">
        <f t="shared" si="0"/>
        <v>2028</v>
      </c>
      <c r="R7" s="901">
        <f t="shared" si="0"/>
        <v>2028</v>
      </c>
    </row>
    <row r="8" spans="1:26" s="581" customFormat="1">
      <c r="A8" s="581" t="s">
        <v>1691</v>
      </c>
      <c r="B8" s="908" t="s">
        <v>7</v>
      </c>
      <c r="C8" s="909" t="s">
        <v>1697</v>
      </c>
      <c r="D8" s="921" t="s">
        <v>1161</v>
      </c>
      <c r="E8" s="921" t="s">
        <v>990</v>
      </c>
      <c r="F8" s="922" t="s">
        <v>982</v>
      </c>
      <c r="G8" s="921" t="s">
        <v>953</v>
      </c>
      <c r="H8" s="921" t="s">
        <v>939</v>
      </c>
      <c r="I8" s="921" t="s">
        <v>954</v>
      </c>
      <c r="J8" s="922" t="s">
        <v>940</v>
      </c>
      <c r="K8" s="921" t="s">
        <v>943</v>
      </c>
      <c r="L8" s="921" t="s">
        <v>944</v>
      </c>
      <c r="M8" s="921" t="s">
        <v>941</v>
      </c>
      <c r="N8" s="922" t="s">
        <v>942</v>
      </c>
      <c r="O8" s="921" t="s">
        <v>945</v>
      </c>
      <c r="P8" s="921" t="s">
        <v>946</v>
      </c>
      <c r="Q8" s="921" t="s">
        <v>955</v>
      </c>
      <c r="R8" s="921" t="s">
        <v>949</v>
      </c>
      <c r="T8" s="927" t="s">
        <v>1692</v>
      </c>
      <c r="U8" s="910" t="s">
        <v>1693</v>
      </c>
      <c r="V8" s="910" t="s">
        <v>1349</v>
      </c>
      <c r="W8" s="910" t="s">
        <v>1347</v>
      </c>
      <c r="X8" s="910" t="s">
        <v>1348</v>
      </c>
      <c r="Z8" s="946" t="s">
        <v>1703</v>
      </c>
    </row>
    <row r="9" spans="1:26" s="581" customFormat="1">
      <c r="B9" s="947" t="str">
        <f>B2</f>
        <v>BOP</v>
      </c>
      <c r="C9" s="912">
        <v>98656</v>
      </c>
      <c r="D9" s="912">
        <f t="shared" ref="D9:R9" si="1">SUM(D11:D12)</f>
        <v>11063.916280076699</v>
      </c>
      <c r="E9" s="912">
        <f t="shared" si="1"/>
        <v>11063.916280076699</v>
      </c>
      <c r="F9" s="926">
        <f t="shared" si="1"/>
        <v>11063.916280076699</v>
      </c>
      <c r="G9" s="912">
        <f t="shared" si="1"/>
        <v>11063.916280076699</v>
      </c>
      <c r="H9" s="912">
        <f t="shared" si="1"/>
        <v>11063.916280076699</v>
      </c>
      <c r="I9" s="912">
        <f t="shared" si="1"/>
        <v>11063.916280076699</v>
      </c>
      <c r="J9" s="926">
        <f t="shared" si="1"/>
        <v>11063.916280076699</v>
      </c>
      <c r="K9" s="912">
        <f t="shared" si="1"/>
        <v>19705.092750664931</v>
      </c>
      <c r="L9" s="912">
        <f t="shared" si="1"/>
        <v>22123.891383682807</v>
      </c>
      <c r="M9" s="912">
        <f t="shared" si="1"/>
        <v>25209.542644187008</v>
      </c>
      <c r="N9" s="926">
        <f t="shared" si="1"/>
        <v>22790.744011169132</v>
      </c>
      <c r="O9" s="912">
        <f t="shared" si="1"/>
        <v>22790.744011169132</v>
      </c>
      <c r="P9" s="912">
        <f t="shared" si="1"/>
        <v>38861.844333073059</v>
      </c>
      <c r="Q9" s="912">
        <f t="shared" si="1"/>
        <v>45033.146854081468</v>
      </c>
      <c r="R9" s="912">
        <f t="shared" si="1"/>
        <v>45033.146854081468</v>
      </c>
      <c r="T9" s="912">
        <v>14305</v>
      </c>
      <c r="U9" s="912">
        <f>SUMIF($C$7:$R$7,U$8,$C9:$R9)</f>
        <v>33191.748840230095</v>
      </c>
      <c r="V9" s="912">
        <f t="shared" ref="V9:X9" si="2">SUMIF($C$7:$R$7,V$8,$C9:$R9)</f>
        <v>44255.665120306796</v>
      </c>
      <c r="W9" s="912">
        <f t="shared" si="2"/>
        <v>89829.270789703878</v>
      </c>
      <c r="X9" s="912">
        <f t="shared" si="2"/>
        <v>151718.88205240513</v>
      </c>
      <c r="Z9" s="943"/>
    </row>
    <row r="10" spans="1:26" s="66" customFormat="1">
      <c r="B10" s="807" t="s">
        <v>422</v>
      </c>
      <c r="C10" s="814"/>
      <c r="D10" s="808">
        <f t="shared" ref="D10:R10" si="3">D9/C9-1</f>
        <v>-0.88785358944132442</v>
      </c>
      <c r="E10" s="808">
        <f t="shared" si="3"/>
        <v>0</v>
      </c>
      <c r="F10" s="809">
        <f t="shared" si="3"/>
        <v>0</v>
      </c>
      <c r="G10" s="808">
        <f t="shared" si="3"/>
        <v>0</v>
      </c>
      <c r="H10" s="808">
        <f t="shared" si="3"/>
        <v>0</v>
      </c>
      <c r="I10" s="808">
        <f t="shared" si="3"/>
        <v>0</v>
      </c>
      <c r="J10" s="809">
        <f t="shared" si="3"/>
        <v>0</v>
      </c>
      <c r="K10" s="808">
        <f t="shared" si="3"/>
        <v>0.78102330601947845</v>
      </c>
      <c r="L10" s="808">
        <f t="shared" si="3"/>
        <v>0.12274992376964344</v>
      </c>
      <c r="M10" s="808">
        <f t="shared" si="3"/>
        <v>0.13947145224099144</v>
      </c>
      <c r="N10" s="809">
        <f t="shared" si="3"/>
        <v>-9.5947739598346904E-2</v>
      </c>
      <c r="O10" s="808">
        <f t="shared" si="3"/>
        <v>0</v>
      </c>
      <c r="P10" s="808">
        <f t="shared" si="3"/>
        <v>0.70515909063907301</v>
      </c>
      <c r="Q10" s="808">
        <f t="shared" si="3"/>
        <v>0.15880107151158485</v>
      </c>
      <c r="R10" s="808">
        <f t="shared" si="3"/>
        <v>0</v>
      </c>
      <c r="T10" s="808"/>
      <c r="U10" s="808">
        <f>U9/T9-1</f>
        <v>1.3202900272792797</v>
      </c>
      <c r="V10" s="808">
        <f>V9/U9-1</f>
        <v>0.33333333333333348</v>
      </c>
      <c r="W10" s="808">
        <f>W9/V9-1</f>
        <v>1.0297801545973275</v>
      </c>
      <c r="X10" s="808">
        <f>X9/W9-1</f>
        <v>0.68896931611065648</v>
      </c>
      <c r="Z10" s="961"/>
    </row>
    <row r="11" spans="1:26">
      <c r="B11" s="215" t="s">
        <v>524</v>
      </c>
      <c r="C11" s="900">
        <f>C16+CHOOSE($C$6,C21,C22,C23)</f>
        <v>98656</v>
      </c>
      <c r="D11" s="900">
        <f t="shared" ref="D11:R11" si="4">D16+CHOOSE($C$6,D21,D22,D23)</f>
        <v>11063.916280076699</v>
      </c>
      <c r="E11" s="900">
        <f t="shared" si="4"/>
        <v>11063.916280076699</v>
      </c>
      <c r="F11" s="902">
        <f t="shared" si="4"/>
        <v>11063.916280076699</v>
      </c>
      <c r="G11" s="900">
        <f t="shared" si="4"/>
        <v>11063.916280076699</v>
      </c>
      <c r="H11" s="900">
        <f t="shared" si="4"/>
        <v>11063.916280076699</v>
      </c>
      <c r="I11" s="900">
        <f t="shared" si="4"/>
        <v>11063.916280076699</v>
      </c>
      <c r="J11" s="902">
        <f t="shared" si="4"/>
        <v>11063.916280076699</v>
      </c>
      <c r="K11" s="900">
        <f t="shared" si="4"/>
        <v>19705.092750664931</v>
      </c>
      <c r="L11" s="900">
        <f t="shared" si="4"/>
        <v>22123.891383682807</v>
      </c>
      <c r="M11" s="900">
        <f t="shared" si="4"/>
        <v>22123.891383682807</v>
      </c>
      <c r="N11" s="902">
        <f t="shared" si="4"/>
        <v>19705.092750664931</v>
      </c>
      <c r="O11" s="900">
        <f t="shared" si="4"/>
        <v>19705.092750664931</v>
      </c>
      <c r="P11" s="900">
        <f t="shared" si="4"/>
        <v>19705.092750664931</v>
      </c>
      <c r="Q11" s="900">
        <f t="shared" si="4"/>
        <v>19705.092750664931</v>
      </c>
      <c r="R11" s="900">
        <f t="shared" si="4"/>
        <v>19705.092750664931</v>
      </c>
      <c r="T11" s="900"/>
      <c r="U11" s="900">
        <f>SUMIF($C$7:$R$7,U$8,$C11:$R11)</f>
        <v>33191.748840230095</v>
      </c>
      <c r="V11" s="900">
        <f t="shared" ref="V11:X11" si="5">SUMIF($C$7:$R$7,V$8,$C11:$R11)</f>
        <v>44255.665120306796</v>
      </c>
      <c r="W11" s="900">
        <f t="shared" si="5"/>
        <v>83657.968268695477</v>
      </c>
      <c r="X11" s="900">
        <f t="shared" si="5"/>
        <v>78820.371002659725</v>
      </c>
      <c r="Z11" s="935"/>
    </row>
    <row r="12" spans="1:26">
      <c r="B12" s="215" t="s">
        <v>1563</v>
      </c>
      <c r="C12" s="900">
        <f t="shared" ref="C12:R12" si="6">SUM(C13:C15)</f>
        <v>0</v>
      </c>
      <c r="D12" s="900">
        <f t="shared" si="6"/>
        <v>0</v>
      </c>
      <c r="E12" s="900">
        <f t="shared" si="6"/>
        <v>0</v>
      </c>
      <c r="F12" s="902">
        <f t="shared" si="6"/>
        <v>0</v>
      </c>
      <c r="G12" s="900">
        <f t="shared" si="6"/>
        <v>0</v>
      </c>
      <c r="H12" s="900">
        <f t="shared" si="6"/>
        <v>0</v>
      </c>
      <c r="I12" s="900">
        <f t="shared" si="6"/>
        <v>0</v>
      </c>
      <c r="J12" s="902">
        <f t="shared" si="6"/>
        <v>0</v>
      </c>
      <c r="K12" s="900">
        <f t="shared" si="6"/>
        <v>0</v>
      </c>
      <c r="L12" s="900">
        <f t="shared" si="6"/>
        <v>0</v>
      </c>
      <c r="M12" s="900">
        <f t="shared" si="6"/>
        <v>3085.6512605042021</v>
      </c>
      <c r="N12" s="902">
        <f t="shared" si="6"/>
        <v>3085.6512605042021</v>
      </c>
      <c r="O12" s="900">
        <f t="shared" si="6"/>
        <v>3085.6512605042021</v>
      </c>
      <c r="P12" s="900">
        <f t="shared" si="6"/>
        <v>19156.751582408127</v>
      </c>
      <c r="Q12" s="900">
        <f t="shared" si="6"/>
        <v>25328.054103416533</v>
      </c>
      <c r="R12" s="900">
        <f t="shared" si="6"/>
        <v>25328.054103416533</v>
      </c>
      <c r="T12" s="900"/>
      <c r="U12" s="900">
        <f t="shared" ref="U12:X15" si="7">SUMIF($C$7:$R$7,U$8,$C12:$R12)</f>
        <v>0</v>
      </c>
      <c r="V12" s="900">
        <f t="shared" si="7"/>
        <v>0</v>
      </c>
      <c r="W12" s="900">
        <f t="shared" si="7"/>
        <v>6171.3025210084043</v>
      </c>
      <c r="X12" s="900">
        <f t="shared" si="7"/>
        <v>72898.511049745401</v>
      </c>
      <c r="Z12" s="935"/>
    </row>
    <row r="13" spans="1:26">
      <c r="B13" s="638" t="s">
        <v>1069</v>
      </c>
      <c r="C13" s="900">
        <f>CHOOSE($C$6,C25,C26,C27)</f>
        <v>0</v>
      </c>
      <c r="D13" s="900">
        <f t="shared" ref="D13:R13" si="8">CHOOSE($C$6,D25,D26,D27)</f>
        <v>0</v>
      </c>
      <c r="E13" s="900">
        <f t="shared" si="8"/>
        <v>0</v>
      </c>
      <c r="F13" s="902">
        <f t="shared" si="8"/>
        <v>0</v>
      </c>
      <c r="G13" s="900">
        <f t="shared" si="8"/>
        <v>0</v>
      </c>
      <c r="H13" s="900">
        <f t="shared" si="8"/>
        <v>0</v>
      </c>
      <c r="I13" s="900">
        <f t="shared" si="8"/>
        <v>0</v>
      </c>
      <c r="J13" s="902">
        <f t="shared" si="8"/>
        <v>0</v>
      </c>
      <c r="K13" s="900">
        <f t="shared" si="8"/>
        <v>0</v>
      </c>
      <c r="L13" s="900">
        <f t="shared" si="8"/>
        <v>0</v>
      </c>
      <c r="M13" s="900">
        <f t="shared" si="8"/>
        <v>0</v>
      </c>
      <c r="N13" s="902">
        <f t="shared" si="8"/>
        <v>0</v>
      </c>
      <c r="O13" s="900">
        <f t="shared" si="8"/>
        <v>0</v>
      </c>
      <c r="P13" s="900">
        <f t="shared" si="8"/>
        <v>9899.7978008955233</v>
      </c>
      <c r="Q13" s="900">
        <f t="shared" si="8"/>
        <v>16071.100321903927</v>
      </c>
      <c r="R13" s="900">
        <f t="shared" si="8"/>
        <v>16071.100321903927</v>
      </c>
      <c r="T13" s="900"/>
      <c r="U13" s="900">
        <f t="shared" si="7"/>
        <v>0</v>
      </c>
      <c r="V13" s="900">
        <f t="shared" si="7"/>
        <v>0</v>
      </c>
      <c r="W13" s="900">
        <f t="shared" si="7"/>
        <v>0</v>
      </c>
      <c r="X13" s="900">
        <f t="shared" si="7"/>
        <v>42041.998444703378</v>
      </c>
      <c r="Z13" s="935"/>
    </row>
    <row r="14" spans="1:26">
      <c r="B14" s="638" t="s">
        <v>1114</v>
      </c>
      <c r="C14" s="900">
        <f>CHOOSE($C$6,C29,C30,C31)</f>
        <v>0</v>
      </c>
      <c r="D14" s="900">
        <f t="shared" ref="D14:R14" si="9">CHOOSE($C$6,D29,D30,D31)</f>
        <v>0</v>
      </c>
      <c r="E14" s="900">
        <f t="shared" si="9"/>
        <v>0</v>
      </c>
      <c r="F14" s="902">
        <f t="shared" si="9"/>
        <v>0</v>
      </c>
      <c r="G14" s="900">
        <f t="shared" si="9"/>
        <v>0</v>
      </c>
      <c r="H14" s="900">
        <f t="shared" si="9"/>
        <v>0</v>
      </c>
      <c r="I14" s="900">
        <f t="shared" si="9"/>
        <v>0</v>
      </c>
      <c r="J14" s="902">
        <f t="shared" si="9"/>
        <v>0</v>
      </c>
      <c r="K14" s="900">
        <f t="shared" si="9"/>
        <v>0</v>
      </c>
      <c r="L14" s="900">
        <f t="shared" si="9"/>
        <v>0</v>
      </c>
      <c r="M14" s="900">
        <f t="shared" si="9"/>
        <v>3085.6512605042021</v>
      </c>
      <c r="N14" s="902">
        <f t="shared" si="9"/>
        <v>3085.6512605042021</v>
      </c>
      <c r="O14" s="900">
        <f t="shared" si="9"/>
        <v>3085.6512605042021</v>
      </c>
      <c r="P14" s="900">
        <f t="shared" si="9"/>
        <v>9256.9537815126059</v>
      </c>
      <c r="Q14" s="900">
        <f t="shared" si="9"/>
        <v>9256.9537815126059</v>
      </c>
      <c r="R14" s="900">
        <f t="shared" si="9"/>
        <v>9256.9537815126059</v>
      </c>
      <c r="T14" s="900"/>
      <c r="U14" s="900">
        <f t="shared" si="7"/>
        <v>0</v>
      </c>
      <c r="V14" s="900">
        <f t="shared" si="7"/>
        <v>0</v>
      </c>
      <c r="W14" s="900">
        <f t="shared" si="7"/>
        <v>6171.3025210084043</v>
      </c>
      <c r="X14" s="900">
        <f t="shared" si="7"/>
        <v>30856.512605042019</v>
      </c>
      <c r="Z14" s="935"/>
    </row>
    <row r="15" spans="1:26">
      <c r="B15" s="638" t="s">
        <v>427</v>
      </c>
      <c r="C15" s="900">
        <f>CHOOSE($C$6,C33,C34,C35)</f>
        <v>0</v>
      </c>
      <c r="D15" s="900">
        <f t="shared" ref="D15:R15" si="10">CHOOSE($C$6,D33,D34,D35)</f>
        <v>0</v>
      </c>
      <c r="E15" s="900">
        <f t="shared" si="10"/>
        <v>0</v>
      </c>
      <c r="F15" s="902">
        <f t="shared" si="10"/>
        <v>0</v>
      </c>
      <c r="G15" s="900">
        <f t="shared" si="10"/>
        <v>0</v>
      </c>
      <c r="H15" s="900">
        <f t="shared" si="10"/>
        <v>0</v>
      </c>
      <c r="I15" s="900">
        <f t="shared" si="10"/>
        <v>0</v>
      </c>
      <c r="J15" s="902">
        <f t="shared" si="10"/>
        <v>0</v>
      </c>
      <c r="K15" s="900">
        <f t="shared" si="10"/>
        <v>0</v>
      </c>
      <c r="L15" s="900">
        <f t="shared" si="10"/>
        <v>0</v>
      </c>
      <c r="M15" s="900">
        <f t="shared" si="10"/>
        <v>0</v>
      </c>
      <c r="N15" s="902">
        <f t="shared" si="10"/>
        <v>0</v>
      </c>
      <c r="O15" s="900">
        <f t="shared" si="10"/>
        <v>0</v>
      </c>
      <c r="P15" s="900">
        <f t="shared" si="10"/>
        <v>0</v>
      </c>
      <c r="Q15" s="900">
        <f t="shared" si="10"/>
        <v>0</v>
      </c>
      <c r="R15" s="900">
        <f t="shared" si="10"/>
        <v>0</v>
      </c>
      <c r="T15" s="900"/>
      <c r="U15" s="900">
        <f t="shared" si="7"/>
        <v>0</v>
      </c>
      <c r="V15" s="900">
        <f t="shared" si="7"/>
        <v>0</v>
      </c>
      <c r="W15" s="900">
        <f t="shared" si="7"/>
        <v>0</v>
      </c>
      <c r="X15" s="900">
        <f t="shared" si="7"/>
        <v>0</v>
      </c>
      <c r="Z15" s="935"/>
    </row>
    <row r="16" spans="1:26" s="913" customFormat="1">
      <c r="A16" s="913" t="s">
        <v>423</v>
      </c>
      <c r="B16" s="914" t="s">
        <v>1695</v>
      </c>
      <c r="C16" s="915">
        <f>SUM(C17:C18)</f>
        <v>98656</v>
      </c>
      <c r="D16" s="915">
        <f t="shared" ref="D16:R16" si="11">SUM(D17:D18)</f>
        <v>8645.1176470588234</v>
      </c>
      <c r="E16" s="915">
        <f t="shared" si="11"/>
        <v>8645.1176470588234</v>
      </c>
      <c r="F16" s="924">
        <f t="shared" si="11"/>
        <v>8645.1176470588234</v>
      </c>
      <c r="G16" s="915">
        <f t="shared" si="11"/>
        <v>8645.1176470588234</v>
      </c>
      <c r="H16" s="915">
        <f t="shared" si="11"/>
        <v>8645.1176470588234</v>
      </c>
      <c r="I16" s="915">
        <f t="shared" si="11"/>
        <v>8645.1176470588234</v>
      </c>
      <c r="J16" s="924">
        <f t="shared" si="11"/>
        <v>8645.1176470588234</v>
      </c>
      <c r="K16" s="915">
        <f t="shared" si="11"/>
        <v>8645.1176470588234</v>
      </c>
      <c r="L16" s="915">
        <f t="shared" si="11"/>
        <v>8645.1176470588234</v>
      </c>
      <c r="M16" s="915">
        <f t="shared" si="11"/>
        <v>8645.1176470588234</v>
      </c>
      <c r="N16" s="924">
        <f t="shared" si="11"/>
        <v>8645.1176470588234</v>
      </c>
      <c r="O16" s="915">
        <f t="shared" si="11"/>
        <v>8645.1176470588234</v>
      </c>
      <c r="P16" s="915">
        <f t="shared" si="11"/>
        <v>8645.1176470588234</v>
      </c>
      <c r="Q16" s="915">
        <f t="shared" si="11"/>
        <v>8645.1176470588234</v>
      </c>
      <c r="R16" s="915">
        <f t="shared" si="11"/>
        <v>8645.1176470588234</v>
      </c>
      <c r="Z16" s="940"/>
    </row>
    <row r="17" spans="1:26">
      <c r="B17" s="905" t="s">
        <v>1714</v>
      </c>
      <c r="C17" s="900">
        <f>SUM('BOP 수주 시나리오'!Q20:Q22)</f>
        <v>0</v>
      </c>
      <c r="D17" s="900">
        <f>SUM('BOP 수주 시나리오'!R20:R22)</f>
        <v>8645.1176470588234</v>
      </c>
      <c r="E17" s="900">
        <f>SUM('BOP 수주 시나리오'!S20:S22)</f>
        <v>8645.1176470588234</v>
      </c>
      <c r="F17" s="902">
        <f>SUM('BOP 수주 시나리오'!T20:T22)</f>
        <v>8645.1176470588234</v>
      </c>
      <c r="G17" s="900">
        <f>SUM('BOP 수주 시나리오'!U20:U22)</f>
        <v>8645.1176470588234</v>
      </c>
      <c r="H17" s="900">
        <f>SUM('BOP 수주 시나리오'!V20:V22)</f>
        <v>8645.1176470588234</v>
      </c>
      <c r="I17" s="900">
        <f>SUM('BOP 수주 시나리오'!W20:W22)</f>
        <v>8645.1176470588234</v>
      </c>
      <c r="J17" s="902">
        <f>SUM('BOP 수주 시나리오'!X20:X22)</f>
        <v>8645.1176470588234</v>
      </c>
      <c r="K17" s="900">
        <f>SUM('BOP 수주 시나리오'!Y20:Y22)</f>
        <v>8645.1176470588234</v>
      </c>
      <c r="L17" s="900">
        <f>SUM('BOP 수주 시나리오'!Z20:Z22)</f>
        <v>8645.1176470588234</v>
      </c>
      <c r="M17" s="900">
        <f>SUM('BOP 수주 시나리오'!AA20:AA22)</f>
        <v>8645.1176470588234</v>
      </c>
      <c r="N17" s="902">
        <f>SUM('BOP 수주 시나리오'!AB20:AB22)</f>
        <v>8645.1176470588234</v>
      </c>
      <c r="O17" s="900">
        <f>SUM('BOP 수주 시나리오'!AC20:AC22)</f>
        <v>8645.1176470588234</v>
      </c>
      <c r="P17" s="900">
        <f>SUM('BOP 수주 시나리오'!AD20:AD22)</f>
        <v>8645.1176470588234</v>
      </c>
      <c r="Q17" s="900">
        <f>SUM('BOP 수주 시나리오'!AE20:AE22)</f>
        <v>8645.1176470588234</v>
      </c>
      <c r="R17" s="900">
        <f>SUM('BOP 수주 시나리오'!AF20:AF22)</f>
        <v>8645.1176470588234</v>
      </c>
      <c r="Z17" s="935"/>
    </row>
    <row r="18" spans="1:26" s="8" customFormat="1">
      <c r="B18" s="967" t="s">
        <v>1718</v>
      </c>
      <c r="C18" s="968">
        <f>C9-C17</f>
        <v>98656</v>
      </c>
      <c r="D18" s="968">
        <v>0</v>
      </c>
      <c r="E18" s="968">
        <v>0</v>
      </c>
      <c r="F18" s="969">
        <v>0</v>
      </c>
      <c r="G18" s="968">
        <v>0</v>
      </c>
      <c r="H18" s="968">
        <v>0</v>
      </c>
      <c r="I18" s="968">
        <v>0</v>
      </c>
      <c r="J18" s="969">
        <v>0</v>
      </c>
      <c r="K18" s="968">
        <v>0</v>
      </c>
      <c r="L18" s="968">
        <v>0</v>
      </c>
      <c r="M18" s="968">
        <v>0</v>
      </c>
      <c r="N18" s="969">
        <v>0</v>
      </c>
      <c r="O18" s="968">
        <v>0</v>
      </c>
      <c r="P18" s="968">
        <v>0</v>
      </c>
      <c r="Q18" s="968">
        <v>0</v>
      </c>
      <c r="R18" s="968">
        <v>0</v>
      </c>
      <c r="Z18" s="957"/>
    </row>
    <row r="19" spans="1:26" s="913" customFormat="1">
      <c r="A19" s="913" t="s">
        <v>423</v>
      </c>
      <c r="B19" s="916" t="s">
        <v>1711</v>
      </c>
      <c r="C19" s="917"/>
      <c r="D19" s="917"/>
      <c r="E19" s="917"/>
      <c r="F19" s="925"/>
      <c r="G19" s="917"/>
      <c r="H19" s="917"/>
      <c r="I19" s="917"/>
      <c r="J19" s="925"/>
      <c r="K19" s="917"/>
      <c r="L19" s="917"/>
      <c r="M19" s="917"/>
      <c r="N19" s="925"/>
      <c r="O19" s="917"/>
      <c r="P19" s="917"/>
      <c r="Q19" s="917"/>
      <c r="R19" s="917"/>
      <c r="T19" s="930" t="s">
        <v>1698</v>
      </c>
      <c r="U19" s="910" t="s">
        <v>1693</v>
      </c>
      <c r="V19" s="910" t="s">
        <v>1349</v>
      </c>
      <c r="W19" s="910" t="s">
        <v>1347</v>
      </c>
      <c r="X19" s="910" t="s">
        <v>1348</v>
      </c>
      <c r="Z19" s="943" t="s">
        <v>1722</v>
      </c>
    </row>
    <row r="20" spans="1:26" s="581" customFormat="1">
      <c r="B20" s="931" t="s">
        <v>430</v>
      </c>
      <c r="C20" s="932"/>
      <c r="D20" s="932"/>
      <c r="E20" s="932"/>
      <c r="F20" s="933"/>
      <c r="G20" s="932"/>
      <c r="H20" s="932"/>
      <c r="I20" s="932"/>
      <c r="J20" s="933"/>
      <c r="K20" s="932"/>
      <c r="L20" s="932"/>
      <c r="M20" s="932"/>
      <c r="N20" s="933"/>
      <c r="O20" s="932"/>
      <c r="P20" s="932"/>
      <c r="Q20" s="932"/>
      <c r="R20" s="932"/>
      <c r="T20" s="931" t="s">
        <v>430</v>
      </c>
      <c r="U20" s="932"/>
      <c r="V20" s="932"/>
      <c r="W20" s="932"/>
      <c r="X20" s="932"/>
      <c r="Z20" s="956" t="s">
        <v>1723</v>
      </c>
    </row>
    <row r="21" spans="1:26">
      <c r="B21" s="906" t="s">
        <v>675</v>
      </c>
      <c r="C21" s="900">
        <f>C22</f>
        <v>0</v>
      </c>
      <c r="D21" s="900">
        <f t="shared" ref="D21:R22" si="12">D22</f>
        <v>2418.798633017876</v>
      </c>
      <c r="E21" s="900">
        <f t="shared" si="12"/>
        <v>2418.798633017876</v>
      </c>
      <c r="F21" s="902">
        <f t="shared" si="12"/>
        <v>2418.798633017876</v>
      </c>
      <c r="G21" s="900">
        <f t="shared" si="12"/>
        <v>2418.798633017876</v>
      </c>
      <c r="H21" s="900">
        <f t="shared" si="12"/>
        <v>2418.798633017876</v>
      </c>
      <c r="I21" s="900">
        <f t="shared" si="12"/>
        <v>2418.798633017876</v>
      </c>
      <c r="J21" s="902">
        <f t="shared" si="12"/>
        <v>2418.798633017876</v>
      </c>
      <c r="K21" s="900">
        <f t="shared" si="12"/>
        <v>11059.97510360611</v>
      </c>
      <c r="L21" s="900">
        <f t="shared" si="12"/>
        <v>13478.773736623985</v>
      </c>
      <c r="M21" s="900">
        <f t="shared" si="12"/>
        <v>13478.773736623985</v>
      </c>
      <c r="N21" s="902">
        <f t="shared" si="12"/>
        <v>11059.97510360611</v>
      </c>
      <c r="O21" s="900">
        <f t="shared" si="12"/>
        <v>11059.97510360611</v>
      </c>
      <c r="P21" s="900">
        <f t="shared" si="12"/>
        <v>11059.97510360611</v>
      </c>
      <c r="Q21" s="900">
        <f t="shared" si="12"/>
        <v>11059.97510360611</v>
      </c>
      <c r="R21" s="900">
        <f t="shared" si="12"/>
        <v>11059.97510360611</v>
      </c>
      <c r="T21" s="906" t="s">
        <v>675</v>
      </c>
      <c r="U21" s="900">
        <f>U22</f>
        <v>24187.986330178759</v>
      </c>
      <c r="V21" s="900">
        <f t="shared" ref="V21:X22" si="13">V22</f>
        <v>0</v>
      </c>
      <c r="W21" s="900">
        <f t="shared" si="13"/>
        <v>171087.98633017877</v>
      </c>
      <c r="X21" s="900">
        <f t="shared" si="13"/>
        <v>0</v>
      </c>
      <c r="Z21" s="960" t="s">
        <v>1724</v>
      </c>
    </row>
    <row r="22" spans="1:26">
      <c r="B22" s="906" t="s">
        <v>674</v>
      </c>
      <c r="C22" s="900">
        <f>C23</f>
        <v>0</v>
      </c>
      <c r="D22" s="900">
        <f t="shared" si="12"/>
        <v>2418.798633017876</v>
      </c>
      <c r="E22" s="900">
        <f t="shared" si="12"/>
        <v>2418.798633017876</v>
      </c>
      <c r="F22" s="902">
        <f t="shared" si="12"/>
        <v>2418.798633017876</v>
      </c>
      <c r="G22" s="900">
        <f t="shared" si="12"/>
        <v>2418.798633017876</v>
      </c>
      <c r="H22" s="900">
        <f t="shared" si="12"/>
        <v>2418.798633017876</v>
      </c>
      <c r="I22" s="900">
        <f t="shared" si="12"/>
        <v>2418.798633017876</v>
      </c>
      <c r="J22" s="902">
        <f t="shared" si="12"/>
        <v>2418.798633017876</v>
      </c>
      <c r="K22" s="900">
        <f t="shared" si="12"/>
        <v>11059.97510360611</v>
      </c>
      <c r="L22" s="900">
        <f t="shared" si="12"/>
        <v>13478.773736623985</v>
      </c>
      <c r="M22" s="900">
        <f t="shared" si="12"/>
        <v>13478.773736623985</v>
      </c>
      <c r="N22" s="902">
        <f t="shared" si="12"/>
        <v>11059.97510360611</v>
      </c>
      <c r="O22" s="900">
        <f t="shared" si="12"/>
        <v>11059.97510360611</v>
      </c>
      <c r="P22" s="900">
        <f t="shared" si="12"/>
        <v>11059.97510360611</v>
      </c>
      <c r="Q22" s="900">
        <f t="shared" si="12"/>
        <v>11059.97510360611</v>
      </c>
      <c r="R22" s="900">
        <f t="shared" si="12"/>
        <v>11059.97510360611</v>
      </c>
      <c r="T22" s="906" t="s">
        <v>674</v>
      </c>
      <c r="U22" s="900">
        <f>U23</f>
        <v>24187.986330178759</v>
      </c>
      <c r="V22" s="900">
        <f t="shared" si="13"/>
        <v>0</v>
      </c>
      <c r="W22" s="900">
        <f t="shared" si="13"/>
        <v>171087.98633017877</v>
      </c>
      <c r="X22" s="900">
        <f t="shared" si="13"/>
        <v>0</v>
      </c>
      <c r="Z22" s="956" t="s">
        <v>1725</v>
      </c>
    </row>
    <row r="23" spans="1:26">
      <c r="B23" s="906" t="s">
        <v>673</v>
      </c>
      <c r="C23" s="900">
        <f>SUM('BOP 수주 시나리오'!R23:R27)</f>
        <v>0</v>
      </c>
      <c r="D23" s="900">
        <f>SUM('BOP 수주 시나리오'!S23:S27)</f>
        <v>2418.798633017876</v>
      </c>
      <c r="E23" s="900">
        <f>SUM('BOP 수주 시나리오'!T23:T27)</f>
        <v>2418.798633017876</v>
      </c>
      <c r="F23" s="902">
        <f>SUM('BOP 수주 시나리오'!U23:U27)</f>
        <v>2418.798633017876</v>
      </c>
      <c r="G23" s="900">
        <f>SUM('BOP 수주 시나리오'!V23:V27)</f>
        <v>2418.798633017876</v>
      </c>
      <c r="H23" s="900">
        <f>SUM('BOP 수주 시나리오'!W23:W27)</f>
        <v>2418.798633017876</v>
      </c>
      <c r="I23" s="900">
        <f>SUM('BOP 수주 시나리오'!X23:X27)</f>
        <v>2418.798633017876</v>
      </c>
      <c r="J23" s="902">
        <f>SUM('BOP 수주 시나리오'!Y23:Y27)</f>
        <v>2418.798633017876</v>
      </c>
      <c r="K23" s="900">
        <f>SUM('BOP 수주 시나리오'!Z23:Z27)</f>
        <v>11059.97510360611</v>
      </c>
      <c r="L23" s="900">
        <f>SUM('BOP 수주 시나리오'!AA23:AA27)</f>
        <v>13478.773736623985</v>
      </c>
      <c r="M23" s="900">
        <f>SUM('BOP 수주 시나리오'!AB23:AB27)</f>
        <v>13478.773736623985</v>
      </c>
      <c r="N23" s="902">
        <f>SUM('BOP 수주 시나리오'!AC23:AC27)</f>
        <v>11059.97510360611</v>
      </c>
      <c r="O23" s="900">
        <f>SUM('BOP 수주 시나리오'!AD23:AD27)</f>
        <v>11059.97510360611</v>
      </c>
      <c r="P23" s="900">
        <f>SUM('BOP 수주 시나리오'!AE23:AE27)</f>
        <v>11059.97510360611</v>
      </c>
      <c r="Q23" s="900">
        <f>SUM('BOP 수주 시나리오'!AF23:AF27)</f>
        <v>11059.97510360611</v>
      </c>
      <c r="R23" s="900">
        <f>SUM('BOP 수주 시나리오'!AG23:AG27)</f>
        <v>11059.97510360611</v>
      </c>
      <c r="T23" s="906" t="s">
        <v>673</v>
      </c>
      <c r="U23" s="900">
        <f>SUMIF('BOP 수주 시나리오'!$J$23:$J$27,BOP!U$19,'BOP 수주 시나리오'!$G$23:$G$27)</f>
        <v>24187.986330178759</v>
      </c>
      <c r="V23" s="900">
        <f>SUMIF('BOP 수주 시나리오'!$J$23:$J$27,BOP!V$19,'BOP 수주 시나리오'!$G$23:$G$27)</f>
        <v>0</v>
      </c>
      <c r="W23" s="900">
        <f>SUMIF('BOP 수주 시나리오'!$J$23:$J$27,BOP!W$19,'BOP 수주 시나리오'!$G$23:$G$27)</f>
        <v>171087.98633017877</v>
      </c>
      <c r="X23" s="900">
        <f>SUMIF('BOP 수주 시나리오'!$J$23:$J$27,BOP!X$19,'BOP 수주 시나리오'!$G$23:$G$27)</f>
        <v>0</v>
      </c>
      <c r="Z23" s="959" t="s">
        <v>1720</v>
      </c>
    </row>
    <row r="24" spans="1:26" s="581" customFormat="1">
      <c r="B24" s="931" t="s">
        <v>1069</v>
      </c>
      <c r="C24" s="932"/>
      <c r="D24" s="932"/>
      <c r="E24" s="932"/>
      <c r="F24" s="933"/>
      <c r="G24" s="932"/>
      <c r="H24" s="932"/>
      <c r="I24" s="932"/>
      <c r="J24" s="933"/>
      <c r="K24" s="932"/>
      <c r="L24" s="932"/>
      <c r="M24" s="932"/>
      <c r="N24" s="933"/>
      <c r="O24" s="932"/>
      <c r="P24" s="932"/>
      <c r="Q24" s="932"/>
      <c r="R24" s="932"/>
      <c r="T24" s="931" t="s">
        <v>1069</v>
      </c>
      <c r="U24" s="932"/>
      <c r="V24" s="932"/>
      <c r="W24" s="932"/>
      <c r="X24" s="932"/>
      <c r="Z24" s="957" t="s">
        <v>1721</v>
      </c>
    </row>
    <row r="25" spans="1:26">
      <c r="B25" s="906" t="s">
        <v>675</v>
      </c>
      <c r="C25" s="900">
        <f>'BOP 수주 시나리오'!Q64</f>
        <v>0</v>
      </c>
      <c r="D25" s="900">
        <f>'BOP 수주 시나리오'!R64</f>
        <v>0</v>
      </c>
      <c r="E25" s="900">
        <f>'BOP 수주 시나리오'!S64</f>
        <v>0</v>
      </c>
      <c r="F25" s="902">
        <f>'BOP 수주 시나리오'!T64</f>
        <v>0</v>
      </c>
      <c r="G25" s="900">
        <f>'BOP 수주 시나리오'!U64</f>
        <v>0</v>
      </c>
      <c r="H25" s="900">
        <f>'BOP 수주 시나리오'!V64</f>
        <v>0</v>
      </c>
      <c r="I25" s="900">
        <f>'BOP 수주 시나리오'!W64</f>
        <v>0</v>
      </c>
      <c r="J25" s="902">
        <f>'BOP 수주 시나리오'!X64</f>
        <v>0</v>
      </c>
      <c r="K25" s="900">
        <f>'BOP 수주 시나리오'!Y64</f>
        <v>0</v>
      </c>
      <c r="L25" s="900">
        <f>'BOP 수주 시나리오'!Z64</f>
        <v>0</v>
      </c>
      <c r="M25" s="900">
        <f>'BOP 수주 시나리오'!AA64</f>
        <v>0</v>
      </c>
      <c r="N25" s="902">
        <f>'BOP 수주 시나리오'!AB64</f>
        <v>0</v>
      </c>
      <c r="O25" s="900">
        <f>'BOP 수주 시나리오'!AC64</f>
        <v>0</v>
      </c>
      <c r="P25" s="900">
        <f>'BOP 수주 시나리오'!AD64</f>
        <v>21304.451203353594</v>
      </c>
      <c r="Q25" s="900">
        <f>'BOP 수주 시나리오'!AE64</f>
        <v>36952.76710178065</v>
      </c>
      <c r="R25" s="900">
        <f>'BOP 수주 시나리오'!AF64</f>
        <v>36952.76710178065</v>
      </c>
      <c r="T25" s="906" t="s">
        <v>675</v>
      </c>
      <c r="U25" s="900">
        <f>U26+SUMIFS('BOP 수주 시나리오'!$G$40:$G$63,'BOP 수주 시나리오'!$B$40:$B$63,"잠재",'BOP 수주 시나리오'!$J$40:$J$63,U$19)</f>
        <v>0</v>
      </c>
      <c r="V25" s="900">
        <f>V26+SUMIFS('BOP 수주 시나리오'!$G$40:$G$63,'BOP 수주 시나리오'!$B$40:$B$63,"잠재",'BOP 수주 시나리오'!$J$40:$J$63,V$19)</f>
        <v>0</v>
      </c>
      <c r="W25" s="900">
        <f>W26+SUMIFS('BOP 수주 시나리오'!$G$40:$G$63,'BOP 수주 시나리오'!$B$40:$B$63,"잠재",'BOP 수주 시나리오'!$J$40:$J$63,W$19)-SUM('BOP 수주 시나리오'!G56:G57)</f>
        <v>643974.46163812536</v>
      </c>
      <c r="X25" s="900">
        <f>X26+SUMIFS('BOP 수주 시나리오'!$G$40:$G$63,'BOP 수주 시나리오'!$B$40:$B$63,"잠재",'BOP 수주 시나리오'!$J$40:$J$63,X$19)-SUM('BOP 수주 시나리오'!I58:I59)</f>
        <v>419500.72444419411</v>
      </c>
      <c r="Z25" s="956"/>
    </row>
    <row r="26" spans="1:26">
      <c r="B26" s="906" t="s">
        <v>674</v>
      </c>
      <c r="C26" s="900">
        <f>'BOP 수주 시나리오'!Q65</f>
        <v>0</v>
      </c>
      <c r="D26" s="900">
        <f>'BOP 수주 시나리오'!R65</f>
        <v>0</v>
      </c>
      <c r="E26" s="900">
        <f>'BOP 수주 시나리오'!S65</f>
        <v>0</v>
      </c>
      <c r="F26" s="902">
        <f>'BOP 수주 시나리오'!T65</f>
        <v>0</v>
      </c>
      <c r="G26" s="900">
        <f>'BOP 수주 시나리오'!U65</f>
        <v>0</v>
      </c>
      <c r="H26" s="900">
        <f>'BOP 수주 시나리오'!V65</f>
        <v>0</v>
      </c>
      <c r="I26" s="900">
        <f>'BOP 수주 시나리오'!W65</f>
        <v>0</v>
      </c>
      <c r="J26" s="902">
        <f>'BOP 수주 시나리오'!X65</f>
        <v>0</v>
      </c>
      <c r="K26" s="900">
        <f>'BOP 수주 시나리오'!Y65</f>
        <v>0</v>
      </c>
      <c r="L26" s="900">
        <f>'BOP 수주 시나리오'!Z65</f>
        <v>0</v>
      </c>
      <c r="M26" s="900">
        <f>'BOP 수주 시나리오'!AA65</f>
        <v>0</v>
      </c>
      <c r="N26" s="902">
        <f>'BOP 수주 시나리오'!AB65</f>
        <v>0</v>
      </c>
      <c r="O26" s="900">
        <f>'BOP 수주 시나리오'!AC65</f>
        <v>0</v>
      </c>
      <c r="P26" s="900">
        <f>'BOP 수주 시나리오'!AD65</f>
        <v>9899.7978008955233</v>
      </c>
      <c r="Q26" s="900">
        <f>'BOP 수주 시나리오'!AE65</f>
        <v>16071.100321903927</v>
      </c>
      <c r="R26" s="900">
        <f>'BOP 수주 시나리오'!AF65</f>
        <v>16071.100321903927</v>
      </c>
      <c r="T26" s="906" t="s">
        <v>674</v>
      </c>
      <c r="U26" s="900">
        <f>U27+SUMIFS('BOP 수주 시나리오'!$G$40:$G$63,'BOP 수주 시나리오'!$B$40:$B$63,"가능",'BOP 수주 시나리오'!$J$40:$J$63,U$19)</f>
        <v>0</v>
      </c>
      <c r="V26" s="900">
        <f>V27+SUMIFS('BOP 수주 시나리오'!$G$40:$G$63,'BOP 수주 시나리오'!$B$40:$B$63,"가능",'BOP 수주 시나리오'!$J$40:$J$63,V$19)</f>
        <v>0</v>
      </c>
      <c r="W26" s="900">
        <f>W27+SUMIFS('BOP 수주 시나리오'!$G$40:$G$63,'BOP 수주 시나리오'!$B$40:$B$63,"가능",'BOP 수주 시나리오'!$J$40:$J$63,W$19)</f>
        <v>308898.85714285716</v>
      </c>
      <c r="X26" s="900">
        <f>X27+SUMIFS('BOP 수주 시나리오'!$G$40:$G$63,'BOP 수주 시나리오'!$B$40:$B$63,"가능",'BOP 수주 시나리오'!$J$40:$J$63,X$19)</f>
        <v>219161.75568949978</v>
      </c>
      <c r="Z26" s="959" t="s">
        <v>1726</v>
      </c>
    </row>
    <row r="27" spans="1:26">
      <c r="B27" s="906" t="s">
        <v>673</v>
      </c>
      <c r="C27" s="900">
        <f>'BOP 수주 시나리오'!Q66</f>
        <v>0</v>
      </c>
      <c r="D27" s="900">
        <f>'BOP 수주 시나리오'!R66</f>
        <v>0</v>
      </c>
      <c r="E27" s="900">
        <f>'BOP 수주 시나리오'!S66</f>
        <v>0</v>
      </c>
      <c r="F27" s="902">
        <f>'BOP 수주 시나리오'!T66</f>
        <v>0</v>
      </c>
      <c r="G27" s="900">
        <f>'BOP 수주 시나리오'!U66</f>
        <v>0</v>
      </c>
      <c r="H27" s="900">
        <f>'BOP 수주 시나리오'!V66</f>
        <v>0</v>
      </c>
      <c r="I27" s="900">
        <f>'BOP 수주 시나리오'!W66</f>
        <v>0</v>
      </c>
      <c r="J27" s="902">
        <f>'BOP 수주 시나리오'!X66</f>
        <v>0</v>
      </c>
      <c r="K27" s="900">
        <f>'BOP 수주 시나리오'!Y66</f>
        <v>0</v>
      </c>
      <c r="L27" s="900">
        <f>'BOP 수주 시나리오'!Z66</f>
        <v>0</v>
      </c>
      <c r="M27" s="900">
        <f>'BOP 수주 시나리오'!AA66</f>
        <v>0</v>
      </c>
      <c r="N27" s="902">
        <f>'BOP 수주 시나리오'!AB66</f>
        <v>0</v>
      </c>
      <c r="O27" s="900">
        <f>'BOP 수주 시나리오'!AC66</f>
        <v>0</v>
      </c>
      <c r="P27" s="900">
        <f>'BOP 수주 시나리오'!AD66</f>
        <v>9899.7978008955233</v>
      </c>
      <c r="Q27" s="900">
        <f>'BOP 수주 시나리오'!AE66</f>
        <v>16071.100321903927</v>
      </c>
      <c r="R27" s="900">
        <f>'BOP 수주 시나리오'!AF66</f>
        <v>16071.100321903927</v>
      </c>
      <c r="T27" s="906" t="s">
        <v>673</v>
      </c>
      <c r="U27" s="900">
        <f>U28+SUMIFS('BOP 수주 시나리오'!$G$40:$G$63,'BOP 수주 시나리오'!$B$40:$B$63,"확실",'BOP 수주 시나리오'!$J$40:$J$63,U$19)</f>
        <v>0</v>
      </c>
      <c r="V27" s="900">
        <f>V28+SUMIFS('BOP 수주 시나리오'!$G$40:$G$63,'BOP 수주 시나리오'!$B$40:$B$63,"확실",'BOP 수주 시나리오'!$J$40:$J$63,V$19)</f>
        <v>0</v>
      </c>
      <c r="W27" s="900">
        <f>W28+SUMIFS('BOP 수주 시나리오'!$G$40:$G$63,'BOP 수주 시나리오'!$B$40:$B$63,"확실",'BOP 수주 시나리오'!$J$40:$J$63,W$19)</f>
        <v>223144.28571428571</v>
      </c>
      <c r="X27" s="900">
        <f>X28+SUMIFS('BOP 수주 시나리오'!$G$40:$G$63,'BOP 수주 시나리오'!$B$40:$B$63,"확실",'BOP 수주 시나리오'!$J$40:$J$63,X$19)</f>
        <v>32394.624549346554</v>
      </c>
      <c r="Z27" s="957"/>
    </row>
    <row r="28" spans="1:26" s="581" customFormat="1">
      <c r="B28" s="931" t="s">
        <v>1114</v>
      </c>
      <c r="C28" s="932"/>
      <c r="D28" s="932"/>
      <c r="E28" s="932"/>
      <c r="F28" s="933"/>
      <c r="G28" s="932"/>
      <c r="H28" s="932"/>
      <c r="I28" s="932"/>
      <c r="J28" s="933"/>
      <c r="K28" s="932"/>
      <c r="L28" s="932"/>
      <c r="M28" s="932"/>
      <c r="N28" s="933"/>
      <c r="O28" s="932"/>
      <c r="P28" s="932"/>
      <c r="Q28" s="932"/>
      <c r="R28" s="932"/>
      <c r="T28" s="931" t="s">
        <v>1114</v>
      </c>
      <c r="U28" s="932"/>
      <c r="V28" s="932"/>
      <c r="W28" s="932"/>
      <c r="X28" s="932"/>
      <c r="Z28" s="957" t="s">
        <v>1727</v>
      </c>
    </row>
    <row r="29" spans="1:26">
      <c r="B29" s="906" t="s">
        <v>675</v>
      </c>
      <c r="C29" s="900">
        <f>'BOP 수주 시나리오'!Q75</f>
        <v>0</v>
      </c>
      <c r="D29" s="900">
        <f>'BOP 수주 시나리오'!R75</f>
        <v>0</v>
      </c>
      <c r="E29" s="900">
        <f>'BOP 수주 시나리오'!S75</f>
        <v>0</v>
      </c>
      <c r="F29" s="902">
        <f>'BOP 수주 시나리오'!T75</f>
        <v>0</v>
      </c>
      <c r="G29" s="900">
        <f>'BOP 수주 시나리오'!U75</f>
        <v>0</v>
      </c>
      <c r="H29" s="900">
        <f>'BOP 수주 시나리오'!V75</f>
        <v>0</v>
      </c>
      <c r="I29" s="900">
        <f>'BOP 수주 시나리오'!W75</f>
        <v>0</v>
      </c>
      <c r="J29" s="902">
        <f>'BOP 수주 시나리오'!X75</f>
        <v>0</v>
      </c>
      <c r="K29" s="900">
        <f>'BOP 수주 시나리오'!Y75</f>
        <v>0</v>
      </c>
      <c r="L29" s="900">
        <f>'BOP 수주 시나리오'!Z75</f>
        <v>0</v>
      </c>
      <c r="M29" s="900">
        <f>'BOP 수주 시나리오'!AA75</f>
        <v>3085.6512605042021</v>
      </c>
      <c r="N29" s="902">
        <f>'BOP 수주 시나리오'!AB75</f>
        <v>3085.6512605042021</v>
      </c>
      <c r="O29" s="900">
        <f>'BOP 수주 시나리오'!AC75</f>
        <v>3085.6512605042021</v>
      </c>
      <c r="P29" s="900">
        <f>'BOP 수주 시나리오'!AD75</f>
        <v>9256.9537815126059</v>
      </c>
      <c r="Q29" s="900">
        <f>'BOP 수주 시나리오'!AE75</f>
        <v>9256.9537815126059</v>
      </c>
      <c r="R29" s="900">
        <f>'BOP 수주 시나리오'!AF75</f>
        <v>9256.9537815126059</v>
      </c>
      <c r="T29" s="906" t="s">
        <v>675</v>
      </c>
      <c r="U29" s="900">
        <f>U30+SUMIFS('BOP 수주 시나리오'!$G$70:$G$73,'BOP 수주 시나리오'!$B$70:$B$73,"잠재",'BOP 수주 시나리오'!$J$70:$J$73,BOP!U$19)</f>
        <v>0</v>
      </c>
      <c r="V29" s="900">
        <f>V30+SUMIFS('BOP 수주 시나리오'!$G$70:$G$73,'BOP 수주 시나리오'!$B$70:$B$73,"잠재",'BOP 수주 시나리오'!$J$70:$J$73,BOP!V$19)</f>
        <v>157368.21428571432</v>
      </c>
      <c r="W29" s="900">
        <f>W30+SUMIFS('BOP 수주 시나리오'!$G$70:$G$73,'BOP 수주 시나리오'!$B$70:$B$73,"잠재",'BOP 수주 시나리오'!$J$70:$J$73,BOP!W$19)</f>
        <v>104912.14285714287</v>
      </c>
      <c r="X29" s="900">
        <f>X30+SUMIFS('BOP 수주 시나리오'!$G$70:$G$73,'BOP 수주 시나리오'!$B$70:$B$73,"잠재",'BOP 수주 시나리오'!$J$70:$J$73,BOP!X$19)</f>
        <v>104912.14285714287</v>
      </c>
      <c r="Z29" s="958"/>
    </row>
    <row r="30" spans="1:26">
      <c r="B30" s="906" t="s">
        <v>674</v>
      </c>
      <c r="C30" s="900">
        <f>'BOP 수주 시나리오'!Q76</f>
        <v>0</v>
      </c>
      <c r="D30" s="900">
        <f>'BOP 수주 시나리오'!R76</f>
        <v>0</v>
      </c>
      <c r="E30" s="900">
        <f>'BOP 수주 시나리오'!S76</f>
        <v>0</v>
      </c>
      <c r="F30" s="902">
        <f>'BOP 수주 시나리오'!T76</f>
        <v>0</v>
      </c>
      <c r="G30" s="900">
        <f>'BOP 수주 시나리오'!U76</f>
        <v>0</v>
      </c>
      <c r="H30" s="900">
        <f>'BOP 수주 시나리오'!V76</f>
        <v>0</v>
      </c>
      <c r="I30" s="900">
        <f>'BOP 수주 시나리오'!W76</f>
        <v>0</v>
      </c>
      <c r="J30" s="902">
        <f>'BOP 수주 시나리오'!X76</f>
        <v>0</v>
      </c>
      <c r="K30" s="900">
        <f>'BOP 수주 시나리오'!Y76</f>
        <v>0</v>
      </c>
      <c r="L30" s="900">
        <f>'BOP 수주 시나리오'!Z76</f>
        <v>0</v>
      </c>
      <c r="M30" s="900">
        <f>'BOP 수주 시나리오'!AA76</f>
        <v>3085.6512605042021</v>
      </c>
      <c r="N30" s="902">
        <f>'BOP 수주 시나리오'!AB76</f>
        <v>3085.6512605042021</v>
      </c>
      <c r="O30" s="900">
        <f>'BOP 수주 시나리오'!AC76</f>
        <v>3085.6512605042021</v>
      </c>
      <c r="P30" s="900">
        <f>'BOP 수주 시나리오'!AD76</f>
        <v>9256.9537815126059</v>
      </c>
      <c r="Q30" s="900">
        <f>'BOP 수주 시나리오'!AE76</f>
        <v>9256.9537815126059</v>
      </c>
      <c r="R30" s="900">
        <f>'BOP 수주 시나리오'!AF76</f>
        <v>9256.9537815126059</v>
      </c>
      <c r="T30" s="906" t="s">
        <v>674</v>
      </c>
      <c r="U30" s="900">
        <f>U31+SUMIFS('BOP 수주 시나리오'!$G$70:$G$73,'BOP 수주 시나리오'!$B$70:$B$73,"가능",'BOP 수주 시나리오'!$J$70:$J$73,BOP!U$19)</f>
        <v>0</v>
      </c>
      <c r="V30" s="900">
        <f>V31+SUMIFS('BOP 수주 시나리오'!$G$70:$G$73,'BOP 수주 시나리오'!$B$70:$B$73,"가능",'BOP 수주 시나리오'!$J$70:$J$73,BOP!V$19)</f>
        <v>157368.21428571432</v>
      </c>
      <c r="W30" s="900">
        <f>W31+SUMIFS('BOP 수주 시나리오'!$G$70:$G$73,'BOP 수주 시나리오'!$B$70:$B$73,"가능",'BOP 수주 시나리오'!$J$70:$J$73,BOP!W$19)</f>
        <v>104912.14285714287</v>
      </c>
      <c r="X30" s="900">
        <f>X31+SUMIFS('BOP 수주 시나리오'!$G$70:$G$73,'BOP 수주 시나리오'!$B$70:$B$73,"가능",'BOP 수주 시나리오'!$J$70:$J$73,BOP!X$19)</f>
        <v>104912.14285714287</v>
      </c>
      <c r="Z30" s="959" t="s">
        <v>1728</v>
      </c>
    </row>
    <row r="31" spans="1:26">
      <c r="B31" s="906" t="s">
        <v>673</v>
      </c>
      <c r="C31" s="900">
        <f>'BOP 수주 시나리오'!Q77</f>
        <v>0</v>
      </c>
      <c r="D31" s="900">
        <f>'BOP 수주 시나리오'!R77</f>
        <v>0</v>
      </c>
      <c r="E31" s="900">
        <f>'BOP 수주 시나리오'!S77</f>
        <v>0</v>
      </c>
      <c r="F31" s="902">
        <f>'BOP 수주 시나리오'!T77</f>
        <v>0</v>
      </c>
      <c r="G31" s="900">
        <f>'BOP 수주 시나리오'!U77</f>
        <v>0</v>
      </c>
      <c r="H31" s="900">
        <f>'BOP 수주 시나리오'!V77</f>
        <v>0</v>
      </c>
      <c r="I31" s="900">
        <f>'BOP 수주 시나리오'!W77</f>
        <v>0</v>
      </c>
      <c r="J31" s="902">
        <f>'BOP 수주 시나리오'!X77</f>
        <v>0</v>
      </c>
      <c r="K31" s="900">
        <f>'BOP 수주 시나리오'!Y77</f>
        <v>0</v>
      </c>
      <c r="L31" s="900">
        <f>'BOP 수주 시나리오'!Z77</f>
        <v>0</v>
      </c>
      <c r="M31" s="900">
        <f>'BOP 수주 시나리오'!AA77</f>
        <v>0</v>
      </c>
      <c r="N31" s="902">
        <f>'BOP 수주 시나리오'!AB77</f>
        <v>0</v>
      </c>
      <c r="O31" s="900">
        <f>'BOP 수주 시나리오'!AC77</f>
        <v>0</v>
      </c>
      <c r="P31" s="900">
        <f>'BOP 수주 시나리오'!AD77</f>
        <v>0</v>
      </c>
      <c r="Q31" s="900">
        <f>'BOP 수주 시나리오'!AE77</f>
        <v>0</v>
      </c>
      <c r="R31" s="900">
        <f>'BOP 수주 시나리오'!AF77</f>
        <v>0</v>
      </c>
      <c r="T31" s="906" t="s">
        <v>673</v>
      </c>
      <c r="U31" s="900">
        <f>U32+SUMIFS('BOP 수주 시나리오'!$G$70:$G$73,'BOP 수주 시나리오'!$B$70:$B$73,"확실",'BOP 수주 시나리오'!$J$70:$J$73,BOP!U$19)</f>
        <v>0</v>
      </c>
      <c r="V31" s="900">
        <f>V32+SUMIFS('BOP 수주 시나리오'!$G$70:$G$73,'BOP 수주 시나리오'!$B$70:$B$73,"확실",'BOP 수주 시나리오'!$J$70:$J$73,BOP!V$19)</f>
        <v>0</v>
      </c>
      <c r="W31" s="900">
        <f>W32+SUMIFS('BOP 수주 시나리오'!$G$70:$G$73,'BOP 수주 시나리오'!$B$70:$B$73,"확실",'BOP 수주 시나리오'!$J$70:$J$73,BOP!W$19)</f>
        <v>0</v>
      </c>
      <c r="X31" s="900">
        <f>X32+SUMIFS('BOP 수주 시나리오'!$G$70:$G$73,'BOP 수주 시나리오'!$B$70:$B$73,"확실",'BOP 수주 시나리오'!$J$70:$J$73,BOP!X$19)</f>
        <v>0</v>
      </c>
      <c r="Z31" s="957" t="s">
        <v>1729</v>
      </c>
    </row>
    <row r="32" spans="1:26" s="581" customFormat="1">
      <c r="B32" s="931" t="s">
        <v>427</v>
      </c>
      <c r="C32" s="932"/>
      <c r="D32" s="932"/>
      <c r="E32" s="932"/>
      <c r="F32" s="933"/>
      <c r="G32" s="932"/>
      <c r="H32" s="932"/>
      <c r="I32" s="932"/>
      <c r="J32" s="933"/>
      <c r="K32" s="932"/>
      <c r="L32" s="932"/>
      <c r="M32" s="932"/>
      <c r="N32" s="933"/>
      <c r="O32" s="932"/>
      <c r="P32" s="932"/>
      <c r="Q32" s="932"/>
      <c r="R32" s="932"/>
      <c r="T32" s="931" t="s">
        <v>427</v>
      </c>
      <c r="U32" s="932"/>
      <c r="V32" s="932"/>
      <c r="W32" s="932"/>
      <c r="X32" s="932"/>
      <c r="Z32" s="957" t="s">
        <v>1730</v>
      </c>
    </row>
    <row r="33" spans="2:26">
      <c r="B33" s="906" t="s">
        <v>675</v>
      </c>
      <c r="C33" s="900">
        <f>'BOP 수주 시나리오'!Q85</f>
        <v>0</v>
      </c>
      <c r="D33" s="900">
        <f>'BOP 수주 시나리오'!R85</f>
        <v>0</v>
      </c>
      <c r="E33" s="900">
        <f>'BOP 수주 시나리오'!S85</f>
        <v>0</v>
      </c>
      <c r="F33" s="902">
        <f>'BOP 수주 시나리오'!T85</f>
        <v>0</v>
      </c>
      <c r="G33" s="900">
        <f>'BOP 수주 시나리오'!U85</f>
        <v>0</v>
      </c>
      <c r="H33" s="900">
        <f>'BOP 수주 시나리오'!V85</f>
        <v>0</v>
      </c>
      <c r="I33" s="900">
        <f>'BOP 수주 시나리오'!W85</f>
        <v>0</v>
      </c>
      <c r="J33" s="902">
        <f>'BOP 수주 시나리오'!X85</f>
        <v>0</v>
      </c>
      <c r="K33" s="900">
        <f>'BOP 수주 시나리오'!Y85</f>
        <v>0</v>
      </c>
      <c r="L33" s="900">
        <f>'BOP 수주 시나리오'!Z85</f>
        <v>0</v>
      </c>
      <c r="M33" s="900">
        <f>'BOP 수주 시나리오'!AA85</f>
        <v>7307.940372363455</v>
      </c>
      <c r="N33" s="902">
        <f>'BOP 수주 시나리오'!AB85</f>
        <v>7307.940372363455</v>
      </c>
      <c r="O33" s="900">
        <f>'BOP 수주 시나리오'!AC85</f>
        <v>7307.940372363455</v>
      </c>
      <c r="P33" s="900">
        <f>'BOP 수주 시나리오'!AD85</f>
        <v>18791.846671791744</v>
      </c>
      <c r="Q33" s="900">
        <f>'BOP 수주 시나리오'!AE85</f>
        <v>18791.846671791744</v>
      </c>
      <c r="R33" s="900">
        <f>'BOP 수주 시나리오'!AF85</f>
        <v>18791.846671791744</v>
      </c>
      <c r="T33" s="906" t="s">
        <v>675</v>
      </c>
      <c r="U33" s="900">
        <f>U34+SUMIFS('BOP 수주 시나리오'!$G$81:$G$83,'BOP 수주 시나리오'!$B$81:$B$83,"잠재",'BOP 수주 시나리오'!$J$81:$J$83,BOP!U$19)</f>
        <v>0</v>
      </c>
      <c r="V33" s="900">
        <f>V34+SUMIFS('BOP 수주 시나리오'!$G$81:$G$83,'BOP 수주 시나리오'!$B$81:$B$83,"잠재",'BOP 수주 시나리오'!$J$81:$J$83,BOP!V$19)</f>
        <v>319461.39342045964</v>
      </c>
      <c r="W33" s="900">
        <f>W34+SUMIFS('BOP 수주 시나리오'!$G$81:$G$83,'BOP 수주 시나리오'!$B$81:$B$83,"잠재",'BOP 수주 시나리오'!$J$81:$J$83,BOP!W$19)</f>
        <v>0</v>
      </c>
      <c r="X33" s="900">
        <f>X34+SUMIFS('BOP 수주 시나리오'!$G$81:$G$83,'BOP 수주 시나리오'!$B$81:$B$83,"잠재",'BOP 수주 시나리오'!$J$81:$J$83,BOP!X$19)</f>
        <v>124234.98633017874</v>
      </c>
      <c r="Z33" s="957"/>
    </row>
    <row r="34" spans="2:26">
      <c r="B34" s="906" t="s">
        <v>674</v>
      </c>
      <c r="C34" s="900">
        <f>'BOP 수주 시나리오'!Q86</f>
        <v>0</v>
      </c>
      <c r="D34" s="900">
        <f>'BOP 수주 시나리오'!R86</f>
        <v>0</v>
      </c>
      <c r="E34" s="900">
        <f>'BOP 수주 시나리오'!S86</f>
        <v>0</v>
      </c>
      <c r="F34" s="902">
        <f>'BOP 수주 시나리오'!T86</f>
        <v>0</v>
      </c>
      <c r="G34" s="900">
        <f>'BOP 수주 시나리오'!U86</f>
        <v>0</v>
      </c>
      <c r="H34" s="900">
        <f>'BOP 수주 시나리오'!V86</f>
        <v>0</v>
      </c>
      <c r="I34" s="900">
        <f>'BOP 수주 시나리오'!W86</f>
        <v>0</v>
      </c>
      <c r="J34" s="902">
        <f>'BOP 수주 시나리오'!X86</f>
        <v>0</v>
      </c>
      <c r="K34" s="900">
        <f>'BOP 수주 시나리오'!Y86</f>
        <v>0</v>
      </c>
      <c r="L34" s="900">
        <f>'BOP 수주 시나리오'!Z86</f>
        <v>0</v>
      </c>
      <c r="M34" s="900">
        <f>'BOP 수주 시나리오'!AA86</f>
        <v>0</v>
      </c>
      <c r="N34" s="902">
        <f>'BOP 수주 시나리오'!AB86</f>
        <v>0</v>
      </c>
      <c r="O34" s="900">
        <f>'BOP 수주 시나리오'!AC86</f>
        <v>0</v>
      </c>
      <c r="P34" s="900">
        <f>'BOP 수주 시나리오'!AD86</f>
        <v>0</v>
      </c>
      <c r="Q34" s="900">
        <f>'BOP 수주 시나리오'!AE86</f>
        <v>0</v>
      </c>
      <c r="R34" s="900">
        <f>'BOP 수주 시나리오'!AF86</f>
        <v>0</v>
      </c>
      <c r="T34" s="906" t="s">
        <v>674</v>
      </c>
      <c r="U34" s="900">
        <f>U35+SUMIFS('BOP 수주 시나리오'!$G$81:$G$83,'BOP 수주 시나리오'!$B$81:$B$83,"가능",'BOP 수주 시나리오'!$J$81:$J$83,BOP!U$19)</f>
        <v>0</v>
      </c>
      <c r="V34" s="900">
        <f>V35+SUMIFS('BOP 수주 시나리오'!$G$81:$G$83,'BOP 수주 시나리오'!$B$81:$B$83,"가능",'BOP 수주 시나리오'!$J$81:$J$83,BOP!V$19)</f>
        <v>0</v>
      </c>
      <c r="W34" s="900">
        <f>W35+SUMIFS('BOP 수주 시나리오'!$G$81:$G$83,'BOP 수주 시나리오'!$B$81:$B$83,"가능",'BOP 수주 시나리오'!$J$81:$J$83,BOP!W$19)</f>
        <v>0</v>
      </c>
      <c r="X34" s="900">
        <f>X35+SUMIFS('BOP 수주 시나리오'!$G$81:$G$83,'BOP 수주 시나리오'!$B$81:$B$83,"가능",'BOP 수주 시나리오'!$J$81:$J$83,BOP!X$19)</f>
        <v>0</v>
      </c>
      <c r="Z34" s="957"/>
    </row>
    <row r="35" spans="2:26">
      <c r="B35" s="907" t="s">
        <v>673</v>
      </c>
      <c r="C35" s="929">
        <f>'BOP 수주 시나리오'!Q87</f>
        <v>0</v>
      </c>
      <c r="D35" s="903">
        <f>'BOP 수주 시나리오'!R87</f>
        <v>0</v>
      </c>
      <c r="E35" s="903">
        <f>'BOP 수주 시나리오'!S87</f>
        <v>0</v>
      </c>
      <c r="F35" s="904">
        <f>'BOP 수주 시나리오'!T87</f>
        <v>0</v>
      </c>
      <c r="G35" s="903">
        <f>'BOP 수주 시나리오'!U87</f>
        <v>0</v>
      </c>
      <c r="H35" s="903">
        <f>'BOP 수주 시나리오'!V87</f>
        <v>0</v>
      </c>
      <c r="I35" s="903">
        <f>'BOP 수주 시나리오'!W87</f>
        <v>0</v>
      </c>
      <c r="J35" s="904">
        <f>'BOP 수주 시나리오'!X87</f>
        <v>0</v>
      </c>
      <c r="K35" s="903">
        <f>'BOP 수주 시나리오'!Y87</f>
        <v>0</v>
      </c>
      <c r="L35" s="903">
        <f>'BOP 수주 시나리오'!Z87</f>
        <v>0</v>
      </c>
      <c r="M35" s="903">
        <f>'BOP 수주 시나리오'!AA87</f>
        <v>0</v>
      </c>
      <c r="N35" s="904">
        <f>'BOP 수주 시나리오'!AB87</f>
        <v>0</v>
      </c>
      <c r="O35" s="903">
        <f>'BOP 수주 시나리오'!AC87</f>
        <v>0</v>
      </c>
      <c r="P35" s="903">
        <f>'BOP 수주 시나리오'!AD87</f>
        <v>0</v>
      </c>
      <c r="Q35" s="903">
        <f>'BOP 수주 시나리오'!AE87</f>
        <v>0</v>
      </c>
      <c r="R35" s="903">
        <f>'BOP 수주 시나리오'!AF87</f>
        <v>0</v>
      </c>
      <c r="T35" s="907" t="s">
        <v>673</v>
      </c>
      <c r="U35" s="929">
        <f>U36+SUMIFS('BOP 수주 시나리오'!$G$81:$G$83,'BOP 수주 시나리오'!$B$81:$B$83,"확실",'BOP 수주 시나리오'!$J$81:$J$83,BOP!U$19)</f>
        <v>0</v>
      </c>
      <c r="V35" s="903">
        <f>V36+SUMIFS('BOP 수주 시나리오'!$G$81:$G$83,'BOP 수주 시나리오'!$B$81:$B$83,"확실",'BOP 수주 시나리오'!$J$81:$J$83,BOP!V$19)</f>
        <v>0</v>
      </c>
      <c r="W35" s="903">
        <f>W36+SUMIFS('BOP 수주 시나리오'!$G$81:$G$83,'BOP 수주 시나리오'!$B$81:$B$83,"확실",'BOP 수주 시나리오'!$J$81:$J$83,BOP!W$19)</f>
        <v>0</v>
      </c>
      <c r="X35" s="903">
        <f>X36+SUMIFS('BOP 수주 시나리오'!$G$81:$G$83,'BOP 수주 시나리오'!$B$81:$B$83,"확실",'BOP 수주 시나리오'!$J$81:$J$83,BOP!X$19)</f>
        <v>0</v>
      </c>
      <c r="Z35" s="939"/>
    </row>
    <row r="36" spans="2:26">
      <c r="C36" s="900" t="b">
        <f t="shared" ref="C36:R36" si="14">C9=SUM(C11:C12)</f>
        <v>1</v>
      </c>
      <c r="D36" s="900" t="b">
        <f t="shared" si="14"/>
        <v>1</v>
      </c>
      <c r="E36" s="900" t="b">
        <f t="shared" si="14"/>
        <v>1</v>
      </c>
      <c r="F36" s="900" t="b">
        <f t="shared" si="14"/>
        <v>1</v>
      </c>
      <c r="G36" s="900" t="b">
        <f t="shared" si="14"/>
        <v>1</v>
      </c>
      <c r="H36" s="900" t="b">
        <f t="shared" si="14"/>
        <v>1</v>
      </c>
      <c r="I36" s="900" t="b">
        <f t="shared" si="14"/>
        <v>1</v>
      </c>
      <c r="J36" s="900" t="b">
        <f t="shared" si="14"/>
        <v>1</v>
      </c>
      <c r="K36" s="900" t="b">
        <f t="shared" si="14"/>
        <v>1</v>
      </c>
      <c r="L36" s="900" t="b">
        <f t="shared" si="14"/>
        <v>1</v>
      </c>
      <c r="M36" s="900" t="b">
        <f t="shared" si="14"/>
        <v>1</v>
      </c>
      <c r="N36" s="900" t="b">
        <f t="shared" si="14"/>
        <v>1</v>
      </c>
      <c r="O36" s="900" t="b">
        <f t="shared" si="14"/>
        <v>1</v>
      </c>
      <c r="P36" s="900" t="b">
        <f t="shared" si="14"/>
        <v>1</v>
      </c>
      <c r="Q36" s="900" t="b">
        <f t="shared" si="14"/>
        <v>1</v>
      </c>
      <c r="R36" s="900" t="b">
        <f t="shared" si="14"/>
        <v>1</v>
      </c>
    </row>
    <row r="51" spans="2:18">
      <c r="B51" s="6" t="s">
        <v>675</v>
      </c>
    </row>
    <row r="52" spans="2:18">
      <c r="B52" s="908" t="s">
        <v>7</v>
      </c>
      <c r="C52" s="909" t="s">
        <v>1696</v>
      </c>
      <c r="D52" s="921" t="s">
        <v>1161</v>
      </c>
      <c r="E52" s="921" t="s">
        <v>990</v>
      </c>
      <c r="F52" s="922" t="s">
        <v>982</v>
      </c>
      <c r="G52" s="921" t="s">
        <v>953</v>
      </c>
      <c r="H52" s="921" t="s">
        <v>939</v>
      </c>
      <c r="I52" s="921" t="s">
        <v>954</v>
      </c>
      <c r="J52" s="922" t="s">
        <v>940</v>
      </c>
      <c r="K52" s="921" t="s">
        <v>943</v>
      </c>
      <c r="L52" s="921" t="s">
        <v>944</v>
      </c>
      <c r="M52" s="921" t="s">
        <v>941</v>
      </c>
      <c r="N52" s="922" t="s">
        <v>942</v>
      </c>
      <c r="O52" s="921" t="s">
        <v>945</v>
      </c>
      <c r="P52" s="921" t="s">
        <v>946</v>
      </c>
      <c r="Q52" s="921" t="s">
        <v>955</v>
      </c>
      <c r="R52" s="921" t="s">
        <v>949</v>
      </c>
    </row>
    <row r="53" spans="2:18">
      <c r="B53" s="947" t="s">
        <v>55</v>
      </c>
      <c r="C53" s="912">
        <v>98656</v>
      </c>
      <c r="D53" s="912">
        <v>11063.916280076699</v>
      </c>
      <c r="E53" s="912">
        <v>11063.916280076699</v>
      </c>
      <c r="F53" s="926">
        <v>11063.916280076699</v>
      </c>
      <c r="G53" s="912">
        <v>11063.916280076699</v>
      </c>
      <c r="H53" s="912">
        <v>11063.916280076699</v>
      </c>
      <c r="I53" s="912">
        <v>11063.916280076699</v>
      </c>
      <c r="J53" s="926">
        <v>11063.916280076699</v>
      </c>
      <c r="K53" s="912">
        <v>19705.092750664931</v>
      </c>
      <c r="L53" s="912">
        <v>22123.891383682807</v>
      </c>
      <c r="M53" s="912">
        <v>32517.483016550465</v>
      </c>
      <c r="N53" s="926">
        <v>30098.684383532589</v>
      </c>
      <c r="O53" s="912">
        <v>30098.684383532589</v>
      </c>
      <c r="P53" s="912">
        <v>69058.344407322875</v>
      </c>
      <c r="Q53" s="912">
        <v>84706.660305749931</v>
      </c>
      <c r="R53" s="912">
        <v>84706.660305749931</v>
      </c>
    </row>
    <row r="54" spans="2:18">
      <c r="B54" s="807" t="s">
        <v>1694</v>
      </c>
      <c r="C54" s="814"/>
      <c r="D54" s="808">
        <v>-0.88785358944132442</v>
      </c>
      <c r="E54" s="808">
        <v>0</v>
      </c>
      <c r="F54" s="809">
        <v>0</v>
      </c>
      <c r="G54" s="808">
        <v>0</v>
      </c>
      <c r="H54" s="808">
        <v>0</v>
      </c>
      <c r="I54" s="808">
        <v>0</v>
      </c>
      <c r="J54" s="809">
        <v>0</v>
      </c>
      <c r="K54" s="808">
        <v>0.78102330601947845</v>
      </c>
      <c r="L54" s="808">
        <v>0.12274992376964344</v>
      </c>
      <c r="M54" s="808">
        <v>0.46979039322771743</v>
      </c>
      <c r="N54" s="809">
        <v>-7.43845589705322E-2</v>
      </c>
      <c r="O54" s="808">
        <v>0</v>
      </c>
      <c r="P54" s="808">
        <v>1.29439744034479</v>
      </c>
      <c r="Q54" s="808">
        <v>0.22659558425162185</v>
      </c>
      <c r="R54" s="808">
        <v>0</v>
      </c>
    </row>
    <row r="56" spans="2:18">
      <c r="B56" s="6" t="s">
        <v>674</v>
      </c>
    </row>
    <row r="57" spans="2:18">
      <c r="B57" s="908" t="s">
        <v>7</v>
      </c>
      <c r="C57" s="909" t="s">
        <v>1696</v>
      </c>
      <c r="D57" s="921" t="s">
        <v>1161</v>
      </c>
      <c r="E57" s="921" t="s">
        <v>990</v>
      </c>
      <c r="F57" s="922" t="s">
        <v>982</v>
      </c>
      <c r="G57" s="921" t="s">
        <v>953</v>
      </c>
      <c r="H57" s="921" t="s">
        <v>939</v>
      </c>
      <c r="I57" s="921" t="s">
        <v>954</v>
      </c>
      <c r="J57" s="922" t="s">
        <v>940</v>
      </c>
      <c r="K57" s="921" t="s">
        <v>943</v>
      </c>
      <c r="L57" s="921" t="s">
        <v>944</v>
      </c>
      <c r="M57" s="921" t="s">
        <v>941</v>
      </c>
      <c r="N57" s="922" t="s">
        <v>942</v>
      </c>
      <c r="O57" s="921" t="s">
        <v>945</v>
      </c>
      <c r="P57" s="921" t="s">
        <v>946</v>
      </c>
      <c r="Q57" s="921" t="s">
        <v>955</v>
      </c>
      <c r="R57" s="921" t="s">
        <v>949</v>
      </c>
    </row>
    <row r="58" spans="2:18">
      <c r="B58" s="947" t="s">
        <v>55</v>
      </c>
      <c r="C58" s="912">
        <v>98656</v>
      </c>
      <c r="D58" s="912">
        <v>11063.916280076699</v>
      </c>
      <c r="E58" s="912">
        <v>11063.916280076699</v>
      </c>
      <c r="F58" s="926">
        <v>11063.916280076699</v>
      </c>
      <c r="G58" s="912">
        <v>11063.916280076699</v>
      </c>
      <c r="H58" s="912">
        <v>11063.916280076699</v>
      </c>
      <c r="I58" s="912">
        <v>11063.916280076699</v>
      </c>
      <c r="J58" s="926">
        <v>11063.916280076699</v>
      </c>
      <c r="K58" s="912">
        <v>19705.092750664931</v>
      </c>
      <c r="L58" s="912">
        <v>22123.891383682807</v>
      </c>
      <c r="M58" s="912">
        <v>25209.542644187008</v>
      </c>
      <c r="N58" s="926">
        <v>22790.744011169132</v>
      </c>
      <c r="O58" s="912">
        <v>22790.744011169132</v>
      </c>
      <c r="P58" s="912">
        <v>38861.844333073059</v>
      </c>
      <c r="Q58" s="912">
        <v>45033.146854081468</v>
      </c>
      <c r="R58" s="912">
        <v>45033.146854081468</v>
      </c>
    </row>
    <row r="59" spans="2:18">
      <c r="B59" s="807" t="s">
        <v>1694</v>
      </c>
      <c r="C59" s="814"/>
      <c r="D59" s="808">
        <v>-0.88785358944132442</v>
      </c>
      <c r="E59" s="808">
        <v>0</v>
      </c>
      <c r="F59" s="809">
        <v>0</v>
      </c>
      <c r="G59" s="808">
        <v>0</v>
      </c>
      <c r="H59" s="808">
        <v>0</v>
      </c>
      <c r="I59" s="808">
        <v>0</v>
      </c>
      <c r="J59" s="809">
        <v>0</v>
      </c>
      <c r="K59" s="808">
        <v>0.78102330601947845</v>
      </c>
      <c r="L59" s="808">
        <v>0.12274992376964344</v>
      </c>
      <c r="M59" s="808">
        <v>0.13947145224099144</v>
      </c>
      <c r="N59" s="809">
        <v>-9.5947739598346904E-2</v>
      </c>
      <c r="O59" s="808">
        <v>0</v>
      </c>
      <c r="P59" s="808">
        <v>0.70515909063907301</v>
      </c>
      <c r="Q59" s="808">
        <v>0.15880107151158485</v>
      </c>
      <c r="R59" s="808">
        <v>0</v>
      </c>
    </row>
    <row r="61" spans="2:18">
      <c r="B61" s="6" t="s">
        <v>673</v>
      </c>
    </row>
    <row r="62" spans="2:18">
      <c r="B62" s="908" t="s">
        <v>7</v>
      </c>
      <c r="C62" s="909" t="s">
        <v>1696</v>
      </c>
      <c r="D62" s="921" t="s">
        <v>1161</v>
      </c>
      <c r="E62" s="921" t="s">
        <v>990</v>
      </c>
      <c r="F62" s="922" t="s">
        <v>982</v>
      </c>
      <c r="G62" s="921" t="s">
        <v>953</v>
      </c>
      <c r="H62" s="921" t="s">
        <v>939</v>
      </c>
      <c r="I62" s="921" t="s">
        <v>954</v>
      </c>
      <c r="J62" s="922" t="s">
        <v>940</v>
      </c>
      <c r="K62" s="921" t="s">
        <v>943</v>
      </c>
      <c r="L62" s="921" t="s">
        <v>944</v>
      </c>
      <c r="M62" s="921" t="s">
        <v>941</v>
      </c>
      <c r="N62" s="922" t="s">
        <v>942</v>
      </c>
      <c r="O62" s="921" t="s">
        <v>945</v>
      </c>
      <c r="P62" s="921" t="s">
        <v>946</v>
      </c>
      <c r="Q62" s="921" t="s">
        <v>955</v>
      </c>
      <c r="R62" s="921" t="s">
        <v>949</v>
      </c>
    </row>
    <row r="63" spans="2:18">
      <c r="B63" s="947" t="s">
        <v>55</v>
      </c>
      <c r="C63" s="912">
        <v>98656</v>
      </c>
      <c r="D63" s="912">
        <v>11063.916280076699</v>
      </c>
      <c r="E63" s="912">
        <v>11063.916280076699</v>
      </c>
      <c r="F63" s="926">
        <v>11063.916280076699</v>
      </c>
      <c r="G63" s="912">
        <v>11063.916280076699</v>
      </c>
      <c r="H63" s="912">
        <v>11063.916280076699</v>
      </c>
      <c r="I63" s="912">
        <v>11063.916280076699</v>
      </c>
      <c r="J63" s="926">
        <v>11063.916280076699</v>
      </c>
      <c r="K63" s="912">
        <v>19705.092750664931</v>
      </c>
      <c r="L63" s="912">
        <v>22123.891383682807</v>
      </c>
      <c r="M63" s="912">
        <v>22123.891383682807</v>
      </c>
      <c r="N63" s="926">
        <v>19705.092750664931</v>
      </c>
      <c r="O63" s="912">
        <v>19705.092750664931</v>
      </c>
      <c r="P63" s="912">
        <v>29604.890551560457</v>
      </c>
      <c r="Q63" s="912">
        <v>35776.193072568858</v>
      </c>
      <c r="R63" s="912">
        <v>35776.193072568858</v>
      </c>
    </row>
    <row r="64" spans="2:18">
      <c r="B64" s="807" t="s">
        <v>1694</v>
      </c>
      <c r="C64" s="814"/>
      <c r="D64" s="808">
        <v>-0.88785358944132442</v>
      </c>
      <c r="E64" s="808">
        <v>0</v>
      </c>
      <c r="F64" s="809">
        <v>0</v>
      </c>
      <c r="G64" s="808">
        <v>0</v>
      </c>
      <c r="H64" s="808">
        <v>0</v>
      </c>
      <c r="I64" s="808">
        <v>0</v>
      </c>
      <c r="J64" s="809">
        <v>0</v>
      </c>
      <c r="K64" s="808">
        <v>0.78102330601947845</v>
      </c>
      <c r="L64" s="808">
        <v>0.12274992376964344</v>
      </c>
      <c r="M64" s="808">
        <v>0</v>
      </c>
      <c r="N64" s="809">
        <v>-0.10932971017936877</v>
      </c>
      <c r="O64" s="808">
        <v>0</v>
      </c>
      <c r="P64" s="808">
        <v>0.50239792961956309</v>
      </c>
      <c r="Q64" s="808">
        <v>0.20845550873631291</v>
      </c>
      <c r="R64" s="808">
        <v>0</v>
      </c>
    </row>
  </sheetData>
  <phoneticPr fontId="2" type="noConversion"/>
  <conditionalFormatting sqref="B17:B18">
    <cfRule type="expression" dxfId="120" priority="18">
      <formula>$B17=3</formula>
    </cfRule>
    <cfRule type="expression" dxfId="119" priority="19">
      <formula>$B17=2</formula>
    </cfRule>
    <cfRule type="expression" dxfId="118" priority="20">
      <formula>$B17=1</formula>
    </cfRule>
  </conditionalFormatting>
  <conditionalFormatting sqref="B20:B35">
    <cfRule type="expression" dxfId="117" priority="14">
      <formula>$B20=3</formula>
    </cfRule>
    <cfRule type="expression" dxfId="116" priority="15">
      <formula>$B20=2</formula>
    </cfRule>
    <cfRule type="expression" dxfId="115" priority="16">
      <formula>$B20=1</formula>
    </cfRule>
  </conditionalFormatting>
  <conditionalFormatting sqref="C8:R8">
    <cfRule type="cellIs" dxfId="114" priority="23" operator="lessThan">
      <formula>0</formula>
    </cfRule>
  </conditionalFormatting>
  <conditionalFormatting sqref="C11:R11">
    <cfRule type="cellIs" dxfId="113" priority="24" operator="lessThan">
      <formula>0</formula>
    </cfRule>
  </conditionalFormatting>
  <conditionalFormatting sqref="C36:R36">
    <cfRule type="cellIs" dxfId="112" priority="13" operator="equal">
      <formula>TRUE</formula>
    </cfRule>
  </conditionalFormatting>
  <conditionalFormatting sqref="C52:R52">
    <cfRule type="cellIs" dxfId="111" priority="6" operator="lessThan">
      <formula>0</formula>
    </cfRule>
  </conditionalFormatting>
  <conditionalFormatting sqref="C57:R57">
    <cfRule type="cellIs" dxfId="110" priority="5" operator="lessThan">
      <formula>0</formula>
    </cfRule>
  </conditionalFormatting>
  <conditionalFormatting sqref="C62:R62">
    <cfRule type="cellIs" dxfId="109" priority="4" operator="lessThan">
      <formula>0</formula>
    </cfRule>
  </conditionalFormatting>
  <conditionalFormatting sqref="T20:T35">
    <cfRule type="expression" dxfId="108" priority="1">
      <formula>$B20=3</formula>
    </cfRule>
    <cfRule type="expression" dxfId="107" priority="2">
      <formula>$B20=2</formula>
    </cfRule>
    <cfRule type="expression" dxfId="106" priority="3">
      <formula>$B20=1</formula>
    </cfRule>
  </conditionalFormatting>
  <conditionalFormatting sqref="T8:X8">
    <cfRule type="cellIs" dxfId="105" priority="22" operator="lessThan">
      <formula>0</formula>
    </cfRule>
  </conditionalFormatting>
  <conditionalFormatting sqref="T11:X15">
    <cfRule type="cellIs" dxfId="104" priority="17" operator="lessThan">
      <formula>0</formula>
    </cfRule>
  </conditionalFormatting>
  <conditionalFormatting sqref="T19:X19">
    <cfRule type="cellIs" dxfId="103" priority="11" operator="lessThan">
      <formula>0</formula>
    </cfRule>
  </conditionalFormatting>
  <conditionalFormatting sqref="X5">
    <cfRule type="cellIs" dxfId="102" priority="21" operator="lessThan">
      <formula>0</formula>
    </cfRule>
  </conditionalFormatting>
  <conditionalFormatting sqref="Z8">
    <cfRule type="cellIs" dxfId="101" priority="7" operator="lessThan">
      <formula>0</formula>
    </cfRule>
  </conditionalFormatting>
  <conditionalFormatting sqref="Z26:Z28">
    <cfRule type="expression" dxfId="100" priority="25">
      <formula>$Z26=3</formula>
    </cfRule>
    <cfRule type="expression" dxfId="99" priority="26">
      <formula>$Z26=2</formula>
    </cfRule>
    <cfRule type="expression" dxfId="98" priority="27">
      <formula>$Z26=1</formula>
    </cfRule>
  </conditionalFormatting>
  <dataValidations count="1">
    <dataValidation type="list" allowBlank="1" showInputMessage="1" showErrorMessage="1" sqref="C5" xr:uid="{389073C0-9D82-47D0-AF34-712C09B9B17B}">
      <formula1>"Bull, Base, Bear"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8EC3-E8B9-4C06-AE0F-57EA7041E409}">
  <dimension ref="A1:AJ99"/>
  <sheetViews>
    <sheetView showGridLines="0" zoomScale="80" zoomScaleNormal="80" workbookViewId="0">
      <pane xSplit="2" ySplit="4" topLeftCell="C5" activePane="bottomRight" state="frozen"/>
      <selection activeCell="M15" sqref="M15"/>
      <selection pane="topRight" activeCell="M15" sqref="M15"/>
      <selection pane="bottomLeft" activeCell="M15" sqref="M15"/>
      <selection pane="bottomRight" activeCell="B3" sqref="A1:XFD3"/>
    </sheetView>
  </sheetViews>
  <sheetFormatPr defaultColWidth="8.69921875" defaultRowHeight="15"/>
  <cols>
    <col min="1" max="1" width="1.69921875" style="6" customWidth="1"/>
    <col min="2" max="2" width="24.5" style="6" bestFit="1" customWidth="1"/>
    <col min="3" max="10" width="12.69921875" style="6" customWidth="1"/>
    <col min="11" max="16" width="11.19921875" style="6" bestFit="1" customWidth="1"/>
    <col min="17" max="18" width="11.19921875" style="6" customWidth="1"/>
    <col min="19" max="20" width="11.19921875" style="6" bestFit="1" customWidth="1"/>
    <col min="21" max="21" width="10.5" style="6" bestFit="1" customWidth="1"/>
    <col min="22" max="22" width="10.69921875" style="6" bestFit="1" customWidth="1"/>
    <col min="23" max="24" width="8.69921875" style="6"/>
    <col min="25" max="25" width="10.69921875" style="6" bestFit="1" customWidth="1"/>
    <col min="26" max="26" width="8.69921875" style="6"/>
    <col min="27" max="27" width="17.8984375" style="6" bestFit="1" customWidth="1"/>
    <col min="28" max="16384" width="8.69921875" style="6"/>
  </cols>
  <sheetData>
    <row r="1" spans="1:23" s="197" customFormat="1" ht="16.8">
      <c r="B1" s="198" t="s">
        <v>1777</v>
      </c>
    </row>
    <row r="2" spans="1:23" s="197" customFormat="1" ht="22.8" thickBot="1">
      <c r="B2" s="199" t="s">
        <v>1344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</row>
    <row r="3" spans="1:23" s="650" customFormat="1" ht="15.6" thickTop="1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  <c r="N3" s="651"/>
      <c r="O3" s="651"/>
      <c r="Q3" s="651"/>
      <c r="R3" s="651"/>
      <c r="S3" s="651"/>
      <c r="T3" s="651"/>
    </row>
    <row r="5" spans="1:23">
      <c r="B5" s="537" t="s">
        <v>1343</v>
      </c>
      <c r="C5" s="537"/>
      <c r="D5" s="537"/>
      <c r="E5" s="537"/>
      <c r="F5" s="537"/>
      <c r="G5" s="537"/>
      <c r="H5" s="537"/>
      <c r="I5" s="577"/>
      <c r="J5" s="537"/>
      <c r="K5" s="537" t="s">
        <v>1703</v>
      </c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  <c r="W5" s="537"/>
    </row>
    <row r="6" spans="1:23" ht="18" thickBot="1">
      <c r="B6" s="203" t="s">
        <v>7</v>
      </c>
      <c r="C6" s="204">
        <v>2021</v>
      </c>
      <c r="D6" s="205">
        <v>2022</v>
      </c>
      <c r="E6" s="205">
        <v>2023</v>
      </c>
      <c r="F6" s="205">
        <v>2024</v>
      </c>
      <c r="G6" s="536">
        <v>2025</v>
      </c>
      <c r="H6" s="535">
        <v>2026</v>
      </c>
      <c r="I6" s="535">
        <v>2027</v>
      </c>
      <c r="J6" s="535">
        <v>2028</v>
      </c>
      <c r="K6"/>
    </row>
    <row r="7" spans="1:23" ht="15.6" thickTop="1">
      <c r="B7" s="245" t="s">
        <v>1261</v>
      </c>
      <c r="C7" s="206">
        <v>118149.58</v>
      </c>
      <c r="D7" s="206">
        <v>107443.31200000001</v>
      </c>
      <c r="E7" s="206">
        <v>92510.02</v>
      </c>
      <c r="F7" s="559">
        <v>106199.675</v>
      </c>
      <c r="G7" s="558">
        <f>G8*G9</f>
        <v>228941.66250528107</v>
      </c>
      <c r="H7" s="558">
        <f>H8*H9</f>
        <v>279351.389789459</v>
      </c>
      <c r="I7" s="558">
        <f>I8*I9</f>
        <v>301723.53683068481</v>
      </c>
      <c r="J7" s="558">
        <f>J8*J9</f>
        <v>332225.15528546064</v>
      </c>
      <c r="K7" s="6" t="s">
        <v>1342</v>
      </c>
    </row>
    <row r="8" spans="1:23">
      <c r="B8" s="119" t="s">
        <v>10</v>
      </c>
      <c r="C8" s="244">
        <v>234883.71634000001</v>
      </c>
      <c r="D8" s="209">
        <v>330197.10940000002</v>
      </c>
      <c r="E8" s="209">
        <v>367399.20864000003</v>
      </c>
      <c r="F8" s="557">
        <v>404741.03860000003</v>
      </c>
      <c r="G8" s="556">
        <f>'Expected IS'!H7</f>
        <v>818060.12749306392</v>
      </c>
      <c r="H8" s="556">
        <f>'Expected IS'!I7</f>
        <v>1055423.4792523235</v>
      </c>
      <c r="I8" s="556">
        <f>'Expected IS'!J7</f>
        <v>1121745.8460618081</v>
      </c>
      <c r="J8" s="556">
        <f>'Expected IS'!K7</f>
        <v>1225142.8611473271</v>
      </c>
      <c r="K8" s="6" t="s">
        <v>1735</v>
      </c>
    </row>
    <row r="9" spans="1:23" ht="15.6" thickBot="1">
      <c r="B9" s="210" t="s">
        <v>19</v>
      </c>
      <c r="C9" s="246">
        <f>C7/C8</f>
        <v>0.5030130731965069</v>
      </c>
      <c r="D9" s="246">
        <f>D7/D8</f>
        <v>0.32539143723951691</v>
      </c>
      <c r="E9" s="246">
        <f>E7/E8</f>
        <v>0.25179700397952387</v>
      </c>
      <c r="F9" s="247">
        <f>F7/F8</f>
        <v>0.26238919425454083</v>
      </c>
      <c r="G9" s="555">
        <f>AVERAGE(D9:F9)</f>
        <v>0.27985921182452717</v>
      </c>
      <c r="H9" s="555">
        <f t="shared" ref="H9:J9" si="0">AVERAGE(E9:G9)</f>
        <v>0.26468180335286395</v>
      </c>
      <c r="I9" s="555">
        <f t="shared" si="0"/>
        <v>0.26897673647731063</v>
      </c>
      <c r="J9" s="555">
        <f t="shared" si="0"/>
        <v>0.27117258388490056</v>
      </c>
    </row>
    <row r="13" spans="1:23">
      <c r="B13" s="537" t="s">
        <v>47</v>
      </c>
      <c r="C13" s="576"/>
      <c r="D13" s="576"/>
      <c r="E13" s="576"/>
      <c r="F13" s="576"/>
      <c r="G13" s="576"/>
      <c r="H13" s="576"/>
    </row>
    <row r="14" spans="1:23">
      <c r="B14" s="1051" t="s">
        <v>1244</v>
      </c>
      <c r="C14" s="1052"/>
      <c r="D14" s="1053"/>
      <c r="E14" s="566">
        <v>2021</v>
      </c>
      <c r="F14" s="567">
        <v>2022</v>
      </c>
      <c r="G14" s="566">
        <v>2023</v>
      </c>
      <c r="H14" s="566">
        <v>2024</v>
      </c>
      <c r="I14" s="442"/>
    </row>
    <row r="15" spans="1:23">
      <c r="B15" s="1054" t="s">
        <v>1240</v>
      </c>
      <c r="C15" s="565" t="s">
        <v>1233</v>
      </c>
      <c r="D15" s="565" t="s">
        <v>1197</v>
      </c>
      <c r="E15" s="570">
        <v>1800</v>
      </c>
      <c r="F15" s="570">
        <v>1900</v>
      </c>
      <c r="G15" s="564">
        <v>2800</v>
      </c>
      <c r="H15" s="564">
        <v>2500</v>
      </c>
      <c r="I15" s="442"/>
    </row>
    <row r="16" spans="1:23">
      <c r="B16" s="1055"/>
      <c r="C16" s="565" t="s">
        <v>1224</v>
      </c>
      <c r="D16" s="565" t="s">
        <v>1197</v>
      </c>
      <c r="E16" s="570">
        <v>9000</v>
      </c>
      <c r="F16" s="570">
        <v>10000</v>
      </c>
      <c r="G16" s="564">
        <v>12000</v>
      </c>
      <c r="H16" s="564">
        <v>11000</v>
      </c>
      <c r="I16" s="442"/>
    </row>
    <row r="17" spans="2:9">
      <c r="B17" s="1055"/>
      <c r="C17" s="565" t="s">
        <v>1233</v>
      </c>
      <c r="D17" s="565" t="s">
        <v>1219</v>
      </c>
      <c r="E17" s="574">
        <v>2.2999999999999998</v>
      </c>
      <c r="F17" s="574">
        <v>2.4</v>
      </c>
      <c r="G17" s="573">
        <v>1.7</v>
      </c>
      <c r="H17" s="573">
        <v>1.3</v>
      </c>
      <c r="I17" s="442"/>
    </row>
    <row r="18" spans="2:9">
      <c r="B18" s="1055"/>
      <c r="C18" s="565" t="s">
        <v>1228</v>
      </c>
      <c r="D18" s="565" t="s">
        <v>1219</v>
      </c>
      <c r="E18" s="574">
        <v>5.6</v>
      </c>
      <c r="F18" s="574">
        <v>5.8</v>
      </c>
      <c r="G18" s="573">
        <v>3.3</v>
      </c>
      <c r="H18" s="573">
        <v>3</v>
      </c>
      <c r="I18" s="442"/>
    </row>
    <row r="19" spans="2:9">
      <c r="B19" s="1055"/>
      <c r="C19" s="565" t="s">
        <v>1224</v>
      </c>
      <c r="D19" s="565" t="s">
        <v>1219</v>
      </c>
      <c r="E19" s="574">
        <v>13.5</v>
      </c>
      <c r="F19" s="574">
        <v>14</v>
      </c>
      <c r="G19" s="573">
        <v>12.5</v>
      </c>
      <c r="H19" s="573">
        <v>12.1</v>
      </c>
      <c r="I19" s="575"/>
    </row>
    <row r="20" spans="2:9">
      <c r="B20" s="1056"/>
      <c r="C20" s="565" t="s">
        <v>1220</v>
      </c>
      <c r="D20" s="565" t="s">
        <v>1219</v>
      </c>
      <c r="E20" s="574">
        <v>25</v>
      </c>
      <c r="F20" s="574">
        <v>24</v>
      </c>
      <c r="G20" s="573">
        <v>24</v>
      </c>
      <c r="H20" s="573">
        <v>24</v>
      </c>
      <c r="I20" s="572"/>
    </row>
    <row r="21" spans="2:9">
      <c r="B21" s="1054" t="s">
        <v>1216</v>
      </c>
      <c r="C21" s="565" t="s">
        <v>1202</v>
      </c>
      <c r="D21" s="565" t="s">
        <v>1197</v>
      </c>
      <c r="E21" s="570">
        <v>1700</v>
      </c>
      <c r="F21" s="570">
        <v>1800</v>
      </c>
      <c r="G21" s="564">
        <v>2300</v>
      </c>
      <c r="H21" s="564">
        <v>2100</v>
      </c>
      <c r="I21" s="571"/>
    </row>
    <row r="22" spans="2:9">
      <c r="B22" s="1055"/>
      <c r="C22" s="565" t="s">
        <v>1212</v>
      </c>
      <c r="D22" s="565" t="s">
        <v>1197</v>
      </c>
      <c r="E22" s="570">
        <v>10000</v>
      </c>
      <c r="F22" s="570">
        <v>11000</v>
      </c>
      <c r="G22" s="564">
        <v>17000</v>
      </c>
      <c r="H22" s="564">
        <v>12500</v>
      </c>
      <c r="I22" s="442"/>
    </row>
    <row r="23" spans="2:9">
      <c r="B23" s="1056"/>
      <c r="C23" s="565" t="s">
        <v>1208</v>
      </c>
      <c r="D23" s="565" t="s">
        <v>1197</v>
      </c>
      <c r="E23" s="570">
        <v>5500</v>
      </c>
      <c r="F23" s="570">
        <v>5800</v>
      </c>
      <c r="G23" s="564">
        <v>7500</v>
      </c>
      <c r="H23" s="564">
        <v>7000</v>
      </c>
      <c r="I23" s="442"/>
    </row>
    <row r="24" spans="2:9">
      <c r="B24" s="1054" t="s">
        <v>1203</v>
      </c>
      <c r="C24" s="565" t="s">
        <v>1202</v>
      </c>
      <c r="D24" s="565" t="s">
        <v>1197</v>
      </c>
      <c r="E24" s="570">
        <v>1400</v>
      </c>
      <c r="F24" s="570">
        <v>1450</v>
      </c>
      <c r="G24" s="564">
        <v>1200</v>
      </c>
      <c r="H24" s="564">
        <v>1100</v>
      </c>
      <c r="I24" s="442"/>
    </row>
    <row r="25" spans="2:9">
      <c r="B25" s="1057"/>
      <c r="C25" s="569" t="s">
        <v>1198</v>
      </c>
      <c r="D25" s="569" t="s">
        <v>1197</v>
      </c>
      <c r="E25" s="568">
        <v>4500</v>
      </c>
      <c r="F25" s="568">
        <v>5000</v>
      </c>
      <c r="G25" s="560">
        <v>4000</v>
      </c>
      <c r="H25" s="560">
        <v>3700</v>
      </c>
      <c r="I25" s="442"/>
    </row>
    <row r="26" spans="2:9" ht="17.399999999999999" customHeight="1">
      <c r="B26" s="566" t="s">
        <v>1274</v>
      </c>
      <c r="C26" s="1049" t="s">
        <v>1273</v>
      </c>
      <c r="D26" s="1050"/>
      <c r="E26" s="566">
        <v>2021</v>
      </c>
      <c r="F26" s="567">
        <v>2022</v>
      </c>
      <c r="G26" s="566">
        <v>2023</v>
      </c>
      <c r="H26" s="566">
        <v>2024</v>
      </c>
      <c r="I26" s="566" t="s">
        <v>34</v>
      </c>
    </row>
    <row r="27" spans="2:9" ht="17.399999999999999" customHeight="1">
      <c r="B27" s="565" t="s">
        <v>1267</v>
      </c>
      <c r="C27" s="1040" t="s">
        <v>1341</v>
      </c>
      <c r="D27" s="1041"/>
      <c r="E27" s="564">
        <v>23658</v>
      </c>
      <c r="F27" s="564">
        <v>44093</v>
      </c>
      <c r="G27" s="564">
        <v>28685</v>
      </c>
      <c r="H27" s="564">
        <v>44240</v>
      </c>
      <c r="I27" s="563">
        <v>15.5</v>
      </c>
    </row>
    <row r="28" spans="2:9">
      <c r="B28" s="565" t="s">
        <v>1263</v>
      </c>
      <c r="C28" s="1040"/>
      <c r="D28" s="1041"/>
      <c r="E28" s="564">
        <v>14529</v>
      </c>
      <c r="F28" s="564">
        <v>26582</v>
      </c>
      <c r="G28" s="564">
        <v>20896</v>
      </c>
      <c r="H28" s="564">
        <v>30388</v>
      </c>
      <c r="I28" s="563">
        <v>10.6</v>
      </c>
    </row>
    <row r="29" spans="2:9">
      <c r="B29" s="565" t="s">
        <v>1258</v>
      </c>
      <c r="C29" s="1040"/>
      <c r="D29" s="1041"/>
      <c r="E29" s="564">
        <v>10550</v>
      </c>
      <c r="F29" s="564">
        <v>9420</v>
      </c>
      <c r="G29" s="564">
        <v>5366</v>
      </c>
      <c r="H29" s="564">
        <v>13429</v>
      </c>
      <c r="I29" s="563">
        <v>4.7</v>
      </c>
    </row>
    <row r="30" spans="2:9">
      <c r="B30" s="565" t="s">
        <v>1257</v>
      </c>
      <c r="C30" s="1040"/>
      <c r="D30" s="1041"/>
      <c r="E30" s="564">
        <v>1060</v>
      </c>
      <c r="F30" s="563">
        <v>930</v>
      </c>
      <c r="G30" s="564">
        <v>3041</v>
      </c>
      <c r="H30" s="564">
        <v>3162</v>
      </c>
      <c r="I30" s="563">
        <v>1.1000000000000001</v>
      </c>
    </row>
    <row r="31" spans="2:9">
      <c r="B31" s="565" t="s">
        <v>6</v>
      </c>
      <c r="C31" s="1042"/>
      <c r="D31" s="1043"/>
      <c r="E31" s="564">
        <v>67797</v>
      </c>
      <c r="F31" s="564">
        <v>25180</v>
      </c>
      <c r="G31" s="564">
        <v>18450</v>
      </c>
      <c r="H31" s="564">
        <v>7708</v>
      </c>
      <c r="I31" s="563">
        <v>2.7</v>
      </c>
    </row>
    <row r="32" spans="2:9" ht="17.399999999999999" customHeight="1">
      <c r="B32" s="562" t="s">
        <v>1253</v>
      </c>
      <c r="C32" s="1044" t="s">
        <v>1252</v>
      </c>
      <c r="D32" s="1045"/>
      <c r="E32" s="1046">
        <v>72189</v>
      </c>
      <c r="F32" s="1046">
        <v>127490</v>
      </c>
      <c r="G32" s="1046">
        <v>173458</v>
      </c>
      <c r="H32" s="1046">
        <v>187057</v>
      </c>
      <c r="I32" s="1038">
        <v>65.400000000000006</v>
      </c>
    </row>
    <row r="33" spans="2:23">
      <c r="B33" s="561" t="s">
        <v>1250</v>
      </c>
      <c r="C33" s="1042"/>
      <c r="D33" s="1043"/>
      <c r="E33" s="1047"/>
      <c r="F33" s="1047"/>
      <c r="G33" s="1047"/>
      <c r="H33" s="1048"/>
      <c r="I33" s="1039"/>
    </row>
    <row r="34" spans="2:23">
      <c r="B34" s="442"/>
      <c r="C34" s="442"/>
      <c r="D34" s="442"/>
      <c r="E34" s="560">
        <v>189783</v>
      </c>
      <c r="F34" s="560">
        <v>233695</v>
      </c>
      <c r="G34" s="560">
        <v>249896</v>
      </c>
      <c r="H34" s="619">
        <v>285984</v>
      </c>
      <c r="I34" s="442"/>
    </row>
    <row r="36" spans="2:23">
      <c r="B36" s="537" t="s">
        <v>1340</v>
      </c>
      <c r="C36" s="537"/>
      <c r="D36" s="537"/>
      <c r="E36" s="537"/>
      <c r="F36" s="537"/>
      <c r="G36" s="537"/>
      <c r="H36" s="537"/>
      <c r="I36" s="537"/>
      <c r="J36" s="537"/>
      <c r="K36" s="537" t="s">
        <v>1703</v>
      </c>
      <c r="L36" s="537"/>
      <c r="M36" s="537"/>
      <c r="N36" s="537"/>
      <c r="O36" s="537"/>
      <c r="P36" s="537"/>
      <c r="Q36" s="537"/>
      <c r="R36" s="537"/>
      <c r="S36" s="537"/>
      <c r="T36" s="537"/>
      <c r="U36" s="537"/>
      <c r="V36" s="537"/>
      <c r="W36" s="537"/>
    </row>
    <row r="37" spans="2:23" ht="15.6" thickBot="1">
      <c r="B37" s="203" t="s">
        <v>7</v>
      </c>
      <c r="C37" s="204">
        <v>2021</v>
      </c>
      <c r="D37" s="205">
        <v>2022</v>
      </c>
      <c r="E37" s="205">
        <v>2023</v>
      </c>
      <c r="F37" s="205">
        <v>2024</v>
      </c>
      <c r="G37" s="536">
        <v>2025</v>
      </c>
      <c r="H37" s="535">
        <v>2026</v>
      </c>
      <c r="I37" s="535">
        <v>2027</v>
      </c>
      <c r="J37" s="535">
        <v>2028</v>
      </c>
      <c r="K37" s="6" t="s">
        <v>1736</v>
      </c>
    </row>
    <row r="38" spans="2:23" ht="15.6" thickTop="1">
      <c r="B38" s="245" t="s">
        <v>26</v>
      </c>
      <c r="C38" s="206">
        <v>68726.183999999994</v>
      </c>
      <c r="D38" s="206">
        <v>124425.012</v>
      </c>
      <c r="E38" s="206">
        <v>162700.67600000001</v>
      </c>
      <c r="F38" s="559">
        <v>169062.00700000001</v>
      </c>
      <c r="G38" s="558">
        <f>G39*G40</f>
        <v>387781.02639010351</v>
      </c>
      <c r="H38" s="558">
        <f>H39*H40</f>
        <v>504460.03897702077</v>
      </c>
      <c r="I38" s="558">
        <f>I39*I40</f>
        <v>540621.32814735756</v>
      </c>
      <c r="J38" s="558">
        <f>J39*J40</f>
        <v>600320.00196219026</v>
      </c>
      <c r="K38" s="6" t="s">
        <v>1737</v>
      </c>
    </row>
    <row r="39" spans="2:23">
      <c r="B39" s="119" t="s">
        <v>10</v>
      </c>
      <c r="C39" s="244">
        <v>234883.71634000001</v>
      </c>
      <c r="D39" s="209">
        <v>330197.10940000002</v>
      </c>
      <c r="E39" s="209">
        <v>367399.20864000003</v>
      </c>
      <c r="F39" s="557">
        <v>404741.03860000003</v>
      </c>
      <c r="G39" s="556">
        <f>G8</f>
        <v>818060.12749306392</v>
      </c>
      <c r="H39" s="556">
        <f t="shared" ref="H39" si="1">H8</f>
        <v>1055423.4792523235</v>
      </c>
      <c r="I39" s="556">
        <f>I8</f>
        <v>1121745.8460618081</v>
      </c>
      <c r="J39" s="556">
        <f>J8</f>
        <v>1225142.8611473271</v>
      </c>
      <c r="K39" s="6" t="s">
        <v>1738</v>
      </c>
    </row>
    <row r="40" spans="2:23" ht="17.399999999999999" thickBot="1">
      <c r="B40" s="210" t="s">
        <v>1339</v>
      </c>
      <c r="C40" s="246">
        <f>C38/C39</f>
        <v>0.29259663066858638</v>
      </c>
      <c r="D40" s="246">
        <f>D38/D39</f>
        <v>0.37682041561809021</v>
      </c>
      <c r="E40" s="246">
        <f>E38/E39</f>
        <v>0.44284438336780407</v>
      </c>
      <c r="F40" s="247">
        <f>F38/F39</f>
        <v>0.41770413888541125</v>
      </c>
      <c r="G40" s="555">
        <f>G41</f>
        <v>0.47402509101434159</v>
      </c>
      <c r="H40" s="555">
        <f>G40*(1+RATE(4,0,-G40,J40))</f>
        <v>0.4779693164817474</v>
      </c>
      <c r="I40" s="555">
        <f>H40*(1+RATE(4,0,-G40,J40))</f>
        <v>0.48194636070670982</v>
      </c>
      <c r="J40" s="555">
        <v>0.49</v>
      </c>
      <c r="K40" s="554" t="s">
        <v>1324</v>
      </c>
      <c r="L40" s="553">
        <f>CORREL(C38:F38,C39:F39)</f>
        <v>0.98635904431303745</v>
      </c>
    </row>
    <row r="41" spans="2:23">
      <c r="F41" s="211">
        <f>RATE(2,0,-C40,D40)</f>
        <v>0.13483455605495179</v>
      </c>
      <c r="G41" s="6">
        <f>F40*(1+$F$41)</f>
        <v>0.47402509101434159</v>
      </c>
      <c r="K41" s="552"/>
    </row>
    <row r="42" spans="2:23" ht="15" customHeight="1"/>
    <row r="43" spans="2:23">
      <c r="B43" s="537" t="s">
        <v>1338</v>
      </c>
      <c r="C43" s="537"/>
      <c r="D43" s="537"/>
      <c r="E43" s="537"/>
      <c r="F43" s="537"/>
      <c r="G43" s="537"/>
      <c r="H43" s="537"/>
      <c r="I43" s="537"/>
      <c r="J43" s="537"/>
      <c r="K43" s="537" t="s">
        <v>1703</v>
      </c>
      <c r="L43" s="537"/>
      <c r="M43" s="537"/>
      <c r="N43" s="537"/>
      <c r="O43" s="537"/>
      <c r="P43" s="537"/>
      <c r="Q43" s="537"/>
      <c r="R43" s="537"/>
      <c r="S43" s="537"/>
      <c r="T43" s="537"/>
      <c r="U43" s="537"/>
      <c r="V43" s="537"/>
      <c r="W43" s="537"/>
    </row>
    <row r="44" spans="2:23" ht="15.6" thickBot="1">
      <c r="B44" s="203" t="s">
        <v>7</v>
      </c>
      <c r="C44" s="204">
        <v>2021</v>
      </c>
      <c r="D44" s="205">
        <v>2022</v>
      </c>
      <c r="E44" s="205">
        <v>2023</v>
      </c>
      <c r="F44" s="1002">
        <v>2024</v>
      </c>
      <c r="G44" s="535">
        <v>2025</v>
      </c>
      <c r="H44" s="535">
        <v>2026</v>
      </c>
      <c r="I44" s="535">
        <v>2027</v>
      </c>
      <c r="J44" s="535">
        <v>2028</v>
      </c>
    </row>
    <row r="45" spans="2:23" ht="15.6" thickTop="1">
      <c r="B45" s="212" t="s">
        <v>27</v>
      </c>
      <c r="C45" s="206">
        <v>31065.083999999999</v>
      </c>
      <c r="D45" s="206">
        <v>33357.714999999997</v>
      </c>
      <c r="E45" s="206">
        <v>37304.192999999999</v>
      </c>
      <c r="F45" s="559">
        <v>43458.932000000001</v>
      </c>
      <c r="G45" s="207">
        <f>G46*G48</f>
        <v>51164.548088912146</v>
      </c>
      <c r="H45" s="207">
        <f>H46*H48</f>
        <v>58910.007806224407</v>
      </c>
      <c r="I45" s="207">
        <f>I46*I48</f>
        <v>67828.001015443093</v>
      </c>
      <c r="J45" s="208">
        <f>J46*J48</f>
        <v>78096.029742247774</v>
      </c>
    </row>
    <row r="46" spans="2:23">
      <c r="B46" s="215" t="s">
        <v>1337</v>
      </c>
      <c r="C46" s="216">
        <v>397</v>
      </c>
      <c r="D46" s="217">
        <v>423</v>
      </c>
      <c r="E46" s="217">
        <v>454</v>
      </c>
      <c r="F46" s="1003">
        <v>558</v>
      </c>
      <c r="G46" s="218">
        <f>F46*1.05</f>
        <v>585.9</v>
      </c>
      <c r="H46" s="218">
        <f>G46*1.05</f>
        <v>615.19500000000005</v>
      </c>
      <c r="I46" s="218">
        <f>H46*1.05</f>
        <v>645.9547500000001</v>
      </c>
      <c r="J46" s="218">
        <f>I46*1.05</f>
        <v>678.25248750000014</v>
      </c>
    </row>
    <row r="47" spans="2:23">
      <c r="B47" s="219" t="s">
        <v>30</v>
      </c>
      <c r="C47" s="220">
        <v>0</v>
      </c>
      <c r="D47" s="221">
        <f t="shared" ref="D47:J47" si="2">D46-C46</f>
        <v>26</v>
      </c>
      <c r="E47" s="221">
        <f t="shared" si="2"/>
        <v>31</v>
      </c>
      <c r="F47" s="1004">
        <f t="shared" si="2"/>
        <v>104</v>
      </c>
      <c r="G47" s="551">
        <f t="shared" si="2"/>
        <v>27.899999999999977</v>
      </c>
      <c r="H47" s="551">
        <f t="shared" si="2"/>
        <v>29.295000000000073</v>
      </c>
      <c r="I47" s="551">
        <f t="shared" si="2"/>
        <v>30.759750000000054</v>
      </c>
      <c r="J47" s="551">
        <f t="shared" si="2"/>
        <v>32.297737500000039</v>
      </c>
    </row>
    <row r="48" spans="2:23">
      <c r="B48" s="222" t="s">
        <v>28</v>
      </c>
      <c r="C48" s="223">
        <f>C45/C46</f>
        <v>78.249581863979842</v>
      </c>
      <c r="D48" s="224">
        <f>D45/D46</f>
        <v>78.859846335697398</v>
      </c>
      <c r="E48" s="224">
        <f>E45/E46</f>
        <v>82.167825991189432</v>
      </c>
      <c r="F48" s="550">
        <f>F45/F46</f>
        <v>77.88339068100359</v>
      </c>
      <c r="G48" s="225">
        <f>K48*(1+$L$48)</f>
        <v>87.326417629138334</v>
      </c>
      <c r="H48" s="225">
        <f>G48*(1+$L$48)</f>
        <v>95.758268201504237</v>
      </c>
      <c r="I48" s="225">
        <f>H48*(1+$L$48)</f>
        <v>105.00426077127398</v>
      </c>
      <c r="J48" s="225">
        <f>I48*(1+$L$48)</f>
        <v>115.14300526947608</v>
      </c>
      <c r="K48" s="235">
        <f>AVERAGE(D48:F48)</f>
        <v>79.637021002630135</v>
      </c>
      <c r="L48" s="211">
        <f>AVERAGE(G54:G55)</f>
        <v>9.6555553305469E-2</v>
      </c>
    </row>
    <row r="49" spans="2:36">
      <c r="B49" s="226" t="s">
        <v>31</v>
      </c>
      <c r="C49" s="227">
        <v>18100.127</v>
      </c>
      <c r="D49" s="228">
        <v>19458.435000000001</v>
      </c>
      <c r="E49" s="228">
        <v>23214.915000000001</v>
      </c>
      <c r="F49" s="1005">
        <v>26366.581999999999</v>
      </c>
      <c r="G49" s="229">
        <f>G45*G50</f>
        <v>30909.207924977629</v>
      </c>
      <c r="H49" s="229">
        <f>H45*H50</f>
        <v>35346.004683734645</v>
      </c>
      <c r="I49" s="229">
        <f>I45*I50</f>
        <v>40696.800609265854</v>
      </c>
      <c r="J49" s="230">
        <f>J45*J50</f>
        <v>46857.617845348665</v>
      </c>
      <c r="K49" s="6" t="s">
        <v>1739</v>
      </c>
    </row>
    <row r="50" spans="2:36">
      <c r="B50" s="231" t="s">
        <v>33</v>
      </c>
      <c r="C50" s="232">
        <f>C49/C45</f>
        <v>0.58265179646705612</v>
      </c>
      <c r="D50" s="233">
        <f>D49/D45</f>
        <v>0.58332637592233172</v>
      </c>
      <c r="E50" s="233">
        <f>E49/E45</f>
        <v>0.6223138240787035</v>
      </c>
      <c r="F50" s="549">
        <f>F49/F45</f>
        <v>0.60670110346936268</v>
      </c>
      <c r="G50" s="234">
        <f>AVERAGE(D50:F50)</f>
        <v>0.60411376782346593</v>
      </c>
      <c r="H50" s="234">
        <v>0.6</v>
      </c>
      <c r="I50" s="234">
        <v>0.6</v>
      </c>
      <c r="J50" s="234">
        <v>0.6</v>
      </c>
      <c r="K50" s="6" t="s">
        <v>1740</v>
      </c>
    </row>
    <row r="51" spans="2:36">
      <c r="B51" s="119" t="s">
        <v>32</v>
      </c>
      <c r="C51" s="548">
        <f>C45-C49</f>
        <v>12964.956999999999</v>
      </c>
      <c r="D51" s="214">
        <f>D45-D49</f>
        <v>13899.279999999995</v>
      </c>
      <c r="E51" s="214">
        <f>E45-E49</f>
        <v>14089.277999999998</v>
      </c>
      <c r="F51" s="1006">
        <f>F45-F49</f>
        <v>17092.350000000002</v>
      </c>
      <c r="G51" s="236">
        <f>G45*G52</f>
        <v>20255.340163934514</v>
      </c>
      <c r="H51" s="236">
        <f>H45*H52</f>
        <v>23564.003122489765</v>
      </c>
      <c r="I51" s="236">
        <f>I45*I52</f>
        <v>27131.200406177239</v>
      </c>
      <c r="J51" s="237">
        <f>J45*J52</f>
        <v>31238.41189689911</v>
      </c>
    </row>
    <row r="52" spans="2:36" ht="15.6" thickBot="1">
      <c r="B52" s="238" t="s">
        <v>33</v>
      </c>
      <c r="C52" s="239">
        <f>C51/C45</f>
        <v>0.41734820353294388</v>
      </c>
      <c r="D52" s="240">
        <f>D51/D45</f>
        <v>0.41667362407766828</v>
      </c>
      <c r="E52" s="240">
        <f>E51/E45</f>
        <v>0.37768617592129655</v>
      </c>
      <c r="F52" s="241">
        <f>F51/F45</f>
        <v>0.39329889653063727</v>
      </c>
      <c r="G52" s="242">
        <f>AVERAGE(D52:F52)</f>
        <v>0.39588623217653401</v>
      </c>
      <c r="H52" s="242">
        <v>0.4</v>
      </c>
      <c r="I52" s="242">
        <v>0.4</v>
      </c>
      <c r="J52" s="243">
        <v>0.4</v>
      </c>
    </row>
    <row r="53" spans="2:36">
      <c r="B53" s="547" t="s">
        <v>1336</v>
      </c>
      <c r="D53" s="58"/>
      <c r="E53" s="58"/>
    </row>
    <row r="54" spans="2:36">
      <c r="B54" s="3" t="s">
        <v>1335</v>
      </c>
      <c r="C54" s="3"/>
      <c r="D54" s="3">
        <v>61</v>
      </c>
      <c r="E54" s="6">
        <v>66</v>
      </c>
      <c r="F54" s="6">
        <v>76</v>
      </c>
      <c r="G54" s="211">
        <f>RATE(3,0,-D54,F54)</f>
        <v>7.6038769299236003E-2</v>
      </c>
      <c r="H54" s="3"/>
      <c r="I54" s="5"/>
      <c r="J54" s="3"/>
    </row>
    <row r="55" spans="2:36">
      <c r="B55" s="6" t="s">
        <v>1334</v>
      </c>
      <c r="D55" s="6">
        <v>33</v>
      </c>
      <c r="E55" s="6">
        <v>37</v>
      </c>
      <c r="F55" s="6">
        <v>46</v>
      </c>
      <c r="G55" s="211">
        <f>RATE(3,0,-D55,F55)</f>
        <v>0.11707233731170201</v>
      </c>
    </row>
    <row r="58" spans="2:36">
      <c r="J58" s="6">
        <v>1000</v>
      </c>
    </row>
    <row r="59" spans="2:36">
      <c r="B59" s="537" t="s">
        <v>1333</v>
      </c>
      <c r="C59" s="537"/>
      <c r="D59" s="537"/>
      <c r="E59" s="537"/>
      <c r="F59" s="537"/>
      <c r="G59" s="537"/>
      <c r="H59" s="537"/>
      <c r="I59" s="537"/>
      <c r="J59" s="537"/>
      <c r="K59" s="537" t="s">
        <v>1703</v>
      </c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</row>
    <row r="60" spans="2:36" ht="15.6" thickBot="1">
      <c r="B60" s="203" t="s">
        <v>7</v>
      </c>
      <c r="C60" s="204">
        <v>2021</v>
      </c>
      <c r="D60" s="205">
        <v>2022</v>
      </c>
      <c r="E60" s="205">
        <v>2023</v>
      </c>
      <c r="F60" s="205">
        <v>2024</v>
      </c>
      <c r="G60" s="536">
        <v>2025</v>
      </c>
      <c r="H60" s="535">
        <v>2026</v>
      </c>
      <c r="I60" s="535">
        <v>2027</v>
      </c>
      <c r="J60" s="535">
        <v>2028</v>
      </c>
    </row>
    <row r="61" spans="2:36" ht="15.6" thickTop="1">
      <c r="B61" s="6" t="s">
        <v>1332</v>
      </c>
      <c r="C61" s="546">
        <f t="shared" ref="C61:J61" si="3">SUM(C62:C64,C66:C67)</f>
        <v>36273.627</v>
      </c>
      <c r="D61" s="546">
        <f t="shared" si="3"/>
        <v>43938.712</v>
      </c>
      <c r="E61" s="546">
        <f t="shared" si="3"/>
        <v>45532.010999999999</v>
      </c>
      <c r="F61" s="546">
        <f t="shared" si="3"/>
        <v>43994.756999999998</v>
      </c>
      <c r="G61" s="546">
        <f t="shared" si="3"/>
        <v>67377.702671181309</v>
      </c>
      <c r="H61" s="546">
        <f t="shared" si="3"/>
        <v>76698.267920368016</v>
      </c>
      <c r="I61" s="546">
        <f t="shared" si="3"/>
        <v>79280.105324952659</v>
      </c>
      <c r="J61" s="546">
        <f t="shared" si="3"/>
        <v>83485.633001380353</v>
      </c>
    </row>
    <row r="62" spans="2:36">
      <c r="B62" s="6" t="s">
        <v>1246</v>
      </c>
      <c r="C62" s="202">
        <v>9744.0740000000005</v>
      </c>
      <c r="D62" s="202">
        <v>9379.5840000000007</v>
      </c>
      <c r="E62" s="202">
        <v>8879.3410000000003</v>
      </c>
      <c r="F62" s="202">
        <v>4144.7820000000002</v>
      </c>
      <c r="G62" s="532">
        <f>AVERAGE(C62:E62)</f>
        <v>9334.3330000000005</v>
      </c>
      <c r="H62" s="532">
        <f>AVERAGE(D62:E62,G62)</f>
        <v>9197.7526666666672</v>
      </c>
      <c r="I62" s="532">
        <f>AVERAGE(E62,G62:H62)</f>
        <v>9137.1422222222227</v>
      </c>
      <c r="J62" s="532">
        <f>AVERAGE(G62:I62)</f>
        <v>9223.0759629629629</v>
      </c>
      <c r="K62" s="6" t="s">
        <v>1741</v>
      </c>
    </row>
    <row r="63" spans="2:36">
      <c r="B63" s="6" t="s">
        <v>1205</v>
      </c>
      <c r="C63" s="202">
        <v>3342.0340000000001</v>
      </c>
      <c r="D63" s="202">
        <v>12326.903</v>
      </c>
      <c r="E63" s="202">
        <v>8820.9879999999994</v>
      </c>
      <c r="F63" s="202">
        <v>3349.84</v>
      </c>
      <c r="G63" s="532">
        <f>G8*$X$67</f>
        <v>13205.852701821823</v>
      </c>
      <c r="H63" s="532">
        <f>H8*$X$67</f>
        <v>17037.582613594204</v>
      </c>
      <c r="I63" s="532">
        <f>I8*$X$67</f>
        <v>18108.217127473108</v>
      </c>
      <c r="J63" s="532">
        <f>J8*$X$67</f>
        <v>19777.343521900624</v>
      </c>
      <c r="K63" s="6" t="s">
        <v>1742</v>
      </c>
      <c r="S63" s="544"/>
      <c r="T63" s="141">
        <v>2021</v>
      </c>
      <c r="U63" s="141">
        <v>2022</v>
      </c>
      <c r="V63" s="141">
        <v>2023</v>
      </c>
      <c r="W63" s="226">
        <v>2024</v>
      </c>
      <c r="X63" s="226"/>
      <c r="AA63" s="545" t="s">
        <v>1331</v>
      </c>
      <c r="AB63" s="59" t="s">
        <v>1330</v>
      </c>
      <c r="AC63" s="59" t="s">
        <v>1329</v>
      </c>
      <c r="AD63" s="59" t="s">
        <v>1328</v>
      </c>
      <c r="AE63" s="59" t="s">
        <v>1327</v>
      </c>
      <c r="AF63" s="59" t="s">
        <v>1326</v>
      </c>
      <c r="AG63" s="59"/>
      <c r="AH63" s="59"/>
      <c r="AI63" s="59"/>
      <c r="AJ63" s="59"/>
    </row>
    <row r="64" spans="2:36">
      <c r="B64" s="6" t="s">
        <v>1241</v>
      </c>
      <c r="C64" s="202">
        <v>4363.5010000000002</v>
      </c>
      <c r="D64" s="202">
        <v>7587.1559999999999</v>
      </c>
      <c r="E64" s="202">
        <v>7757.8739999999998</v>
      </c>
      <c r="F64" s="202">
        <v>10930.226000000001</v>
      </c>
      <c r="G64" s="539">
        <f>G39*G65</f>
        <v>19387.694969359491</v>
      </c>
      <c r="H64" s="539">
        <f>H39*H65</f>
        <v>25013.110640107145</v>
      </c>
      <c r="I64" s="539">
        <f>I39*I65</f>
        <v>26584.92397525733</v>
      </c>
      <c r="J64" s="539">
        <f>J39*J65</f>
        <v>29035.391516516764</v>
      </c>
      <c r="K64" s="6" t="s">
        <v>1743</v>
      </c>
      <c r="S64" s="544" t="s">
        <v>1325</v>
      </c>
      <c r="T64" s="141">
        <v>71</v>
      </c>
      <c r="U64" s="141">
        <v>100</v>
      </c>
      <c r="V64" s="141">
        <v>82</v>
      </c>
      <c r="W64" s="226">
        <v>81</v>
      </c>
      <c r="X64" s="543" t="s">
        <v>1324</v>
      </c>
      <c r="AA64" s="119" t="s">
        <v>1323</v>
      </c>
      <c r="AB64" s="6" t="s">
        <v>1322</v>
      </c>
      <c r="AC64" s="6" t="s">
        <v>1321</v>
      </c>
      <c r="AD64" s="6" t="s">
        <v>1321</v>
      </c>
      <c r="AE64" s="6" t="s">
        <v>1321</v>
      </c>
      <c r="AF64" s="6" t="s">
        <v>1320</v>
      </c>
    </row>
    <row r="65" spans="2:32">
      <c r="B65" s="6" t="s">
        <v>1303</v>
      </c>
      <c r="C65" s="326">
        <f>C64/C$39</f>
        <v>1.8577281848196424E-2</v>
      </c>
      <c r="D65" s="326">
        <f>D64/D39</f>
        <v>2.2977657235663248E-2</v>
      </c>
      <c r="E65" s="326">
        <f>E64/E39</f>
        <v>2.1115652449871316E-2</v>
      </c>
      <c r="F65" s="326">
        <f>F64/F39</f>
        <v>2.70054799429474E-2</v>
      </c>
      <c r="G65" s="538">
        <f>AVERAGE(D65:F65)</f>
        <v>2.3699596542827318E-2</v>
      </c>
      <c r="H65" s="538">
        <f>$G$65</f>
        <v>2.3699596542827318E-2</v>
      </c>
      <c r="I65" s="538">
        <f>$G$65</f>
        <v>2.3699596542827318E-2</v>
      </c>
      <c r="J65" s="538">
        <f>$G$65</f>
        <v>2.3699596542827318E-2</v>
      </c>
      <c r="S65" s="542" t="s">
        <v>1205</v>
      </c>
      <c r="T65" s="291">
        <v>3342.0340000000001</v>
      </c>
      <c r="U65" s="291">
        <v>12326.903</v>
      </c>
      <c r="V65" s="291">
        <v>8820.9879999999994</v>
      </c>
      <c r="W65" s="541">
        <v>3349.84</v>
      </c>
      <c r="X65" s="540">
        <f>CORREL(T64:W64,T65:W65)</f>
        <v>0.8765103551365</v>
      </c>
      <c r="AA65" s="119" t="s">
        <v>1319</v>
      </c>
      <c r="AB65" s="6" t="s">
        <v>1305</v>
      </c>
      <c r="AC65" s="6" t="s">
        <v>1318</v>
      </c>
      <c r="AD65" s="6" t="s">
        <v>29</v>
      </c>
      <c r="AE65" s="6" t="s">
        <v>1308</v>
      </c>
      <c r="AF65" s="6" t="s">
        <v>1317</v>
      </c>
    </row>
    <row r="66" spans="2:32">
      <c r="B66" s="6" t="s">
        <v>1214</v>
      </c>
      <c r="C66" s="202">
        <v>183.54900000000001</v>
      </c>
      <c r="D66" s="202">
        <v>71.239999999999995</v>
      </c>
      <c r="E66" s="202">
        <v>154.613</v>
      </c>
      <c r="F66" s="202">
        <v>293.05700000000002</v>
      </c>
      <c r="G66" s="532">
        <f>AVERAGE(D66:F66)</f>
        <v>172.97000000000003</v>
      </c>
      <c r="H66" s="532">
        <f t="shared" ref="H66:J67" si="4">G66</f>
        <v>172.97000000000003</v>
      </c>
      <c r="I66" s="532">
        <f t="shared" si="4"/>
        <v>172.97000000000003</v>
      </c>
      <c r="J66" s="532">
        <f t="shared" si="4"/>
        <v>172.97000000000003</v>
      </c>
      <c r="K66" s="6" t="s">
        <v>1302</v>
      </c>
      <c r="S66" s="6" t="s">
        <v>10</v>
      </c>
      <c r="T66" s="202">
        <v>234883.71634000001</v>
      </c>
      <c r="U66" s="202">
        <v>330197.10940000002</v>
      </c>
      <c r="V66" s="202">
        <v>367399.20864000003</v>
      </c>
      <c r="W66" s="202">
        <v>404741.03860000003</v>
      </c>
      <c r="AA66" s="119" t="s">
        <v>1316</v>
      </c>
      <c r="AB66" s="6" t="s">
        <v>29</v>
      </c>
      <c r="AC66" s="6" t="s">
        <v>29</v>
      </c>
      <c r="AD66" s="6" t="s">
        <v>29</v>
      </c>
      <c r="AE66" s="6" t="s">
        <v>1315</v>
      </c>
      <c r="AF66" s="6" t="s">
        <v>1314</v>
      </c>
    </row>
    <row r="67" spans="2:32">
      <c r="B67" s="6" t="s">
        <v>6</v>
      </c>
      <c r="C67" s="202">
        <v>18640.469000000001</v>
      </c>
      <c r="D67" s="202">
        <v>14573.829</v>
      </c>
      <c r="E67" s="202">
        <v>19919.195</v>
      </c>
      <c r="F67" s="202">
        <v>25276.851999999999</v>
      </c>
      <c r="G67" s="532">
        <f>F67</f>
        <v>25276.851999999999</v>
      </c>
      <c r="H67" s="532">
        <f t="shared" si="4"/>
        <v>25276.851999999999</v>
      </c>
      <c r="I67" s="532">
        <f t="shared" si="4"/>
        <v>25276.851999999999</v>
      </c>
      <c r="J67" s="532">
        <f t="shared" si="4"/>
        <v>25276.851999999999</v>
      </c>
      <c r="K67" s="6" t="s">
        <v>1302</v>
      </c>
      <c r="S67" s="6" t="s">
        <v>1313</v>
      </c>
      <c r="T67" s="7">
        <f>T65/T66</f>
        <v>1.4228461862219188E-2</v>
      </c>
      <c r="U67" s="7">
        <f>U65/U66</f>
        <v>3.7331953094317423E-2</v>
      </c>
      <c r="V67" s="7">
        <f>V65/V66</f>
        <v>2.400927327158001E-2</v>
      </c>
      <c r="W67" s="7">
        <f>W65/W66</f>
        <v>8.276501961815147E-3</v>
      </c>
      <c r="X67" s="296">
        <f>AVERAGE(V67:W67)</f>
        <v>1.6142887616697577E-2</v>
      </c>
      <c r="AA67" s="119" t="s">
        <v>1312</v>
      </c>
      <c r="AB67" s="6" t="s">
        <v>29</v>
      </c>
      <c r="AC67" s="6" t="s">
        <v>29</v>
      </c>
      <c r="AD67" s="6" t="s">
        <v>29</v>
      </c>
      <c r="AE67" s="6" t="s">
        <v>1311</v>
      </c>
      <c r="AF67" s="6" t="s">
        <v>1310</v>
      </c>
    </row>
    <row r="68" spans="2:32">
      <c r="AA68" s="119" t="s">
        <v>1309</v>
      </c>
      <c r="AB68" s="6" t="s">
        <v>1308</v>
      </c>
      <c r="AC68" s="6" t="s">
        <v>1307</v>
      </c>
      <c r="AD68" s="6" t="s">
        <v>1306</v>
      </c>
      <c r="AE68" s="6" t="s">
        <v>1305</v>
      </c>
      <c r="AF68" s="6" t="s">
        <v>1304</v>
      </c>
    </row>
    <row r="70" spans="2:32">
      <c r="J70" s="6">
        <v>1000</v>
      </c>
    </row>
    <row r="71" spans="2:32">
      <c r="B71" s="537" t="s">
        <v>9</v>
      </c>
      <c r="C71" s="537"/>
      <c r="D71" s="537"/>
      <c r="E71" s="537"/>
      <c r="F71" s="537"/>
      <c r="G71" s="537"/>
      <c r="H71" s="537"/>
      <c r="I71" s="537"/>
      <c r="J71" s="537"/>
      <c r="K71" s="537" t="s">
        <v>1703</v>
      </c>
      <c r="L71" s="537"/>
      <c r="M71" s="537"/>
      <c r="N71" s="537"/>
      <c r="O71" s="537"/>
      <c r="P71" s="537"/>
      <c r="Q71" s="537"/>
      <c r="R71" s="537"/>
      <c r="S71" s="537"/>
      <c r="T71" s="537"/>
      <c r="U71" s="537"/>
      <c r="V71" s="537"/>
      <c r="W71" s="537"/>
    </row>
    <row r="72" spans="2:32" ht="15.6" thickBot="1">
      <c r="B72" s="203" t="s">
        <v>7</v>
      </c>
      <c r="C72" s="204">
        <v>2021</v>
      </c>
      <c r="D72" s="205">
        <v>2022</v>
      </c>
      <c r="E72" s="205">
        <v>2023</v>
      </c>
      <c r="F72" s="205">
        <v>2024</v>
      </c>
      <c r="G72" s="536">
        <v>2025</v>
      </c>
      <c r="H72" s="535">
        <v>2026</v>
      </c>
      <c r="I72" s="535">
        <v>2027</v>
      </c>
      <c r="J72" s="535">
        <v>2028</v>
      </c>
    </row>
    <row r="73" spans="2:32" ht="15.6" thickTop="1">
      <c r="B73" s="6" t="s">
        <v>12</v>
      </c>
      <c r="C73" s="510">
        <v>24245.07762</v>
      </c>
      <c r="D73" s="510">
        <v>26823.58381</v>
      </c>
      <c r="E73" s="510">
        <v>28354.888439999999</v>
      </c>
      <c r="F73" s="510">
        <v>37190.759140000002</v>
      </c>
      <c r="G73" s="534">
        <f>SUM(G74:G79)</f>
        <v>39220.891673863167</v>
      </c>
      <c r="H73" s="534">
        <f>SUM(H74:H79)</f>
        <v>47347.019571665922</v>
      </c>
      <c r="I73" s="534">
        <f>SUM(I74:I79)</f>
        <v>52260.27838685998</v>
      </c>
      <c r="J73" s="534">
        <f>SUM(J74:J79)</f>
        <v>58466.008841463568</v>
      </c>
    </row>
    <row r="74" spans="2:32">
      <c r="B74" s="6" t="s">
        <v>27</v>
      </c>
      <c r="C74" s="3">
        <v>13000.707</v>
      </c>
      <c r="D74" s="3">
        <v>13948.49</v>
      </c>
      <c r="E74" s="3">
        <v>14157.436</v>
      </c>
      <c r="F74" s="3">
        <v>17165.348999999998</v>
      </c>
      <c r="G74" s="532">
        <f>G51</f>
        <v>20255.340163934514</v>
      </c>
      <c r="H74" s="532">
        <f>H51</f>
        <v>23564.003122489765</v>
      </c>
      <c r="I74" s="532">
        <f>I51</f>
        <v>27131.200406177239</v>
      </c>
      <c r="J74" s="532">
        <f>J51</f>
        <v>31238.41189689911</v>
      </c>
      <c r="K74" s="6" t="s">
        <v>1744</v>
      </c>
    </row>
    <row r="75" spans="2:32">
      <c r="B75" s="6" t="s">
        <v>49</v>
      </c>
      <c r="C75" s="3">
        <v>1041.9590000000001</v>
      </c>
      <c r="D75" s="3">
        <v>1176.78</v>
      </c>
      <c r="E75" s="3">
        <v>1715.5219999999999</v>
      </c>
      <c r="F75" s="3">
        <v>1913.114</v>
      </c>
      <c r="G75" s="531">
        <f>F75</f>
        <v>1913.114</v>
      </c>
      <c r="H75" s="531">
        <f t="shared" ref="H75:J75" si="5">G75</f>
        <v>1913.114</v>
      </c>
      <c r="I75" s="531">
        <f t="shared" si="5"/>
        <v>1913.114</v>
      </c>
      <c r="J75" s="531">
        <f t="shared" si="5"/>
        <v>1913.114</v>
      </c>
      <c r="K75" s="6" t="s">
        <v>1745</v>
      </c>
    </row>
    <row r="76" spans="2:32">
      <c r="B76" s="6" t="s">
        <v>1241</v>
      </c>
      <c r="C76" s="202">
        <v>5181.509</v>
      </c>
      <c r="D76" s="202">
        <v>5547.9650000000001</v>
      </c>
      <c r="E76" s="202">
        <v>6020.1210000000001</v>
      </c>
      <c r="F76" s="202">
        <v>8214.5190000000002</v>
      </c>
      <c r="G76" s="539">
        <f>G39*G77</f>
        <v>16603.135880855043</v>
      </c>
      <c r="H76" s="539">
        <f>H39*H77</f>
        <v>21420.600820102547</v>
      </c>
      <c r="I76" s="539">
        <f>I39*I77</f>
        <v>22766.662351609128</v>
      </c>
      <c r="J76" s="539">
        <f>J39*J77</f>
        <v>24865.181315490849</v>
      </c>
    </row>
    <row r="77" spans="2:32">
      <c r="B77" s="6" t="s">
        <v>1303</v>
      </c>
      <c r="C77" s="326">
        <f>C76/C$39</f>
        <v>2.2059890233087239E-2</v>
      </c>
      <c r="D77" s="326">
        <f>D76/D$39</f>
        <v>1.6801979308907904E-2</v>
      </c>
      <c r="E77" s="326">
        <f>E76/E$39</f>
        <v>1.638577563159337E-2</v>
      </c>
      <c r="F77" s="326">
        <f>F76/F$39</f>
        <v>2.0295740279794795E-2</v>
      </c>
      <c r="G77" s="538">
        <f>F77</f>
        <v>2.0295740279794795E-2</v>
      </c>
      <c r="H77" s="538">
        <f t="shared" ref="H77:J79" si="6">G77</f>
        <v>2.0295740279794795E-2</v>
      </c>
      <c r="I77" s="538">
        <f t="shared" si="6"/>
        <v>2.0295740279794795E-2</v>
      </c>
      <c r="J77" s="538">
        <f t="shared" si="6"/>
        <v>2.0295740279794795E-2</v>
      </c>
      <c r="K77" s="6" t="s">
        <v>1746</v>
      </c>
    </row>
    <row r="78" spans="2:32">
      <c r="B78" s="6" t="s">
        <v>1214</v>
      </c>
      <c r="C78" s="202">
        <v>255.6</v>
      </c>
      <c r="D78" s="202">
        <v>383.62</v>
      </c>
      <c r="E78" s="202">
        <v>392.87200000000001</v>
      </c>
      <c r="F78" s="202">
        <v>510.51900000000001</v>
      </c>
      <c r="G78" s="532">
        <f>AVERAGE(D78:F78)</f>
        <v>429.00366666666667</v>
      </c>
      <c r="H78" s="532">
        <f t="shared" si="6"/>
        <v>429.00366666666667</v>
      </c>
      <c r="I78" s="532">
        <f t="shared" si="6"/>
        <v>429.00366666666667</v>
      </c>
      <c r="J78" s="532">
        <f t="shared" si="6"/>
        <v>429.00366666666667</v>
      </c>
      <c r="K78" s="6" t="s">
        <v>1302</v>
      </c>
    </row>
    <row r="79" spans="2:32">
      <c r="B79" s="6" t="s">
        <v>4</v>
      </c>
      <c r="C79" s="202">
        <v>21.175000000000001</v>
      </c>
      <c r="D79" s="202">
        <v>31.102</v>
      </c>
      <c r="E79" s="202">
        <v>16.399000000000001</v>
      </c>
      <c r="F79" s="202">
        <v>13.332000000000001</v>
      </c>
      <c r="G79" s="532">
        <f>AVERAGE(D79:F79)</f>
        <v>20.277666666666669</v>
      </c>
      <c r="H79" s="532">
        <f t="shared" si="6"/>
        <v>20.277666666666669</v>
      </c>
      <c r="I79" s="532">
        <f t="shared" si="6"/>
        <v>20.277666666666669</v>
      </c>
      <c r="J79" s="532">
        <f t="shared" si="6"/>
        <v>20.277666666666669</v>
      </c>
      <c r="K79" s="6" t="s">
        <v>1302</v>
      </c>
    </row>
    <row r="80" spans="2:32">
      <c r="C80" s="202"/>
      <c r="D80" s="202"/>
      <c r="E80" s="202"/>
      <c r="F80" s="202"/>
      <c r="G80" s="213"/>
      <c r="H80" s="213"/>
      <c r="I80" s="213"/>
      <c r="J80" s="213"/>
    </row>
    <row r="81" spans="2:23">
      <c r="C81" s="202"/>
      <c r="D81" s="202"/>
      <c r="E81" s="202"/>
      <c r="F81" s="202"/>
      <c r="G81" s="213"/>
      <c r="H81" s="213"/>
      <c r="I81" s="213"/>
      <c r="J81" s="213"/>
    </row>
    <row r="82" spans="2:23">
      <c r="C82" s="202"/>
      <c r="D82" s="202"/>
      <c r="E82" s="202"/>
      <c r="F82" s="202"/>
      <c r="G82" s="213"/>
      <c r="H82" s="213"/>
      <c r="I82" s="213"/>
      <c r="J82" s="213"/>
    </row>
    <row r="83" spans="2:23">
      <c r="B83" s="537" t="s">
        <v>1301</v>
      </c>
      <c r="C83" s="537"/>
      <c r="D83" s="537"/>
      <c r="E83" s="537"/>
      <c r="F83" s="537"/>
      <c r="G83" s="537"/>
      <c r="H83" s="537"/>
      <c r="I83" s="537"/>
      <c r="J83" s="537"/>
      <c r="K83" s="537" t="s">
        <v>1703</v>
      </c>
      <c r="L83" s="537"/>
      <c r="M83" s="537"/>
      <c r="N83" s="537"/>
      <c r="O83" s="537"/>
      <c r="P83" s="537"/>
      <c r="Q83" s="537"/>
      <c r="R83" s="537"/>
      <c r="S83" s="537"/>
      <c r="T83" s="537"/>
      <c r="U83" s="537"/>
      <c r="V83" s="537"/>
      <c r="W83" s="537"/>
    </row>
    <row r="84" spans="2:23" ht="15.6" thickBot="1">
      <c r="B84" s="203" t="s">
        <v>7</v>
      </c>
      <c r="C84" s="204">
        <v>2021</v>
      </c>
      <c r="D84" s="205">
        <v>2022</v>
      </c>
      <c r="E84" s="205">
        <v>2023</v>
      </c>
      <c r="F84" s="205">
        <v>2024</v>
      </c>
      <c r="G84" s="536">
        <v>2025</v>
      </c>
      <c r="H84" s="535">
        <v>2026</v>
      </c>
      <c r="I84" s="535">
        <v>2027</v>
      </c>
      <c r="J84" s="535">
        <v>2028</v>
      </c>
    </row>
    <row r="85" spans="2:23" ht="15.6" thickTop="1">
      <c r="B85" s="6" t="s">
        <v>18</v>
      </c>
      <c r="C85" s="510">
        <v>7196.576</v>
      </c>
      <c r="D85" s="510">
        <v>8323.5759999999991</v>
      </c>
      <c r="E85" s="510">
        <v>10770.512000000001</v>
      </c>
      <c r="F85" s="510">
        <v>18569.587</v>
      </c>
      <c r="G85" s="534">
        <f>SUM(G86:G92)</f>
        <v>66557.240666666665</v>
      </c>
      <c r="H85" s="534">
        <f>SUM(H86:H92)</f>
        <v>66557.948999999993</v>
      </c>
      <c r="I85" s="534">
        <f>SUM(I86:I92)</f>
        <v>66567.372111111108</v>
      </c>
      <c r="J85" s="534">
        <f>SUM(J86:J92)</f>
        <v>66560.853925925927</v>
      </c>
    </row>
    <row r="86" spans="2:23">
      <c r="B86" s="6" t="s">
        <v>1300</v>
      </c>
      <c r="C86" s="3">
        <v>141.376</v>
      </c>
      <c r="D86" s="3">
        <v>281.41800000000001</v>
      </c>
      <c r="E86" s="3">
        <v>958.346</v>
      </c>
      <c r="F86" s="3">
        <v>1352.5830000000001</v>
      </c>
      <c r="G86" s="532">
        <f>AVERAGE(D86:F86)</f>
        <v>864.1156666666667</v>
      </c>
      <c r="H86" s="532">
        <f t="shared" ref="H86:J88" si="7">G86</f>
        <v>864.1156666666667</v>
      </c>
      <c r="I86" s="532">
        <f t="shared" si="7"/>
        <v>864.1156666666667</v>
      </c>
      <c r="J86" s="532">
        <f t="shared" si="7"/>
        <v>864.1156666666667</v>
      </c>
      <c r="K86" s="6" t="s">
        <v>1747</v>
      </c>
    </row>
    <row r="87" spans="2:23">
      <c r="B87" s="6" t="s">
        <v>1299</v>
      </c>
      <c r="C87" s="3">
        <v>5857.7939999999999</v>
      </c>
      <c r="D87" s="3">
        <v>7309.4139999999998</v>
      </c>
      <c r="E87" s="3">
        <v>8337.759</v>
      </c>
      <c r="F87" s="3">
        <v>16104.773999999999</v>
      </c>
      <c r="G87" s="531">
        <f>AVERAGE(C87:E87)</f>
        <v>7168.3223333333326</v>
      </c>
      <c r="H87" s="531">
        <f t="shared" si="7"/>
        <v>7168.3223333333326</v>
      </c>
      <c r="I87" s="531">
        <f t="shared" si="7"/>
        <v>7168.3223333333326</v>
      </c>
      <c r="J87" s="531">
        <f t="shared" si="7"/>
        <v>7168.3223333333326</v>
      </c>
      <c r="K87" s="6" t="s">
        <v>1748</v>
      </c>
    </row>
    <row r="88" spans="2:23">
      <c r="B88" s="6" t="s">
        <v>1298</v>
      </c>
      <c r="C88" s="202">
        <v>553.49599999999998</v>
      </c>
      <c r="D88" s="202">
        <v>2.7</v>
      </c>
      <c r="E88" s="202">
        <v>769.79899999999998</v>
      </c>
      <c r="F88" s="202">
        <v>350.375</v>
      </c>
      <c r="G88" s="532">
        <f>AVERAGE(D88:F88)</f>
        <v>374.29133333333334</v>
      </c>
      <c r="H88" s="532">
        <f t="shared" si="7"/>
        <v>374.29133333333334</v>
      </c>
      <c r="I88" s="532">
        <f t="shared" si="7"/>
        <v>374.29133333333334</v>
      </c>
      <c r="J88" s="532">
        <f t="shared" si="7"/>
        <v>374.29133333333334</v>
      </c>
      <c r="K88" s="6" t="s">
        <v>1302</v>
      </c>
    </row>
    <row r="89" spans="2:23">
      <c r="B89" s="6" t="s">
        <v>1292</v>
      </c>
      <c r="C89" s="3">
        <f>C85-SUM(C86:C88)</f>
        <v>643.90999999999985</v>
      </c>
      <c r="D89" s="3">
        <f>D85-SUM(D86:D88)</f>
        <v>730.04399999999987</v>
      </c>
      <c r="E89" s="3">
        <f>E85-SUM(E86:E88)</f>
        <v>704.60800000000199</v>
      </c>
      <c r="F89" s="3">
        <f>F85-SUM(F86:F88)</f>
        <v>761.85499999999956</v>
      </c>
      <c r="G89" s="532">
        <f>AVERAGE(D89:F89)</f>
        <v>732.16900000000044</v>
      </c>
      <c r="H89" s="532">
        <f>AVERAGE(E89:G89)</f>
        <v>732.87733333333392</v>
      </c>
      <c r="I89" s="532">
        <f>AVERAGE(F89:H89)</f>
        <v>742.30044444444457</v>
      </c>
      <c r="J89" s="532">
        <f>AVERAGE(G89:I89)</f>
        <v>735.7822592592596</v>
      </c>
      <c r="K89" s="6" t="s">
        <v>1302</v>
      </c>
    </row>
    <row r="90" spans="2:23">
      <c r="B90" s="6" t="s">
        <v>1297</v>
      </c>
      <c r="C90" s="202">
        <v>13853.978999999999</v>
      </c>
      <c r="D90" s="202">
        <v>37272.428</v>
      </c>
      <c r="E90" s="202">
        <v>22758.851999999999</v>
      </c>
      <c r="F90" s="202">
        <v>44883.533000000003</v>
      </c>
      <c r="G90" s="533">
        <f>SUM(G91:G94)</f>
        <v>36955.902333333332</v>
      </c>
      <c r="H90" s="533">
        <f>SUM(H91:H94)</f>
        <v>36955.902333333332</v>
      </c>
      <c r="I90" s="533">
        <f>SUM(I91:I94)</f>
        <v>36955.902333333332</v>
      </c>
      <c r="J90" s="533">
        <f>SUM(J91:J94)</f>
        <v>36955.902333333332</v>
      </c>
    </row>
    <row r="91" spans="2:23">
      <c r="B91" s="6" t="s">
        <v>1296</v>
      </c>
      <c r="C91" s="202">
        <v>6922.6059999999998</v>
      </c>
      <c r="D91" s="202">
        <v>9204.768</v>
      </c>
      <c r="E91" s="202">
        <v>11546.804</v>
      </c>
      <c r="F91" s="202">
        <v>10416.513999999999</v>
      </c>
      <c r="G91" s="532">
        <f>AVERAGE(D91:F91)</f>
        <v>10389.361999999999</v>
      </c>
      <c r="H91" s="532">
        <f t="shared" ref="H91:J96" si="8">G91</f>
        <v>10389.361999999999</v>
      </c>
      <c r="I91" s="532">
        <f t="shared" si="8"/>
        <v>10389.361999999999</v>
      </c>
      <c r="J91" s="532">
        <f t="shared" si="8"/>
        <v>10389.361999999999</v>
      </c>
      <c r="K91" s="6" t="s">
        <v>1749</v>
      </c>
    </row>
    <row r="92" spans="2:23">
      <c r="B92" s="6" t="s">
        <v>1295</v>
      </c>
      <c r="C92" s="202">
        <v>2956.4850000000001</v>
      </c>
      <c r="D92" s="202">
        <v>7109.6589999999997</v>
      </c>
      <c r="E92" s="202">
        <v>7083.6030000000001</v>
      </c>
      <c r="F92" s="202">
        <v>10073.078</v>
      </c>
      <c r="G92" s="532">
        <f>F92</f>
        <v>10073.078</v>
      </c>
      <c r="H92" s="532">
        <f t="shared" si="8"/>
        <v>10073.078</v>
      </c>
      <c r="I92" s="532">
        <f t="shared" si="8"/>
        <v>10073.078</v>
      </c>
      <c r="J92" s="532">
        <f t="shared" si="8"/>
        <v>10073.078</v>
      </c>
      <c r="K92" s="6" t="s">
        <v>1294</v>
      </c>
    </row>
    <row r="93" spans="2:23">
      <c r="B93" s="6" t="s">
        <v>1293</v>
      </c>
      <c r="C93" s="202">
        <v>3914.9810000000002</v>
      </c>
      <c r="D93" s="202">
        <v>20942.7</v>
      </c>
      <c r="E93" s="202">
        <v>2631.4749999999999</v>
      </c>
      <c r="F93" s="202">
        <v>21948.103999999999</v>
      </c>
      <c r="G93" s="532">
        <f>AVERAGE(D93:F93)</f>
        <v>15174.092999999999</v>
      </c>
      <c r="H93" s="532">
        <f t="shared" si="8"/>
        <v>15174.092999999999</v>
      </c>
      <c r="I93" s="532">
        <f t="shared" si="8"/>
        <v>15174.092999999999</v>
      </c>
      <c r="J93" s="532">
        <f t="shared" si="8"/>
        <v>15174.092999999999</v>
      </c>
      <c r="K93" s="6" t="s">
        <v>1302</v>
      </c>
    </row>
    <row r="94" spans="2:23">
      <c r="B94" s="6" t="s">
        <v>1292</v>
      </c>
      <c r="C94" s="213">
        <f>C90-SUM(C91:C93)</f>
        <v>59.906999999999243</v>
      </c>
      <c r="D94" s="213">
        <f>D90-SUM(D91:D93)</f>
        <v>15.300999999999476</v>
      </c>
      <c r="E94" s="213">
        <f>E90-SUM(E91:E93)</f>
        <v>1496.9700000000012</v>
      </c>
      <c r="F94" s="213">
        <f>F90-SUM(F91:F93)</f>
        <v>2445.8370000000068</v>
      </c>
      <c r="G94" s="532">
        <f>AVERAGE(D94:F94)</f>
        <v>1319.3693333333358</v>
      </c>
      <c r="H94" s="532">
        <f t="shared" si="8"/>
        <v>1319.3693333333358</v>
      </c>
      <c r="I94" s="532">
        <f t="shared" si="8"/>
        <v>1319.3693333333358</v>
      </c>
      <c r="J94" s="532">
        <f t="shared" si="8"/>
        <v>1319.3693333333358</v>
      </c>
      <c r="K94" s="6" t="s">
        <v>1302</v>
      </c>
    </row>
    <row r="95" spans="2:23">
      <c r="B95" s="4" t="s">
        <v>1283</v>
      </c>
      <c r="C95" s="510">
        <v>3506.3990000000003</v>
      </c>
      <c r="D95" s="510">
        <v>1286.204</v>
      </c>
      <c r="E95" s="510">
        <v>2118.7169999999996</v>
      </c>
      <c r="F95" s="510">
        <v>840.82099999999969</v>
      </c>
      <c r="G95" s="531">
        <f>F95</f>
        <v>840.82099999999969</v>
      </c>
      <c r="H95" s="531">
        <f t="shared" si="8"/>
        <v>840.82099999999969</v>
      </c>
      <c r="I95" s="531">
        <f t="shared" si="8"/>
        <v>840.82099999999969</v>
      </c>
      <c r="J95" s="531">
        <f t="shared" si="8"/>
        <v>840.82099999999969</v>
      </c>
      <c r="K95" s="6" t="s">
        <v>1291</v>
      </c>
    </row>
    <row r="96" spans="2:23">
      <c r="B96" s="4" t="s">
        <v>1282</v>
      </c>
      <c r="C96" s="510">
        <v>-722.69736</v>
      </c>
      <c r="D96" s="510">
        <v>-1220.5219999999999</v>
      </c>
      <c r="E96" s="510">
        <v>-1392.16</v>
      </c>
      <c r="F96" s="510">
        <v>-399.34300000000002</v>
      </c>
      <c r="G96" s="531">
        <f>F96</f>
        <v>-399.34300000000002</v>
      </c>
      <c r="H96" s="531">
        <f t="shared" si="8"/>
        <v>-399.34300000000002</v>
      </c>
      <c r="I96" s="531">
        <f t="shared" si="8"/>
        <v>-399.34300000000002</v>
      </c>
      <c r="J96" s="531">
        <f t="shared" si="8"/>
        <v>-399.34300000000002</v>
      </c>
      <c r="K96" s="6" t="s">
        <v>1750</v>
      </c>
    </row>
    <row r="97" spans="2:11">
      <c r="B97" s="4" t="s">
        <v>1281</v>
      </c>
      <c r="C97" s="510">
        <v>-34484.581400000003</v>
      </c>
      <c r="D97" s="510">
        <v>-20775.115440000001</v>
      </c>
      <c r="E97" s="510">
        <v>3824.9159</v>
      </c>
      <c r="F97" s="510">
        <v>-3945.2096200000001</v>
      </c>
      <c r="G97" s="530"/>
      <c r="H97" s="530"/>
      <c r="I97" s="530"/>
      <c r="J97" s="530"/>
    </row>
    <row r="98" spans="2:11">
      <c r="B98" s="4" t="s">
        <v>1280</v>
      </c>
      <c r="C98" s="510">
        <v>102.52471</v>
      </c>
      <c r="D98" s="510">
        <v>-1657.3596500000001</v>
      </c>
      <c r="E98" s="510">
        <v>-3638.8661400000001</v>
      </c>
      <c r="F98" s="510">
        <v>-23530.262050000001</v>
      </c>
      <c r="G98" s="530">
        <f>G97*G99</f>
        <v>0</v>
      </c>
      <c r="H98" s="530">
        <f>H97*H99</f>
        <v>0</v>
      </c>
      <c r="I98" s="530">
        <f>I97*I99</f>
        <v>0</v>
      </c>
      <c r="J98" s="530">
        <f>J97*J99</f>
        <v>0</v>
      </c>
      <c r="K98" s="6" t="s">
        <v>1751</v>
      </c>
    </row>
    <row r="99" spans="2:11">
      <c r="B99" s="6" t="s">
        <v>1290</v>
      </c>
      <c r="C99" s="510"/>
      <c r="D99" s="510"/>
      <c r="E99" s="510"/>
      <c r="F99" s="510"/>
      <c r="G99" s="529">
        <v>0.21</v>
      </c>
      <c r="H99" s="529">
        <v>0.21</v>
      </c>
      <c r="I99" s="529">
        <v>0.21</v>
      </c>
      <c r="J99" s="529">
        <v>0.21</v>
      </c>
    </row>
  </sheetData>
  <mergeCells count="12">
    <mergeCell ref="C26:D26"/>
    <mergeCell ref="B14:D14"/>
    <mergeCell ref="B15:B20"/>
    <mergeCell ref="B21:B23"/>
    <mergeCell ref="B24:B25"/>
    <mergeCell ref="I32:I33"/>
    <mergeCell ref="C27:D31"/>
    <mergeCell ref="C32:D33"/>
    <mergeCell ref="E32:E33"/>
    <mergeCell ref="F32:F33"/>
    <mergeCell ref="G32:G33"/>
    <mergeCell ref="H32:H33"/>
  </mergeCells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D48B-50A4-419F-BD30-811C19EB03B2}">
  <dimension ref="A1:BD82"/>
  <sheetViews>
    <sheetView zoomScale="85" zoomScaleNormal="85" workbookViewId="0">
      <pane xSplit="13" ySplit="2" topLeftCell="AH3" activePane="bottomRight" state="frozen"/>
      <selection pane="topRight" activeCell="N1" sqref="N1"/>
      <selection pane="bottomLeft" activeCell="A3" sqref="A3"/>
      <selection pane="bottomRight" activeCell="L10" sqref="A10:XFD10"/>
    </sheetView>
  </sheetViews>
  <sheetFormatPr defaultRowHeight="15"/>
  <cols>
    <col min="1" max="1" width="1.69921875" style="6" customWidth="1"/>
    <col min="2" max="2" width="4.796875" style="79" customWidth="1"/>
    <col min="3" max="3" width="19" style="6" customWidth="1"/>
    <col min="4" max="4" width="6.3984375" style="79" bestFit="1" customWidth="1"/>
    <col min="5" max="5" width="6" style="6" bestFit="1" customWidth="1"/>
    <col min="6" max="6" width="12.796875" style="6" bestFit="1" customWidth="1"/>
    <col min="7" max="7" width="11.796875" style="6" bestFit="1" customWidth="1"/>
    <col min="8" max="8" width="6.19921875" style="79" bestFit="1" customWidth="1"/>
    <col min="9" max="9" width="11.796875" style="6" bestFit="1" customWidth="1"/>
    <col min="10" max="10" width="8.796875" style="6"/>
    <col min="11" max="11" width="8.69921875" style="6" customWidth="1"/>
    <col min="12" max="12" width="10.59765625" style="6" bestFit="1" customWidth="1"/>
    <col min="13" max="13" width="8.796875" style="6"/>
    <col min="14" max="14" width="1.69921875" style="6" customWidth="1"/>
    <col min="15" max="31" width="8.796875" style="6" customWidth="1"/>
    <col min="32" max="16384" width="8.796875" style="6"/>
  </cols>
  <sheetData>
    <row r="1" spans="1:56" s="122" customFormat="1" ht="10.050000000000001" customHeight="1">
      <c r="B1" s="125"/>
      <c r="C1" s="123"/>
      <c r="D1" s="126"/>
      <c r="E1" s="126"/>
      <c r="F1" s="124"/>
      <c r="G1" s="125"/>
      <c r="H1" s="125"/>
      <c r="I1" s="125"/>
      <c r="J1" s="125"/>
      <c r="K1" s="125"/>
      <c r="L1" s="373"/>
      <c r="M1" s="125"/>
      <c r="N1" s="125"/>
      <c r="O1" s="126">
        <f t="shared" ref="O1:BC1" si="0">2000+RIGHT(O2,2)</f>
        <v>2020</v>
      </c>
      <c r="P1" s="126">
        <f t="shared" si="0"/>
        <v>2021</v>
      </c>
      <c r="Q1" s="126">
        <f t="shared" si="0"/>
        <v>2021</v>
      </c>
      <c r="R1" s="126">
        <f t="shared" si="0"/>
        <v>2021</v>
      </c>
      <c r="S1" s="126">
        <f t="shared" si="0"/>
        <v>2021</v>
      </c>
      <c r="T1" s="126">
        <f t="shared" si="0"/>
        <v>2022</v>
      </c>
      <c r="U1" s="126">
        <f t="shared" si="0"/>
        <v>2022</v>
      </c>
      <c r="V1" s="126">
        <f t="shared" si="0"/>
        <v>2022</v>
      </c>
      <c r="W1" s="126">
        <f t="shared" si="0"/>
        <v>2022</v>
      </c>
      <c r="X1" s="126">
        <f t="shared" si="0"/>
        <v>2023</v>
      </c>
      <c r="Y1" s="126">
        <f t="shared" si="0"/>
        <v>2023</v>
      </c>
      <c r="Z1" s="126">
        <f t="shared" si="0"/>
        <v>2023</v>
      </c>
      <c r="AA1" s="126">
        <f t="shared" si="0"/>
        <v>2023</v>
      </c>
      <c r="AB1" s="126">
        <f t="shared" si="0"/>
        <v>2024</v>
      </c>
      <c r="AC1" s="126">
        <f t="shared" si="0"/>
        <v>2024</v>
      </c>
      <c r="AD1" s="126">
        <f t="shared" si="0"/>
        <v>2024</v>
      </c>
      <c r="AE1" s="126">
        <f t="shared" si="0"/>
        <v>2024</v>
      </c>
      <c r="AF1" s="126">
        <f t="shared" si="0"/>
        <v>2025</v>
      </c>
      <c r="AG1" s="126">
        <f t="shared" si="0"/>
        <v>2025</v>
      </c>
      <c r="AH1" s="126">
        <f t="shared" si="0"/>
        <v>2025</v>
      </c>
      <c r="AI1" s="126">
        <f t="shared" si="0"/>
        <v>2025</v>
      </c>
      <c r="AJ1" s="126">
        <f t="shared" si="0"/>
        <v>2026</v>
      </c>
      <c r="AK1" s="126">
        <f t="shared" si="0"/>
        <v>2026</v>
      </c>
      <c r="AL1" s="126">
        <f t="shared" si="0"/>
        <v>2026</v>
      </c>
      <c r="AM1" s="126">
        <f t="shared" si="0"/>
        <v>2026</v>
      </c>
      <c r="AN1" s="126">
        <f t="shared" si="0"/>
        <v>2027</v>
      </c>
      <c r="AO1" s="126">
        <f t="shared" si="0"/>
        <v>2027</v>
      </c>
      <c r="AP1" s="126">
        <f t="shared" si="0"/>
        <v>2027</v>
      </c>
      <c r="AQ1" s="126">
        <f t="shared" si="0"/>
        <v>2027</v>
      </c>
      <c r="AR1" s="126">
        <f t="shared" si="0"/>
        <v>2028</v>
      </c>
      <c r="AS1" s="126">
        <f t="shared" si="0"/>
        <v>2028</v>
      </c>
      <c r="AT1" s="126">
        <f t="shared" si="0"/>
        <v>2028</v>
      </c>
      <c r="AU1" s="126">
        <f t="shared" si="0"/>
        <v>2028</v>
      </c>
      <c r="AV1" s="126">
        <f t="shared" si="0"/>
        <v>2029</v>
      </c>
      <c r="AW1" s="126">
        <f t="shared" si="0"/>
        <v>2029</v>
      </c>
      <c r="AX1" s="126">
        <f t="shared" si="0"/>
        <v>2029</v>
      </c>
      <c r="AY1" s="126">
        <f t="shared" si="0"/>
        <v>2029</v>
      </c>
      <c r="AZ1" s="126">
        <f t="shared" si="0"/>
        <v>2030</v>
      </c>
      <c r="BA1" s="126">
        <f t="shared" si="0"/>
        <v>2030</v>
      </c>
      <c r="BB1" s="126">
        <f t="shared" si="0"/>
        <v>2030</v>
      </c>
      <c r="BC1" s="126">
        <f t="shared" si="0"/>
        <v>2030</v>
      </c>
      <c r="BD1" s="126"/>
    </row>
    <row r="2" spans="1:56" s="122" customFormat="1">
      <c r="B2" s="124" t="s">
        <v>1001</v>
      </c>
      <c r="C2" s="126" t="s">
        <v>522</v>
      </c>
      <c r="D2" s="126" t="s">
        <v>453</v>
      </c>
      <c r="E2" s="126" t="s">
        <v>521</v>
      </c>
      <c r="F2" s="124" t="s">
        <v>520</v>
      </c>
      <c r="G2" s="125" t="s">
        <v>519</v>
      </c>
      <c r="H2" s="125" t="s">
        <v>518</v>
      </c>
      <c r="I2" s="125" t="s">
        <v>517</v>
      </c>
      <c r="J2" s="125" t="s">
        <v>1000</v>
      </c>
      <c r="K2" s="125" t="s">
        <v>529</v>
      </c>
      <c r="L2" s="126" t="s">
        <v>517</v>
      </c>
      <c r="M2" s="124" t="s">
        <v>991</v>
      </c>
      <c r="N2" s="124"/>
      <c r="O2" s="126" t="s">
        <v>992</v>
      </c>
      <c r="P2" s="126" t="s">
        <v>985</v>
      </c>
      <c r="Q2" s="126" t="s">
        <v>986</v>
      </c>
      <c r="R2" s="126" t="s">
        <v>987</v>
      </c>
      <c r="S2" s="126" t="s">
        <v>993</v>
      </c>
      <c r="T2" s="126" t="s">
        <v>994</v>
      </c>
      <c r="U2" s="126" t="s">
        <v>995</v>
      </c>
      <c r="V2" s="126" t="s">
        <v>996</v>
      </c>
      <c r="W2" s="126" t="s">
        <v>997</v>
      </c>
      <c r="X2" s="126" t="s">
        <v>14</v>
      </c>
      <c r="Y2" s="126" t="s">
        <v>15</v>
      </c>
      <c r="Z2" s="126" t="s">
        <v>16</v>
      </c>
      <c r="AA2" s="126" t="s">
        <v>17</v>
      </c>
      <c r="AB2" s="126" t="s">
        <v>0</v>
      </c>
      <c r="AC2" s="126" t="s">
        <v>1</v>
      </c>
      <c r="AD2" s="126" t="s">
        <v>2</v>
      </c>
      <c r="AE2" s="126" t="s">
        <v>25</v>
      </c>
      <c r="AF2" s="126" t="s">
        <v>58</v>
      </c>
      <c r="AG2" s="126" t="s">
        <v>59</v>
      </c>
      <c r="AH2" s="126" t="s">
        <v>60</v>
      </c>
      <c r="AI2" s="126" t="s">
        <v>61</v>
      </c>
      <c r="AJ2" s="126" t="s">
        <v>449</v>
      </c>
      <c r="AK2" s="126" t="s">
        <v>448</v>
      </c>
      <c r="AL2" s="126" t="s">
        <v>447</v>
      </c>
      <c r="AM2" s="126" t="s">
        <v>446</v>
      </c>
      <c r="AN2" s="126" t="s">
        <v>445</v>
      </c>
      <c r="AO2" s="126" t="s">
        <v>444</v>
      </c>
      <c r="AP2" s="126" t="s">
        <v>443</v>
      </c>
      <c r="AQ2" s="126" t="s">
        <v>442</v>
      </c>
      <c r="AR2" s="126" t="s">
        <v>441</v>
      </c>
      <c r="AS2" s="126" t="s">
        <v>440</v>
      </c>
      <c r="AT2" s="126" t="s">
        <v>439</v>
      </c>
      <c r="AU2" s="126" t="s">
        <v>438</v>
      </c>
      <c r="AV2" s="126" t="s">
        <v>948</v>
      </c>
      <c r="AW2" s="126" t="s">
        <v>984</v>
      </c>
      <c r="AX2" s="126" t="s">
        <v>998</v>
      </c>
      <c r="AY2" s="126" t="s">
        <v>976</v>
      </c>
      <c r="AZ2" s="126" t="s">
        <v>988</v>
      </c>
      <c r="BA2" s="126" t="s">
        <v>678</v>
      </c>
      <c r="BB2" s="126" t="s">
        <v>999</v>
      </c>
      <c r="BC2" s="126" t="s">
        <v>978</v>
      </c>
      <c r="BD2" s="126"/>
    </row>
    <row r="3" spans="1:56" s="375" customFormat="1">
      <c r="B3" s="430">
        <v>22</v>
      </c>
      <c r="C3" s="380" t="s">
        <v>54</v>
      </c>
      <c r="D3" s="376"/>
      <c r="E3" s="376"/>
      <c r="F3" s="377"/>
      <c r="G3" s="378"/>
      <c r="H3" s="378"/>
      <c r="I3" s="378"/>
      <c r="J3" s="378"/>
      <c r="K3" s="378"/>
      <c r="L3" s="379"/>
      <c r="M3" s="377"/>
      <c r="N3" s="377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  <c r="AC3" s="376"/>
      <c r="AD3" s="376"/>
      <c r="AE3" s="376"/>
      <c r="AF3" s="376"/>
      <c r="AG3" s="376"/>
      <c r="AH3" s="376"/>
      <c r="AI3" s="376"/>
      <c r="AJ3" s="376"/>
      <c r="AK3" s="376"/>
      <c r="AL3" s="376"/>
      <c r="AM3" s="376"/>
      <c r="AN3" s="376"/>
      <c r="AO3" s="376"/>
      <c r="AP3" s="376"/>
      <c r="AQ3" s="376"/>
      <c r="AR3" s="376"/>
      <c r="AS3" s="376"/>
      <c r="AT3" s="376"/>
      <c r="AU3" s="376"/>
      <c r="AV3" s="376"/>
      <c r="AW3" s="376"/>
      <c r="AX3" s="376"/>
      <c r="AY3" s="376"/>
      <c r="AZ3" s="376"/>
      <c r="BA3" s="376"/>
      <c r="BB3" s="376"/>
      <c r="BC3" s="376"/>
      <c r="BD3" s="376"/>
    </row>
    <row r="4" spans="1:56" s="8" customFormat="1">
      <c r="A4" s="384" t="s">
        <v>1567</v>
      </c>
      <c r="B4" s="385">
        <v>1</v>
      </c>
      <c r="C4" s="386" t="s">
        <v>457</v>
      </c>
      <c r="D4" s="385" t="s">
        <v>53</v>
      </c>
      <c r="E4" s="385" t="s">
        <v>528</v>
      </c>
      <c r="F4" s="385">
        <v>145773.29999999999</v>
      </c>
      <c r="G4" s="387">
        <v>45864</v>
      </c>
      <c r="H4" s="388">
        <v>2025</v>
      </c>
      <c r="I4" s="387">
        <v>46631</v>
      </c>
      <c r="J4" s="387" t="s">
        <v>982</v>
      </c>
      <c r="K4" s="387" t="s">
        <v>953</v>
      </c>
      <c r="L4" s="387" t="s">
        <v>941</v>
      </c>
      <c r="M4" s="385">
        <v>7</v>
      </c>
      <c r="N4" s="87"/>
      <c r="O4" s="311">
        <f t="shared" ref="O4:AJ4" si="1">IF(O$2=$K4,$F4*CHOOSE($B4,$O$33,$O$35,$O$37),0)</f>
        <v>0</v>
      </c>
      <c r="P4" s="311">
        <f t="shared" si="1"/>
        <v>0</v>
      </c>
      <c r="Q4" s="311">
        <f t="shared" si="1"/>
        <v>0</v>
      </c>
      <c r="R4" s="311">
        <f t="shared" si="1"/>
        <v>0</v>
      </c>
      <c r="S4" s="311">
        <f t="shared" si="1"/>
        <v>0</v>
      </c>
      <c r="T4" s="311">
        <f t="shared" si="1"/>
        <v>0</v>
      </c>
      <c r="U4" s="311">
        <f t="shared" si="1"/>
        <v>0</v>
      </c>
      <c r="V4" s="311">
        <f t="shared" si="1"/>
        <v>0</v>
      </c>
      <c r="W4" s="311">
        <f t="shared" si="1"/>
        <v>0</v>
      </c>
      <c r="X4" s="311">
        <f t="shared" si="1"/>
        <v>0</v>
      </c>
      <c r="Y4" s="311">
        <f t="shared" si="1"/>
        <v>0</v>
      </c>
      <c r="Z4" s="311">
        <f t="shared" si="1"/>
        <v>0</v>
      </c>
      <c r="AA4" s="311">
        <f t="shared" si="1"/>
        <v>0</v>
      </c>
      <c r="AB4" s="311">
        <f t="shared" si="1"/>
        <v>0</v>
      </c>
      <c r="AC4" s="311">
        <f t="shared" si="1"/>
        <v>0</v>
      </c>
      <c r="AD4" s="311">
        <f t="shared" si="1"/>
        <v>0</v>
      </c>
      <c r="AE4" s="311">
        <f t="shared" si="1"/>
        <v>0</v>
      </c>
      <c r="AF4" s="311">
        <f t="shared" si="1"/>
        <v>0</v>
      </c>
      <c r="AG4" s="311">
        <f t="shared" si="1"/>
        <v>0</v>
      </c>
      <c r="AH4" s="311">
        <f t="shared" si="1"/>
        <v>0</v>
      </c>
      <c r="AI4" s="311">
        <f t="shared" si="1"/>
        <v>0</v>
      </c>
      <c r="AJ4" s="311">
        <f t="shared" si="1"/>
        <v>5539.3853999999992</v>
      </c>
      <c r="AK4" s="311">
        <f t="shared" ref="AK4:BC4" si="2">$F$4*P33</f>
        <v>23323.727999999999</v>
      </c>
      <c r="AL4" s="311">
        <f t="shared" si="2"/>
        <v>24781.460999999996</v>
      </c>
      <c r="AM4" s="311">
        <f t="shared" si="2"/>
        <v>26239.193999999996</v>
      </c>
      <c r="AN4" s="311">
        <f t="shared" si="2"/>
        <v>25656.100800000004</v>
      </c>
      <c r="AO4" s="311">
        <f t="shared" si="2"/>
        <v>25656.100799999989</v>
      </c>
      <c r="AP4" s="311">
        <f t="shared" si="2"/>
        <v>14577.329999999996</v>
      </c>
      <c r="AQ4" s="311">
        <f t="shared" si="2"/>
        <v>0</v>
      </c>
      <c r="AR4" s="311">
        <f t="shared" si="2"/>
        <v>0</v>
      </c>
      <c r="AS4" s="311">
        <f t="shared" si="2"/>
        <v>0</v>
      </c>
      <c r="AT4" s="311">
        <f t="shared" si="2"/>
        <v>0</v>
      </c>
      <c r="AU4" s="311">
        <f t="shared" si="2"/>
        <v>0</v>
      </c>
      <c r="AV4" s="311">
        <f t="shared" si="2"/>
        <v>0</v>
      </c>
      <c r="AW4" s="311">
        <f t="shared" si="2"/>
        <v>0</v>
      </c>
      <c r="AX4" s="311">
        <f t="shared" si="2"/>
        <v>0</v>
      </c>
      <c r="AY4" s="311">
        <f t="shared" si="2"/>
        <v>0</v>
      </c>
      <c r="AZ4" s="311">
        <f t="shared" si="2"/>
        <v>0</v>
      </c>
      <c r="BA4" s="311">
        <f t="shared" si="2"/>
        <v>0</v>
      </c>
      <c r="BB4" s="311">
        <f t="shared" si="2"/>
        <v>0</v>
      </c>
      <c r="BC4" s="311">
        <f t="shared" si="2"/>
        <v>0</v>
      </c>
      <c r="BD4" s="311">
        <f>SUM(O4:BC4)</f>
        <v>145773.29999999999</v>
      </c>
    </row>
    <row r="5" spans="1:56">
      <c r="A5" s="416" t="s">
        <v>1567</v>
      </c>
      <c r="B5" s="389">
        <v>1</v>
      </c>
      <c r="C5" s="390" t="s">
        <v>510</v>
      </c>
      <c r="D5" s="389" t="s">
        <v>53</v>
      </c>
      <c r="E5" s="389" t="s">
        <v>528</v>
      </c>
      <c r="F5" s="389">
        <v>163173.5</v>
      </c>
      <c r="G5" s="391">
        <v>45769</v>
      </c>
      <c r="H5" s="392">
        <v>2025</v>
      </c>
      <c r="I5" s="391">
        <v>46436</v>
      </c>
      <c r="J5" s="391" t="s">
        <v>990</v>
      </c>
      <c r="K5" s="391" t="s">
        <v>982</v>
      </c>
      <c r="L5" s="391" t="s">
        <v>943</v>
      </c>
      <c r="M5" s="389">
        <v>6</v>
      </c>
      <c r="N5" s="121"/>
      <c r="O5" s="311">
        <f t="shared" ref="O5:AI5" si="3">IF(O$2=$K5,$F5*CHOOSE($B5,$O$33,$O$35,$O$37),0)</f>
        <v>0</v>
      </c>
      <c r="P5" s="311">
        <f t="shared" si="3"/>
        <v>0</v>
      </c>
      <c r="Q5" s="311">
        <f t="shared" si="3"/>
        <v>0</v>
      </c>
      <c r="R5" s="311">
        <f t="shared" si="3"/>
        <v>0</v>
      </c>
      <c r="S5" s="311">
        <f t="shared" si="3"/>
        <v>0</v>
      </c>
      <c r="T5" s="311">
        <f t="shared" si="3"/>
        <v>0</v>
      </c>
      <c r="U5" s="311">
        <f t="shared" si="3"/>
        <v>0</v>
      </c>
      <c r="V5" s="311">
        <f t="shared" si="3"/>
        <v>0</v>
      </c>
      <c r="W5" s="311">
        <f t="shared" si="3"/>
        <v>0</v>
      </c>
      <c r="X5" s="311">
        <f t="shared" si="3"/>
        <v>0</v>
      </c>
      <c r="Y5" s="311">
        <f t="shared" si="3"/>
        <v>0</v>
      </c>
      <c r="Z5" s="311">
        <f t="shared" si="3"/>
        <v>0</v>
      </c>
      <c r="AA5" s="311">
        <f t="shared" si="3"/>
        <v>0</v>
      </c>
      <c r="AB5" s="311">
        <f t="shared" si="3"/>
        <v>0</v>
      </c>
      <c r="AC5" s="311">
        <f t="shared" si="3"/>
        <v>0</v>
      </c>
      <c r="AD5" s="311">
        <f t="shared" si="3"/>
        <v>0</v>
      </c>
      <c r="AE5" s="311">
        <f t="shared" si="3"/>
        <v>0</v>
      </c>
      <c r="AF5" s="311">
        <f t="shared" si="3"/>
        <v>0</v>
      </c>
      <c r="AG5" s="311">
        <f t="shared" si="3"/>
        <v>0</v>
      </c>
      <c r="AH5" s="311">
        <f t="shared" si="3"/>
        <v>0</v>
      </c>
      <c r="AI5" s="311">
        <f t="shared" si="3"/>
        <v>6200.5929999999998</v>
      </c>
      <c r="AJ5" s="311">
        <f t="shared" ref="AJ5:BC5" si="4">$F$5*P33</f>
        <v>26107.760000000002</v>
      </c>
      <c r="AK5" s="311">
        <f t="shared" si="4"/>
        <v>27739.494999999999</v>
      </c>
      <c r="AL5" s="311">
        <f t="shared" si="4"/>
        <v>29371.23</v>
      </c>
      <c r="AM5" s="311">
        <f t="shared" si="4"/>
        <v>28718.536000000007</v>
      </c>
      <c r="AN5" s="311">
        <f t="shared" si="4"/>
        <v>28718.535999999989</v>
      </c>
      <c r="AO5" s="311">
        <f t="shared" si="4"/>
        <v>16317.349999999997</v>
      </c>
      <c r="AP5" s="311">
        <f t="shared" si="4"/>
        <v>0</v>
      </c>
      <c r="AQ5" s="311">
        <f t="shared" si="4"/>
        <v>0</v>
      </c>
      <c r="AR5" s="311">
        <f t="shared" si="4"/>
        <v>0</v>
      </c>
      <c r="AS5" s="311">
        <f t="shared" si="4"/>
        <v>0</v>
      </c>
      <c r="AT5" s="311">
        <f t="shared" si="4"/>
        <v>0</v>
      </c>
      <c r="AU5" s="311">
        <f t="shared" si="4"/>
        <v>0</v>
      </c>
      <c r="AV5" s="311">
        <f t="shared" si="4"/>
        <v>0</v>
      </c>
      <c r="AW5" s="311">
        <f t="shared" si="4"/>
        <v>0</v>
      </c>
      <c r="AX5" s="311">
        <f t="shared" si="4"/>
        <v>0</v>
      </c>
      <c r="AY5" s="311">
        <f t="shared" si="4"/>
        <v>0</v>
      </c>
      <c r="AZ5" s="311">
        <f t="shared" si="4"/>
        <v>0</v>
      </c>
      <c r="BA5" s="311">
        <f t="shared" si="4"/>
        <v>0</v>
      </c>
      <c r="BB5" s="311">
        <f t="shared" si="4"/>
        <v>0</v>
      </c>
      <c r="BC5" s="311">
        <f t="shared" si="4"/>
        <v>0</v>
      </c>
      <c r="BD5" s="311">
        <f t="shared" ref="BD5:BD25" si="5">SUM(O5:BC5)</f>
        <v>163173.5</v>
      </c>
    </row>
    <row r="6" spans="1:56">
      <c r="A6" s="6" t="s">
        <v>1567</v>
      </c>
      <c r="B6" s="121">
        <v>4</v>
      </c>
      <c r="C6" s="58" t="s">
        <v>1015</v>
      </c>
      <c r="D6" s="121" t="s">
        <v>53</v>
      </c>
      <c r="E6" s="121" t="s">
        <v>676</v>
      </c>
      <c r="F6" s="121">
        <v>66187.838111999998</v>
      </c>
      <c r="G6" s="88">
        <v>45747</v>
      </c>
      <c r="H6" s="369">
        <v>2025</v>
      </c>
      <c r="I6" s="88">
        <v>47618</v>
      </c>
      <c r="J6" s="88" t="s">
        <v>1161</v>
      </c>
      <c r="K6" s="88" t="s">
        <v>990</v>
      </c>
      <c r="L6" s="88" t="s">
        <v>961</v>
      </c>
      <c r="M6" s="121">
        <v>20</v>
      </c>
      <c r="N6" s="121"/>
      <c r="O6" s="311">
        <f t="shared" ref="O6:X11" si="6">IF(O$2=$K6,$F6*CHOOSE($B6,$O$33,$O$35,$O$37),0)</f>
        <v>0</v>
      </c>
      <c r="P6" s="311">
        <f t="shared" si="6"/>
        <v>0</v>
      </c>
      <c r="Q6" s="311">
        <f t="shared" si="6"/>
        <v>0</v>
      </c>
      <c r="R6" s="311">
        <f t="shared" si="6"/>
        <v>0</v>
      </c>
      <c r="S6" s="311">
        <f t="shared" si="6"/>
        <v>0</v>
      </c>
      <c r="T6" s="311">
        <f t="shared" si="6"/>
        <v>0</v>
      </c>
      <c r="U6" s="311">
        <f t="shared" si="6"/>
        <v>0</v>
      </c>
      <c r="V6" s="311">
        <f t="shared" si="6"/>
        <v>0</v>
      </c>
      <c r="W6" s="311">
        <f t="shared" si="6"/>
        <v>0</v>
      </c>
      <c r="X6" s="311">
        <f t="shared" si="6"/>
        <v>0</v>
      </c>
      <c r="Y6" s="311">
        <f t="shared" ref="Y6:AG11" si="7">IF(Y$2=$K6,$F6*CHOOSE($B6,$O$33,$O$35,$O$37),0)</f>
        <v>0</v>
      </c>
      <c r="Z6" s="311">
        <f t="shared" si="7"/>
        <v>0</v>
      </c>
      <c r="AA6" s="311">
        <f t="shared" si="7"/>
        <v>0</v>
      </c>
      <c r="AB6" s="311">
        <f t="shared" si="7"/>
        <v>0</v>
      </c>
      <c r="AC6" s="311">
        <f t="shared" si="7"/>
        <v>0</v>
      </c>
      <c r="AD6" s="311">
        <f t="shared" si="7"/>
        <v>0</v>
      </c>
      <c r="AE6" s="311">
        <f t="shared" si="7"/>
        <v>0</v>
      </c>
      <c r="AF6" s="311">
        <f t="shared" si="7"/>
        <v>0</v>
      </c>
      <c r="AG6" s="311">
        <f t="shared" si="7"/>
        <v>0</v>
      </c>
      <c r="AH6" s="311">
        <f>IF(AH$2=$K6,$F6*CHOOSE($B6,$O$33,$O$35,$O$37,$O$39),0)</f>
        <v>1472.6793979919998</v>
      </c>
      <c r="AI6" s="311">
        <f t="shared" ref="AI6:BC6" si="8">$F$6*P39</f>
        <v>1472.6793979919998</v>
      </c>
      <c r="AJ6" s="311">
        <f t="shared" si="8"/>
        <v>1472.6793979920003</v>
      </c>
      <c r="AK6" s="311">
        <f t="shared" si="8"/>
        <v>1472.6793979919994</v>
      </c>
      <c r="AL6" s="311">
        <f t="shared" si="8"/>
        <v>3772.7067723840014</v>
      </c>
      <c r="AM6" s="311">
        <f t="shared" si="8"/>
        <v>3772.7067723839996</v>
      </c>
      <c r="AN6" s="311">
        <f t="shared" si="8"/>
        <v>3772.7067723839996</v>
      </c>
      <c r="AO6" s="311">
        <f t="shared" si="8"/>
        <v>3772.7067723839996</v>
      </c>
      <c r="AP6" s="311">
        <f t="shared" si="8"/>
        <v>4384.944274919998</v>
      </c>
      <c r="AQ6" s="311">
        <f t="shared" si="8"/>
        <v>4384.9442749200016</v>
      </c>
      <c r="AR6" s="311">
        <f t="shared" si="8"/>
        <v>4384.9442749199943</v>
      </c>
      <c r="AS6" s="311">
        <f t="shared" si="8"/>
        <v>4384.9442749200016</v>
      </c>
      <c r="AT6" s="311">
        <f t="shared" si="8"/>
        <v>2531.6848077840004</v>
      </c>
      <c r="AU6" s="311">
        <f t="shared" si="8"/>
        <v>2531.6848077840004</v>
      </c>
      <c r="AV6" s="311">
        <f t="shared" si="8"/>
        <v>2531.6848077840004</v>
      </c>
      <c r="AW6" s="311">
        <f t="shared" si="8"/>
        <v>2531.6848077840004</v>
      </c>
      <c r="AX6" s="311">
        <f t="shared" si="8"/>
        <v>3640.3310961600032</v>
      </c>
      <c r="AY6" s="311">
        <f t="shared" si="8"/>
        <v>3640.3310961599959</v>
      </c>
      <c r="AZ6" s="311">
        <f t="shared" si="8"/>
        <v>5129.5574536800004</v>
      </c>
      <c r="BA6" s="311">
        <f t="shared" si="8"/>
        <v>5129.5574536800004</v>
      </c>
      <c r="BB6" s="311">
        <f t="shared" si="8"/>
        <v>0</v>
      </c>
      <c r="BC6" s="311">
        <f t="shared" si="8"/>
        <v>0</v>
      </c>
      <c r="BD6" s="311">
        <f t="shared" si="5"/>
        <v>66187.838111999983</v>
      </c>
    </row>
    <row r="7" spans="1:56">
      <c r="A7" s="6" t="s">
        <v>1567</v>
      </c>
      <c r="B7" s="121">
        <v>1</v>
      </c>
      <c r="C7" s="58" t="s">
        <v>506</v>
      </c>
      <c r="D7" s="121" t="s">
        <v>53</v>
      </c>
      <c r="E7" s="121" t="s">
        <v>528</v>
      </c>
      <c r="F7" s="121">
        <v>148525.80976199999</v>
      </c>
      <c r="G7" s="88">
        <v>45689</v>
      </c>
      <c r="H7" s="369">
        <v>2025</v>
      </c>
      <c r="I7" s="88">
        <v>46264</v>
      </c>
      <c r="J7" s="88" t="s">
        <v>1161</v>
      </c>
      <c r="K7" s="88" t="s">
        <v>990</v>
      </c>
      <c r="L7" s="88" t="s">
        <v>954</v>
      </c>
      <c r="M7" s="121">
        <v>5</v>
      </c>
      <c r="N7" s="121"/>
      <c r="O7" s="311">
        <f t="shared" si="6"/>
        <v>0</v>
      </c>
      <c r="P7" s="311">
        <f t="shared" si="6"/>
        <v>0</v>
      </c>
      <c r="Q7" s="311">
        <f t="shared" si="6"/>
        <v>0</v>
      </c>
      <c r="R7" s="311">
        <f t="shared" si="6"/>
        <v>0</v>
      </c>
      <c r="S7" s="311">
        <f t="shared" si="6"/>
        <v>0</v>
      </c>
      <c r="T7" s="311">
        <f t="shared" si="6"/>
        <v>0</v>
      </c>
      <c r="U7" s="311">
        <f t="shared" si="6"/>
        <v>0</v>
      </c>
      <c r="V7" s="311">
        <f t="shared" si="6"/>
        <v>0</v>
      </c>
      <c r="W7" s="311">
        <f t="shared" si="6"/>
        <v>0</v>
      </c>
      <c r="X7" s="311">
        <f t="shared" si="6"/>
        <v>0</v>
      </c>
      <c r="Y7" s="311">
        <f t="shared" si="7"/>
        <v>0</v>
      </c>
      <c r="Z7" s="311">
        <f t="shared" si="7"/>
        <v>0</v>
      </c>
      <c r="AA7" s="311">
        <f t="shared" si="7"/>
        <v>0</v>
      </c>
      <c r="AB7" s="311">
        <f t="shared" si="7"/>
        <v>0</v>
      </c>
      <c r="AC7" s="311">
        <f t="shared" si="7"/>
        <v>0</v>
      </c>
      <c r="AD7" s="311">
        <f t="shared" si="7"/>
        <v>0</v>
      </c>
      <c r="AE7" s="311">
        <f t="shared" si="7"/>
        <v>0</v>
      </c>
      <c r="AF7" s="311">
        <f t="shared" si="7"/>
        <v>0</v>
      </c>
      <c r="AG7" s="311">
        <f t="shared" si="7"/>
        <v>0</v>
      </c>
      <c r="AH7" s="311">
        <f>IF(AH$2=$K7,$F7*CHOOSE($B7,$O$33,$O$35,$O$37),0)</f>
        <v>5643.9807709559991</v>
      </c>
      <c r="AI7" s="311">
        <f t="shared" ref="AI7:BC7" si="9">$F$7*P33</f>
        <v>23764.129561919999</v>
      </c>
      <c r="AJ7" s="311">
        <f t="shared" si="9"/>
        <v>25249.387659539996</v>
      </c>
      <c r="AK7" s="311">
        <f t="shared" si="9"/>
        <v>26734.645757159997</v>
      </c>
      <c r="AL7" s="311">
        <f t="shared" si="9"/>
        <v>26140.542518112004</v>
      </c>
      <c r="AM7" s="311">
        <f t="shared" si="9"/>
        <v>26140.54251811199</v>
      </c>
      <c r="AN7" s="311">
        <f t="shared" si="9"/>
        <v>14852.580976199995</v>
      </c>
      <c r="AO7" s="311">
        <f t="shared" si="9"/>
        <v>0</v>
      </c>
      <c r="AP7" s="311">
        <f t="shared" si="9"/>
        <v>0</v>
      </c>
      <c r="AQ7" s="311">
        <f t="shared" si="9"/>
        <v>0</v>
      </c>
      <c r="AR7" s="311">
        <f t="shared" si="9"/>
        <v>0</v>
      </c>
      <c r="AS7" s="311">
        <f t="shared" si="9"/>
        <v>0</v>
      </c>
      <c r="AT7" s="311">
        <f t="shared" si="9"/>
        <v>0</v>
      </c>
      <c r="AU7" s="311">
        <f t="shared" si="9"/>
        <v>0</v>
      </c>
      <c r="AV7" s="311">
        <f t="shared" si="9"/>
        <v>0</v>
      </c>
      <c r="AW7" s="311">
        <f t="shared" si="9"/>
        <v>0</v>
      </c>
      <c r="AX7" s="311">
        <f t="shared" si="9"/>
        <v>0</v>
      </c>
      <c r="AY7" s="311">
        <f t="shared" si="9"/>
        <v>0</v>
      </c>
      <c r="AZ7" s="311">
        <f t="shared" si="9"/>
        <v>0</v>
      </c>
      <c r="BA7" s="311">
        <f t="shared" si="9"/>
        <v>0</v>
      </c>
      <c r="BB7" s="311">
        <f t="shared" si="9"/>
        <v>0</v>
      </c>
      <c r="BC7" s="311">
        <f t="shared" si="9"/>
        <v>0</v>
      </c>
      <c r="BD7" s="311">
        <f t="shared" si="5"/>
        <v>148525.80976199999</v>
      </c>
    </row>
    <row r="8" spans="1:56">
      <c r="A8" s="6" t="s">
        <v>1567</v>
      </c>
      <c r="B8" s="121">
        <v>1</v>
      </c>
      <c r="C8" s="58" t="s">
        <v>1554</v>
      </c>
      <c r="D8" s="121" t="s">
        <v>53</v>
      </c>
      <c r="E8" s="121" t="s">
        <v>528</v>
      </c>
      <c r="F8" s="121">
        <v>144393.48183800001</v>
      </c>
      <c r="G8" s="88">
        <v>45689</v>
      </c>
      <c r="H8" s="369">
        <v>2025</v>
      </c>
      <c r="I8" s="88">
        <v>46264</v>
      </c>
      <c r="J8" s="88" t="s">
        <v>1161</v>
      </c>
      <c r="K8" s="88" t="s">
        <v>990</v>
      </c>
      <c r="L8" s="88" t="s">
        <v>954</v>
      </c>
      <c r="M8" s="121">
        <v>5</v>
      </c>
      <c r="N8" s="121"/>
      <c r="O8" s="311">
        <f t="shared" si="6"/>
        <v>0</v>
      </c>
      <c r="P8" s="311">
        <f t="shared" si="6"/>
        <v>0</v>
      </c>
      <c r="Q8" s="311">
        <f t="shared" si="6"/>
        <v>0</v>
      </c>
      <c r="R8" s="311">
        <f t="shared" si="6"/>
        <v>0</v>
      </c>
      <c r="S8" s="311">
        <f t="shared" si="6"/>
        <v>0</v>
      </c>
      <c r="T8" s="311">
        <f t="shared" si="6"/>
        <v>0</v>
      </c>
      <c r="U8" s="311">
        <f t="shared" si="6"/>
        <v>0</v>
      </c>
      <c r="V8" s="311">
        <f t="shared" si="6"/>
        <v>0</v>
      </c>
      <c r="W8" s="311">
        <f t="shared" si="6"/>
        <v>0</v>
      </c>
      <c r="X8" s="311">
        <f t="shared" si="6"/>
        <v>0</v>
      </c>
      <c r="Y8" s="311">
        <f t="shared" si="7"/>
        <v>0</v>
      </c>
      <c r="Z8" s="311">
        <f t="shared" si="7"/>
        <v>0</v>
      </c>
      <c r="AA8" s="311">
        <f t="shared" si="7"/>
        <v>0</v>
      </c>
      <c r="AB8" s="311">
        <f t="shared" si="7"/>
        <v>0</v>
      </c>
      <c r="AC8" s="311">
        <f t="shared" si="7"/>
        <v>0</v>
      </c>
      <c r="AD8" s="311">
        <f t="shared" si="7"/>
        <v>0</v>
      </c>
      <c r="AE8" s="311">
        <f t="shared" si="7"/>
        <v>0</v>
      </c>
      <c r="AF8" s="311">
        <f t="shared" si="7"/>
        <v>0</v>
      </c>
      <c r="AG8" s="311">
        <f t="shared" si="7"/>
        <v>0</v>
      </c>
      <c r="AH8" s="311">
        <f>IF(AH$2=$K8,$F8*CHOOSE($B8,$O$33,$O$35,$O$37),0)</f>
        <v>5486.9523098440004</v>
      </c>
      <c r="AI8" s="311">
        <f t="shared" ref="AI8:BC8" si="10">$F$8*P33</f>
        <v>23102.95709408</v>
      </c>
      <c r="AJ8" s="311">
        <f t="shared" si="10"/>
        <v>24546.89191246</v>
      </c>
      <c r="AK8" s="311">
        <f t="shared" si="10"/>
        <v>25990.826730839999</v>
      </c>
      <c r="AL8" s="311">
        <f t="shared" si="10"/>
        <v>25413.252803488009</v>
      </c>
      <c r="AM8" s="311">
        <f t="shared" si="10"/>
        <v>25413.252803487991</v>
      </c>
      <c r="AN8" s="311">
        <f t="shared" si="10"/>
        <v>14439.348183799997</v>
      </c>
      <c r="AO8" s="311">
        <f t="shared" si="10"/>
        <v>0</v>
      </c>
      <c r="AP8" s="311">
        <f t="shared" si="10"/>
        <v>0</v>
      </c>
      <c r="AQ8" s="311">
        <f t="shared" si="10"/>
        <v>0</v>
      </c>
      <c r="AR8" s="311">
        <f t="shared" si="10"/>
        <v>0</v>
      </c>
      <c r="AS8" s="311">
        <f t="shared" si="10"/>
        <v>0</v>
      </c>
      <c r="AT8" s="311">
        <f t="shared" si="10"/>
        <v>0</v>
      </c>
      <c r="AU8" s="311">
        <f t="shared" si="10"/>
        <v>0</v>
      </c>
      <c r="AV8" s="311">
        <f t="shared" si="10"/>
        <v>0</v>
      </c>
      <c r="AW8" s="311">
        <f t="shared" si="10"/>
        <v>0</v>
      </c>
      <c r="AX8" s="311">
        <f t="shared" si="10"/>
        <v>0</v>
      </c>
      <c r="AY8" s="311">
        <f t="shared" si="10"/>
        <v>0</v>
      </c>
      <c r="AZ8" s="311">
        <f t="shared" si="10"/>
        <v>0</v>
      </c>
      <c r="BA8" s="311">
        <f t="shared" si="10"/>
        <v>0</v>
      </c>
      <c r="BB8" s="311">
        <f t="shared" si="10"/>
        <v>0</v>
      </c>
      <c r="BC8" s="311">
        <f t="shared" si="10"/>
        <v>0</v>
      </c>
      <c r="BD8" s="311">
        <f t="shared" si="5"/>
        <v>144393.48183800001</v>
      </c>
    </row>
    <row r="9" spans="1:56">
      <c r="A9" s="6" t="s">
        <v>1567</v>
      </c>
      <c r="B9" s="121">
        <v>3</v>
      </c>
      <c r="C9" s="58" t="s">
        <v>547</v>
      </c>
      <c r="D9" s="121" t="s">
        <v>53</v>
      </c>
      <c r="E9" s="121" t="s">
        <v>524</v>
      </c>
      <c r="F9" s="121">
        <v>136900</v>
      </c>
      <c r="G9" s="88">
        <v>45618</v>
      </c>
      <c r="H9" s="369">
        <v>2024</v>
      </c>
      <c r="I9" s="88">
        <v>46568</v>
      </c>
      <c r="J9" s="88" t="s">
        <v>57</v>
      </c>
      <c r="K9" s="88" t="s">
        <v>1161</v>
      </c>
      <c r="L9" s="88" t="s">
        <v>944</v>
      </c>
      <c r="M9" s="121">
        <v>9</v>
      </c>
      <c r="N9" s="121"/>
      <c r="O9" s="311">
        <f t="shared" si="6"/>
        <v>0</v>
      </c>
      <c r="P9" s="311">
        <f t="shared" si="6"/>
        <v>0</v>
      </c>
      <c r="Q9" s="311">
        <f t="shared" si="6"/>
        <v>0</v>
      </c>
      <c r="R9" s="311">
        <f t="shared" si="6"/>
        <v>0</v>
      </c>
      <c r="S9" s="311">
        <f t="shared" si="6"/>
        <v>0</v>
      </c>
      <c r="T9" s="311">
        <f t="shared" si="6"/>
        <v>0</v>
      </c>
      <c r="U9" s="311">
        <f t="shared" si="6"/>
        <v>0</v>
      </c>
      <c r="V9" s="311">
        <f t="shared" si="6"/>
        <v>0</v>
      </c>
      <c r="W9" s="311">
        <f t="shared" si="6"/>
        <v>0</v>
      </c>
      <c r="X9" s="311">
        <f t="shared" si="6"/>
        <v>0</v>
      </c>
      <c r="Y9" s="311">
        <f t="shared" si="7"/>
        <v>0</v>
      </c>
      <c r="Z9" s="311">
        <f t="shared" si="7"/>
        <v>0</v>
      </c>
      <c r="AA9" s="311">
        <f t="shared" si="7"/>
        <v>0</v>
      </c>
      <c r="AB9" s="311">
        <f t="shared" si="7"/>
        <v>0</v>
      </c>
      <c r="AC9" s="311">
        <f t="shared" si="7"/>
        <v>0</v>
      </c>
      <c r="AD9" s="311">
        <f t="shared" si="7"/>
        <v>0</v>
      </c>
      <c r="AE9" s="311">
        <f t="shared" si="7"/>
        <v>0</v>
      </c>
      <c r="AF9" s="311">
        <f t="shared" si="7"/>
        <v>0</v>
      </c>
      <c r="AG9" s="311">
        <f t="shared" si="7"/>
        <v>6092.0499999999993</v>
      </c>
      <c r="AH9" s="311">
        <f t="shared" ref="AH9:BC9" si="11">$F$9*P37</f>
        <v>6092.0499999999993</v>
      </c>
      <c r="AI9" s="311">
        <f t="shared" si="11"/>
        <v>15606.600000000002</v>
      </c>
      <c r="AJ9" s="311">
        <f t="shared" si="11"/>
        <v>15606.599999999999</v>
      </c>
      <c r="AK9" s="311">
        <f t="shared" si="11"/>
        <v>18139.25</v>
      </c>
      <c r="AL9" s="311">
        <f t="shared" si="11"/>
        <v>18139.249999999993</v>
      </c>
      <c r="AM9" s="311">
        <f t="shared" si="11"/>
        <v>10472.850000000002</v>
      </c>
      <c r="AN9" s="311">
        <f t="shared" si="11"/>
        <v>10472.850000000002</v>
      </c>
      <c r="AO9" s="311">
        <f t="shared" si="11"/>
        <v>7529.5000000000064</v>
      </c>
      <c r="AP9" s="311">
        <f t="shared" si="11"/>
        <v>7529.4999999999918</v>
      </c>
      <c r="AQ9" s="311">
        <f t="shared" si="11"/>
        <v>10609.750000000002</v>
      </c>
      <c r="AR9" s="311">
        <f t="shared" si="11"/>
        <v>10609.750000000002</v>
      </c>
      <c r="AS9" s="311">
        <f t="shared" si="11"/>
        <v>0</v>
      </c>
      <c r="AT9" s="311">
        <f t="shared" si="11"/>
        <v>0</v>
      </c>
      <c r="AU9" s="311">
        <f t="shared" si="11"/>
        <v>0</v>
      </c>
      <c r="AV9" s="311">
        <f t="shared" si="11"/>
        <v>0</v>
      </c>
      <c r="AW9" s="311">
        <f t="shared" si="11"/>
        <v>0</v>
      </c>
      <c r="AX9" s="311">
        <f t="shared" si="11"/>
        <v>0</v>
      </c>
      <c r="AY9" s="311">
        <f t="shared" si="11"/>
        <v>0</v>
      </c>
      <c r="AZ9" s="311">
        <f t="shared" si="11"/>
        <v>0</v>
      </c>
      <c r="BA9" s="311">
        <f t="shared" si="11"/>
        <v>0</v>
      </c>
      <c r="BB9" s="311">
        <f t="shared" si="11"/>
        <v>0</v>
      </c>
      <c r="BC9" s="311">
        <f t="shared" si="11"/>
        <v>0</v>
      </c>
      <c r="BD9" s="311">
        <f t="shared" si="5"/>
        <v>136900</v>
      </c>
    </row>
    <row r="10" spans="1:56">
      <c r="A10" s="6" t="s">
        <v>1567</v>
      </c>
      <c r="B10" s="121">
        <v>1</v>
      </c>
      <c r="C10" s="58" t="s">
        <v>465</v>
      </c>
      <c r="D10" s="121" t="s">
        <v>53</v>
      </c>
      <c r="E10" s="121" t="s">
        <v>528</v>
      </c>
      <c r="F10" s="121">
        <v>51972.886413</v>
      </c>
      <c r="G10" s="88">
        <v>45590</v>
      </c>
      <c r="H10" s="369">
        <v>2024</v>
      </c>
      <c r="I10" s="88">
        <v>46102</v>
      </c>
      <c r="J10" s="88" t="s">
        <v>57</v>
      </c>
      <c r="K10" s="88" t="s">
        <v>1161</v>
      </c>
      <c r="L10" s="88" t="s">
        <v>953</v>
      </c>
      <c r="M10" s="121">
        <v>4</v>
      </c>
      <c r="N10" s="121"/>
      <c r="O10" s="311">
        <f t="shared" si="6"/>
        <v>0</v>
      </c>
      <c r="P10" s="311">
        <f t="shared" si="6"/>
        <v>0</v>
      </c>
      <c r="Q10" s="311">
        <f t="shared" si="6"/>
        <v>0</v>
      </c>
      <c r="R10" s="311">
        <f t="shared" si="6"/>
        <v>0</v>
      </c>
      <c r="S10" s="311">
        <f t="shared" si="6"/>
        <v>0</v>
      </c>
      <c r="T10" s="311">
        <f t="shared" si="6"/>
        <v>0</v>
      </c>
      <c r="U10" s="311">
        <f t="shared" si="6"/>
        <v>0</v>
      </c>
      <c r="V10" s="311">
        <f t="shared" si="6"/>
        <v>0</v>
      </c>
      <c r="W10" s="311">
        <f t="shared" si="6"/>
        <v>0</v>
      </c>
      <c r="X10" s="311">
        <f t="shared" si="6"/>
        <v>0</v>
      </c>
      <c r="Y10" s="311">
        <f t="shared" si="7"/>
        <v>0</v>
      </c>
      <c r="Z10" s="311">
        <f t="shared" si="7"/>
        <v>0</v>
      </c>
      <c r="AA10" s="311">
        <f t="shared" si="7"/>
        <v>0</v>
      </c>
      <c r="AB10" s="311">
        <f t="shared" si="7"/>
        <v>0</v>
      </c>
      <c r="AC10" s="311">
        <f t="shared" si="7"/>
        <v>0</v>
      </c>
      <c r="AD10" s="311">
        <f t="shared" si="7"/>
        <v>0</v>
      </c>
      <c r="AE10" s="311">
        <f t="shared" si="7"/>
        <v>0</v>
      </c>
      <c r="AF10" s="311">
        <f t="shared" si="7"/>
        <v>0</v>
      </c>
      <c r="AG10" s="311">
        <f t="shared" si="7"/>
        <v>1974.969683694</v>
      </c>
      <c r="AH10" s="311">
        <f>$F$10*P33</f>
        <v>8315.6618260800005</v>
      </c>
      <c r="AI10" s="311">
        <f t="shared" ref="AI10:BC10" si="12">$F$10*Q33</f>
        <v>8835.3906902099989</v>
      </c>
      <c r="AJ10" s="311">
        <f t="shared" si="12"/>
        <v>9355.119554339999</v>
      </c>
      <c r="AK10" s="311">
        <f t="shared" si="12"/>
        <v>9147.2280086880019</v>
      </c>
      <c r="AL10" s="311">
        <f t="shared" si="12"/>
        <v>9147.2280086879964</v>
      </c>
      <c r="AM10" s="311">
        <f t="shared" si="12"/>
        <v>5197.2886412999987</v>
      </c>
      <c r="AN10" s="311">
        <f t="shared" si="12"/>
        <v>0</v>
      </c>
      <c r="AO10" s="311">
        <f t="shared" si="12"/>
        <v>0</v>
      </c>
      <c r="AP10" s="311">
        <f t="shared" si="12"/>
        <v>0</v>
      </c>
      <c r="AQ10" s="311">
        <f t="shared" si="12"/>
        <v>0</v>
      </c>
      <c r="AR10" s="311">
        <f t="shared" si="12"/>
        <v>0</v>
      </c>
      <c r="AS10" s="311">
        <f t="shared" si="12"/>
        <v>0</v>
      </c>
      <c r="AT10" s="311">
        <f t="shared" si="12"/>
        <v>0</v>
      </c>
      <c r="AU10" s="311">
        <f t="shared" si="12"/>
        <v>0</v>
      </c>
      <c r="AV10" s="311">
        <f t="shared" si="12"/>
        <v>0</v>
      </c>
      <c r="AW10" s="311">
        <f t="shared" si="12"/>
        <v>0</v>
      </c>
      <c r="AX10" s="311">
        <f t="shared" si="12"/>
        <v>0</v>
      </c>
      <c r="AY10" s="311">
        <f t="shared" si="12"/>
        <v>0</v>
      </c>
      <c r="AZ10" s="311">
        <f t="shared" si="12"/>
        <v>0</v>
      </c>
      <c r="BA10" s="311">
        <f t="shared" si="12"/>
        <v>0</v>
      </c>
      <c r="BB10" s="311">
        <f t="shared" si="12"/>
        <v>0</v>
      </c>
      <c r="BC10" s="311">
        <f t="shared" si="12"/>
        <v>0</v>
      </c>
      <c r="BD10" s="311">
        <f t="shared" si="5"/>
        <v>51972.886413</v>
      </c>
    </row>
    <row r="11" spans="1:56">
      <c r="A11" s="6" t="s">
        <v>1567</v>
      </c>
      <c r="B11" s="121">
        <v>2</v>
      </c>
      <c r="C11" s="58" t="s">
        <v>1019</v>
      </c>
      <c r="D11" s="121" t="s">
        <v>53</v>
      </c>
      <c r="E11" s="121" t="s">
        <v>524</v>
      </c>
      <c r="F11" s="121">
        <v>21900</v>
      </c>
      <c r="G11" s="88">
        <v>45589</v>
      </c>
      <c r="H11" s="369">
        <v>2024</v>
      </c>
      <c r="I11" s="88">
        <v>46203</v>
      </c>
      <c r="J11" s="88" t="s">
        <v>57</v>
      </c>
      <c r="K11" s="88" t="s">
        <v>1161</v>
      </c>
      <c r="L11" s="88" t="s">
        <v>939</v>
      </c>
      <c r="M11" s="121">
        <v>5</v>
      </c>
      <c r="N11" s="121"/>
      <c r="O11" s="311">
        <f t="shared" si="6"/>
        <v>0</v>
      </c>
      <c r="P11" s="311">
        <f t="shared" si="6"/>
        <v>0</v>
      </c>
      <c r="Q11" s="311">
        <f t="shared" si="6"/>
        <v>0</v>
      </c>
      <c r="R11" s="311">
        <f t="shared" si="6"/>
        <v>0</v>
      </c>
      <c r="S11" s="311">
        <f t="shared" si="6"/>
        <v>0</v>
      </c>
      <c r="T11" s="311">
        <f t="shared" si="6"/>
        <v>0</v>
      </c>
      <c r="U11" s="311">
        <f t="shared" si="6"/>
        <v>0</v>
      </c>
      <c r="V11" s="311">
        <f t="shared" si="6"/>
        <v>0</v>
      </c>
      <c r="W11" s="311">
        <f t="shared" si="6"/>
        <v>0</v>
      </c>
      <c r="X11" s="311">
        <f t="shared" si="6"/>
        <v>0</v>
      </c>
      <c r="Y11" s="311">
        <f t="shared" si="7"/>
        <v>0</v>
      </c>
      <c r="Z11" s="311">
        <f t="shared" si="7"/>
        <v>0</v>
      </c>
      <c r="AA11" s="311">
        <f t="shared" si="7"/>
        <v>0</v>
      </c>
      <c r="AB11" s="311">
        <f t="shared" si="7"/>
        <v>0</v>
      </c>
      <c r="AC11" s="311">
        <f t="shared" si="7"/>
        <v>0</v>
      </c>
      <c r="AD11" s="311">
        <f t="shared" si="7"/>
        <v>0</v>
      </c>
      <c r="AE11" s="311">
        <f t="shared" si="7"/>
        <v>0</v>
      </c>
      <c r="AF11" s="311">
        <f t="shared" si="7"/>
        <v>0</v>
      </c>
      <c r="AG11" s="311">
        <f t="shared" si="7"/>
        <v>1949.1</v>
      </c>
      <c r="AH11" s="311">
        <f>$F$11*P35</f>
        <v>4993.2</v>
      </c>
      <c r="AI11" s="311">
        <f t="shared" ref="AI11:BC11" si="13">$F$11*Q35</f>
        <v>4171.95</v>
      </c>
      <c r="AJ11" s="311">
        <f t="shared" si="13"/>
        <v>3350.7000000000007</v>
      </c>
      <c r="AK11" s="311">
        <f t="shared" si="13"/>
        <v>2408.9999999999995</v>
      </c>
      <c r="AL11" s="311">
        <f t="shared" si="13"/>
        <v>3394.5000000000005</v>
      </c>
      <c r="AM11" s="311">
        <f t="shared" si="13"/>
        <v>1631.5499999999979</v>
      </c>
      <c r="AN11" s="311">
        <f t="shared" si="13"/>
        <v>0</v>
      </c>
      <c r="AO11" s="311">
        <f t="shared" si="13"/>
        <v>0</v>
      </c>
      <c r="AP11" s="311">
        <f t="shared" si="13"/>
        <v>0</v>
      </c>
      <c r="AQ11" s="311">
        <f t="shared" si="13"/>
        <v>0</v>
      </c>
      <c r="AR11" s="311">
        <f t="shared" si="13"/>
        <v>0</v>
      </c>
      <c r="AS11" s="311">
        <f t="shared" si="13"/>
        <v>0</v>
      </c>
      <c r="AT11" s="311">
        <f t="shared" si="13"/>
        <v>0</v>
      </c>
      <c r="AU11" s="311">
        <f t="shared" si="13"/>
        <v>0</v>
      </c>
      <c r="AV11" s="311">
        <f t="shared" si="13"/>
        <v>0</v>
      </c>
      <c r="AW11" s="311">
        <f t="shared" si="13"/>
        <v>0</v>
      </c>
      <c r="AX11" s="311">
        <f t="shared" si="13"/>
        <v>0</v>
      </c>
      <c r="AY11" s="311">
        <f t="shared" si="13"/>
        <v>0</v>
      </c>
      <c r="AZ11" s="311">
        <f t="shared" si="13"/>
        <v>0</v>
      </c>
      <c r="BA11" s="311">
        <f t="shared" si="13"/>
        <v>0</v>
      </c>
      <c r="BB11" s="311">
        <f t="shared" si="13"/>
        <v>0</v>
      </c>
      <c r="BC11" s="311">
        <f t="shared" si="13"/>
        <v>0</v>
      </c>
      <c r="BD11" s="311">
        <f t="shared" si="5"/>
        <v>21900</v>
      </c>
    </row>
    <row r="12" spans="1:56">
      <c r="A12" s="6" t="s">
        <v>1567</v>
      </c>
      <c r="B12" s="121">
        <v>1</v>
      </c>
      <c r="C12" s="58" t="s">
        <v>494</v>
      </c>
      <c r="D12" s="121" t="s">
        <v>53</v>
      </c>
      <c r="E12" s="121" t="s">
        <v>528</v>
      </c>
      <c r="F12" s="121">
        <v>25123.609799999998</v>
      </c>
      <c r="G12" s="88">
        <v>45511</v>
      </c>
      <c r="H12" s="369">
        <v>2024</v>
      </c>
      <c r="I12" s="88">
        <v>45978</v>
      </c>
      <c r="J12" s="88" t="s">
        <v>42</v>
      </c>
      <c r="K12" s="88" t="s">
        <v>57</v>
      </c>
      <c r="L12" s="88" t="s">
        <v>982</v>
      </c>
      <c r="M12" s="121">
        <v>4</v>
      </c>
      <c r="N12" s="121"/>
      <c r="O12" s="311">
        <f t="shared" ref="O12:AF12" si="14">IF(O$2=$K12,$F12*CHOOSE($B12,$O$33,$O$35,$O$37),0)</f>
        <v>0</v>
      </c>
      <c r="P12" s="311">
        <f t="shared" si="14"/>
        <v>0</v>
      </c>
      <c r="Q12" s="311">
        <f t="shared" si="14"/>
        <v>0</v>
      </c>
      <c r="R12" s="311">
        <f t="shared" si="14"/>
        <v>0</v>
      </c>
      <c r="S12" s="311">
        <f t="shared" si="14"/>
        <v>0</v>
      </c>
      <c r="T12" s="311">
        <f t="shared" si="14"/>
        <v>0</v>
      </c>
      <c r="U12" s="311">
        <f t="shared" si="14"/>
        <v>0</v>
      </c>
      <c r="V12" s="311">
        <f t="shared" si="14"/>
        <v>0</v>
      </c>
      <c r="W12" s="311">
        <f t="shared" si="14"/>
        <v>0</v>
      </c>
      <c r="X12" s="311">
        <f t="shared" si="14"/>
        <v>0</v>
      </c>
      <c r="Y12" s="311">
        <f t="shared" si="14"/>
        <v>0</v>
      </c>
      <c r="Z12" s="311">
        <f t="shared" si="14"/>
        <v>0</v>
      </c>
      <c r="AA12" s="311">
        <f t="shared" si="14"/>
        <v>0</v>
      </c>
      <c r="AB12" s="311">
        <f t="shared" si="14"/>
        <v>0</v>
      </c>
      <c r="AC12" s="311">
        <f t="shared" si="14"/>
        <v>0</v>
      </c>
      <c r="AD12" s="311">
        <f t="shared" si="14"/>
        <v>0</v>
      </c>
      <c r="AE12" s="311">
        <f t="shared" si="14"/>
        <v>0</v>
      </c>
      <c r="AF12" s="311">
        <f t="shared" si="14"/>
        <v>954.69717239999989</v>
      </c>
      <c r="AG12" s="311">
        <f t="shared" ref="AG12:BC12" si="15">$F$12*P33</f>
        <v>4019.777568</v>
      </c>
      <c r="AH12" s="311">
        <f t="shared" si="15"/>
        <v>4271.0136659999989</v>
      </c>
      <c r="AI12" s="311">
        <f t="shared" si="15"/>
        <v>4522.2497639999992</v>
      </c>
      <c r="AJ12" s="311">
        <f t="shared" si="15"/>
        <v>4421.7553248000013</v>
      </c>
      <c r="AK12" s="311">
        <f t="shared" si="15"/>
        <v>4421.7553247999977</v>
      </c>
      <c r="AL12" s="311">
        <f t="shared" si="15"/>
        <v>2512.3609799999995</v>
      </c>
      <c r="AM12" s="311">
        <f t="shared" si="15"/>
        <v>0</v>
      </c>
      <c r="AN12" s="311">
        <f t="shared" si="15"/>
        <v>0</v>
      </c>
      <c r="AO12" s="311">
        <f t="shared" si="15"/>
        <v>0</v>
      </c>
      <c r="AP12" s="311">
        <f t="shared" si="15"/>
        <v>0</v>
      </c>
      <c r="AQ12" s="311">
        <f t="shared" si="15"/>
        <v>0</v>
      </c>
      <c r="AR12" s="311">
        <f t="shared" si="15"/>
        <v>0</v>
      </c>
      <c r="AS12" s="311">
        <f t="shared" si="15"/>
        <v>0</v>
      </c>
      <c r="AT12" s="311">
        <f t="shared" si="15"/>
        <v>0</v>
      </c>
      <c r="AU12" s="311">
        <f t="shared" si="15"/>
        <v>0</v>
      </c>
      <c r="AV12" s="311">
        <f t="shared" si="15"/>
        <v>0</v>
      </c>
      <c r="AW12" s="311">
        <f t="shared" si="15"/>
        <v>0</v>
      </c>
      <c r="AX12" s="311">
        <f t="shared" si="15"/>
        <v>0</v>
      </c>
      <c r="AY12" s="311">
        <f t="shared" si="15"/>
        <v>0</v>
      </c>
      <c r="AZ12" s="311">
        <f t="shared" si="15"/>
        <v>0</v>
      </c>
      <c r="BA12" s="311">
        <f t="shared" si="15"/>
        <v>0</v>
      </c>
      <c r="BB12" s="311">
        <f t="shared" si="15"/>
        <v>0</v>
      </c>
      <c r="BC12" s="311">
        <f t="shared" si="15"/>
        <v>0</v>
      </c>
      <c r="BD12" s="311">
        <f t="shared" si="5"/>
        <v>25123.609799999998</v>
      </c>
    </row>
    <row r="13" spans="1:56">
      <c r="A13" s="6" t="s">
        <v>1567</v>
      </c>
      <c r="B13" s="121">
        <v>4</v>
      </c>
      <c r="C13" s="58" t="s">
        <v>486</v>
      </c>
      <c r="D13" s="121" t="s">
        <v>53</v>
      </c>
      <c r="E13" s="121" t="s">
        <v>676</v>
      </c>
      <c r="F13" s="121">
        <v>270519.44924599997</v>
      </c>
      <c r="G13" s="88">
        <v>45503</v>
      </c>
      <c r="H13" s="369">
        <v>2024</v>
      </c>
      <c r="I13" s="88">
        <v>47812</v>
      </c>
      <c r="J13" s="88" t="s">
        <v>42</v>
      </c>
      <c r="K13" s="88" t="s">
        <v>57</v>
      </c>
      <c r="L13" s="88" t="s">
        <v>963</v>
      </c>
      <c r="M13" s="121">
        <v>24</v>
      </c>
      <c r="N13" s="121"/>
      <c r="O13" s="311">
        <f t="shared" ref="O13:X14" si="16">IF(O$2=$K13,$F13*CHOOSE($B13,$O$33,$O$35,$O$37),0)</f>
        <v>0</v>
      </c>
      <c r="P13" s="311">
        <f t="shared" si="16"/>
        <v>0</v>
      </c>
      <c r="Q13" s="311">
        <f t="shared" si="16"/>
        <v>0</v>
      </c>
      <c r="R13" s="311">
        <f t="shared" si="16"/>
        <v>0</v>
      </c>
      <c r="S13" s="311">
        <f t="shared" si="16"/>
        <v>0</v>
      </c>
      <c r="T13" s="311">
        <f t="shared" si="16"/>
        <v>0</v>
      </c>
      <c r="U13" s="311">
        <f t="shared" si="16"/>
        <v>0</v>
      </c>
      <c r="V13" s="311">
        <f t="shared" si="16"/>
        <v>0</v>
      </c>
      <c r="W13" s="311">
        <f t="shared" si="16"/>
        <v>0</v>
      </c>
      <c r="X13" s="311">
        <f t="shared" si="16"/>
        <v>0</v>
      </c>
      <c r="Y13" s="311">
        <f t="shared" ref="Y13:AE14" si="17">IF(Y$2=$K13,$F13*CHOOSE($B13,$O$33,$O$35,$O$37),0)</f>
        <v>0</v>
      </c>
      <c r="Z13" s="311">
        <f t="shared" si="17"/>
        <v>0</v>
      </c>
      <c r="AA13" s="311">
        <f t="shared" si="17"/>
        <v>0</v>
      </c>
      <c r="AB13" s="311">
        <f t="shared" si="17"/>
        <v>0</v>
      </c>
      <c r="AC13" s="311">
        <f t="shared" si="17"/>
        <v>0</v>
      </c>
      <c r="AD13" s="311">
        <f t="shared" si="17"/>
        <v>0</v>
      </c>
      <c r="AE13" s="311">
        <f t="shared" si="17"/>
        <v>0</v>
      </c>
      <c r="AF13" s="311">
        <f>IF(AF$2=$K13,$F13*CHOOSE($B13,$O$33,$O$35,$O$37,$O$39),0)</f>
        <v>6019.0577457234995</v>
      </c>
      <c r="AG13" s="311">
        <f>$F$13*P39</f>
        <v>6019.0577457234995</v>
      </c>
      <c r="AH13" s="311">
        <f t="shared" ref="AH13:BC13" si="18">$F$13*Q39</f>
        <v>6019.0577457235013</v>
      </c>
      <c r="AI13" s="311">
        <f t="shared" si="18"/>
        <v>6019.0577457234976</v>
      </c>
      <c r="AJ13" s="311">
        <f t="shared" si="18"/>
        <v>15419.608607022004</v>
      </c>
      <c r="AK13" s="311">
        <f t="shared" si="18"/>
        <v>15419.608607021997</v>
      </c>
      <c r="AL13" s="311">
        <f t="shared" si="18"/>
        <v>15419.608607021997</v>
      </c>
      <c r="AM13" s="311">
        <f t="shared" si="18"/>
        <v>15419.608607021997</v>
      </c>
      <c r="AN13" s="311">
        <f t="shared" si="18"/>
        <v>17921.913512547493</v>
      </c>
      <c r="AO13" s="311">
        <f t="shared" si="18"/>
        <v>17921.913512547508</v>
      </c>
      <c r="AP13" s="311">
        <f t="shared" si="18"/>
        <v>17921.913512547475</v>
      </c>
      <c r="AQ13" s="311">
        <f t="shared" si="18"/>
        <v>17921.913512547508</v>
      </c>
      <c r="AR13" s="311">
        <f t="shared" si="18"/>
        <v>10347.3689336595</v>
      </c>
      <c r="AS13" s="311">
        <f t="shared" si="18"/>
        <v>10347.3689336595</v>
      </c>
      <c r="AT13" s="311">
        <f t="shared" si="18"/>
        <v>10347.3689336595</v>
      </c>
      <c r="AU13" s="311">
        <f t="shared" si="18"/>
        <v>10347.3689336595</v>
      </c>
      <c r="AV13" s="311">
        <f t="shared" si="18"/>
        <v>14878.569708530013</v>
      </c>
      <c r="AW13" s="311">
        <f t="shared" si="18"/>
        <v>14878.569708529982</v>
      </c>
      <c r="AX13" s="311">
        <f t="shared" si="18"/>
        <v>20965.257316565003</v>
      </c>
      <c r="AY13" s="311">
        <f t="shared" si="18"/>
        <v>20965.257316565003</v>
      </c>
      <c r="AZ13" s="311">
        <f t="shared" si="18"/>
        <v>0</v>
      </c>
      <c r="BA13" s="311">
        <f t="shared" si="18"/>
        <v>0</v>
      </c>
      <c r="BB13" s="311">
        <f t="shared" si="18"/>
        <v>0</v>
      </c>
      <c r="BC13" s="311">
        <f t="shared" si="18"/>
        <v>0</v>
      </c>
      <c r="BD13" s="311">
        <f t="shared" si="5"/>
        <v>270519.44924600003</v>
      </c>
    </row>
    <row r="14" spans="1:56">
      <c r="A14" s="6" t="s">
        <v>1567</v>
      </c>
      <c r="B14" s="121">
        <v>2</v>
      </c>
      <c r="C14" s="58" t="s">
        <v>1555</v>
      </c>
      <c r="D14" s="121" t="s">
        <v>53</v>
      </c>
      <c r="E14" s="121" t="s">
        <v>524</v>
      </c>
      <c r="F14" s="121">
        <v>24766.214240000001</v>
      </c>
      <c r="G14" s="88">
        <v>45460</v>
      </c>
      <c r="H14" s="369">
        <v>2024</v>
      </c>
      <c r="I14" s="88">
        <v>45991</v>
      </c>
      <c r="J14" s="88" t="s">
        <v>41</v>
      </c>
      <c r="K14" s="88" t="s">
        <v>42</v>
      </c>
      <c r="L14" s="88" t="s">
        <v>982</v>
      </c>
      <c r="M14" s="121">
        <v>5</v>
      </c>
      <c r="N14" s="121"/>
      <c r="O14" s="311">
        <f t="shared" si="16"/>
        <v>0</v>
      </c>
      <c r="P14" s="311">
        <f t="shared" si="16"/>
        <v>0</v>
      </c>
      <c r="Q14" s="311">
        <f t="shared" si="16"/>
        <v>0</v>
      </c>
      <c r="R14" s="311">
        <f t="shared" si="16"/>
        <v>0</v>
      </c>
      <c r="S14" s="311">
        <f t="shared" si="16"/>
        <v>0</v>
      </c>
      <c r="T14" s="311">
        <f t="shared" si="16"/>
        <v>0</v>
      </c>
      <c r="U14" s="311">
        <f t="shared" si="16"/>
        <v>0</v>
      </c>
      <c r="V14" s="311">
        <f t="shared" si="16"/>
        <v>0</v>
      </c>
      <c r="W14" s="311">
        <f t="shared" si="16"/>
        <v>0</v>
      </c>
      <c r="X14" s="311">
        <f t="shared" si="16"/>
        <v>0</v>
      </c>
      <c r="Y14" s="311">
        <f t="shared" si="17"/>
        <v>0</v>
      </c>
      <c r="Z14" s="311">
        <f t="shared" si="17"/>
        <v>0</v>
      </c>
      <c r="AA14" s="311">
        <f t="shared" si="17"/>
        <v>0</v>
      </c>
      <c r="AB14" s="311">
        <f t="shared" si="17"/>
        <v>0</v>
      </c>
      <c r="AC14" s="311">
        <f t="shared" si="17"/>
        <v>0</v>
      </c>
      <c r="AD14" s="311">
        <f t="shared" si="17"/>
        <v>0</v>
      </c>
      <c r="AE14" s="311">
        <f t="shared" si="17"/>
        <v>2204.19306736</v>
      </c>
      <c r="AF14" s="311">
        <f>$F$14*P35</f>
        <v>5646.6968467200004</v>
      </c>
      <c r="AG14" s="311">
        <f t="shared" ref="AG14:BC14" si="19">$F$14*Q35</f>
        <v>4717.9638127200005</v>
      </c>
      <c r="AH14" s="311">
        <f t="shared" si="19"/>
        <v>3789.2307787200007</v>
      </c>
      <c r="AI14" s="311">
        <f t="shared" si="19"/>
        <v>2724.2835663999999</v>
      </c>
      <c r="AJ14" s="311">
        <f t="shared" si="19"/>
        <v>3838.763207200001</v>
      </c>
      <c r="AK14" s="311">
        <f t="shared" si="19"/>
        <v>1845.0829608799977</v>
      </c>
      <c r="AL14" s="311">
        <f t="shared" si="19"/>
        <v>0</v>
      </c>
      <c r="AM14" s="311">
        <f t="shared" si="19"/>
        <v>0</v>
      </c>
      <c r="AN14" s="311">
        <f t="shared" si="19"/>
        <v>0</v>
      </c>
      <c r="AO14" s="311">
        <f t="shared" si="19"/>
        <v>0</v>
      </c>
      <c r="AP14" s="311">
        <f t="shared" si="19"/>
        <v>0</v>
      </c>
      <c r="AQ14" s="311">
        <f t="shared" si="19"/>
        <v>0</v>
      </c>
      <c r="AR14" s="311">
        <f t="shared" si="19"/>
        <v>0</v>
      </c>
      <c r="AS14" s="311">
        <f t="shared" si="19"/>
        <v>0</v>
      </c>
      <c r="AT14" s="311">
        <f t="shared" si="19"/>
        <v>0</v>
      </c>
      <c r="AU14" s="311">
        <f t="shared" si="19"/>
        <v>0</v>
      </c>
      <c r="AV14" s="311">
        <f t="shared" si="19"/>
        <v>0</v>
      </c>
      <c r="AW14" s="311">
        <f t="shared" si="19"/>
        <v>0</v>
      </c>
      <c r="AX14" s="311">
        <f t="shared" si="19"/>
        <v>0</v>
      </c>
      <c r="AY14" s="311">
        <f t="shared" si="19"/>
        <v>0</v>
      </c>
      <c r="AZ14" s="311">
        <f t="shared" si="19"/>
        <v>0</v>
      </c>
      <c r="BA14" s="311">
        <f t="shared" si="19"/>
        <v>0</v>
      </c>
      <c r="BB14" s="311">
        <f t="shared" si="19"/>
        <v>0</v>
      </c>
      <c r="BC14" s="311">
        <f t="shared" si="19"/>
        <v>0</v>
      </c>
      <c r="BD14" s="311">
        <f t="shared" si="5"/>
        <v>24766.214240000001</v>
      </c>
    </row>
    <row r="15" spans="1:56">
      <c r="A15" s="6" t="s">
        <v>1567</v>
      </c>
      <c r="B15" s="121">
        <v>4</v>
      </c>
      <c r="C15" s="58" t="s">
        <v>1556</v>
      </c>
      <c r="D15" s="121" t="s">
        <v>53</v>
      </c>
      <c r="E15" s="121" t="s">
        <v>676</v>
      </c>
      <c r="F15" s="121">
        <v>119377.084388</v>
      </c>
      <c r="G15" s="88">
        <v>45436</v>
      </c>
      <c r="H15" s="369">
        <v>2024</v>
      </c>
      <c r="I15" s="88">
        <v>47526</v>
      </c>
      <c r="J15" s="88" t="s">
        <v>41</v>
      </c>
      <c r="K15" s="88" t="s">
        <v>42</v>
      </c>
      <c r="L15" s="88" t="s">
        <v>960</v>
      </c>
      <c r="M15" s="121">
        <v>22</v>
      </c>
      <c r="N15" s="121"/>
      <c r="O15" s="311">
        <f t="shared" ref="O15:AD19" si="20">IF(O$2=$K15,$F15*CHOOSE($B15,$O$33,$O$35,$O$37),0)</f>
        <v>0</v>
      </c>
      <c r="P15" s="311">
        <f t="shared" si="20"/>
        <v>0</v>
      </c>
      <c r="Q15" s="311">
        <f t="shared" si="20"/>
        <v>0</v>
      </c>
      <c r="R15" s="311">
        <f t="shared" si="20"/>
        <v>0</v>
      </c>
      <c r="S15" s="311">
        <f t="shared" si="20"/>
        <v>0</v>
      </c>
      <c r="T15" s="311">
        <f t="shared" si="20"/>
        <v>0</v>
      </c>
      <c r="U15" s="311">
        <f t="shared" si="20"/>
        <v>0</v>
      </c>
      <c r="V15" s="311">
        <f t="shared" si="20"/>
        <v>0</v>
      </c>
      <c r="W15" s="311">
        <f t="shared" si="20"/>
        <v>0</v>
      </c>
      <c r="X15" s="311">
        <f t="shared" si="20"/>
        <v>0</v>
      </c>
      <c r="Y15" s="311">
        <f t="shared" si="20"/>
        <v>0</v>
      </c>
      <c r="Z15" s="311">
        <f t="shared" si="20"/>
        <v>0</v>
      </c>
      <c r="AA15" s="311">
        <f t="shared" si="20"/>
        <v>0</v>
      </c>
      <c r="AB15" s="311">
        <f t="shared" si="20"/>
        <v>0</v>
      </c>
      <c r="AC15" s="311">
        <f t="shared" si="20"/>
        <v>0</v>
      </c>
      <c r="AD15" s="311">
        <f t="shared" si="20"/>
        <v>0</v>
      </c>
      <c r="AE15" s="311">
        <f>IF(AE$2=$K15,$F15*CHOOSE($B15,$O$33,$O$35,$O$37,$O$39),0)</f>
        <v>2656.1401276329998</v>
      </c>
      <c r="AF15" s="311">
        <f>$F$15*P39</f>
        <v>2656.1401276329998</v>
      </c>
      <c r="AG15" s="311">
        <f t="shared" ref="AG15:BC15" si="21">$F$15*Q39</f>
        <v>2656.1401276330007</v>
      </c>
      <c r="AH15" s="311">
        <f t="shared" si="21"/>
        <v>2656.1401276329993</v>
      </c>
      <c r="AI15" s="311">
        <f t="shared" si="21"/>
        <v>6804.4938101160033</v>
      </c>
      <c r="AJ15" s="311">
        <f t="shared" si="21"/>
        <v>6804.4938101159996</v>
      </c>
      <c r="AK15" s="311">
        <f t="shared" si="21"/>
        <v>6804.4938101159996</v>
      </c>
      <c r="AL15" s="311">
        <f t="shared" si="21"/>
        <v>6804.4938101159996</v>
      </c>
      <c r="AM15" s="311">
        <f t="shared" si="21"/>
        <v>7908.731840704997</v>
      </c>
      <c r="AN15" s="311">
        <f t="shared" si="21"/>
        <v>7908.7318407050043</v>
      </c>
      <c r="AO15" s="311">
        <f t="shared" si="21"/>
        <v>7908.7318407049906</v>
      </c>
      <c r="AP15" s="311">
        <f t="shared" si="21"/>
        <v>7908.7318407050043</v>
      </c>
      <c r="AQ15" s="311">
        <f t="shared" si="21"/>
        <v>4566.1734778410009</v>
      </c>
      <c r="AR15" s="311">
        <f t="shared" si="21"/>
        <v>4566.1734778410009</v>
      </c>
      <c r="AS15" s="311">
        <f t="shared" si="21"/>
        <v>4566.1734778410009</v>
      </c>
      <c r="AT15" s="311">
        <f t="shared" si="21"/>
        <v>4566.1734778410009</v>
      </c>
      <c r="AU15" s="311">
        <f t="shared" si="21"/>
        <v>6565.7396413400056</v>
      </c>
      <c r="AV15" s="311">
        <f t="shared" si="21"/>
        <v>6565.7396413399929</v>
      </c>
      <c r="AW15" s="311">
        <f t="shared" si="21"/>
        <v>9251.7240400700011</v>
      </c>
      <c r="AX15" s="311">
        <f t="shared" si="21"/>
        <v>9251.7240400700011</v>
      </c>
      <c r="AY15" s="311">
        <f t="shared" si="21"/>
        <v>0</v>
      </c>
      <c r="AZ15" s="311">
        <f t="shared" si="21"/>
        <v>0</v>
      </c>
      <c r="BA15" s="311">
        <f t="shared" si="21"/>
        <v>0</v>
      </c>
      <c r="BB15" s="311">
        <f t="shared" si="21"/>
        <v>0</v>
      </c>
      <c r="BC15" s="311">
        <f t="shared" si="21"/>
        <v>0</v>
      </c>
      <c r="BD15" s="311">
        <f t="shared" si="5"/>
        <v>119377.084388</v>
      </c>
    </row>
    <row r="16" spans="1:56">
      <c r="A16" s="6" t="s">
        <v>1567</v>
      </c>
      <c r="B16" s="121">
        <v>3</v>
      </c>
      <c r="C16" s="58" t="s">
        <v>1557</v>
      </c>
      <c r="D16" s="121" t="s">
        <v>53</v>
      </c>
      <c r="E16" s="121" t="s">
        <v>524</v>
      </c>
      <c r="F16" s="121">
        <v>41200</v>
      </c>
      <c r="G16" s="88">
        <v>45384</v>
      </c>
      <c r="H16" s="369">
        <v>2024</v>
      </c>
      <c r="I16" s="88">
        <v>46387</v>
      </c>
      <c r="J16" s="88" t="s">
        <v>41</v>
      </c>
      <c r="K16" s="88" t="s">
        <v>42</v>
      </c>
      <c r="L16" s="88" t="s">
        <v>940</v>
      </c>
      <c r="M16" s="121">
        <v>9</v>
      </c>
      <c r="N16" s="121"/>
      <c r="O16" s="311">
        <f t="shared" si="20"/>
        <v>0</v>
      </c>
      <c r="P16" s="311">
        <f t="shared" si="20"/>
        <v>0</v>
      </c>
      <c r="Q16" s="311">
        <f t="shared" si="20"/>
        <v>0</v>
      </c>
      <c r="R16" s="311">
        <f t="shared" si="20"/>
        <v>0</v>
      </c>
      <c r="S16" s="311">
        <f t="shared" si="20"/>
        <v>0</v>
      </c>
      <c r="T16" s="311">
        <f t="shared" si="20"/>
        <v>0</v>
      </c>
      <c r="U16" s="311">
        <f t="shared" si="20"/>
        <v>0</v>
      </c>
      <c r="V16" s="311">
        <f t="shared" si="20"/>
        <v>0</v>
      </c>
      <c r="W16" s="311">
        <f t="shared" si="20"/>
        <v>0</v>
      </c>
      <c r="X16" s="311">
        <f t="shared" si="20"/>
        <v>0</v>
      </c>
      <c r="Y16" s="311">
        <f t="shared" si="20"/>
        <v>0</v>
      </c>
      <c r="Z16" s="311">
        <f t="shared" si="20"/>
        <v>0</v>
      </c>
      <c r="AA16" s="311">
        <f t="shared" si="20"/>
        <v>0</v>
      </c>
      <c r="AB16" s="311">
        <f t="shared" si="20"/>
        <v>0</v>
      </c>
      <c r="AC16" s="311">
        <f t="shared" si="20"/>
        <v>0</v>
      </c>
      <c r="AD16" s="311">
        <f t="shared" si="20"/>
        <v>0</v>
      </c>
      <c r="AE16" s="311">
        <f>IF(AE$2=$K16,$F16*CHOOSE($B16,$O$33,$O$35,$O$37),0)</f>
        <v>1833.3999999999999</v>
      </c>
      <c r="AF16" s="311">
        <f>$F$16*P37</f>
        <v>1833.3999999999999</v>
      </c>
      <c r="AG16" s="311">
        <f t="shared" ref="AG16:BC16" si="22">$F$16*Q37</f>
        <v>4696.8000000000011</v>
      </c>
      <c r="AH16" s="311">
        <f t="shared" si="22"/>
        <v>4696.7999999999993</v>
      </c>
      <c r="AI16" s="311">
        <f t="shared" si="22"/>
        <v>5459</v>
      </c>
      <c r="AJ16" s="311">
        <f t="shared" si="22"/>
        <v>5458.9999999999982</v>
      </c>
      <c r="AK16" s="311">
        <f t="shared" si="22"/>
        <v>3151.8000000000006</v>
      </c>
      <c r="AL16" s="311">
        <f t="shared" si="22"/>
        <v>3151.8000000000006</v>
      </c>
      <c r="AM16" s="311">
        <f t="shared" si="22"/>
        <v>2266.0000000000018</v>
      </c>
      <c r="AN16" s="311">
        <f t="shared" si="22"/>
        <v>2265.9999999999973</v>
      </c>
      <c r="AO16" s="311">
        <f t="shared" si="22"/>
        <v>3193.0000000000005</v>
      </c>
      <c r="AP16" s="311">
        <f t="shared" si="22"/>
        <v>3193.0000000000005</v>
      </c>
      <c r="AQ16" s="311">
        <f t="shared" si="22"/>
        <v>0</v>
      </c>
      <c r="AR16" s="311">
        <f t="shared" si="22"/>
        <v>0</v>
      </c>
      <c r="AS16" s="311">
        <f t="shared" si="22"/>
        <v>0</v>
      </c>
      <c r="AT16" s="311">
        <f t="shared" si="22"/>
        <v>0</v>
      </c>
      <c r="AU16" s="311">
        <f t="shared" si="22"/>
        <v>0</v>
      </c>
      <c r="AV16" s="311">
        <f t="shared" si="22"/>
        <v>0</v>
      </c>
      <c r="AW16" s="311">
        <f t="shared" si="22"/>
        <v>0</v>
      </c>
      <c r="AX16" s="311">
        <f t="shared" si="22"/>
        <v>0</v>
      </c>
      <c r="AY16" s="311">
        <f t="shared" si="22"/>
        <v>0</v>
      </c>
      <c r="AZ16" s="311">
        <f t="shared" si="22"/>
        <v>0</v>
      </c>
      <c r="BA16" s="311">
        <f t="shared" si="22"/>
        <v>0</v>
      </c>
      <c r="BB16" s="311">
        <f t="shared" si="22"/>
        <v>0</v>
      </c>
      <c r="BC16" s="311">
        <f t="shared" si="22"/>
        <v>0</v>
      </c>
      <c r="BD16" s="311">
        <f t="shared" si="5"/>
        <v>41200</v>
      </c>
    </row>
    <row r="17" spans="1:56">
      <c r="A17" s="6" t="s">
        <v>1567</v>
      </c>
      <c r="B17" s="121">
        <v>3</v>
      </c>
      <c r="C17" s="58" t="s">
        <v>455</v>
      </c>
      <c r="D17" s="121" t="s">
        <v>53</v>
      </c>
      <c r="E17" s="121" t="s">
        <v>524</v>
      </c>
      <c r="F17" s="121">
        <v>47500</v>
      </c>
      <c r="G17" s="88">
        <v>45355</v>
      </c>
      <c r="H17" s="369">
        <v>2024</v>
      </c>
      <c r="I17" s="88">
        <v>46296</v>
      </c>
      <c r="J17" s="88" t="s">
        <v>40</v>
      </c>
      <c r="K17" s="88" t="s">
        <v>41</v>
      </c>
      <c r="L17" s="88" t="s">
        <v>940</v>
      </c>
      <c r="M17" s="121">
        <v>10</v>
      </c>
      <c r="N17" s="121"/>
      <c r="O17" s="311">
        <f t="shared" si="20"/>
        <v>0</v>
      </c>
      <c r="P17" s="311">
        <f t="shared" si="20"/>
        <v>0</v>
      </c>
      <c r="Q17" s="311">
        <f t="shared" si="20"/>
        <v>0</v>
      </c>
      <c r="R17" s="311">
        <f t="shared" si="20"/>
        <v>0</v>
      </c>
      <c r="S17" s="311">
        <f t="shared" si="20"/>
        <v>0</v>
      </c>
      <c r="T17" s="311">
        <f t="shared" si="20"/>
        <v>0</v>
      </c>
      <c r="U17" s="311">
        <f t="shared" si="20"/>
        <v>0</v>
      </c>
      <c r="V17" s="311">
        <f t="shared" si="20"/>
        <v>0</v>
      </c>
      <c r="W17" s="311">
        <f t="shared" si="20"/>
        <v>0</v>
      </c>
      <c r="X17" s="311">
        <f t="shared" si="20"/>
        <v>0</v>
      </c>
      <c r="Y17" s="311">
        <f t="shared" si="20"/>
        <v>0</v>
      </c>
      <c r="Z17" s="311">
        <f t="shared" si="20"/>
        <v>0</v>
      </c>
      <c r="AA17" s="311">
        <f t="shared" si="20"/>
        <v>0</v>
      </c>
      <c r="AB17" s="311">
        <f t="shared" si="20"/>
        <v>0</v>
      </c>
      <c r="AC17" s="311">
        <f t="shared" si="20"/>
        <v>0</v>
      </c>
      <c r="AD17" s="311">
        <f t="shared" si="20"/>
        <v>2113.75</v>
      </c>
      <c r="AE17" s="311">
        <f>$F$17*P37</f>
        <v>2113.75</v>
      </c>
      <c r="AF17" s="311">
        <f t="shared" ref="AF17:BC17" si="23">$F$17*Q37</f>
        <v>5415.0000000000009</v>
      </c>
      <c r="AG17" s="311">
        <f t="shared" si="23"/>
        <v>5414.9999999999991</v>
      </c>
      <c r="AH17" s="311">
        <f t="shared" si="23"/>
        <v>6293.75</v>
      </c>
      <c r="AI17" s="311">
        <f t="shared" si="23"/>
        <v>6293.7499999999973</v>
      </c>
      <c r="AJ17" s="311">
        <f t="shared" si="23"/>
        <v>3633.7500000000005</v>
      </c>
      <c r="AK17" s="311">
        <f t="shared" si="23"/>
        <v>3633.7500000000005</v>
      </c>
      <c r="AL17" s="311">
        <f t="shared" si="23"/>
        <v>2612.5000000000023</v>
      </c>
      <c r="AM17" s="311">
        <f t="shared" si="23"/>
        <v>2612.4999999999973</v>
      </c>
      <c r="AN17" s="311">
        <f t="shared" si="23"/>
        <v>3681.2500000000005</v>
      </c>
      <c r="AO17" s="311">
        <f t="shared" si="23"/>
        <v>3681.2500000000005</v>
      </c>
      <c r="AP17" s="311">
        <f t="shared" si="23"/>
        <v>0</v>
      </c>
      <c r="AQ17" s="311">
        <f t="shared" si="23"/>
        <v>0</v>
      </c>
      <c r="AR17" s="311">
        <f t="shared" si="23"/>
        <v>0</v>
      </c>
      <c r="AS17" s="311">
        <f t="shared" si="23"/>
        <v>0</v>
      </c>
      <c r="AT17" s="311">
        <f t="shared" si="23"/>
        <v>0</v>
      </c>
      <c r="AU17" s="311">
        <f t="shared" si="23"/>
        <v>0</v>
      </c>
      <c r="AV17" s="311">
        <f t="shared" si="23"/>
        <v>0</v>
      </c>
      <c r="AW17" s="311">
        <f t="shared" si="23"/>
        <v>0</v>
      </c>
      <c r="AX17" s="311">
        <f t="shared" si="23"/>
        <v>0</v>
      </c>
      <c r="AY17" s="311">
        <f t="shared" si="23"/>
        <v>0</v>
      </c>
      <c r="AZ17" s="311">
        <f t="shared" si="23"/>
        <v>0</v>
      </c>
      <c r="BA17" s="311">
        <f t="shared" si="23"/>
        <v>0</v>
      </c>
      <c r="BB17" s="311">
        <f t="shared" si="23"/>
        <v>0</v>
      </c>
      <c r="BC17" s="311">
        <f t="shared" si="23"/>
        <v>0</v>
      </c>
      <c r="BD17" s="311">
        <f t="shared" si="5"/>
        <v>47500</v>
      </c>
    </row>
    <row r="18" spans="1:56">
      <c r="A18" s="6" t="s">
        <v>1567</v>
      </c>
      <c r="B18" s="121">
        <v>1</v>
      </c>
      <c r="C18" s="58" t="s">
        <v>463</v>
      </c>
      <c r="D18" s="121" t="s">
        <v>53</v>
      </c>
      <c r="E18" s="121" t="s">
        <v>528</v>
      </c>
      <c r="F18" s="121">
        <v>106211.19070200001</v>
      </c>
      <c r="G18" s="88">
        <v>45352</v>
      </c>
      <c r="H18" s="369">
        <v>2024</v>
      </c>
      <c r="I18" s="88">
        <v>45920</v>
      </c>
      <c r="J18" s="88" t="s">
        <v>40</v>
      </c>
      <c r="K18" s="88" t="s">
        <v>41</v>
      </c>
      <c r="L18" s="88" t="s">
        <v>990</v>
      </c>
      <c r="M18" s="121">
        <v>5</v>
      </c>
      <c r="N18" s="121"/>
      <c r="O18" s="311">
        <f t="shared" si="20"/>
        <v>0</v>
      </c>
      <c r="P18" s="311">
        <f t="shared" si="20"/>
        <v>0</v>
      </c>
      <c r="Q18" s="311">
        <f t="shared" si="20"/>
        <v>0</v>
      </c>
      <c r="R18" s="311">
        <f t="shared" si="20"/>
        <v>0</v>
      </c>
      <c r="S18" s="311">
        <f t="shared" si="20"/>
        <v>0</v>
      </c>
      <c r="T18" s="311">
        <f t="shared" si="20"/>
        <v>0</v>
      </c>
      <c r="U18" s="311">
        <f t="shared" si="20"/>
        <v>0</v>
      </c>
      <c r="V18" s="311">
        <f t="shared" si="20"/>
        <v>0</v>
      </c>
      <c r="W18" s="311">
        <f t="shared" si="20"/>
        <v>0</v>
      </c>
      <c r="X18" s="311">
        <f t="shared" si="20"/>
        <v>0</v>
      </c>
      <c r="Y18" s="311">
        <f t="shared" si="20"/>
        <v>0</v>
      </c>
      <c r="Z18" s="311">
        <f t="shared" si="20"/>
        <v>0</v>
      </c>
      <c r="AA18" s="311">
        <f t="shared" si="20"/>
        <v>0</v>
      </c>
      <c r="AB18" s="311">
        <f t="shared" si="20"/>
        <v>0</v>
      </c>
      <c r="AC18" s="311">
        <f t="shared" si="20"/>
        <v>0</v>
      </c>
      <c r="AD18" s="311">
        <f t="shared" si="20"/>
        <v>4036.0252466760003</v>
      </c>
      <c r="AE18" s="311">
        <f>$F$18*P33</f>
        <v>16993.79051232</v>
      </c>
      <c r="AF18" s="311">
        <f>IF(AF$2=$K18,$F18*CHOOSE($B18,$O$33,$O$35,$O$37),0)</f>
        <v>0</v>
      </c>
      <c r="AG18" s="311">
        <f>$F$18*Q33</f>
        <v>18055.90241934</v>
      </c>
      <c r="AH18" s="311">
        <f>$F$18*R33</f>
        <v>19118.01432636</v>
      </c>
      <c r="AI18" s="311">
        <f>$F$18*S33</f>
        <v>18693.169563552005</v>
      </c>
      <c r="AJ18" s="311">
        <f>$F$18*T33</f>
        <v>18693.169563551994</v>
      </c>
      <c r="AK18" s="311">
        <f>$F$18*U33</f>
        <v>10621.119070199999</v>
      </c>
      <c r="AL18" s="311">
        <f t="shared" ref="AL18:BC18" si="24">$F$18*V33</f>
        <v>0</v>
      </c>
      <c r="AM18" s="311">
        <f t="shared" si="24"/>
        <v>0</v>
      </c>
      <c r="AN18" s="311">
        <f t="shared" si="24"/>
        <v>0</v>
      </c>
      <c r="AO18" s="311">
        <f t="shared" si="24"/>
        <v>0</v>
      </c>
      <c r="AP18" s="311">
        <f t="shared" si="24"/>
        <v>0</v>
      </c>
      <c r="AQ18" s="311">
        <f t="shared" si="24"/>
        <v>0</v>
      </c>
      <c r="AR18" s="311">
        <f t="shared" si="24"/>
        <v>0</v>
      </c>
      <c r="AS18" s="311">
        <f t="shared" si="24"/>
        <v>0</v>
      </c>
      <c r="AT18" s="311">
        <f t="shared" si="24"/>
        <v>0</v>
      </c>
      <c r="AU18" s="311">
        <f t="shared" si="24"/>
        <v>0</v>
      </c>
      <c r="AV18" s="311">
        <f t="shared" si="24"/>
        <v>0</v>
      </c>
      <c r="AW18" s="311">
        <f t="shared" si="24"/>
        <v>0</v>
      </c>
      <c r="AX18" s="311">
        <f t="shared" si="24"/>
        <v>0</v>
      </c>
      <c r="AY18" s="311">
        <f t="shared" si="24"/>
        <v>0</v>
      </c>
      <c r="AZ18" s="311">
        <f t="shared" si="24"/>
        <v>0</v>
      </c>
      <c r="BA18" s="311">
        <f t="shared" si="24"/>
        <v>0</v>
      </c>
      <c r="BB18" s="311">
        <f t="shared" si="24"/>
        <v>0</v>
      </c>
      <c r="BC18" s="311">
        <f t="shared" si="24"/>
        <v>0</v>
      </c>
      <c r="BD18" s="311">
        <f t="shared" si="5"/>
        <v>106211.19070200001</v>
      </c>
    </row>
    <row r="19" spans="1:56">
      <c r="A19" s="6" t="s">
        <v>1567</v>
      </c>
      <c r="B19" s="121">
        <v>1</v>
      </c>
      <c r="C19" s="58" t="s">
        <v>1558</v>
      </c>
      <c r="D19" s="121" t="s">
        <v>53</v>
      </c>
      <c r="E19" s="121" t="s">
        <v>528</v>
      </c>
      <c r="F19" s="121">
        <v>99077.869154</v>
      </c>
      <c r="G19" s="88">
        <v>45352</v>
      </c>
      <c r="H19" s="369">
        <v>2024</v>
      </c>
      <c r="I19" s="88">
        <v>45920</v>
      </c>
      <c r="J19" s="88" t="s">
        <v>40</v>
      </c>
      <c r="K19" s="88" t="s">
        <v>41</v>
      </c>
      <c r="L19" s="88" t="s">
        <v>990</v>
      </c>
      <c r="M19" s="121">
        <v>5</v>
      </c>
      <c r="N19" s="121"/>
      <c r="O19" s="311">
        <f t="shared" si="20"/>
        <v>0</v>
      </c>
      <c r="P19" s="311">
        <f t="shared" si="20"/>
        <v>0</v>
      </c>
      <c r="Q19" s="311">
        <f t="shared" si="20"/>
        <v>0</v>
      </c>
      <c r="R19" s="311">
        <f t="shared" si="20"/>
        <v>0</v>
      </c>
      <c r="S19" s="311">
        <f t="shared" si="20"/>
        <v>0</v>
      </c>
      <c r="T19" s="311">
        <f t="shared" si="20"/>
        <v>0</v>
      </c>
      <c r="U19" s="311">
        <f t="shared" si="20"/>
        <v>0</v>
      </c>
      <c r="V19" s="311">
        <f t="shared" si="20"/>
        <v>0</v>
      </c>
      <c r="W19" s="311">
        <f t="shared" si="20"/>
        <v>0</v>
      </c>
      <c r="X19" s="311">
        <f t="shared" si="20"/>
        <v>0</v>
      </c>
      <c r="Y19" s="311">
        <f t="shared" si="20"/>
        <v>0</v>
      </c>
      <c r="Z19" s="311">
        <f t="shared" si="20"/>
        <v>0</v>
      </c>
      <c r="AA19" s="311">
        <f t="shared" si="20"/>
        <v>0</v>
      </c>
      <c r="AB19" s="311">
        <f t="shared" si="20"/>
        <v>0</v>
      </c>
      <c r="AC19" s="311">
        <f t="shared" si="20"/>
        <v>0</v>
      </c>
      <c r="AD19" s="311">
        <f t="shared" si="20"/>
        <v>3764.959027852</v>
      </c>
      <c r="AE19" s="311">
        <f>$F$19*P33</f>
        <v>15852.459064640001</v>
      </c>
      <c r="AF19" s="311">
        <f t="shared" ref="AF19:BC19" si="25">$F$19*Q33</f>
        <v>16843.237756179999</v>
      </c>
      <c r="AG19" s="311">
        <f t="shared" si="25"/>
        <v>17834.016447719998</v>
      </c>
      <c r="AH19" s="311">
        <f t="shared" si="25"/>
        <v>17437.704971104005</v>
      </c>
      <c r="AI19" s="311">
        <f t="shared" si="25"/>
        <v>17437.704971103994</v>
      </c>
      <c r="AJ19" s="311">
        <f t="shared" si="25"/>
        <v>9907.7869153999982</v>
      </c>
      <c r="AK19" s="311">
        <f t="shared" si="25"/>
        <v>0</v>
      </c>
      <c r="AL19" s="311">
        <f t="shared" si="25"/>
        <v>0</v>
      </c>
      <c r="AM19" s="311">
        <f t="shared" si="25"/>
        <v>0</v>
      </c>
      <c r="AN19" s="311">
        <f t="shared" si="25"/>
        <v>0</v>
      </c>
      <c r="AO19" s="311">
        <f t="shared" si="25"/>
        <v>0</v>
      </c>
      <c r="AP19" s="311">
        <f t="shared" si="25"/>
        <v>0</v>
      </c>
      <c r="AQ19" s="311">
        <f t="shared" si="25"/>
        <v>0</v>
      </c>
      <c r="AR19" s="311">
        <f t="shared" si="25"/>
        <v>0</v>
      </c>
      <c r="AS19" s="311">
        <f t="shared" si="25"/>
        <v>0</v>
      </c>
      <c r="AT19" s="311">
        <f t="shared" si="25"/>
        <v>0</v>
      </c>
      <c r="AU19" s="311">
        <f t="shared" si="25"/>
        <v>0</v>
      </c>
      <c r="AV19" s="311">
        <f t="shared" si="25"/>
        <v>0</v>
      </c>
      <c r="AW19" s="311">
        <f t="shared" si="25"/>
        <v>0</v>
      </c>
      <c r="AX19" s="311">
        <f t="shared" si="25"/>
        <v>0</v>
      </c>
      <c r="AY19" s="311">
        <f t="shared" si="25"/>
        <v>0</v>
      </c>
      <c r="AZ19" s="311">
        <f t="shared" si="25"/>
        <v>0</v>
      </c>
      <c r="BA19" s="311">
        <f t="shared" si="25"/>
        <v>0</v>
      </c>
      <c r="BB19" s="311">
        <f t="shared" si="25"/>
        <v>0</v>
      </c>
      <c r="BC19" s="311">
        <f t="shared" si="25"/>
        <v>0</v>
      </c>
      <c r="BD19" s="311">
        <f t="shared" si="5"/>
        <v>99077.869154</v>
      </c>
    </row>
    <row r="20" spans="1:56">
      <c r="A20" s="6" t="s">
        <v>1567</v>
      </c>
      <c r="B20" s="389">
        <v>4</v>
      </c>
      <c r="C20" s="390" t="s">
        <v>1559</v>
      </c>
      <c r="D20" s="389" t="s">
        <v>53</v>
      </c>
      <c r="E20" s="389" t="s">
        <v>676</v>
      </c>
      <c r="F20" s="389">
        <v>16841.650444999999</v>
      </c>
      <c r="G20" s="391">
        <v>45244</v>
      </c>
      <c r="H20" s="392">
        <v>2023</v>
      </c>
      <c r="I20" s="391">
        <v>46387</v>
      </c>
      <c r="J20" s="391" t="s">
        <v>39</v>
      </c>
      <c r="K20" s="391" t="s">
        <v>40</v>
      </c>
      <c r="L20" s="391" t="s">
        <v>940</v>
      </c>
      <c r="M20" s="389">
        <v>11</v>
      </c>
      <c r="N20" s="121"/>
      <c r="O20" s="311">
        <f t="shared" ref="O20:AB21" si="26">IF(O$2=$K20,$F20*CHOOSE($B20,$O$33,$O$35,$O$37),0)</f>
        <v>0</v>
      </c>
      <c r="P20" s="311">
        <f t="shared" si="26"/>
        <v>0</v>
      </c>
      <c r="Q20" s="311">
        <f t="shared" si="26"/>
        <v>0</v>
      </c>
      <c r="R20" s="311">
        <f t="shared" si="26"/>
        <v>0</v>
      </c>
      <c r="S20" s="311">
        <f t="shared" si="26"/>
        <v>0</v>
      </c>
      <c r="T20" s="311">
        <f t="shared" si="26"/>
        <v>0</v>
      </c>
      <c r="U20" s="311">
        <f t="shared" si="26"/>
        <v>0</v>
      </c>
      <c r="V20" s="311">
        <f t="shared" si="26"/>
        <v>0</v>
      </c>
      <c r="W20" s="311">
        <f t="shared" si="26"/>
        <v>0</v>
      </c>
      <c r="X20" s="311">
        <f t="shared" si="26"/>
        <v>0</v>
      </c>
      <c r="Y20" s="311">
        <f t="shared" si="26"/>
        <v>0</v>
      </c>
      <c r="Z20" s="311">
        <f t="shared" si="26"/>
        <v>0</v>
      </c>
      <c r="AA20" s="311">
        <f t="shared" si="26"/>
        <v>0</v>
      </c>
      <c r="AB20" s="311">
        <f t="shared" si="26"/>
        <v>0</v>
      </c>
      <c r="AC20" s="311">
        <f>IF(AC$2=$K20,$F20*CHOOSE($B20,$O$33,$O$35,$O$37,$O$39),0)</f>
        <v>374.72672240124996</v>
      </c>
      <c r="AD20" s="311">
        <f>$F$20*P39</f>
        <v>374.72672240124996</v>
      </c>
      <c r="AE20" s="311">
        <f t="shared" ref="AE20:BC20" si="27">$F$20*Q39</f>
        <v>374.72672240125007</v>
      </c>
      <c r="AF20" s="311">
        <f t="shared" si="27"/>
        <v>374.72672240124984</v>
      </c>
      <c r="AG20" s="311">
        <f t="shared" si="27"/>
        <v>959.97407536500032</v>
      </c>
      <c r="AH20" s="311">
        <f t="shared" si="27"/>
        <v>959.97407536499986</v>
      </c>
      <c r="AI20" s="311">
        <f t="shared" si="27"/>
        <v>959.97407536499986</v>
      </c>
      <c r="AJ20" s="311">
        <f t="shared" si="27"/>
        <v>959.97407536499986</v>
      </c>
      <c r="AK20" s="311">
        <f t="shared" si="27"/>
        <v>1115.7593419812495</v>
      </c>
      <c r="AL20" s="311">
        <f t="shared" si="27"/>
        <v>1115.7593419812504</v>
      </c>
      <c r="AM20" s="311">
        <f t="shared" si="27"/>
        <v>1115.7593419812486</v>
      </c>
      <c r="AN20" s="311">
        <f t="shared" si="27"/>
        <v>1115.7593419812504</v>
      </c>
      <c r="AO20" s="311">
        <f t="shared" si="27"/>
        <v>644.19312952125006</v>
      </c>
      <c r="AP20" s="311">
        <f t="shared" si="27"/>
        <v>644.19312952125006</v>
      </c>
      <c r="AQ20" s="311">
        <f t="shared" si="27"/>
        <v>644.19312952125006</v>
      </c>
      <c r="AR20" s="311">
        <f t="shared" si="27"/>
        <v>644.19312952125006</v>
      </c>
      <c r="AS20" s="311">
        <f t="shared" si="27"/>
        <v>926.29077447500083</v>
      </c>
      <c r="AT20" s="311">
        <f t="shared" si="27"/>
        <v>926.2907744749989</v>
      </c>
      <c r="AU20" s="311">
        <f t="shared" si="27"/>
        <v>1305.2279094875003</v>
      </c>
      <c r="AV20" s="311">
        <f t="shared" si="27"/>
        <v>1305.2279094875003</v>
      </c>
      <c r="AW20" s="311">
        <f t="shared" si="27"/>
        <v>0</v>
      </c>
      <c r="AX20" s="311">
        <f t="shared" si="27"/>
        <v>0</v>
      </c>
      <c r="AY20" s="311">
        <f t="shared" si="27"/>
        <v>0</v>
      </c>
      <c r="AZ20" s="311">
        <f t="shared" si="27"/>
        <v>0</v>
      </c>
      <c r="BA20" s="311">
        <f t="shared" si="27"/>
        <v>0</v>
      </c>
      <c r="BB20" s="311">
        <f t="shared" si="27"/>
        <v>0</v>
      </c>
      <c r="BC20" s="311">
        <f t="shared" si="27"/>
        <v>0</v>
      </c>
      <c r="BD20" s="311">
        <f t="shared" si="5"/>
        <v>16841.650445000003</v>
      </c>
    </row>
    <row r="21" spans="1:56">
      <c r="A21" s="6" t="s">
        <v>1567</v>
      </c>
      <c r="B21" s="121">
        <v>3</v>
      </c>
      <c r="C21" s="58" t="s">
        <v>1560</v>
      </c>
      <c r="D21" s="121" t="s">
        <v>53</v>
      </c>
      <c r="E21" s="121" t="s">
        <v>524</v>
      </c>
      <c r="F21" s="121">
        <v>44850</v>
      </c>
      <c r="G21" s="88">
        <v>45203</v>
      </c>
      <c r="H21" s="369">
        <v>2023</v>
      </c>
      <c r="I21" s="88">
        <v>46203</v>
      </c>
      <c r="J21" s="88" t="s">
        <v>39</v>
      </c>
      <c r="K21" s="88" t="s">
        <v>40</v>
      </c>
      <c r="L21" s="88" t="s">
        <v>939</v>
      </c>
      <c r="M21" s="121">
        <v>9</v>
      </c>
      <c r="N21" s="121"/>
      <c r="O21" s="311">
        <f t="shared" si="26"/>
        <v>0</v>
      </c>
      <c r="P21" s="311">
        <f t="shared" si="26"/>
        <v>0</v>
      </c>
      <c r="Q21" s="311">
        <f t="shared" si="26"/>
        <v>0</v>
      </c>
      <c r="R21" s="311">
        <f t="shared" si="26"/>
        <v>0</v>
      </c>
      <c r="S21" s="311">
        <f t="shared" si="26"/>
        <v>0</v>
      </c>
      <c r="T21" s="311">
        <f t="shared" si="26"/>
        <v>0</v>
      </c>
      <c r="U21" s="311">
        <f t="shared" si="26"/>
        <v>0</v>
      </c>
      <c r="V21" s="311">
        <f t="shared" si="26"/>
        <v>0</v>
      </c>
      <c r="W21" s="311">
        <f t="shared" si="26"/>
        <v>0</v>
      </c>
      <c r="X21" s="311">
        <f t="shared" si="26"/>
        <v>0</v>
      </c>
      <c r="Y21" s="311">
        <f t="shared" si="26"/>
        <v>0</v>
      </c>
      <c r="Z21" s="311">
        <f t="shared" si="26"/>
        <v>0</v>
      </c>
      <c r="AA21" s="311">
        <f t="shared" si="26"/>
        <v>0</v>
      </c>
      <c r="AB21" s="311">
        <f t="shared" si="26"/>
        <v>0</v>
      </c>
      <c r="AC21" s="311">
        <f>IF(AC$2=$K21,$F21*CHOOSE($B21,$O$33,$O$35,$O$37),0)</f>
        <v>1995.8249999999998</v>
      </c>
      <c r="AD21" s="311">
        <f>$F$21*P37</f>
        <v>1995.8249999999998</v>
      </c>
      <c r="AE21" s="311">
        <f t="shared" ref="AE21:BC21" si="28">$F$21*Q37</f>
        <v>5112.9000000000005</v>
      </c>
      <c r="AF21" s="311">
        <f t="shared" si="28"/>
        <v>5112.8999999999996</v>
      </c>
      <c r="AG21" s="311">
        <f t="shared" si="28"/>
        <v>5942.625</v>
      </c>
      <c r="AH21" s="311">
        <f t="shared" si="28"/>
        <v>5942.6249999999982</v>
      </c>
      <c r="AI21" s="311">
        <f t="shared" si="28"/>
        <v>3431.0250000000005</v>
      </c>
      <c r="AJ21" s="311">
        <f t="shared" si="28"/>
        <v>3431.0250000000005</v>
      </c>
      <c r="AK21" s="311">
        <f t="shared" si="28"/>
        <v>2466.7500000000023</v>
      </c>
      <c r="AL21" s="311">
        <f t="shared" si="28"/>
        <v>2466.7499999999973</v>
      </c>
      <c r="AM21" s="311">
        <f t="shared" si="28"/>
        <v>3475.8750000000005</v>
      </c>
      <c r="AN21" s="311">
        <f t="shared" si="28"/>
        <v>3475.8750000000005</v>
      </c>
      <c r="AO21" s="311">
        <f t="shared" si="28"/>
        <v>0</v>
      </c>
      <c r="AP21" s="311">
        <f t="shared" si="28"/>
        <v>0</v>
      </c>
      <c r="AQ21" s="311">
        <f t="shared" si="28"/>
        <v>0</v>
      </c>
      <c r="AR21" s="311">
        <f t="shared" si="28"/>
        <v>0</v>
      </c>
      <c r="AS21" s="311">
        <f t="shared" si="28"/>
        <v>0</v>
      </c>
      <c r="AT21" s="311">
        <f t="shared" si="28"/>
        <v>0</v>
      </c>
      <c r="AU21" s="311">
        <f t="shared" si="28"/>
        <v>0</v>
      </c>
      <c r="AV21" s="311">
        <f t="shared" si="28"/>
        <v>0</v>
      </c>
      <c r="AW21" s="311">
        <f t="shared" si="28"/>
        <v>0</v>
      </c>
      <c r="AX21" s="311">
        <f t="shared" si="28"/>
        <v>0</v>
      </c>
      <c r="AY21" s="311">
        <f t="shared" si="28"/>
        <v>0</v>
      </c>
      <c r="AZ21" s="311">
        <f t="shared" si="28"/>
        <v>0</v>
      </c>
      <c r="BA21" s="311">
        <f t="shared" si="28"/>
        <v>0</v>
      </c>
      <c r="BB21" s="311">
        <f t="shared" si="28"/>
        <v>0</v>
      </c>
      <c r="BC21" s="311">
        <f t="shared" si="28"/>
        <v>0</v>
      </c>
      <c r="BD21" s="311">
        <f t="shared" si="5"/>
        <v>44850</v>
      </c>
    </row>
    <row r="22" spans="1:56">
      <c r="A22" s="6" t="s">
        <v>1567</v>
      </c>
      <c r="B22" s="121">
        <v>4</v>
      </c>
      <c r="C22" s="58" t="s">
        <v>1561</v>
      </c>
      <c r="D22" s="121" t="s">
        <v>53</v>
      </c>
      <c r="E22" s="121" t="s">
        <v>524</v>
      </c>
      <c r="F22" s="121">
        <v>90192</v>
      </c>
      <c r="G22" s="88">
        <v>44831</v>
      </c>
      <c r="H22" s="369">
        <v>2022</v>
      </c>
      <c r="I22" s="88">
        <v>46777</v>
      </c>
      <c r="J22" s="88" t="s">
        <v>513</v>
      </c>
      <c r="K22" s="88" t="s">
        <v>35</v>
      </c>
      <c r="L22" s="88" t="s">
        <v>945</v>
      </c>
      <c r="M22" s="121">
        <v>21</v>
      </c>
      <c r="N22" s="121"/>
      <c r="O22" s="311">
        <f t="shared" ref="O22:W23" si="29">IF(O$2=$K22,$F22*CHOOSE($B22,$O$33,$O$35,$O$37),0)</f>
        <v>0</v>
      </c>
      <c r="P22" s="311">
        <f t="shared" si="29"/>
        <v>0</v>
      </c>
      <c r="Q22" s="311">
        <f t="shared" si="29"/>
        <v>0</v>
      </c>
      <c r="R22" s="311">
        <f t="shared" si="29"/>
        <v>0</v>
      </c>
      <c r="S22" s="311">
        <f t="shared" si="29"/>
        <v>0</v>
      </c>
      <c r="T22" s="311">
        <f t="shared" si="29"/>
        <v>0</v>
      </c>
      <c r="U22" s="311">
        <f t="shared" si="29"/>
        <v>0</v>
      </c>
      <c r="V22" s="311">
        <f t="shared" si="29"/>
        <v>0</v>
      </c>
      <c r="W22" s="311">
        <f t="shared" si="29"/>
        <v>0</v>
      </c>
      <c r="X22" s="311">
        <f>IF(X$2=$K22,$F22*CHOOSE($B22,$O$33,$O$35,$O$37,$O$39),0)</f>
        <v>2006.7719999999999</v>
      </c>
      <c r="Y22" s="311">
        <f>$F$22*P39</f>
        <v>2006.7719999999999</v>
      </c>
      <c r="Z22" s="311">
        <f t="shared" ref="Z22:BC22" si="30">$F$22*Q39</f>
        <v>2006.7720000000006</v>
      </c>
      <c r="AA22" s="311">
        <f t="shared" si="30"/>
        <v>2006.7719999999993</v>
      </c>
      <c r="AB22" s="311">
        <f t="shared" si="30"/>
        <v>5140.9440000000022</v>
      </c>
      <c r="AC22" s="311">
        <f t="shared" si="30"/>
        <v>5140.9439999999995</v>
      </c>
      <c r="AD22" s="311">
        <f t="shared" si="30"/>
        <v>5140.9439999999995</v>
      </c>
      <c r="AE22" s="311">
        <f t="shared" si="30"/>
        <v>5140.9439999999995</v>
      </c>
      <c r="AF22" s="311">
        <f t="shared" si="30"/>
        <v>5975.2199999999975</v>
      </c>
      <c r="AG22" s="311">
        <f t="shared" si="30"/>
        <v>5975.220000000003</v>
      </c>
      <c r="AH22" s="311">
        <f t="shared" si="30"/>
        <v>5975.219999999993</v>
      </c>
      <c r="AI22" s="311">
        <f t="shared" si="30"/>
        <v>5975.220000000003</v>
      </c>
      <c r="AJ22" s="311">
        <f t="shared" si="30"/>
        <v>3449.8440000000005</v>
      </c>
      <c r="AK22" s="311">
        <f t="shared" si="30"/>
        <v>3449.8440000000005</v>
      </c>
      <c r="AL22" s="311">
        <f t="shared" si="30"/>
        <v>3449.8440000000005</v>
      </c>
      <c r="AM22" s="311">
        <f t="shared" si="30"/>
        <v>3449.8440000000005</v>
      </c>
      <c r="AN22" s="311">
        <f t="shared" si="30"/>
        <v>4960.560000000004</v>
      </c>
      <c r="AO22" s="311">
        <f t="shared" si="30"/>
        <v>4960.559999999994</v>
      </c>
      <c r="AP22" s="311">
        <f t="shared" si="30"/>
        <v>6989.880000000001</v>
      </c>
      <c r="AQ22" s="311">
        <f t="shared" si="30"/>
        <v>6989.880000000001</v>
      </c>
      <c r="AR22" s="311">
        <f t="shared" si="30"/>
        <v>0</v>
      </c>
      <c r="AS22" s="311">
        <f t="shared" si="30"/>
        <v>0</v>
      </c>
      <c r="AT22" s="311">
        <f t="shared" si="30"/>
        <v>0</v>
      </c>
      <c r="AU22" s="311">
        <f t="shared" si="30"/>
        <v>0</v>
      </c>
      <c r="AV22" s="311">
        <f t="shared" si="30"/>
        <v>0</v>
      </c>
      <c r="AW22" s="311">
        <f t="shared" si="30"/>
        <v>0</v>
      </c>
      <c r="AX22" s="311">
        <f t="shared" si="30"/>
        <v>0</v>
      </c>
      <c r="AY22" s="311">
        <f t="shared" si="30"/>
        <v>0</v>
      </c>
      <c r="AZ22" s="311">
        <f t="shared" si="30"/>
        <v>0</v>
      </c>
      <c r="BA22" s="311">
        <f t="shared" si="30"/>
        <v>0</v>
      </c>
      <c r="BB22" s="311">
        <f t="shared" si="30"/>
        <v>0</v>
      </c>
      <c r="BC22" s="311">
        <f t="shared" si="30"/>
        <v>0</v>
      </c>
      <c r="BD22" s="311">
        <f t="shared" si="5"/>
        <v>90192</v>
      </c>
    </row>
    <row r="23" spans="1:56">
      <c r="A23" s="6" t="s">
        <v>1567</v>
      </c>
      <c r="B23" s="121">
        <v>3</v>
      </c>
      <c r="C23" s="58" t="s">
        <v>1014</v>
      </c>
      <c r="D23" s="121" t="s">
        <v>53</v>
      </c>
      <c r="E23" s="121" t="s">
        <v>524</v>
      </c>
      <c r="F23" s="121">
        <v>36451.800000000003</v>
      </c>
      <c r="G23" s="88">
        <v>44722</v>
      </c>
      <c r="H23" s="369">
        <v>2022</v>
      </c>
      <c r="I23" s="88">
        <v>45838</v>
      </c>
      <c r="J23" s="88" t="s">
        <v>514</v>
      </c>
      <c r="K23" s="88" t="s">
        <v>513</v>
      </c>
      <c r="L23" s="88" t="s">
        <v>1161</v>
      </c>
      <c r="M23" s="121">
        <v>11</v>
      </c>
      <c r="N23" s="121"/>
      <c r="O23" s="311">
        <f t="shared" si="29"/>
        <v>0</v>
      </c>
      <c r="P23" s="311">
        <f t="shared" si="29"/>
        <v>0</v>
      </c>
      <c r="Q23" s="311">
        <f t="shared" si="29"/>
        <v>0</v>
      </c>
      <c r="R23" s="311">
        <f t="shared" si="29"/>
        <v>0</v>
      </c>
      <c r="S23" s="311">
        <f t="shared" si="29"/>
        <v>0</v>
      </c>
      <c r="T23" s="311">
        <f t="shared" si="29"/>
        <v>0</v>
      </c>
      <c r="U23" s="311">
        <f t="shared" si="29"/>
        <v>0</v>
      </c>
      <c r="V23" s="311">
        <f t="shared" si="29"/>
        <v>0</v>
      </c>
      <c r="W23" s="311">
        <f t="shared" si="29"/>
        <v>1622.1051</v>
      </c>
      <c r="X23" s="311">
        <f>$F$23*P37</f>
        <v>1622.1051</v>
      </c>
      <c r="Y23" s="311">
        <f t="shared" ref="Y23:BC23" si="31">$F$23*Q37</f>
        <v>4155.5052000000014</v>
      </c>
      <c r="Z23" s="311">
        <f t="shared" si="31"/>
        <v>4155.5051999999996</v>
      </c>
      <c r="AA23" s="311">
        <f t="shared" si="31"/>
        <v>4829.8635000000004</v>
      </c>
      <c r="AB23" s="311">
        <f t="shared" si="31"/>
        <v>4829.8634999999986</v>
      </c>
      <c r="AC23" s="311">
        <f t="shared" si="31"/>
        <v>2788.5627000000009</v>
      </c>
      <c r="AD23" s="311">
        <f t="shared" si="31"/>
        <v>2788.5627000000009</v>
      </c>
      <c r="AE23" s="311">
        <f t="shared" si="31"/>
        <v>2004.849000000002</v>
      </c>
      <c r="AF23" s="311">
        <f t="shared" si="31"/>
        <v>2004.8489999999979</v>
      </c>
      <c r="AG23" s="311">
        <f t="shared" si="31"/>
        <v>2825.0145000000007</v>
      </c>
      <c r="AH23" s="311">
        <f t="shared" si="31"/>
        <v>2825.0145000000007</v>
      </c>
      <c r="AI23" s="311">
        <f t="shared" si="31"/>
        <v>0</v>
      </c>
      <c r="AJ23" s="311">
        <f t="shared" si="31"/>
        <v>0</v>
      </c>
      <c r="AK23" s="311">
        <f t="shared" si="31"/>
        <v>0</v>
      </c>
      <c r="AL23" s="311">
        <f t="shared" si="31"/>
        <v>0</v>
      </c>
      <c r="AM23" s="311">
        <f t="shared" si="31"/>
        <v>0</v>
      </c>
      <c r="AN23" s="311">
        <f t="shared" si="31"/>
        <v>0</v>
      </c>
      <c r="AO23" s="311">
        <f t="shared" si="31"/>
        <v>0</v>
      </c>
      <c r="AP23" s="311">
        <f t="shared" si="31"/>
        <v>0</v>
      </c>
      <c r="AQ23" s="311">
        <f t="shared" si="31"/>
        <v>0</v>
      </c>
      <c r="AR23" s="311">
        <f t="shared" si="31"/>
        <v>0</v>
      </c>
      <c r="AS23" s="311">
        <f t="shared" si="31"/>
        <v>0</v>
      </c>
      <c r="AT23" s="311">
        <f t="shared" si="31"/>
        <v>0</v>
      </c>
      <c r="AU23" s="311">
        <f t="shared" si="31"/>
        <v>0</v>
      </c>
      <c r="AV23" s="311">
        <f t="shared" si="31"/>
        <v>0</v>
      </c>
      <c r="AW23" s="311">
        <f t="shared" si="31"/>
        <v>0</v>
      </c>
      <c r="AX23" s="311">
        <f t="shared" si="31"/>
        <v>0</v>
      </c>
      <c r="AY23" s="311">
        <f t="shared" si="31"/>
        <v>0</v>
      </c>
      <c r="AZ23" s="311">
        <f t="shared" si="31"/>
        <v>0</v>
      </c>
      <c r="BA23" s="311">
        <f t="shared" si="31"/>
        <v>0</v>
      </c>
      <c r="BB23" s="311">
        <f t="shared" si="31"/>
        <v>0</v>
      </c>
      <c r="BC23" s="311">
        <f t="shared" si="31"/>
        <v>0</v>
      </c>
      <c r="BD23" s="311">
        <f t="shared" si="5"/>
        <v>36451.800000000003</v>
      </c>
    </row>
    <row r="24" spans="1:56" s="62" customFormat="1">
      <c r="A24" s="6" t="s">
        <v>1567</v>
      </c>
      <c r="B24" s="129">
        <v>3</v>
      </c>
      <c r="C24" s="58" t="s">
        <v>1562</v>
      </c>
      <c r="D24" s="121" t="s">
        <v>53</v>
      </c>
      <c r="E24" s="121" t="s">
        <v>1563</v>
      </c>
      <c r="F24" s="121">
        <v>53105.933490000003</v>
      </c>
      <c r="G24" s="88">
        <v>44568</v>
      </c>
      <c r="H24" s="369">
        <v>2022</v>
      </c>
      <c r="I24" s="88">
        <v>45870</v>
      </c>
      <c r="J24" s="88" t="s">
        <v>515</v>
      </c>
      <c r="K24" s="88" t="s">
        <v>514</v>
      </c>
      <c r="L24" s="88" t="s">
        <v>990</v>
      </c>
      <c r="M24" s="121">
        <v>13</v>
      </c>
      <c r="O24" s="311">
        <f t="shared" ref="O24:V24" si="32">IF(O$2=$K24,$F24*CHOOSE($B24,$O$33,$O$35,$O$37),0)</f>
        <v>0</v>
      </c>
      <c r="P24" s="311">
        <f t="shared" si="32"/>
        <v>0</v>
      </c>
      <c r="Q24" s="311">
        <f t="shared" si="32"/>
        <v>0</v>
      </c>
      <c r="R24" s="311">
        <f t="shared" si="32"/>
        <v>0</v>
      </c>
      <c r="S24" s="311">
        <f t="shared" si="32"/>
        <v>0</v>
      </c>
      <c r="T24" s="311">
        <f t="shared" si="32"/>
        <v>0</v>
      </c>
      <c r="U24" s="311">
        <f t="shared" si="32"/>
        <v>0</v>
      </c>
      <c r="V24" s="311">
        <f t="shared" si="32"/>
        <v>2363.2140403049998</v>
      </c>
      <c r="W24" s="311">
        <f>$F$24*P37</f>
        <v>2363.2140403049998</v>
      </c>
      <c r="X24" s="311">
        <f t="shared" ref="X24:BC24" si="33">$F$24*Q37</f>
        <v>6054.0764178600011</v>
      </c>
      <c r="Y24" s="311">
        <f t="shared" si="33"/>
        <v>6054.0764178600002</v>
      </c>
      <c r="Z24" s="311">
        <f t="shared" si="33"/>
        <v>7036.5361874250011</v>
      </c>
      <c r="AA24" s="311">
        <f t="shared" si="33"/>
        <v>7036.5361874249975</v>
      </c>
      <c r="AB24" s="311">
        <f t="shared" si="33"/>
        <v>4062.6039119850011</v>
      </c>
      <c r="AC24" s="311">
        <f t="shared" si="33"/>
        <v>4062.6039119850011</v>
      </c>
      <c r="AD24" s="311">
        <f t="shared" si="33"/>
        <v>2920.8263419500026</v>
      </c>
      <c r="AE24" s="311">
        <f t="shared" si="33"/>
        <v>2920.8263419499967</v>
      </c>
      <c r="AF24" s="311">
        <f t="shared" si="33"/>
        <v>4115.7098454750012</v>
      </c>
      <c r="AG24" s="311">
        <f t="shared" si="33"/>
        <v>4115.7098454750012</v>
      </c>
      <c r="AH24" s="311">
        <f t="shared" si="33"/>
        <v>0</v>
      </c>
      <c r="AI24" s="311">
        <f t="shared" si="33"/>
        <v>0</v>
      </c>
      <c r="AJ24" s="311">
        <f t="shared" si="33"/>
        <v>0</v>
      </c>
      <c r="AK24" s="311">
        <f t="shared" si="33"/>
        <v>0</v>
      </c>
      <c r="AL24" s="311">
        <f t="shared" si="33"/>
        <v>0</v>
      </c>
      <c r="AM24" s="311">
        <f t="shared" si="33"/>
        <v>0</v>
      </c>
      <c r="AN24" s="311">
        <f t="shared" si="33"/>
        <v>0</v>
      </c>
      <c r="AO24" s="311">
        <f t="shared" si="33"/>
        <v>0</v>
      </c>
      <c r="AP24" s="311">
        <f t="shared" si="33"/>
        <v>0</v>
      </c>
      <c r="AQ24" s="311">
        <f t="shared" si="33"/>
        <v>0</v>
      </c>
      <c r="AR24" s="311">
        <f t="shared" si="33"/>
        <v>0</v>
      </c>
      <c r="AS24" s="311">
        <f t="shared" si="33"/>
        <v>0</v>
      </c>
      <c r="AT24" s="311">
        <f t="shared" si="33"/>
        <v>0</v>
      </c>
      <c r="AU24" s="311">
        <f t="shared" si="33"/>
        <v>0</v>
      </c>
      <c r="AV24" s="311">
        <f t="shared" si="33"/>
        <v>0</v>
      </c>
      <c r="AW24" s="311">
        <f t="shared" si="33"/>
        <v>0</v>
      </c>
      <c r="AX24" s="311">
        <f t="shared" si="33"/>
        <v>0</v>
      </c>
      <c r="AY24" s="311">
        <f t="shared" si="33"/>
        <v>0</v>
      </c>
      <c r="AZ24" s="311">
        <f t="shared" si="33"/>
        <v>0</v>
      </c>
      <c r="BA24" s="311">
        <f t="shared" si="33"/>
        <v>0</v>
      </c>
      <c r="BB24" s="311">
        <f t="shared" si="33"/>
        <v>0</v>
      </c>
      <c r="BC24" s="311">
        <f t="shared" si="33"/>
        <v>0</v>
      </c>
      <c r="BD24" s="311">
        <f t="shared" si="5"/>
        <v>53105.933490000003</v>
      </c>
    </row>
    <row r="25" spans="1:56">
      <c r="A25" s="6" t="s">
        <v>1567</v>
      </c>
      <c r="B25" s="79">
        <v>4</v>
      </c>
      <c r="C25" s="58" t="s">
        <v>1564</v>
      </c>
      <c r="D25" s="121" t="s">
        <v>53</v>
      </c>
      <c r="E25" s="121" t="s">
        <v>1563</v>
      </c>
      <c r="F25" s="121">
        <v>51031</v>
      </c>
      <c r="G25" s="88">
        <v>44035</v>
      </c>
      <c r="H25" s="369">
        <v>2020</v>
      </c>
      <c r="I25" s="88">
        <v>46233</v>
      </c>
      <c r="J25" s="88" t="s">
        <v>1565</v>
      </c>
      <c r="K25" s="88" t="s">
        <v>1566</v>
      </c>
      <c r="L25" s="88" t="s">
        <v>954</v>
      </c>
      <c r="M25" s="121">
        <v>23</v>
      </c>
      <c r="O25" s="311">
        <f>IF(O$2=$K25,$F25*CHOOSE($B25,$O$33,$O$35,$O$37),0)</f>
        <v>0</v>
      </c>
      <c r="P25" s="311">
        <f>IF(P$2=$K25,$F25*CHOOSE($B25,$O$33,$O$35,$O$37,$O$39),0)</f>
        <v>1135.43975</v>
      </c>
      <c r="Q25" s="311">
        <f>$F$25*P39</f>
        <v>1135.43975</v>
      </c>
      <c r="R25" s="311">
        <f t="shared" ref="R25:BC25" si="34">$F$25*Q39</f>
        <v>1135.4397500000002</v>
      </c>
      <c r="S25" s="311">
        <f t="shared" si="34"/>
        <v>1135.4397499999995</v>
      </c>
      <c r="T25" s="311">
        <f t="shared" si="34"/>
        <v>2908.7670000000012</v>
      </c>
      <c r="U25" s="311">
        <f t="shared" si="34"/>
        <v>2908.7669999999998</v>
      </c>
      <c r="V25" s="311">
        <f t="shared" si="34"/>
        <v>2908.7669999999998</v>
      </c>
      <c r="W25" s="311">
        <f t="shared" si="34"/>
        <v>2908.7669999999998</v>
      </c>
      <c r="X25" s="311">
        <f t="shared" si="34"/>
        <v>3380.8037499999987</v>
      </c>
      <c r="Y25" s="311">
        <f t="shared" si="34"/>
        <v>3380.8037500000014</v>
      </c>
      <c r="Z25" s="311">
        <f t="shared" si="34"/>
        <v>3380.8037499999959</v>
      </c>
      <c r="AA25" s="311">
        <f t="shared" si="34"/>
        <v>3380.8037500000014</v>
      </c>
      <c r="AB25" s="311">
        <f t="shared" si="34"/>
        <v>1951.9357500000003</v>
      </c>
      <c r="AC25" s="311">
        <f t="shared" si="34"/>
        <v>1951.9357500000003</v>
      </c>
      <c r="AD25" s="311">
        <f t="shared" si="34"/>
        <v>1951.9357500000003</v>
      </c>
      <c r="AE25" s="311">
        <f t="shared" si="34"/>
        <v>1951.9357500000003</v>
      </c>
      <c r="AF25" s="311">
        <f t="shared" si="34"/>
        <v>2806.7050000000027</v>
      </c>
      <c r="AG25" s="311">
        <f t="shared" si="34"/>
        <v>2806.7049999999967</v>
      </c>
      <c r="AH25" s="311">
        <f t="shared" si="34"/>
        <v>3954.9025000000006</v>
      </c>
      <c r="AI25" s="311">
        <f t="shared" si="34"/>
        <v>3954.9025000000006</v>
      </c>
      <c r="AJ25" s="311">
        <f t="shared" si="34"/>
        <v>0</v>
      </c>
      <c r="AK25" s="311">
        <f t="shared" si="34"/>
        <v>0</v>
      </c>
      <c r="AL25" s="311">
        <f t="shared" si="34"/>
        <v>0</v>
      </c>
      <c r="AM25" s="311">
        <f t="shared" si="34"/>
        <v>0</v>
      </c>
      <c r="AN25" s="311">
        <f t="shared" si="34"/>
        <v>0</v>
      </c>
      <c r="AO25" s="311">
        <f t="shared" si="34"/>
        <v>0</v>
      </c>
      <c r="AP25" s="311">
        <f t="shared" si="34"/>
        <v>0</v>
      </c>
      <c r="AQ25" s="311">
        <f t="shared" si="34"/>
        <v>0</v>
      </c>
      <c r="AR25" s="311">
        <f t="shared" si="34"/>
        <v>0</v>
      </c>
      <c r="AS25" s="311">
        <f t="shared" si="34"/>
        <v>0</v>
      </c>
      <c r="AT25" s="311">
        <f t="shared" si="34"/>
        <v>0</v>
      </c>
      <c r="AU25" s="311">
        <f t="shared" si="34"/>
        <v>0</v>
      </c>
      <c r="AV25" s="311">
        <f t="shared" si="34"/>
        <v>0</v>
      </c>
      <c r="AW25" s="311">
        <f t="shared" si="34"/>
        <v>0</v>
      </c>
      <c r="AX25" s="311">
        <f t="shared" si="34"/>
        <v>0</v>
      </c>
      <c r="AY25" s="311">
        <f t="shared" si="34"/>
        <v>0</v>
      </c>
      <c r="AZ25" s="311">
        <f t="shared" si="34"/>
        <v>0</v>
      </c>
      <c r="BA25" s="311">
        <f t="shared" si="34"/>
        <v>0</v>
      </c>
      <c r="BB25" s="311">
        <f t="shared" si="34"/>
        <v>0</v>
      </c>
      <c r="BC25" s="311">
        <f t="shared" si="34"/>
        <v>0</v>
      </c>
      <c r="BD25" s="311">
        <f t="shared" si="5"/>
        <v>51031</v>
      </c>
    </row>
    <row r="26" spans="1:56">
      <c r="C26" s="58"/>
      <c r="D26" s="121"/>
      <c r="E26" s="121"/>
      <c r="F26" s="121"/>
      <c r="G26" s="88"/>
      <c r="H26" s="369"/>
      <c r="I26" s="88"/>
      <c r="J26" s="88"/>
      <c r="K26" s="88"/>
      <c r="L26" s="88"/>
      <c r="M26" s="121" t="s">
        <v>1527</v>
      </c>
      <c r="O26" s="320">
        <f t="shared" ref="O26:BC26" si="35">SUM(O4:O25)</f>
        <v>0</v>
      </c>
      <c r="P26" s="320">
        <f t="shared" si="35"/>
        <v>1135.43975</v>
      </c>
      <c r="Q26" s="320">
        <f t="shared" si="35"/>
        <v>1135.43975</v>
      </c>
      <c r="R26" s="320">
        <f t="shared" si="35"/>
        <v>1135.4397500000002</v>
      </c>
      <c r="S26" s="320">
        <f t="shared" si="35"/>
        <v>1135.4397499999995</v>
      </c>
      <c r="T26" s="320">
        <f t="shared" si="35"/>
        <v>2908.7670000000012</v>
      </c>
      <c r="U26" s="320">
        <f t="shared" si="35"/>
        <v>2908.7669999999998</v>
      </c>
      <c r="V26" s="320">
        <f t="shared" si="35"/>
        <v>5271.9810403049996</v>
      </c>
      <c r="W26" s="320">
        <f t="shared" si="35"/>
        <v>6894.0861403049994</v>
      </c>
      <c r="X26" s="320">
        <f t="shared" si="35"/>
        <v>13063.757267860001</v>
      </c>
      <c r="Y26" s="320">
        <f t="shared" si="35"/>
        <v>15597.157367860002</v>
      </c>
      <c r="Z26" s="320">
        <f t="shared" si="35"/>
        <v>16579.617137424997</v>
      </c>
      <c r="AA26" s="320">
        <f t="shared" si="35"/>
        <v>17253.975437425001</v>
      </c>
      <c r="AB26" s="320">
        <f t="shared" si="35"/>
        <v>15985.347161985002</v>
      </c>
      <c r="AC26" s="320">
        <f t="shared" si="35"/>
        <v>16314.598084386251</v>
      </c>
      <c r="AD26" s="320">
        <f t="shared" si="35"/>
        <v>25087.554788879257</v>
      </c>
      <c r="AE26" s="320">
        <f t="shared" si="35"/>
        <v>59159.914586304243</v>
      </c>
      <c r="AF26" s="320">
        <f t="shared" si="35"/>
        <v>59758.340216532742</v>
      </c>
      <c r="AG26" s="320">
        <f t="shared" si="35"/>
        <v>96056.026225670517</v>
      </c>
      <c r="AH26" s="320">
        <f t="shared" si="35"/>
        <v>115943.97199577749</v>
      </c>
      <c r="AI26" s="320">
        <f t="shared" si="35"/>
        <v>165429.13074046248</v>
      </c>
      <c r="AJ26" s="320">
        <f t="shared" si="35"/>
        <v>187247.69442778698</v>
      </c>
      <c r="AK26" s="320">
        <f t="shared" si="35"/>
        <v>187886.81600967926</v>
      </c>
      <c r="AL26" s="320">
        <f t="shared" si="35"/>
        <v>177693.28784179126</v>
      </c>
      <c r="AM26" s="320">
        <f t="shared" si="35"/>
        <v>163834.23952499227</v>
      </c>
      <c r="AN26" s="320">
        <f t="shared" si="35"/>
        <v>139242.21242761775</v>
      </c>
      <c r="AO26" s="320">
        <f t="shared" si="35"/>
        <v>91585.306055157736</v>
      </c>
      <c r="AP26" s="320">
        <f t="shared" si="35"/>
        <v>63149.492757693719</v>
      </c>
      <c r="AQ26" s="320">
        <f t="shared" si="35"/>
        <v>45116.854394829759</v>
      </c>
      <c r="AR26" s="320">
        <f t="shared" si="35"/>
        <v>30552.429815941745</v>
      </c>
      <c r="AS26" s="320">
        <f t="shared" si="35"/>
        <v>20224.777460895504</v>
      </c>
      <c r="AT26" s="320">
        <f t="shared" si="35"/>
        <v>18371.517993759498</v>
      </c>
      <c r="AU26" s="320">
        <f t="shared" si="35"/>
        <v>20750.021292271009</v>
      </c>
      <c r="AV26" s="320">
        <f t="shared" si="35"/>
        <v>25281.222067141509</v>
      </c>
      <c r="AW26" s="320">
        <f t="shared" si="35"/>
        <v>26661.978556383983</v>
      </c>
      <c r="AX26" s="320">
        <f t="shared" si="35"/>
        <v>33857.312452795006</v>
      </c>
      <c r="AY26" s="320">
        <f t="shared" si="35"/>
        <v>24605.588412724999</v>
      </c>
      <c r="AZ26" s="320">
        <f t="shared" si="35"/>
        <v>5129.5574536800004</v>
      </c>
      <c r="BA26" s="320">
        <f t="shared" si="35"/>
        <v>5129.5574536800004</v>
      </c>
      <c r="BB26" s="320">
        <f t="shared" si="35"/>
        <v>0</v>
      </c>
      <c r="BC26" s="320">
        <f t="shared" si="35"/>
        <v>0</v>
      </c>
      <c r="BD26" s="320" t="s">
        <v>512</v>
      </c>
    </row>
    <row r="27" spans="1:56">
      <c r="L27" s="88"/>
      <c r="M27" s="121" t="s">
        <v>430</v>
      </c>
      <c r="O27" s="320">
        <f t="shared" ref="O27:X29" si="36">SUMIF($E$4:$E$25,$M27,O$4:O$25)</f>
        <v>0</v>
      </c>
      <c r="P27" s="320">
        <f t="shared" si="36"/>
        <v>0</v>
      </c>
      <c r="Q27" s="320">
        <f t="shared" si="36"/>
        <v>0</v>
      </c>
      <c r="R27" s="320">
        <f t="shared" si="36"/>
        <v>0</v>
      </c>
      <c r="S27" s="320">
        <f t="shared" si="36"/>
        <v>0</v>
      </c>
      <c r="T27" s="320">
        <f t="shared" si="36"/>
        <v>0</v>
      </c>
      <c r="U27" s="320">
        <f t="shared" si="36"/>
        <v>0</v>
      </c>
      <c r="V27" s="320">
        <f t="shared" si="36"/>
        <v>0</v>
      </c>
      <c r="W27" s="320">
        <f t="shared" si="36"/>
        <v>1622.1051</v>
      </c>
      <c r="X27" s="320">
        <f t="shared" si="36"/>
        <v>3628.8770999999997</v>
      </c>
      <c r="Y27" s="320">
        <f t="shared" ref="Y27:AH29" si="37">SUMIF($E$4:$E$25,$M27,Y$4:Y$25)</f>
        <v>6162.2772000000014</v>
      </c>
      <c r="Z27" s="320">
        <f t="shared" si="37"/>
        <v>6162.2772000000004</v>
      </c>
      <c r="AA27" s="320">
        <f t="shared" si="37"/>
        <v>6836.6354999999994</v>
      </c>
      <c r="AB27" s="320">
        <f t="shared" si="37"/>
        <v>9970.8075000000008</v>
      </c>
      <c r="AC27" s="320">
        <f t="shared" si="37"/>
        <v>9925.3317000000006</v>
      </c>
      <c r="AD27" s="320">
        <f t="shared" si="37"/>
        <v>12039.081700000001</v>
      </c>
      <c r="AE27" s="320">
        <f t="shared" si="37"/>
        <v>18410.036067360001</v>
      </c>
      <c r="AF27" s="320">
        <f t="shared" si="37"/>
        <v>25988.065846719997</v>
      </c>
      <c r="AG27" s="320">
        <f t="shared" si="37"/>
        <v>37613.773312719997</v>
      </c>
      <c r="AH27" s="320">
        <f t="shared" si="37"/>
        <v>40607.890278719991</v>
      </c>
      <c r="AI27" s="320">
        <f t="shared" ref="AI27:AR29" si="38">SUMIF($E$4:$E$25,$M27,AI$4:AI$25)</f>
        <v>43661.828566400007</v>
      </c>
      <c r="AJ27" s="320">
        <f t="shared" si="38"/>
        <v>38769.6822072</v>
      </c>
      <c r="AK27" s="320">
        <f t="shared" si="38"/>
        <v>35095.476960879998</v>
      </c>
      <c r="AL27" s="320">
        <f t="shared" si="38"/>
        <v>33214.643999999993</v>
      </c>
      <c r="AM27" s="320">
        <f t="shared" si="38"/>
        <v>23908.618999999999</v>
      </c>
      <c r="AN27" s="320">
        <f t="shared" si="38"/>
        <v>24856.535000000003</v>
      </c>
      <c r="AO27" s="320">
        <f t="shared" si="38"/>
        <v>19364.310000000001</v>
      </c>
      <c r="AP27" s="320">
        <f t="shared" si="38"/>
        <v>17712.379999999994</v>
      </c>
      <c r="AQ27" s="320">
        <f t="shared" si="38"/>
        <v>17599.630000000005</v>
      </c>
      <c r="AR27" s="320">
        <f t="shared" si="38"/>
        <v>10609.750000000002</v>
      </c>
      <c r="AS27" s="320">
        <f t="shared" ref="AS27:BC29" si="39">SUMIF($E$4:$E$25,$M27,AS$4:AS$25)</f>
        <v>0</v>
      </c>
      <c r="AT27" s="320">
        <f t="shared" si="39"/>
        <v>0</v>
      </c>
      <c r="AU27" s="320">
        <f t="shared" si="39"/>
        <v>0</v>
      </c>
      <c r="AV27" s="320">
        <f t="shared" si="39"/>
        <v>0</v>
      </c>
      <c r="AW27" s="320">
        <f t="shared" si="39"/>
        <v>0</v>
      </c>
      <c r="AX27" s="320">
        <f t="shared" si="39"/>
        <v>0</v>
      </c>
      <c r="AY27" s="320">
        <f t="shared" si="39"/>
        <v>0</v>
      </c>
      <c r="AZ27" s="320">
        <f t="shared" si="39"/>
        <v>0</v>
      </c>
      <c r="BA27" s="320">
        <f t="shared" si="39"/>
        <v>0</v>
      </c>
      <c r="BB27" s="320">
        <f t="shared" si="39"/>
        <v>0</v>
      </c>
      <c r="BC27" s="320">
        <f t="shared" si="39"/>
        <v>0</v>
      </c>
      <c r="BD27" s="320"/>
    </row>
    <row r="28" spans="1:56">
      <c r="L28" s="88"/>
      <c r="M28" s="121" t="s">
        <v>427</v>
      </c>
      <c r="O28" s="320">
        <f t="shared" si="36"/>
        <v>0</v>
      </c>
      <c r="P28" s="320">
        <f t="shared" si="36"/>
        <v>0</v>
      </c>
      <c r="Q28" s="320">
        <f t="shared" si="36"/>
        <v>0</v>
      </c>
      <c r="R28" s="320">
        <f t="shared" si="36"/>
        <v>0</v>
      </c>
      <c r="S28" s="320">
        <f t="shared" si="36"/>
        <v>0</v>
      </c>
      <c r="T28" s="320">
        <f t="shared" si="36"/>
        <v>0</v>
      </c>
      <c r="U28" s="320">
        <f t="shared" si="36"/>
        <v>0</v>
      </c>
      <c r="V28" s="320">
        <f t="shared" si="36"/>
        <v>0</v>
      </c>
      <c r="W28" s="320">
        <f t="shared" si="36"/>
        <v>0</v>
      </c>
      <c r="X28" s="320">
        <f t="shared" si="36"/>
        <v>0</v>
      </c>
      <c r="Y28" s="320">
        <f t="shared" si="37"/>
        <v>0</v>
      </c>
      <c r="Z28" s="320">
        <f t="shared" si="37"/>
        <v>0</v>
      </c>
      <c r="AA28" s="320">
        <f t="shared" si="37"/>
        <v>0</v>
      </c>
      <c r="AB28" s="320">
        <f t="shared" si="37"/>
        <v>0</v>
      </c>
      <c r="AC28" s="320">
        <f t="shared" si="37"/>
        <v>0</v>
      </c>
      <c r="AD28" s="320">
        <f t="shared" si="37"/>
        <v>7800.9842745280002</v>
      </c>
      <c r="AE28" s="320">
        <f t="shared" si="37"/>
        <v>32846.249576959999</v>
      </c>
      <c r="AF28" s="320">
        <f t="shared" si="37"/>
        <v>17797.934928579998</v>
      </c>
      <c r="AG28" s="320">
        <f t="shared" si="37"/>
        <v>41884.666118754001</v>
      </c>
      <c r="AH28" s="320">
        <f t="shared" si="37"/>
        <v>60273.327870344001</v>
      </c>
      <c r="AI28" s="320">
        <f t="shared" si="38"/>
        <v>102556.19464486599</v>
      </c>
      <c r="AJ28" s="320">
        <f t="shared" si="38"/>
        <v>123821.25633009199</v>
      </c>
      <c r="AK28" s="320">
        <f t="shared" si="38"/>
        <v>127978.79789168801</v>
      </c>
      <c r="AL28" s="320">
        <f t="shared" si="38"/>
        <v>117366.075310288</v>
      </c>
      <c r="AM28" s="320">
        <f t="shared" si="38"/>
        <v>111708.81396289998</v>
      </c>
      <c r="AN28" s="320">
        <f t="shared" si="38"/>
        <v>83666.565959999993</v>
      </c>
      <c r="AO28" s="320">
        <f t="shared" si="38"/>
        <v>41973.450799999984</v>
      </c>
      <c r="AP28" s="320">
        <f t="shared" si="38"/>
        <v>14577.329999999996</v>
      </c>
      <c r="AQ28" s="320">
        <f t="shared" si="38"/>
        <v>0</v>
      </c>
      <c r="AR28" s="320">
        <f t="shared" si="38"/>
        <v>0</v>
      </c>
      <c r="AS28" s="320">
        <f t="shared" si="39"/>
        <v>0</v>
      </c>
      <c r="AT28" s="320">
        <f t="shared" si="39"/>
        <v>0</v>
      </c>
      <c r="AU28" s="320">
        <f t="shared" si="39"/>
        <v>0</v>
      </c>
      <c r="AV28" s="320">
        <f t="shared" si="39"/>
        <v>0</v>
      </c>
      <c r="AW28" s="320">
        <f t="shared" si="39"/>
        <v>0</v>
      </c>
      <c r="AX28" s="320">
        <f t="shared" si="39"/>
        <v>0</v>
      </c>
      <c r="AY28" s="320">
        <f t="shared" si="39"/>
        <v>0</v>
      </c>
      <c r="AZ28" s="320">
        <f t="shared" si="39"/>
        <v>0</v>
      </c>
      <c r="BA28" s="320">
        <f t="shared" si="39"/>
        <v>0</v>
      </c>
      <c r="BB28" s="320">
        <f t="shared" si="39"/>
        <v>0</v>
      </c>
      <c r="BC28" s="320">
        <f t="shared" si="39"/>
        <v>0</v>
      </c>
      <c r="BD28" s="320"/>
    </row>
    <row r="29" spans="1:56">
      <c r="L29" s="88"/>
      <c r="M29" s="121" t="s">
        <v>428</v>
      </c>
      <c r="O29" s="320">
        <f t="shared" si="36"/>
        <v>0</v>
      </c>
      <c r="P29" s="320">
        <f t="shared" si="36"/>
        <v>0</v>
      </c>
      <c r="Q29" s="320">
        <f t="shared" si="36"/>
        <v>0</v>
      </c>
      <c r="R29" s="320">
        <f t="shared" si="36"/>
        <v>0</v>
      </c>
      <c r="S29" s="320">
        <f t="shared" si="36"/>
        <v>0</v>
      </c>
      <c r="T29" s="320">
        <f t="shared" si="36"/>
        <v>0</v>
      </c>
      <c r="U29" s="320">
        <f t="shared" si="36"/>
        <v>0</v>
      </c>
      <c r="V29" s="320">
        <f t="shared" si="36"/>
        <v>0</v>
      </c>
      <c r="W29" s="320">
        <f t="shared" si="36"/>
        <v>0</v>
      </c>
      <c r="X29" s="320">
        <f t="shared" si="36"/>
        <v>0</v>
      </c>
      <c r="Y29" s="320">
        <f t="shared" si="37"/>
        <v>0</v>
      </c>
      <c r="Z29" s="320">
        <f t="shared" si="37"/>
        <v>0</v>
      </c>
      <c r="AA29" s="320">
        <f t="shared" si="37"/>
        <v>0</v>
      </c>
      <c r="AB29" s="320">
        <f t="shared" si="37"/>
        <v>0</v>
      </c>
      <c r="AC29" s="320">
        <f t="shared" si="37"/>
        <v>374.72672240124996</v>
      </c>
      <c r="AD29" s="320">
        <f t="shared" si="37"/>
        <v>374.72672240124996</v>
      </c>
      <c r="AE29" s="320">
        <f t="shared" si="37"/>
        <v>3030.8668500342501</v>
      </c>
      <c r="AF29" s="320">
        <f t="shared" si="37"/>
        <v>9049.9245957577496</v>
      </c>
      <c r="AG29" s="320">
        <f t="shared" si="37"/>
        <v>9635.1719487215014</v>
      </c>
      <c r="AH29" s="320">
        <f t="shared" si="37"/>
        <v>11107.851346713502</v>
      </c>
      <c r="AI29" s="320">
        <f t="shared" si="38"/>
        <v>15256.205029196502</v>
      </c>
      <c r="AJ29" s="320">
        <f t="shared" si="38"/>
        <v>24656.755890495006</v>
      </c>
      <c r="AK29" s="320">
        <f t="shared" si="38"/>
        <v>24812.541157111249</v>
      </c>
      <c r="AL29" s="320">
        <f t="shared" si="38"/>
        <v>27112.56853150325</v>
      </c>
      <c r="AM29" s="320">
        <f t="shared" si="38"/>
        <v>28216.806562092243</v>
      </c>
      <c r="AN29" s="320">
        <f t="shared" si="38"/>
        <v>30719.111467617749</v>
      </c>
      <c r="AO29" s="320">
        <f t="shared" si="38"/>
        <v>30247.545255157747</v>
      </c>
      <c r="AP29" s="320">
        <f t="shared" si="38"/>
        <v>30859.782757693727</v>
      </c>
      <c r="AQ29" s="320">
        <f t="shared" si="38"/>
        <v>27517.224394829762</v>
      </c>
      <c r="AR29" s="320">
        <f t="shared" si="38"/>
        <v>19942.679815941745</v>
      </c>
      <c r="AS29" s="320">
        <f t="shared" si="39"/>
        <v>20224.777460895504</v>
      </c>
      <c r="AT29" s="320">
        <f t="shared" si="39"/>
        <v>18371.517993759498</v>
      </c>
      <c r="AU29" s="320">
        <f t="shared" si="39"/>
        <v>20750.021292271009</v>
      </c>
      <c r="AV29" s="320">
        <f t="shared" si="39"/>
        <v>25281.222067141509</v>
      </c>
      <c r="AW29" s="320">
        <f t="shared" si="39"/>
        <v>26661.978556383983</v>
      </c>
      <c r="AX29" s="320">
        <f t="shared" si="39"/>
        <v>33857.312452795006</v>
      </c>
      <c r="AY29" s="320">
        <f t="shared" si="39"/>
        <v>24605.588412724999</v>
      </c>
      <c r="AZ29" s="320">
        <f t="shared" si="39"/>
        <v>5129.5574536800004</v>
      </c>
      <c r="BA29" s="320">
        <f t="shared" si="39"/>
        <v>5129.5574536800004</v>
      </c>
      <c r="BB29" s="320">
        <f t="shared" si="39"/>
        <v>0</v>
      </c>
      <c r="BC29" s="320">
        <f t="shared" si="39"/>
        <v>0</v>
      </c>
      <c r="BD29" s="320"/>
    </row>
    <row r="30" spans="1:56">
      <c r="L30" s="88"/>
      <c r="M30" s="121" t="s">
        <v>4</v>
      </c>
      <c r="O30" s="320">
        <f>O26-SUM(O27:O29)</f>
        <v>0</v>
      </c>
      <c r="P30" s="320">
        <f t="shared" ref="P30:BC30" si="40">P26-SUM(P27:P29)</f>
        <v>1135.43975</v>
      </c>
      <c r="Q30" s="320">
        <f t="shared" si="40"/>
        <v>1135.43975</v>
      </c>
      <c r="R30" s="320">
        <f t="shared" si="40"/>
        <v>1135.4397500000002</v>
      </c>
      <c r="S30" s="320">
        <f t="shared" si="40"/>
        <v>1135.4397499999995</v>
      </c>
      <c r="T30" s="320">
        <f t="shared" si="40"/>
        <v>2908.7670000000012</v>
      </c>
      <c r="U30" s="320">
        <f t="shared" si="40"/>
        <v>2908.7669999999998</v>
      </c>
      <c r="V30" s="320">
        <f t="shared" si="40"/>
        <v>5271.9810403049996</v>
      </c>
      <c r="W30" s="320">
        <f t="shared" si="40"/>
        <v>5271.9810403049996</v>
      </c>
      <c r="X30" s="320">
        <f t="shared" si="40"/>
        <v>9434.8801678600012</v>
      </c>
      <c r="Y30" s="320">
        <f t="shared" si="40"/>
        <v>9434.8801678599993</v>
      </c>
      <c r="Z30" s="320">
        <f t="shared" si="40"/>
        <v>10417.339937424997</v>
      </c>
      <c r="AA30" s="320">
        <f t="shared" si="40"/>
        <v>10417.339937425</v>
      </c>
      <c r="AB30" s="320">
        <f t="shared" si="40"/>
        <v>6014.5396619850017</v>
      </c>
      <c r="AC30" s="320">
        <f t="shared" si="40"/>
        <v>6014.5396619849998</v>
      </c>
      <c r="AD30" s="320">
        <f t="shared" si="40"/>
        <v>4872.7620919500077</v>
      </c>
      <c r="AE30" s="320">
        <f t="shared" si="40"/>
        <v>4872.7620919499968</v>
      </c>
      <c r="AF30" s="320">
        <f t="shared" si="40"/>
        <v>6922.4148454749957</v>
      </c>
      <c r="AG30" s="320">
        <f t="shared" si="40"/>
        <v>6922.4148454750248</v>
      </c>
      <c r="AH30" s="320">
        <f t="shared" si="40"/>
        <v>3954.9024999999965</v>
      </c>
      <c r="AI30" s="320">
        <f t="shared" si="40"/>
        <v>3954.9024999999674</v>
      </c>
      <c r="AJ30" s="320">
        <f t="shared" si="40"/>
        <v>0</v>
      </c>
      <c r="AK30" s="320">
        <f t="shared" si="40"/>
        <v>0</v>
      </c>
      <c r="AL30" s="320">
        <f t="shared" si="40"/>
        <v>0</v>
      </c>
      <c r="AM30" s="320">
        <f t="shared" si="40"/>
        <v>0</v>
      </c>
      <c r="AN30" s="320">
        <f t="shared" si="40"/>
        <v>0</v>
      </c>
      <c r="AO30" s="320">
        <f t="shared" si="40"/>
        <v>0</v>
      </c>
      <c r="AP30" s="320">
        <f t="shared" si="40"/>
        <v>0</v>
      </c>
      <c r="AQ30" s="320">
        <f t="shared" si="40"/>
        <v>0</v>
      </c>
      <c r="AR30" s="320">
        <f t="shared" si="40"/>
        <v>0</v>
      </c>
      <c r="AS30" s="320">
        <f t="shared" si="40"/>
        <v>0</v>
      </c>
      <c r="AT30" s="320">
        <f t="shared" si="40"/>
        <v>0</v>
      </c>
      <c r="AU30" s="320">
        <f t="shared" si="40"/>
        <v>0</v>
      </c>
      <c r="AV30" s="320">
        <f t="shared" si="40"/>
        <v>0</v>
      </c>
      <c r="AW30" s="320">
        <f t="shared" si="40"/>
        <v>0</v>
      </c>
      <c r="AX30" s="320">
        <f t="shared" si="40"/>
        <v>0</v>
      </c>
      <c r="AY30" s="320">
        <f t="shared" si="40"/>
        <v>0</v>
      </c>
      <c r="AZ30" s="320">
        <f t="shared" si="40"/>
        <v>0</v>
      </c>
      <c r="BA30" s="320">
        <f t="shared" si="40"/>
        <v>0</v>
      </c>
      <c r="BB30" s="320">
        <f t="shared" si="40"/>
        <v>0</v>
      </c>
      <c r="BC30" s="320">
        <f t="shared" si="40"/>
        <v>0</v>
      </c>
      <c r="BD30" s="320"/>
    </row>
    <row r="31" spans="1:56">
      <c r="C31" s="58"/>
      <c r="D31" s="121"/>
      <c r="E31" s="121"/>
      <c r="F31" s="121"/>
      <c r="G31" s="88"/>
      <c r="H31" s="369"/>
      <c r="I31" s="88"/>
      <c r="J31" s="88"/>
      <c r="K31" s="88"/>
      <c r="L31" s="88"/>
      <c r="M31" s="121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320"/>
      <c r="AB31" s="320"/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</row>
    <row r="32" spans="1:56" s="381" customFormat="1">
      <c r="A32" s="381" t="s">
        <v>423</v>
      </c>
      <c r="B32" s="371"/>
      <c r="C32" s="370" t="s">
        <v>1001</v>
      </c>
      <c r="D32" s="371"/>
      <c r="E32" s="371"/>
      <c r="F32" s="371"/>
      <c r="G32" s="372"/>
      <c r="H32" s="372"/>
      <c r="I32" s="372"/>
      <c r="J32" s="372"/>
      <c r="K32" s="372"/>
      <c r="L32" s="372"/>
      <c r="M32" s="371"/>
      <c r="N32" s="371"/>
      <c r="O32" s="382">
        <v>1</v>
      </c>
      <c r="P32" s="383">
        <v>2</v>
      </c>
      <c r="Q32" s="383">
        <v>3</v>
      </c>
      <c r="R32" s="383">
        <v>4</v>
      </c>
      <c r="S32" s="383">
        <v>5</v>
      </c>
      <c r="T32" s="383">
        <v>6</v>
      </c>
      <c r="U32" s="383">
        <v>7</v>
      </c>
      <c r="V32" s="383">
        <v>8</v>
      </c>
      <c r="W32" s="383">
        <v>9</v>
      </c>
      <c r="X32" s="383">
        <v>10</v>
      </c>
      <c r="Y32" s="383">
        <v>11</v>
      </c>
      <c r="Z32" s="383">
        <v>12</v>
      </c>
      <c r="AA32" s="383">
        <v>13</v>
      </c>
      <c r="AB32" s="383">
        <v>14</v>
      </c>
      <c r="AC32" s="383">
        <v>15</v>
      </c>
      <c r="AD32" s="383">
        <v>16</v>
      </c>
      <c r="AE32" s="383">
        <v>17</v>
      </c>
      <c r="AF32" s="383">
        <v>18</v>
      </c>
      <c r="AG32" s="383">
        <v>19</v>
      </c>
      <c r="AH32" s="383">
        <v>20</v>
      </c>
      <c r="AI32" s="383"/>
      <c r="AJ32" s="383"/>
      <c r="AK32" s="383"/>
      <c r="AL32" s="383"/>
      <c r="AM32" s="383"/>
      <c r="AN32" s="383"/>
      <c r="AO32" s="383"/>
      <c r="AP32" s="383"/>
      <c r="AQ32" s="383"/>
      <c r="AR32" s="383"/>
      <c r="AS32" s="383"/>
      <c r="AT32" s="383"/>
      <c r="AU32" s="383"/>
      <c r="AV32" s="383"/>
      <c r="AW32" s="383"/>
      <c r="AX32" s="383"/>
      <c r="AY32" s="383"/>
      <c r="AZ32" s="383"/>
      <c r="BA32" s="383"/>
      <c r="BB32" s="383"/>
      <c r="BC32" s="383"/>
    </row>
    <row r="33" spans="1:56">
      <c r="B33" s="79">
        <v>1</v>
      </c>
      <c r="C33" s="58" t="s">
        <v>463</v>
      </c>
      <c r="D33" s="121" t="s">
        <v>53</v>
      </c>
      <c r="E33" s="121" t="s">
        <v>528</v>
      </c>
      <c r="F33" s="121">
        <v>106211.19070200001</v>
      </c>
      <c r="G33" s="88">
        <v>45352</v>
      </c>
      <c r="H33" s="273">
        <v>2024</v>
      </c>
      <c r="I33" s="88">
        <v>45920</v>
      </c>
      <c r="J33" s="121" t="s">
        <v>40</v>
      </c>
      <c r="K33" s="88" t="s">
        <v>41</v>
      </c>
      <c r="L33" s="88" t="s">
        <v>990</v>
      </c>
      <c r="M33" s="121">
        <v>5</v>
      </c>
      <c r="N33" s="121"/>
      <c r="O33" s="374">
        <f>O34</f>
        <v>3.7999999999999999E-2</v>
      </c>
      <c r="P33" s="374">
        <f>P34-O34</f>
        <v>0.16</v>
      </c>
      <c r="Q33" s="374">
        <f>AVERAGE(P33,R33)</f>
        <v>0.16999999999999998</v>
      </c>
      <c r="R33" s="374">
        <v>0.18</v>
      </c>
      <c r="S33" s="374">
        <f>S34-R34</f>
        <v>0.17600000000000005</v>
      </c>
      <c r="T33" s="374">
        <f t="shared" ref="T33" si="41">T34-S34</f>
        <v>0.17599999999999993</v>
      </c>
      <c r="U33" s="374">
        <f>100%-SUM(O33:T33)</f>
        <v>9.9999999999999978E-2</v>
      </c>
      <c r="V33" s="374"/>
      <c r="W33" s="374"/>
      <c r="X33" s="374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</row>
    <row r="34" spans="1:56" s="417" customFormat="1">
      <c r="B34" s="418"/>
      <c r="C34" s="419"/>
      <c r="D34" s="420"/>
      <c r="E34" s="420"/>
      <c r="F34" s="420"/>
      <c r="G34" s="421"/>
      <c r="H34" s="421"/>
      <c r="I34" s="421"/>
      <c r="J34" s="421"/>
      <c r="K34" s="421"/>
      <c r="L34" s="421"/>
      <c r="M34" s="420"/>
      <c r="N34" s="420"/>
      <c r="O34" s="422">
        <f>수주내역!R27</f>
        <v>3.7999999999999999E-2</v>
      </c>
      <c r="P34" s="422">
        <f>수주내역!S27</f>
        <v>0.19800000000000001</v>
      </c>
      <c r="Q34" s="422">
        <f>수주내역!T27</f>
        <v>0.44</v>
      </c>
      <c r="R34" s="422">
        <f>수주내역!U27</f>
        <v>0.64800000000000002</v>
      </c>
      <c r="S34" s="422">
        <f>AVERAGE(R34,T34)</f>
        <v>0.82400000000000007</v>
      </c>
      <c r="T34" s="422">
        <v>1</v>
      </c>
      <c r="U34" s="422"/>
      <c r="V34" s="422"/>
      <c r="W34" s="422"/>
      <c r="X34" s="422"/>
      <c r="Y34" s="423"/>
      <c r="Z34" s="423"/>
      <c r="AA34" s="423"/>
      <c r="AB34" s="423"/>
      <c r="AC34" s="423"/>
      <c r="AD34" s="423"/>
      <c r="AE34" s="423"/>
      <c r="AF34" s="423"/>
      <c r="AG34" s="423"/>
      <c r="AH34" s="423"/>
      <c r="AI34" s="423"/>
      <c r="AJ34" s="423"/>
      <c r="AK34" s="423"/>
      <c r="AL34" s="423"/>
      <c r="AM34" s="423"/>
      <c r="AN34" s="423"/>
      <c r="AO34" s="423"/>
      <c r="AP34" s="423"/>
      <c r="AQ34" s="423"/>
      <c r="AR34" s="423"/>
      <c r="AS34" s="423"/>
      <c r="AT34" s="423"/>
      <c r="AU34" s="423"/>
      <c r="AV34" s="423"/>
      <c r="AW34" s="423"/>
      <c r="AX34" s="423"/>
      <c r="AY34" s="423"/>
      <c r="AZ34" s="423"/>
      <c r="BA34" s="423"/>
      <c r="BB34" s="423"/>
      <c r="BC34" s="423"/>
    </row>
    <row r="35" spans="1:56">
      <c r="B35" s="79">
        <v>2</v>
      </c>
      <c r="C35" s="58" t="s">
        <v>1018</v>
      </c>
      <c r="D35" s="121" t="s">
        <v>53</v>
      </c>
      <c r="E35" s="121" t="s">
        <v>524</v>
      </c>
      <c r="F35" s="121">
        <v>27194.8894</v>
      </c>
      <c r="G35" s="88">
        <v>44742</v>
      </c>
      <c r="H35" s="273">
        <v>2022</v>
      </c>
      <c r="I35" s="88">
        <v>45291</v>
      </c>
      <c r="J35" s="121" t="s">
        <v>514</v>
      </c>
      <c r="K35" s="88" t="s">
        <v>513</v>
      </c>
      <c r="L35" s="88" t="s">
        <v>38</v>
      </c>
      <c r="M35" s="121">
        <v>5</v>
      </c>
      <c r="N35" s="121"/>
      <c r="O35" s="374">
        <f>O36</f>
        <v>8.8999999999999996E-2</v>
      </c>
      <c r="P35" s="374">
        <f>P36-O36</f>
        <v>0.22800000000000001</v>
      </c>
      <c r="Q35" s="374">
        <f>AVERAGE(P35,R35)</f>
        <v>0.1905</v>
      </c>
      <c r="R35" s="374">
        <f t="shared" ref="R35" si="42">R36-Q36</f>
        <v>0.15300000000000002</v>
      </c>
      <c r="S35" s="374">
        <f t="shared" ref="S35" si="43">S36-R36</f>
        <v>0.10999999999999999</v>
      </c>
      <c r="T35" s="374">
        <f t="shared" ref="T35" si="44">T36-S36</f>
        <v>0.15500000000000003</v>
      </c>
      <c r="U35" s="374">
        <f>100%-SUM(O35:T35)</f>
        <v>7.44999999999999E-2</v>
      </c>
      <c r="V35" s="374"/>
      <c r="W35" s="374"/>
      <c r="X35" s="374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</row>
    <row r="36" spans="1:56" s="417" customFormat="1">
      <c r="B36" s="420"/>
      <c r="C36" s="419"/>
      <c r="D36" s="420"/>
      <c r="E36" s="420"/>
      <c r="F36" s="420"/>
      <c r="G36" s="421"/>
      <c r="H36" s="421"/>
      <c r="I36" s="421"/>
      <c r="J36" s="421"/>
      <c r="K36" s="421"/>
      <c r="L36" s="421"/>
      <c r="M36" s="420"/>
      <c r="N36" s="420"/>
      <c r="O36" s="422">
        <f>수주내역!L34</f>
        <v>8.8999999999999996E-2</v>
      </c>
      <c r="P36" s="422">
        <f>수주내역!M34</f>
        <v>0.317</v>
      </c>
      <c r="Q36" s="422">
        <f>수주내역!N34</f>
        <v>0.58199999999999996</v>
      </c>
      <c r="R36" s="422">
        <f>수주내역!O34</f>
        <v>0.73499999999999999</v>
      </c>
      <c r="S36" s="422">
        <f>수주내역!P34</f>
        <v>0.84499999999999997</v>
      </c>
      <c r="T36" s="422">
        <v>1</v>
      </c>
      <c r="U36" s="422"/>
      <c r="V36" s="422"/>
      <c r="W36" s="422"/>
      <c r="X36" s="422"/>
      <c r="Y36" s="423"/>
      <c r="Z36" s="423"/>
      <c r="AA36" s="423"/>
      <c r="AB36" s="423"/>
      <c r="AC36" s="423"/>
      <c r="AD36" s="423"/>
      <c r="AE36" s="423"/>
      <c r="AF36" s="423"/>
      <c r="AG36" s="423"/>
      <c r="AH36" s="423"/>
      <c r="AI36" s="423"/>
      <c r="AJ36" s="423"/>
      <c r="AK36" s="423"/>
      <c r="AL36" s="423"/>
      <c r="AM36" s="423"/>
      <c r="AN36" s="423"/>
      <c r="AO36" s="423"/>
      <c r="AP36" s="423"/>
      <c r="AQ36" s="423"/>
      <c r="AR36" s="423"/>
      <c r="AS36" s="423"/>
      <c r="AT36" s="423"/>
      <c r="AU36" s="423"/>
      <c r="AV36" s="423"/>
      <c r="AW36" s="423"/>
      <c r="AX36" s="423"/>
      <c r="AY36" s="423"/>
      <c r="AZ36" s="423"/>
      <c r="BA36" s="423"/>
      <c r="BB36" s="423"/>
      <c r="BC36" s="423"/>
    </row>
    <row r="37" spans="1:56">
      <c r="B37" s="79">
        <v>3</v>
      </c>
      <c r="C37" s="58" t="s">
        <v>1014</v>
      </c>
      <c r="D37" s="121" t="s">
        <v>53</v>
      </c>
      <c r="E37" s="121" t="s">
        <v>524</v>
      </c>
      <c r="F37" s="121">
        <v>36451.800000000003</v>
      </c>
      <c r="G37" s="88">
        <v>44722</v>
      </c>
      <c r="H37" s="273">
        <v>2022</v>
      </c>
      <c r="I37" s="88">
        <v>45838</v>
      </c>
      <c r="J37" s="121" t="s">
        <v>514</v>
      </c>
      <c r="K37" s="88" t="s">
        <v>513</v>
      </c>
      <c r="L37" s="88" t="s">
        <v>1161</v>
      </c>
      <c r="M37" s="121">
        <v>11</v>
      </c>
      <c r="N37" s="121"/>
      <c r="O37" s="374">
        <f>O38</f>
        <v>4.4499999999999998E-2</v>
      </c>
      <c r="P37" s="374">
        <f>P38-O38</f>
        <v>4.4499999999999998E-2</v>
      </c>
      <c r="Q37" s="374">
        <f t="shared" ref="Q37:Z37" si="45">Q38-P38</f>
        <v>0.11400000000000002</v>
      </c>
      <c r="R37" s="374">
        <f t="shared" si="45"/>
        <v>0.11399999999999999</v>
      </c>
      <c r="S37" s="374">
        <f t="shared" si="45"/>
        <v>0.13250000000000001</v>
      </c>
      <c r="T37" s="374">
        <f t="shared" si="45"/>
        <v>0.13249999999999995</v>
      </c>
      <c r="U37" s="374">
        <f t="shared" si="45"/>
        <v>7.6500000000000012E-2</v>
      </c>
      <c r="V37" s="374">
        <f t="shared" si="45"/>
        <v>7.6500000000000012E-2</v>
      </c>
      <c r="W37" s="374">
        <f t="shared" si="45"/>
        <v>5.5000000000000049E-2</v>
      </c>
      <c r="X37" s="374">
        <f t="shared" si="45"/>
        <v>5.4999999999999938E-2</v>
      </c>
      <c r="Y37" s="374">
        <f t="shared" si="45"/>
        <v>7.7500000000000013E-2</v>
      </c>
      <c r="Z37" s="374">
        <f t="shared" si="45"/>
        <v>7.7500000000000013E-2</v>
      </c>
      <c r="AA37" s="374">
        <f>100%-SUM(O37:Z37)</f>
        <v>0</v>
      </c>
      <c r="AB37" s="374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</row>
    <row r="38" spans="1:56" s="417" customFormat="1">
      <c r="B38" s="420"/>
      <c r="C38" s="419"/>
      <c r="D38" s="420"/>
      <c r="E38" s="420"/>
      <c r="F38" s="420"/>
      <c r="G38" s="421"/>
      <c r="H38" s="421"/>
      <c r="I38" s="421"/>
      <c r="J38" s="421"/>
      <c r="K38" s="421"/>
      <c r="L38" s="421"/>
      <c r="M38" s="420"/>
      <c r="N38" s="420">
        <v>0</v>
      </c>
      <c r="O38" s="422">
        <f>AVERAGE(N38,P38)</f>
        <v>4.4499999999999998E-2</v>
      </c>
      <c r="P38" s="422">
        <f>O36</f>
        <v>8.8999999999999996E-2</v>
      </c>
      <c r="Q38" s="422">
        <f>AVERAGE(P38,R38)</f>
        <v>0.20300000000000001</v>
      </c>
      <c r="R38" s="422">
        <f>P36</f>
        <v>0.317</v>
      </c>
      <c r="S38" s="422">
        <f>AVERAGE(R38,T38)</f>
        <v>0.44950000000000001</v>
      </c>
      <c r="T38" s="422">
        <f>Q36</f>
        <v>0.58199999999999996</v>
      </c>
      <c r="U38" s="422">
        <f>AVERAGE(T38,V38)</f>
        <v>0.65849999999999997</v>
      </c>
      <c r="V38" s="422">
        <f>R36</f>
        <v>0.73499999999999999</v>
      </c>
      <c r="W38" s="422">
        <f>AVERAGE(V38,X38)</f>
        <v>0.79</v>
      </c>
      <c r="X38" s="422">
        <f>S36</f>
        <v>0.84499999999999997</v>
      </c>
      <c r="Y38" s="422">
        <f>AVERAGE(X38,Z38)</f>
        <v>0.92249999999999999</v>
      </c>
      <c r="Z38" s="422">
        <f>T36</f>
        <v>1</v>
      </c>
      <c r="AA38" s="422"/>
      <c r="AB38" s="422"/>
      <c r="AC38" s="423"/>
      <c r="AD38" s="423"/>
      <c r="AE38" s="423"/>
      <c r="AF38" s="423"/>
      <c r="AG38" s="423"/>
      <c r="AH38" s="423"/>
      <c r="AI38" s="423"/>
      <c r="AJ38" s="423"/>
      <c r="AK38" s="423"/>
      <c r="AL38" s="423"/>
      <c r="AM38" s="423"/>
      <c r="AN38" s="423"/>
      <c r="AO38" s="423"/>
      <c r="AP38" s="423"/>
      <c r="AQ38" s="423"/>
      <c r="AR38" s="423"/>
      <c r="AS38" s="423"/>
      <c r="AT38" s="423"/>
      <c r="AU38" s="423"/>
      <c r="AV38" s="423"/>
      <c r="AW38" s="423"/>
      <c r="AX38" s="423"/>
      <c r="AY38" s="423"/>
      <c r="AZ38" s="423"/>
      <c r="BA38" s="423"/>
      <c r="BB38" s="423"/>
      <c r="BC38" s="423"/>
    </row>
    <row r="39" spans="1:56">
      <c r="B39" s="121">
        <v>4</v>
      </c>
      <c r="C39" s="58"/>
      <c r="D39" s="121" t="s">
        <v>54</v>
      </c>
      <c r="E39" s="121"/>
      <c r="F39" s="121"/>
      <c r="G39" s="88"/>
      <c r="H39" s="88"/>
      <c r="I39" s="88"/>
      <c r="J39" s="88"/>
      <c r="K39" s="88"/>
      <c r="L39" s="88"/>
      <c r="M39" s="121">
        <v>20</v>
      </c>
      <c r="N39" s="121"/>
      <c r="O39" s="374">
        <f>O40</f>
        <v>2.2249999999999999E-2</v>
      </c>
      <c r="P39" s="374">
        <f>P40-O40</f>
        <v>2.2249999999999999E-2</v>
      </c>
      <c r="Q39" s="374">
        <f t="shared" ref="Q39:AH39" si="46">Q40-P40</f>
        <v>2.2250000000000006E-2</v>
      </c>
      <c r="R39" s="374">
        <f t="shared" si="46"/>
        <v>2.2249999999999992E-2</v>
      </c>
      <c r="S39" s="374">
        <f t="shared" si="46"/>
        <v>5.7000000000000023E-2</v>
      </c>
      <c r="T39" s="374">
        <f t="shared" si="46"/>
        <v>5.6999999999999995E-2</v>
      </c>
      <c r="U39" s="374">
        <f t="shared" si="46"/>
        <v>5.6999999999999995E-2</v>
      </c>
      <c r="V39" s="374">
        <f t="shared" si="46"/>
        <v>5.6999999999999995E-2</v>
      </c>
      <c r="W39" s="374">
        <f t="shared" si="46"/>
        <v>6.6249999999999976E-2</v>
      </c>
      <c r="X39" s="374">
        <f t="shared" si="46"/>
        <v>6.6250000000000031E-2</v>
      </c>
      <c r="Y39" s="374">
        <f t="shared" si="46"/>
        <v>6.624999999999992E-2</v>
      </c>
      <c r="Z39" s="374">
        <f t="shared" si="46"/>
        <v>6.6250000000000031E-2</v>
      </c>
      <c r="AA39" s="374">
        <f t="shared" si="46"/>
        <v>3.8250000000000006E-2</v>
      </c>
      <c r="AB39" s="374">
        <f t="shared" si="46"/>
        <v>3.8250000000000006E-2</v>
      </c>
      <c r="AC39" s="374">
        <f t="shared" si="46"/>
        <v>3.8250000000000006E-2</v>
      </c>
      <c r="AD39" s="374">
        <f t="shared" si="46"/>
        <v>3.8250000000000006E-2</v>
      </c>
      <c r="AE39" s="374">
        <f t="shared" si="46"/>
        <v>5.5000000000000049E-2</v>
      </c>
      <c r="AF39" s="374">
        <f t="shared" si="46"/>
        <v>5.4999999999999938E-2</v>
      </c>
      <c r="AG39" s="374">
        <f t="shared" si="46"/>
        <v>7.7500000000000013E-2</v>
      </c>
      <c r="AH39" s="374">
        <f t="shared" si="46"/>
        <v>7.7500000000000013E-2</v>
      </c>
      <c r="AI39" s="374">
        <f>100%-SUM(O39:AH39)</f>
        <v>0</v>
      </c>
      <c r="AJ39" s="374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</row>
    <row r="40" spans="1:56" s="424" customFormat="1">
      <c r="B40" s="425"/>
      <c r="C40" s="429" t="s">
        <v>1025</v>
      </c>
      <c r="D40" s="425"/>
      <c r="E40" s="425"/>
      <c r="F40" s="425"/>
      <c r="G40" s="426"/>
      <c r="H40" s="426"/>
      <c r="I40" s="426"/>
      <c r="J40" s="426"/>
      <c r="K40" s="426"/>
      <c r="L40" s="426"/>
      <c r="M40" s="425"/>
      <c r="N40" s="425">
        <v>0</v>
      </c>
      <c r="O40" s="422">
        <f>AVERAGE(N40,P40)</f>
        <v>2.2249999999999999E-2</v>
      </c>
      <c r="P40" s="427">
        <f>O38</f>
        <v>4.4499999999999998E-2</v>
      </c>
      <c r="Q40" s="422">
        <f>AVERAGE(P40,R40)</f>
        <v>6.6750000000000004E-2</v>
      </c>
      <c r="R40" s="427">
        <f>P38</f>
        <v>8.8999999999999996E-2</v>
      </c>
      <c r="S40" s="422">
        <f>AVERAGE(R40,T40)</f>
        <v>0.14600000000000002</v>
      </c>
      <c r="T40" s="427">
        <f>Q38</f>
        <v>0.20300000000000001</v>
      </c>
      <c r="U40" s="422">
        <f>AVERAGE(T40,V40)</f>
        <v>0.26</v>
      </c>
      <c r="V40" s="427">
        <f>R38</f>
        <v>0.317</v>
      </c>
      <c r="W40" s="422">
        <f>AVERAGE(V40,X40)</f>
        <v>0.38324999999999998</v>
      </c>
      <c r="X40" s="427">
        <f>S38</f>
        <v>0.44950000000000001</v>
      </c>
      <c r="Y40" s="422">
        <f>AVERAGE(X40,Z40)</f>
        <v>0.51574999999999993</v>
      </c>
      <c r="Z40" s="427">
        <f>T38</f>
        <v>0.58199999999999996</v>
      </c>
      <c r="AA40" s="422">
        <f>AVERAGE(Z40,AB40)</f>
        <v>0.62024999999999997</v>
      </c>
      <c r="AB40" s="427">
        <f>U38</f>
        <v>0.65849999999999997</v>
      </c>
      <c r="AC40" s="422">
        <f>AVERAGE(AB40,AD40)</f>
        <v>0.69674999999999998</v>
      </c>
      <c r="AD40" s="427">
        <f>V38</f>
        <v>0.73499999999999999</v>
      </c>
      <c r="AE40" s="422">
        <f>AVERAGE(AD40,AF40)</f>
        <v>0.79</v>
      </c>
      <c r="AF40" s="427">
        <f>X38</f>
        <v>0.84499999999999997</v>
      </c>
      <c r="AG40" s="422">
        <f>AVERAGE(AF40,AH40)</f>
        <v>0.92249999999999999</v>
      </c>
      <c r="AH40" s="427">
        <f>Z38</f>
        <v>1</v>
      </c>
      <c r="AI40" s="427"/>
      <c r="AJ40" s="427"/>
      <c r="AK40" s="428"/>
      <c r="AL40" s="428"/>
      <c r="AM40" s="428"/>
      <c r="AN40" s="428"/>
      <c r="AO40" s="428"/>
      <c r="AP40" s="428"/>
      <c r="AQ40" s="428"/>
      <c r="AR40" s="428"/>
      <c r="AS40" s="428"/>
      <c r="AT40" s="428"/>
      <c r="AU40" s="428"/>
      <c r="AV40" s="428"/>
      <c r="AW40" s="428"/>
      <c r="AX40" s="428"/>
      <c r="AY40" s="428"/>
      <c r="AZ40" s="428"/>
      <c r="BA40" s="428"/>
      <c r="BB40" s="428"/>
      <c r="BC40" s="428"/>
    </row>
    <row r="41" spans="1:56">
      <c r="B41" s="121"/>
      <c r="C41" s="58"/>
      <c r="D41" s="121"/>
      <c r="E41" s="121"/>
      <c r="F41" s="121"/>
      <c r="G41" s="88"/>
      <c r="H41" s="88"/>
      <c r="I41" s="88"/>
      <c r="J41" s="88"/>
      <c r="K41" s="88"/>
      <c r="L41" s="88"/>
      <c r="M41" s="121"/>
      <c r="N41" s="121"/>
      <c r="O41" s="374"/>
      <c r="P41" s="374"/>
      <c r="Q41" s="374"/>
      <c r="R41" s="374"/>
      <c r="S41" s="374"/>
      <c r="T41" s="374"/>
      <c r="U41" s="374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</row>
    <row r="42" spans="1:56">
      <c r="B42" s="121"/>
      <c r="C42" s="58"/>
      <c r="D42" s="121"/>
      <c r="E42" s="121"/>
      <c r="F42" s="121"/>
      <c r="G42" s="88"/>
      <c r="H42" s="88"/>
      <c r="I42" s="88"/>
      <c r="J42" s="88"/>
      <c r="K42" s="88"/>
      <c r="L42" s="88"/>
      <c r="M42" s="121">
        <v>1</v>
      </c>
      <c r="N42" s="121"/>
      <c r="O42" s="374"/>
      <c r="P42" s="374"/>
      <c r="Q42" s="374"/>
      <c r="R42" s="374"/>
      <c r="S42" s="374"/>
      <c r="T42" s="374"/>
      <c r="U42" s="374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</row>
    <row r="43" spans="1:56" s="375" customFormat="1">
      <c r="A43" s="375" t="s">
        <v>423</v>
      </c>
      <c r="B43" s="377"/>
      <c r="C43" s="380" t="s">
        <v>425</v>
      </c>
      <c r="D43" s="376"/>
      <c r="E43" s="376"/>
      <c r="F43" s="377"/>
      <c r="G43" s="378"/>
      <c r="H43" s="378"/>
      <c r="I43" s="378"/>
      <c r="J43" s="378"/>
      <c r="K43" s="378"/>
      <c r="L43" s="379"/>
      <c r="M43" s="377"/>
      <c r="N43" s="377"/>
      <c r="O43" s="376"/>
      <c r="P43" s="376"/>
      <c r="Q43" s="376"/>
      <c r="R43" s="376"/>
      <c r="S43" s="376"/>
      <c r="T43" s="376"/>
      <c r="U43" s="376"/>
      <c r="V43" s="376"/>
      <c r="W43" s="376"/>
      <c r="X43" s="376"/>
      <c r="Y43" s="376"/>
      <c r="Z43" s="376"/>
      <c r="AA43" s="376"/>
      <c r="AB43" s="376"/>
      <c r="AC43" s="376"/>
      <c r="AD43" s="376"/>
      <c r="AE43" s="376"/>
      <c r="AF43" s="376"/>
      <c r="AG43" s="376"/>
      <c r="AH43" s="376"/>
      <c r="AI43" s="376"/>
      <c r="AJ43" s="376"/>
      <c r="AK43" s="376"/>
      <c r="AL43" s="376"/>
      <c r="AM43" s="376"/>
      <c r="AN43" s="376"/>
      <c r="AO43" s="376"/>
      <c r="AP43" s="376"/>
      <c r="AQ43" s="376"/>
      <c r="AR43" s="376"/>
      <c r="AS43" s="376"/>
      <c r="AT43" s="376"/>
      <c r="AU43" s="376"/>
      <c r="AV43" s="376"/>
      <c r="AW43" s="376"/>
      <c r="AX43" s="376"/>
      <c r="AY43" s="376"/>
      <c r="AZ43" s="376"/>
      <c r="BA43" s="376"/>
      <c r="BB43" s="376"/>
      <c r="BC43" s="376"/>
      <c r="BD43" s="376"/>
    </row>
    <row r="44" spans="1:56">
      <c r="B44" s="121">
        <v>1</v>
      </c>
      <c r="C44" s="393" t="s">
        <v>1016</v>
      </c>
      <c r="D44" s="121" t="s">
        <v>459</v>
      </c>
      <c r="E44" s="121" t="s">
        <v>1568</v>
      </c>
      <c r="F44" s="121">
        <v>517732.4</v>
      </c>
      <c r="G44" s="88">
        <v>45772</v>
      </c>
      <c r="H44" s="369">
        <v>2025</v>
      </c>
      <c r="I44" s="88">
        <v>47026</v>
      </c>
      <c r="J44" s="88" t="s">
        <v>990</v>
      </c>
      <c r="K44" s="88" t="str">
        <f>J44</f>
        <v>3Q25</v>
      </c>
      <c r="L44" s="88" t="s">
        <v>955</v>
      </c>
      <c r="M44" s="121">
        <v>14</v>
      </c>
      <c r="N44" s="121"/>
      <c r="O44" s="311">
        <f t="shared" ref="O44:AG44" si="47">IF(O$2=$K44,$F44*CHOOSE($B44,$O$33,$O$35,$O$37),0)</f>
        <v>0</v>
      </c>
      <c r="P44" s="311">
        <f t="shared" si="47"/>
        <v>0</v>
      </c>
      <c r="Q44" s="311">
        <f t="shared" si="47"/>
        <v>0</v>
      </c>
      <c r="R44" s="311">
        <f t="shared" si="47"/>
        <v>0</v>
      </c>
      <c r="S44" s="311">
        <f t="shared" si="47"/>
        <v>0</v>
      </c>
      <c r="T44" s="311">
        <f t="shared" si="47"/>
        <v>0</v>
      </c>
      <c r="U44" s="311">
        <f t="shared" si="47"/>
        <v>0</v>
      </c>
      <c r="V44" s="311">
        <f t="shared" si="47"/>
        <v>0</v>
      </c>
      <c r="W44" s="311">
        <f t="shared" si="47"/>
        <v>0</v>
      </c>
      <c r="X44" s="311">
        <f t="shared" si="47"/>
        <v>0</v>
      </c>
      <c r="Y44" s="311">
        <f t="shared" si="47"/>
        <v>0</v>
      </c>
      <c r="Z44" s="311">
        <f t="shared" si="47"/>
        <v>0</v>
      </c>
      <c r="AA44" s="311">
        <f t="shared" si="47"/>
        <v>0</v>
      </c>
      <c r="AB44" s="311">
        <f t="shared" si="47"/>
        <v>0</v>
      </c>
      <c r="AC44" s="311">
        <f t="shared" si="47"/>
        <v>0</v>
      </c>
      <c r="AD44" s="311">
        <f t="shared" si="47"/>
        <v>0</v>
      </c>
      <c r="AE44" s="311">
        <f t="shared" si="47"/>
        <v>0</v>
      </c>
      <c r="AF44" s="311">
        <f t="shared" si="47"/>
        <v>0</v>
      </c>
      <c r="AG44" s="311">
        <f t="shared" si="47"/>
        <v>0</v>
      </c>
      <c r="AH44" s="311">
        <f>IF(AH$2=$K44,$F$44/M44)</f>
        <v>36980.885714285716</v>
      </c>
      <c r="AI44" s="311">
        <f>AH44</f>
        <v>36980.885714285716</v>
      </c>
      <c r="AJ44" s="311">
        <f>AI44</f>
        <v>36980.885714285716</v>
      </c>
      <c r="AK44" s="311">
        <f t="shared" ref="AK44:AT44" si="48">AJ44</f>
        <v>36980.885714285716</v>
      </c>
      <c r="AL44" s="311">
        <f t="shared" si="48"/>
        <v>36980.885714285716</v>
      </c>
      <c r="AM44" s="311">
        <f t="shared" si="48"/>
        <v>36980.885714285716</v>
      </c>
      <c r="AN44" s="311">
        <f t="shared" si="48"/>
        <v>36980.885714285716</v>
      </c>
      <c r="AO44" s="311">
        <f t="shared" si="48"/>
        <v>36980.885714285716</v>
      </c>
      <c r="AP44" s="311">
        <f t="shared" si="48"/>
        <v>36980.885714285716</v>
      </c>
      <c r="AQ44" s="311">
        <f t="shared" si="48"/>
        <v>36980.885714285716</v>
      </c>
      <c r="AR44" s="311">
        <f t="shared" si="48"/>
        <v>36980.885714285716</v>
      </c>
      <c r="AS44" s="311">
        <f t="shared" si="48"/>
        <v>36980.885714285716</v>
      </c>
      <c r="AT44" s="311">
        <f t="shared" si="48"/>
        <v>36980.885714285716</v>
      </c>
      <c r="AU44" s="311">
        <f>AT44</f>
        <v>36980.885714285716</v>
      </c>
      <c r="AV44" s="311">
        <f t="shared" ref="AV44:BC44" si="49">$F$44*AB58</f>
        <v>0</v>
      </c>
      <c r="AW44" s="311">
        <f t="shared" si="49"/>
        <v>0</v>
      </c>
      <c r="AX44" s="311">
        <f t="shared" si="49"/>
        <v>0</v>
      </c>
      <c r="AY44" s="311">
        <f t="shared" si="49"/>
        <v>0</v>
      </c>
      <c r="AZ44" s="311">
        <f t="shared" si="49"/>
        <v>0</v>
      </c>
      <c r="BA44" s="311">
        <f t="shared" si="49"/>
        <v>0</v>
      </c>
      <c r="BB44" s="311">
        <f t="shared" si="49"/>
        <v>0</v>
      </c>
      <c r="BC44" s="311">
        <f t="shared" si="49"/>
        <v>0</v>
      </c>
      <c r="BD44" s="311">
        <f t="shared" ref="BD44" si="50">SUM(O44:BC44)</f>
        <v>517732.4</v>
      </c>
    </row>
    <row r="45" spans="1:56">
      <c r="B45" s="121"/>
      <c r="C45" s="58" t="s">
        <v>482</v>
      </c>
      <c r="D45" s="121" t="s">
        <v>459</v>
      </c>
      <c r="E45" s="121" t="s">
        <v>1568</v>
      </c>
      <c r="F45" s="121">
        <v>51320</v>
      </c>
      <c r="G45" s="88">
        <v>44790</v>
      </c>
      <c r="H45" s="369">
        <v>2022</v>
      </c>
      <c r="I45" s="88">
        <v>45763</v>
      </c>
      <c r="J45" s="88" t="s">
        <v>513</v>
      </c>
      <c r="K45" s="88" t="s">
        <v>35</v>
      </c>
      <c r="L45" s="88" t="s">
        <v>1161</v>
      </c>
      <c r="M45" s="121">
        <v>11</v>
      </c>
      <c r="N45" s="121"/>
      <c r="O45" s="374"/>
      <c r="P45" s="374"/>
      <c r="Q45" s="374"/>
      <c r="R45" s="374"/>
      <c r="S45" s="374"/>
      <c r="T45" s="374"/>
      <c r="U45" s="374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P45" s="283"/>
      <c r="AQ45" s="283"/>
      <c r="AR45" s="283"/>
      <c r="AS45" s="283"/>
      <c r="AT45" s="283"/>
      <c r="AU45" s="283"/>
      <c r="AV45" s="283"/>
      <c r="AW45" s="283"/>
      <c r="AX45" s="283"/>
      <c r="AY45" s="283"/>
      <c r="AZ45" s="283"/>
      <c r="BA45" s="283"/>
      <c r="BB45" s="283"/>
      <c r="BC45" s="283"/>
    </row>
    <row r="46" spans="1:56">
      <c r="B46" s="121"/>
      <c r="C46" s="58" t="s">
        <v>478</v>
      </c>
      <c r="D46" s="121" t="s">
        <v>459</v>
      </c>
      <c r="E46" s="121" t="s">
        <v>524</v>
      </c>
      <c r="F46" s="121">
        <v>22930</v>
      </c>
      <c r="G46" s="88">
        <v>44571</v>
      </c>
      <c r="H46" s="369">
        <v>2022</v>
      </c>
      <c r="I46" s="88">
        <v>46492</v>
      </c>
      <c r="J46" s="88" t="s">
        <v>515</v>
      </c>
      <c r="K46" s="88" t="s">
        <v>514</v>
      </c>
      <c r="L46" s="88" t="s">
        <v>944</v>
      </c>
      <c r="M46" s="121">
        <v>21</v>
      </c>
      <c r="N46" s="121"/>
      <c r="O46" s="374"/>
      <c r="P46" s="374"/>
      <c r="Q46" s="374"/>
      <c r="R46" s="374"/>
      <c r="S46" s="374"/>
      <c r="T46" s="374"/>
      <c r="U46" s="374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3"/>
      <c r="AT46" s="283"/>
      <c r="AU46" s="283"/>
      <c r="AV46" s="283"/>
      <c r="AW46" s="283"/>
      <c r="AX46" s="283"/>
      <c r="AY46" s="283"/>
      <c r="AZ46" s="283"/>
      <c r="BA46" s="283"/>
      <c r="BB46" s="283"/>
      <c r="BC46" s="283"/>
    </row>
    <row r="47" spans="1:56">
      <c r="B47" s="121"/>
      <c r="C47" s="58"/>
      <c r="D47" s="121"/>
      <c r="E47" s="121"/>
      <c r="F47" s="121"/>
      <c r="G47" s="88"/>
      <c r="H47" s="369"/>
      <c r="I47" s="88"/>
      <c r="J47" s="88"/>
      <c r="K47" s="88"/>
      <c r="L47" s="88"/>
      <c r="M47" s="121"/>
      <c r="N47" s="121"/>
      <c r="O47" s="374"/>
      <c r="P47" s="374"/>
      <c r="Q47" s="374"/>
      <c r="R47" s="374"/>
      <c r="S47" s="374"/>
      <c r="T47" s="374"/>
      <c r="U47" s="374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368"/>
      <c r="AG47" s="283"/>
      <c r="AH47" s="283"/>
      <c r="AI47" s="283"/>
      <c r="AJ47" s="283"/>
      <c r="AK47" s="283"/>
      <c r="AL47" s="283"/>
      <c r="AM47" s="283"/>
      <c r="AN47" s="283"/>
      <c r="AO47" s="283"/>
      <c r="AP47" s="283"/>
      <c r="AQ47" s="283"/>
      <c r="AR47" s="283"/>
      <c r="AS47" s="283"/>
      <c r="AT47" s="283"/>
      <c r="AU47" s="283"/>
      <c r="AV47" s="283"/>
      <c r="AW47" s="283"/>
      <c r="AX47" s="283"/>
      <c r="AY47" s="283"/>
      <c r="AZ47" s="283"/>
      <c r="BA47" s="283"/>
      <c r="BB47" s="283"/>
      <c r="BC47" s="283"/>
    </row>
    <row r="48" spans="1:56">
      <c r="B48" s="121"/>
      <c r="C48" s="58" t="s">
        <v>1345</v>
      </c>
      <c r="D48" s="121"/>
      <c r="E48" s="121"/>
      <c r="F48" s="121">
        <v>122640</v>
      </c>
      <c r="G48" s="88"/>
      <c r="H48" s="369"/>
      <c r="I48" s="88"/>
      <c r="J48" s="88" t="s">
        <v>954</v>
      </c>
      <c r="K48" s="88" t="s">
        <v>445</v>
      </c>
      <c r="L48" s="88" t="s">
        <v>984</v>
      </c>
      <c r="M48" s="121">
        <v>12</v>
      </c>
      <c r="N48" s="121"/>
      <c r="O48" s="311">
        <f t="shared" ref="O48:X49" si="51">IF(O$2=$K48,$F48/$M48,0)</f>
        <v>0</v>
      </c>
      <c r="P48" s="311">
        <f t="shared" si="51"/>
        <v>0</v>
      </c>
      <c r="Q48" s="311">
        <f t="shared" si="51"/>
        <v>0</v>
      </c>
      <c r="R48" s="311">
        <f t="shared" si="51"/>
        <v>0</v>
      </c>
      <c r="S48" s="311">
        <f t="shared" si="51"/>
        <v>0</v>
      </c>
      <c r="T48" s="311">
        <f t="shared" si="51"/>
        <v>0</v>
      </c>
      <c r="U48" s="311">
        <f t="shared" si="51"/>
        <v>0</v>
      </c>
      <c r="V48" s="311">
        <f t="shared" si="51"/>
        <v>0</v>
      </c>
      <c r="W48" s="311">
        <f t="shared" si="51"/>
        <v>0</v>
      </c>
      <c r="X48" s="311">
        <f t="shared" si="51"/>
        <v>0</v>
      </c>
      <c r="Y48" s="311">
        <f t="shared" ref="Y48:AK49" si="52">IF(Y$2=$K48,$F48/$M48,0)</f>
        <v>0</v>
      </c>
      <c r="Z48" s="311">
        <f t="shared" si="52"/>
        <v>0</v>
      </c>
      <c r="AA48" s="311">
        <f t="shared" si="52"/>
        <v>0</v>
      </c>
      <c r="AB48" s="311">
        <f t="shared" si="52"/>
        <v>0</v>
      </c>
      <c r="AC48" s="311">
        <f t="shared" si="52"/>
        <v>0</v>
      </c>
      <c r="AD48" s="311">
        <f t="shared" si="52"/>
        <v>0</v>
      </c>
      <c r="AE48" s="311">
        <f t="shared" si="52"/>
        <v>0</v>
      </c>
      <c r="AF48" s="311">
        <f t="shared" si="52"/>
        <v>0</v>
      </c>
      <c r="AG48" s="311">
        <f t="shared" si="52"/>
        <v>0</v>
      </c>
      <c r="AH48" s="311">
        <f t="shared" si="52"/>
        <v>0</v>
      </c>
      <c r="AI48" s="311">
        <f t="shared" si="52"/>
        <v>0</v>
      </c>
      <c r="AJ48" s="311">
        <f t="shared" si="52"/>
        <v>0</v>
      </c>
      <c r="AK48" s="311">
        <f t="shared" si="52"/>
        <v>0</v>
      </c>
      <c r="AL48" s="311">
        <f t="shared" ref="AL48:AN49" si="53">IF(AL$2=$K48,$F48/$M48,0)</f>
        <v>0</v>
      </c>
      <c r="AM48" s="311">
        <f t="shared" si="53"/>
        <v>0</v>
      </c>
      <c r="AN48" s="311">
        <f t="shared" si="53"/>
        <v>10220</v>
      </c>
      <c r="AO48" s="311">
        <f>AN48</f>
        <v>10220</v>
      </c>
      <c r="AP48" s="311">
        <f t="shared" ref="AP48:AW49" si="54">AO48</f>
        <v>10220</v>
      </c>
      <c r="AQ48" s="311">
        <f t="shared" si="54"/>
        <v>10220</v>
      </c>
      <c r="AR48" s="311">
        <f t="shared" si="54"/>
        <v>10220</v>
      </c>
      <c r="AS48" s="311">
        <f t="shared" si="54"/>
        <v>10220</v>
      </c>
      <c r="AT48" s="311">
        <f t="shared" si="54"/>
        <v>10220</v>
      </c>
      <c r="AU48" s="311">
        <f t="shared" si="54"/>
        <v>10220</v>
      </c>
      <c r="AV48" s="311">
        <f t="shared" si="54"/>
        <v>10220</v>
      </c>
      <c r="AW48" s="311">
        <f t="shared" si="54"/>
        <v>10220</v>
      </c>
      <c r="AX48" s="311">
        <f t="shared" ref="AX48:AX49" si="55">AW48</f>
        <v>10220</v>
      </c>
      <c r="AY48" s="311">
        <f t="shared" ref="AY48:AY49" si="56">AX48</f>
        <v>10220</v>
      </c>
      <c r="AZ48" s="311"/>
      <c r="BA48" s="311">
        <f t="shared" ref="BA48:BC49" si="57">IF(BA$2=$K48,$F48/$M48,0)</f>
        <v>0</v>
      </c>
      <c r="BB48" s="311">
        <f t="shared" si="57"/>
        <v>0</v>
      </c>
      <c r="BC48" s="311">
        <f t="shared" si="57"/>
        <v>0</v>
      </c>
      <c r="BD48" s="311">
        <f t="shared" ref="BD48" si="58">SUM(O48:BC48)</f>
        <v>122640</v>
      </c>
    </row>
    <row r="49" spans="1:56">
      <c r="B49" s="121"/>
      <c r="C49" s="58" t="s">
        <v>1346</v>
      </c>
      <c r="D49" s="121"/>
      <c r="E49" s="121"/>
      <c r="F49" s="121">
        <v>122400</v>
      </c>
      <c r="G49" s="88"/>
      <c r="H49" s="369"/>
      <c r="I49" s="88"/>
      <c r="J49" s="88" t="s">
        <v>954</v>
      </c>
      <c r="K49" s="88" t="s">
        <v>445</v>
      </c>
      <c r="L49" s="88" t="s">
        <v>984</v>
      </c>
      <c r="M49" s="121">
        <v>12</v>
      </c>
      <c r="N49" s="121"/>
      <c r="O49" s="311">
        <f t="shared" si="51"/>
        <v>0</v>
      </c>
      <c r="P49" s="311">
        <f t="shared" si="51"/>
        <v>0</v>
      </c>
      <c r="Q49" s="311">
        <f t="shared" si="51"/>
        <v>0</v>
      </c>
      <c r="R49" s="311">
        <f t="shared" si="51"/>
        <v>0</v>
      </c>
      <c r="S49" s="311">
        <f t="shared" si="51"/>
        <v>0</v>
      </c>
      <c r="T49" s="311">
        <f t="shared" si="51"/>
        <v>0</v>
      </c>
      <c r="U49" s="311">
        <f t="shared" si="51"/>
        <v>0</v>
      </c>
      <c r="V49" s="311">
        <f t="shared" si="51"/>
        <v>0</v>
      </c>
      <c r="W49" s="311">
        <f t="shared" si="51"/>
        <v>0</v>
      </c>
      <c r="X49" s="311">
        <f t="shared" si="51"/>
        <v>0</v>
      </c>
      <c r="Y49" s="311">
        <f t="shared" si="52"/>
        <v>0</v>
      </c>
      <c r="Z49" s="311">
        <f t="shared" si="52"/>
        <v>0</v>
      </c>
      <c r="AA49" s="311">
        <f t="shared" si="52"/>
        <v>0</v>
      </c>
      <c r="AB49" s="311">
        <f t="shared" si="52"/>
        <v>0</v>
      </c>
      <c r="AC49" s="311">
        <f t="shared" si="52"/>
        <v>0</v>
      </c>
      <c r="AD49" s="311">
        <f t="shared" si="52"/>
        <v>0</v>
      </c>
      <c r="AE49" s="311">
        <f t="shared" si="52"/>
        <v>0</v>
      </c>
      <c r="AF49" s="311">
        <f t="shared" si="52"/>
        <v>0</v>
      </c>
      <c r="AG49" s="311">
        <f t="shared" si="52"/>
        <v>0</v>
      </c>
      <c r="AH49" s="311">
        <f t="shared" si="52"/>
        <v>0</v>
      </c>
      <c r="AI49" s="311">
        <f t="shared" si="52"/>
        <v>0</v>
      </c>
      <c r="AJ49" s="311">
        <f t="shared" si="52"/>
        <v>0</v>
      </c>
      <c r="AK49" s="311">
        <f t="shared" si="52"/>
        <v>0</v>
      </c>
      <c r="AL49" s="311">
        <f t="shared" si="53"/>
        <v>0</v>
      </c>
      <c r="AM49" s="311">
        <f t="shared" si="53"/>
        <v>0</v>
      </c>
      <c r="AN49" s="311">
        <f t="shared" si="53"/>
        <v>10200</v>
      </c>
      <c r="AO49" s="311">
        <f>AN49</f>
        <v>10200</v>
      </c>
      <c r="AP49" s="311">
        <f t="shared" si="54"/>
        <v>10200</v>
      </c>
      <c r="AQ49" s="311">
        <f t="shared" si="54"/>
        <v>10200</v>
      </c>
      <c r="AR49" s="311">
        <f t="shared" si="54"/>
        <v>10200</v>
      </c>
      <c r="AS49" s="311">
        <f t="shared" si="54"/>
        <v>10200</v>
      </c>
      <c r="AT49" s="311">
        <f t="shared" si="54"/>
        <v>10200</v>
      </c>
      <c r="AU49" s="311">
        <f t="shared" si="54"/>
        <v>10200</v>
      </c>
      <c r="AV49" s="311">
        <f t="shared" si="54"/>
        <v>10200</v>
      </c>
      <c r="AW49" s="311">
        <f t="shared" si="54"/>
        <v>10200</v>
      </c>
      <c r="AX49" s="311">
        <f t="shared" si="55"/>
        <v>10200</v>
      </c>
      <c r="AY49" s="311">
        <f t="shared" si="56"/>
        <v>10200</v>
      </c>
      <c r="AZ49" s="311"/>
      <c r="BA49" s="311">
        <f t="shared" si="57"/>
        <v>0</v>
      </c>
      <c r="BB49" s="311">
        <f t="shared" si="57"/>
        <v>0</v>
      </c>
      <c r="BC49" s="311">
        <f t="shared" si="57"/>
        <v>0</v>
      </c>
      <c r="BD49" s="311">
        <f t="shared" ref="BD49" si="59">SUM(O49:BC49)</f>
        <v>122400</v>
      </c>
    </row>
    <row r="50" spans="1:56" s="58" customFormat="1" ht="15.6" thickBot="1">
      <c r="B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58">
        <f>SUM(O44:O49)</f>
        <v>0</v>
      </c>
      <c r="P50" s="58">
        <f t="shared" ref="P50:BC50" si="60">SUM(P44:P49)</f>
        <v>0</v>
      </c>
      <c r="Q50" s="58">
        <f t="shared" si="60"/>
        <v>0</v>
      </c>
      <c r="R50" s="58">
        <f t="shared" si="60"/>
        <v>0</v>
      </c>
      <c r="S50" s="58">
        <f t="shared" si="60"/>
        <v>0</v>
      </c>
      <c r="T50" s="58">
        <f t="shared" si="60"/>
        <v>0</v>
      </c>
      <c r="U50" s="58">
        <f t="shared" si="60"/>
        <v>0</v>
      </c>
      <c r="V50" s="58">
        <f t="shared" si="60"/>
        <v>0</v>
      </c>
      <c r="W50" s="58">
        <f t="shared" si="60"/>
        <v>0</v>
      </c>
      <c r="X50" s="58">
        <f t="shared" si="60"/>
        <v>0</v>
      </c>
      <c r="Y50" s="58">
        <f t="shared" si="60"/>
        <v>0</v>
      </c>
      <c r="Z50" s="58">
        <f t="shared" si="60"/>
        <v>0</v>
      </c>
      <c r="AA50" s="58">
        <f t="shared" si="60"/>
        <v>0</v>
      </c>
      <c r="AB50" s="58">
        <f t="shared" si="60"/>
        <v>0</v>
      </c>
      <c r="AC50" s="58">
        <f t="shared" si="60"/>
        <v>0</v>
      </c>
      <c r="AD50" s="58">
        <f t="shared" si="60"/>
        <v>0</v>
      </c>
      <c r="AE50" s="58">
        <f t="shared" si="60"/>
        <v>0</v>
      </c>
      <c r="AF50" s="58">
        <f t="shared" si="60"/>
        <v>0</v>
      </c>
      <c r="AG50" s="58">
        <f t="shared" si="60"/>
        <v>0</v>
      </c>
      <c r="AH50" s="58">
        <f t="shared" si="60"/>
        <v>36980.885714285716</v>
      </c>
      <c r="AI50" s="58">
        <f t="shared" si="60"/>
        <v>36980.885714285716</v>
      </c>
      <c r="AJ50" s="58">
        <f t="shared" si="60"/>
        <v>36980.885714285716</v>
      </c>
      <c r="AK50" s="58">
        <f t="shared" si="60"/>
        <v>36980.885714285716</v>
      </c>
      <c r="AL50" s="58">
        <f t="shared" si="60"/>
        <v>36980.885714285716</v>
      </c>
      <c r="AM50" s="58">
        <f t="shared" si="60"/>
        <v>36980.885714285716</v>
      </c>
      <c r="AN50" s="58">
        <f t="shared" si="60"/>
        <v>57400.885714285716</v>
      </c>
      <c r="AO50" s="58">
        <f t="shared" si="60"/>
        <v>57400.885714285716</v>
      </c>
      <c r="AP50" s="58">
        <f t="shared" si="60"/>
        <v>57400.885714285716</v>
      </c>
      <c r="AQ50" s="58">
        <f t="shared" si="60"/>
        <v>57400.885714285716</v>
      </c>
      <c r="AR50" s="58">
        <f t="shared" si="60"/>
        <v>57400.885714285716</v>
      </c>
      <c r="AS50" s="58">
        <f t="shared" si="60"/>
        <v>57400.885714285716</v>
      </c>
      <c r="AT50" s="58">
        <f t="shared" si="60"/>
        <v>57400.885714285716</v>
      </c>
      <c r="AU50" s="58">
        <f t="shared" si="60"/>
        <v>57400.885714285716</v>
      </c>
      <c r="AV50" s="58">
        <f t="shared" si="60"/>
        <v>20420</v>
      </c>
      <c r="AW50" s="58">
        <f t="shared" si="60"/>
        <v>20420</v>
      </c>
      <c r="AX50" s="58">
        <f t="shared" si="60"/>
        <v>20420</v>
      </c>
      <c r="AY50" s="58">
        <f t="shared" si="60"/>
        <v>20420</v>
      </c>
      <c r="AZ50" s="58">
        <f t="shared" si="60"/>
        <v>0</v>
      </c>
      <c r="BA50" s="58">
        <f t="shared" si="60"/>
        <v>0</v>
      </c>
      <c r="BB50" s="58">
        <f t="shared" si="60"/>
        <v>0</v>
      </c>
      <c r="BC50" s="58">
        <f t="shared" si="60"/>
        <v>0</v>
      </c>
    </row>
    <row r="51" spans="1:56" s="58" customFormat="1">
      <c r="B51" s="804" t="s">
        <v>1586</v>
      </c>
      <c r="C51" s="794"/>
      <c r="D51" s="795"/>
      <c r="E51" s="795"/>
      <c r="F51" s="795"/>
      <c r="G51" s="796"/>
      <c r="H51" s="797"/>
      <c r="I51" s="796"/>
      <c r="J51" s="796"/>
      <c r="K51" s="798"/>
      <c r="L51" s="121"/>
      <c r="M51" s="121"/>
      <c r="N51" s="121"/>
    </row>
    <row r="52" spans="1:56" s="58" customFormat="1">
      <c r="B52" s="805" t="s">
        <v>1587</v>
      </c>
      <c r="C52" s="799"/>
      <c r="D52" s="800"/>
      <c r="E52" s="800"/>
      <c r="F52" s="800"/>
      <c r="G52" s="801"/>
      <c r="H52" s="802"/>
      <c r="I52" s="801"/>
      <c r="J52" s="801"/>
      <c r="K52" s="803"/>
      <c r="L52" s="121"/>
      <c r="M52" s="121"/>
      <c r="N52" s="121"/>
    </row>
    <row r="53" spans="1:56" s="58" customFormat="1" ht="15.6" thickBot="1">
      <c r="B53" s="806" t="s">
        <v>1588</v>
      </c>
      <c r="C53" s="792"/>
      <c r="D53" s="793"/>
      <c r="E53" s="793"/>
      <c r="F53" s="793"/>
      <c r="G53" s="793"/>
      <c r="H53" s="793"/>
      <c r="I53" s="793"/>
      <c r="J53" s="793"/>
      <c r="K53" s="305"/>
      <c r="L53" s="121"/>
      <c r="M53" s="121"/>
      <c r="N53" s="121"/>
    </row>
    <row r="54" spans="1:56" s="58" customFormat="1">
      <c r="B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</row>
    <row r="55" spans="1:56" s="381" customFormat="1">
      <c r="A55" s="381" t="s">
        <v>423</v>
      </c>
      <c r="B55" s="371"/>
      <c r="C55" s="370" t="s">
        <v>1001</v>
      </c>
      <c r="D55" s="371"/>
      <c r="E55" s="371"/>
      <c r="F55" s="371"/>
      <c r="G55" s="372"/>
      <c r="H55" s="372"/>
      <c r="I55" s="372"/>
      <c r="J55" s="372"/>
      <c r="K55" s="372"/>
      <c r="L55" s="372"/>
      <c r="M55" s="371"/>
      <c r="N55" s="371"/>
      <c r="O55" s="382">
        <v>1</v>
      </c>
      <c r="P55" s="383">
        <v>2</v>
      </c>
      <c r="Q55" s="383">
        <v>3</v>
      </c>
      <c r="R55" s="383">
        <v>4</v>
      </c>
      <c r="S55" s="383">
        <v>5</v>
      </c>
      <c r="T55" s="383">
        <v>6</v>
      </c>
      <c r="U55" s="383">
        <v>7</v>
      </c>
      <c r="V55" s="383">
        <v>8</v>
      </c>
      <c r="W55" s="383">
        <v>9</v>
      </c>
      <c r="X55" s="383">
        <v>10</v>
      </c>
      <c r="Y55" s="383">
        <v>11</v>
      </c>
      <c r="Z55" s="383">
        <v>12</v>
      </c>
      <c r="AA55" s="383">
        <v>13</v>
      </c>
      <c r="AB55" s="383">
        <v>14</v>
      </c>
      <c r="AC55" s="383">
        <v>15</v>
      </c>
      <c r="AD55" s="383">
        <v>16</v>
      </c>
      <c r="AE55" s="383">
        <v>17</v>
      </c>
      <c r="AF55" s="383">
        <v>18</v>
      </c>
      <c r="AG55" s="383">
        <v>19</v>
      </c>
      <c r="AH55" s="383">
        <v>20</v>
      </c>
      <c r="AI55" s="383"/>
      <c r="AJ55" s="383"/>
      <c r="AK55" s="383"/>
      <c r="AL55" s="383"/>
      <c r="AM55" s="383"/>
      <c r="AN55" s="383"/>
      <c r="AO55" s="383"/>
      <c r="AP55" s="383"/>
      <c r="AQ55" s="383"/>
      <c r="AR55" s="383"/>
      <c r="AS55" s="383"/>
      <c r="AT55" s="383"/>
      <c r="AU55" s="383"/>
      <c r="AV55" s="383"/>
      <c r="AW55" s="383"/>
      <c r="AX55" s="383"/>
      <c r="AY55" s="383"/>
      <c r="AZ55" s="383"/>
      <c r="BA55" s="383"/>
      <c r="BB55" s="383"/>
      <c r="BC55" s="383"/>
    </row>
    <row r="56" spans="1:56">
      <c r="C56" s="58" t="s">
        <v>1023</v>
      </c>
      <c r="D56" s="121" t="s">
        <v>459</v>
      </c>
      <c r="E56" s="121" t="s">
        <v>1563</v>
      </c>
      <c r="F56" s="121">
        <v>32781.004774000001</v>
      </c>
      <c r="G56" s="88">
        <v>44671</v>
      </c>
      <c r="H56" s="273">
        <v>2022</v>
      </c>
      <c r="I56" s="88">
        <v>45291</v>
      </c>
      <c r="J56" s="121" t="s">
        <v>514</v>
      </c>
      <c r="K56" s="88" t="s">
        <v>513</v>
      </c>
      <c r="L56" s="88" t="s">
        <v>38</v>
      </c>
      <c r="M56" s="121">
        <v>5</v>
      </c>
      <c r="N56" s="121"/>
      <c r="O56" s="374">
        <f>O57</f>
        <v>0.03</v>
      </c>
      <c r="P56" s="374">
        <f t="shared" ref="P56:U56" si="61">P57-O57</f>
        <v>0.10300000000000001</v>
      </c>
      <c r="Q56" s="374">
        <f t="shared" si="61"/>
        <v>0.21199999999999997</v>
      </c>
      <c r="R56" s="374">
        <f t="shared" si="61"/>
        <v>0.30400000000000005</v>
      </c>
      <c r="S56" s="374">
        <f t="shared" si="61"/>
        <v>0.27200000000000002</v>
      </c>
      <c r="T56" s="374">
        <f t="shared" si="61"/>
        <v>5.8999999999999941E-2</v>
      </c>
      <c r="U56" s="374">
        <f t="shared" si="61"/>
        <v>2.0000000000000018E-2</v>
      </c>
      <c r="V56" s="374"/>
      <c r="W56" s="374"/>
      <c r="X56" s="374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  <c r="AK56" s="283"/>
      <c r="AL56" s="283"/>
      <c r="AM56" s="283"/>
      <c r="AN56" s="283"/>
      <c r="AO56" s="283"/>
      <c r="AP56" s="283"/>
      <c r="AQ56" s="283"/>
      <c r="AR56" s="283"/>
      <c r="AS56" s="283"/>
      <c r="AT56" s="283"/>
      <c r="AU56" s="283"/>
      <c r="AV56" s="283"/>
      <c r="AW56" s="283"/>
      <c r="AX56" s="283"/>
      <c r="AY56" s="283"/>
      <c r="AZ56" s="283"/>
      <c r="BA56" s="283"/>
      <c r="BB56" s="283"/>
      <c r="BC56" s="283"/>
    </row>
    <row r="57" spans="1:56" s="417" customFormat="1">
      <c r="B57" s="420"/>
      <c r="C57" s="429"/>
      <c r="D57" s="420"/>
      <c r="E57" s="420"/>
      <c r="F57" s="420"/>
      <c r="G57" s="421"/>
      <c r="H57" s="421"/>
      <c r="I57" s="421"/>
      <c r="J57" s="421"/>
      <c r="K57" s="421"/>
      <c r="L57" s="421"/>
      <c r="M57" s="420"/>
      <c r="N57" s="420"/>
      <c r="O57" s="422">
        <f>수주내역!K36</f>
        <v>0.03</v>
      </c>
      <c r="P57" s="422">
        <f>수주내역!L36</f>
        <v>0.13300000000000001</v>
      </c>
      <c r="Q57" s="422">
        <f>수주내역!M36</f>
        <v>0.34499999999999997</v>
      </c>
      <c r="R57" s="422">
        <f>수주내역!N36</f>
        <v>0.64900000000000002</v>
      </c>
      <c r="S57" s="422">
        <f>수주내역!O36</f>
        <v>0.92100000000000004</v>
      </c>
      <c r="T57" s="422">
        <f>수주내역!P36</f>
        <v>0.98</v>
      </c>
      <c r="U57" s="422">
        <v>1</v>
      </c>
      <c r="V57" s="422"/>
      <c r="W57" s="422"/>
      <c r="X57" s="422"/>
      <c r="Y57" s="423"/>
      <c r="Z57" s="423"/>
      <c r="AA57" s="423"/>
      <c r="AB57" s="423"/>
      <c r="AC57" s="423"/>
      <c r="AD57" s="423"/>
      <c r="AE57" s="423"/>
      <c r="AF57" s="423"/>
      <c r="AG57" s="423"/>
      <c r="AH57" s="423"/>
      <c r="AI57" s="423"/>
      <c r="AJ57" s="423"/>
      <c r="AK57" s="423"/>
      <c r="AL57" s="423"/>
      <c r="AM57" s="423"/>
      <c r="AN57" s="423"/>
      <c r="AO57" s="423"/>
      <c r="AP57" s="423"/>
      <c r="AQ57" s="423"/>
      <c r="AR57" s="423"/>
      <c r="AS57" s="423"/>
      <c r="AT57" s="423"/>
      <c r="AU57" s="423"/>
      <c r="AV57" s="423"/>
      <c r="AW57" s="423"/>
      <c r="AX57" s="423"/>
      <c r="AY57" s="423"/>
      <c r="AZ57" s="423"/>
      <c r="BA57" s="423"/>
      <c r="BB57" s="423"/>
      <c r="BC57" s="423"/>
    </row>
    <row r="58" spans="1:56">
      <c r="B58" s="79">
        <v>1</v>
      </c>
      <c r="C58" s="58" t="s">
        <v>1030</v>
      </c>
      <c r="D58" s="121"/>
      <c r="E58" s="121"/>
      <c r="F58" s="121"/>
      <c r="G58" s="88"/>
      <c r="H58" s="369"/>
      <c r="I58" s="88"/>
      <c r="J58" s="88"/>
      <c r="K58" s="88"/>
      <c r="L58" s="88"/>
      <c r="M58" s="121">
        <v>10</v>
      </c>
      <c r="N58" s="121"/>
      <c r="O58" s="374">
        <f>O59</f>
        <v>0.03</v>
      </c>
      <c r="P58" s="374">
        <f>P59-O59</f>
        <v>0.10499999999999998</v>
      </c>
      <c r="Q58" s="374">
        <f t="shared" ref="Q58:AA58" si="62">Q59-P59</f>
        <v>0.10499999999999998</v>
      </c>
      <c r="R58" s="374">
        <f t="shared" si="62"/>
        <v>0.10500000000000001</v>
      </c>
      <c r="S58" s="374">
        <f t="shared" si="62"/>
        <v>0.10133333333333333</v>
      </c>
      <c r="T58" s="374">
        <f t="shared" si="62"/>
        <v>0.10133333333333333</v>
      </c>
      <c r="U58" s="374">
        <f t="shared" si="62"/>
        <v>0.10133333333333339</v>
      </c>
      <c r="V58" s="374">
        <f t="shared" si="62"/>
        <v>5.8499999999999996E-2</v>
      </c>
      <c r="W58" s="374">
        <f t="shared" si="62"/>
        <v>5.8499999999999996E-2</v>
      </c>
      <c r="X58" s="374">
        <f t="shared" si="62"/>
        <v>5.8499999999999996E-2</v>
      </c>
      <c r="Y58" s="374">
        <f t="shared" si="62"/>
        <v>5.8499999999999996E-2</v>
      </c>
      <c r="Z58" s="374">
        <f t="shared" si="62"/>
        <v>5.8499999999999996E-2</v>
      </c>
      <c r="AA58" s="374">
        <f t="shared" si="62"/>
        <v>5.8499999999999996E-2</v>
      </c>
      <c r="AB58" s="283"/>
      <c r="AC58" s="283"/>
      <c r="AD58" s="283"/>
      <c r="AE58" s="283"/>
      <c r="AF58" s="283"/>
      <c r="AG58" s="283"/>
      <c r="AH58" s="283"/>
      <c r="AI58" s="283"/>
      <c r="AJ58" s="283"/>
      <c r="AK58" s="283"/>
      <c r="AL58" s="283"/>
      <c r="AM58" s="283"/>
      <c r="AN58" s="283"/>
      <c r="AO58" s="283"/>
      <c r="AP58" s="283"/>
      <c r="AQ58" s="283"/>
      <c r="AR58" s="283"/>
      <c r="AS58" s="283"/>
      <c r="AT58" s="283"/>
      <c r="AU58" s="283"/>
      <c r="AV58" s="283"/>
      <c r="AW58" s="283"/>
      <c r="AX58" s="283"/>
      <c r="AY58" s="283"/>
      <c r="AZ58" s="283"/>
      <c r="BA58" s="283"/>
      <c r="BB58" s="283"/>
      <c r="BC58" s="283"/>
    </row>
    <row r="59" spans="1:56" s="424" customFormat="1">
      <c r="B59" s="425"/>
      <c r="C59" s="429"/>
      <c r="D59" s="425"/>
      <c r="E59" s="425"/>
      <c r="F59" s="425"/>
      <c r="G59" s="426"/>
      <c r="H59" s="426"/>
      <c r="I59" s="426"/>
      <c r="J59" s="426"/>
      <c r="K59" s="426"/>
      <c r="L59" s="426"/>
      <c r="M59" s="425"/>
      <c r="N59" s="425"/>
      <c r="O59" s="427">
        <f>O57</f>
        <v>0.03</v>
      </c>
      <c r="P59" s="427">
        <f>O59+($R$59-$O$59)/3</f>
        <v>0.13499999999999998</v>
      </c>
      <c r="Q59" s="427">
        <f>P59+($R$59-$O$59)/3</f>
        <v>0.23999999999999996</v>
      </c>
      <c r="R59" s="427">
        <f>Q57</f>
        <v>0.34499999999999997</v>
      </c>
      <c r="S59" s="427">
        <f>R59+($U$59-$R$59)/3</f>
        <v>0.4463333333333333</v>
      </c>
      <c r="T59" s="427">
        <f>S59+($U$59-$R$59)/3</f>
        <v>0.54766666666666663</v>
      </c>
      <c r="U59" s="427">
        <f>R57</f>
        <v>0.64900000000000002</v>
      </c>
      <c r="V59" s="427">
        <f>U59+($AA$59-$U$59)/6</f>
        <v>0.70750000000000002</v>
      </c>
      <c r="W59" s="427">
        <f t="shared" ref="W59:Z59" si="63">V59+($AA$59-$U$59)/6</f>
        <v>0.76600000000000001</v>
      </c>
      <c r="X59" s="427">
        <f t="shared" si="63"/>
        <v>0.82450000000000001</v>
      </c>
      <c r="Y59" s="427">
        <f t="shared" si="63"/>
        <v>0.88300000000000001</v>
      </c>
      <c r="Z59" s="427">
        <f t="shared" si="63"/>
        <v>0.9415</v>
      </c>
      <c r="AA59" s="427">
        <f>U57</f>
        <v>1</v>
      </c>
      <c r="AB59" s="427"/>
      <c r="AC59" s="427"/>
      <c r="AD59" s="427"/>
      <c r="AE59" s="427"/>
      <c r="AF59" s="427"/>
      <c r="AG59" s="427"/>
      <c r="AH59" s="427"/>
      <c r="AI59" s="427"/>
      <c r="AJ59" s="427"/>
      <c r="AK59" s="428"/>
      <c r="AL59" s="428"/>
      <c r="AM59" s="428"/>
      <c r="AN59" s="428"/>
      <c r="AO59" s="428"/>
      <c r="AP59" s="428"/>
      <c r="AQ59" s="428"/>
      <c r="AR59" s="428"/>
      <c r="AS59" s="428"/>
      <c r="AT59" s="428"/>
      <c r="AU59" s="428"/>
      <c r="AV59" s="428"/>
      <c r="AW59" s="428"/>
      <c r="AX59" s="428"/>
      <c r="AY59" s="428"/>
      <c r="AZ59" s="428"/>
      <c r="BA59" s="428"/>
      <c r="BB59" s="428"/>
      <c r="BC59" s="428"/>
    </row>
    <row r="60" spans="1:56">
      <c r="B60" s="121"/>
      <c r="C60" s="58"/>
      <c r="D60" s="121"/>
      <c r="E60" s="121"/>
      <c r="F60" s="121"/>
      <c r="G60" s="88"/>
      <c r="H60" s="369"/>
      <c r="I60" s="88"/>
      <c r="J60" s="88"/>
      <c r="K60" s="88"/>
      <c r="L60" s="88"/>
      <c r="M60" s="121"/>
      <c r="N60" s="121"/>
      <c r="O60" s="374"/>
      <c r="P60" s="374"/>
      <c r="Q60" s="374"/>
      <c r="R60" s="374"/>
      <c r="S60" s="374"/>
      <c r="T60" s="374"/>
      <c r="U60" s="374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  <c r="AS60" s="283"/>
      <c r="AT60" s="283"/>
      <c r="AU60" s="283"/>
      <c r="AV60" s="283"/>
      <c r="AW60" s="283"/>
      <c r="AX60" s="283"/>
      <c r="AY60" s="283"/>
      <c r="AZ60" s="283"/>
      <c r="BA60" s="283"/>
      <c r="BB60" s="283"/>
      <c r="BC60" s="283"/>
    </row>
    <row r="61" spans="1:56">
      <c r="B61" s="121"/>
      <c r="C61" s="58"/>
      <c r="D61" s="121"/>
      <c r="E61" s="121"/>
      <c r="F61" s="121"/>
      <c r="G61" s="88"/>
      <c r="H61" s="369"/>
      <c r="I61" s="88"/>
      <c r="J61" s="88"/>
      <c r="K61" s="88"/>
      <c r="L61" s="88"/>
      <c r="M61" s="121"/>
      <c r="N61" s="121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  <c r="AN61" s="283"/>
      <c r="AO61" s="283"/>
      <c r="AP61" s="283"/>
      <c r="AQ61" s="283"/>
      <c r="AR61" s="283"/>
      <c r="AS61" s="283"/>
      <c r="AT61" s="283"/>
      <c r="AU61" s="283"/>
      <c r="AV61" s="283"/>
      <c r="AW61" s="283"/>
      <c r="AX61" s="283"/>
      <c r="AY61" s="283"/>
      <c r="AZ61" s="283"/>
      <c r="BA61" s="283"/>
      <c r="BB61" s="283"/>
      <c r="BC61" s="283"/>
    </row>
    <row r="62" spans="1:56">
      <c r="B62" s="121"/>
      <c r="C62" s="58"/>
      <c r="D62" s="121"/>
      <c r="E62" s="121"/>
      <c r="F62" s="121"/>
      <c r="G62" s="88"/>
      <c r="H62" s="369"/>
      <c r="I62" s="88"/>
      <c r="J62" s="88"/>
      <c r="K62" s="88"/>
      <c r="L62" s="88"/>
      <c r="M62" s="121"/>
      <c r="N62" s="121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  <c r="AL62" s="283"/>
      <c r="AM62" s="283"/>
      <c r="AN62" s="283"/>
      <c r="AO62" s="283"/>
      <c r="AP62" s="283"/>
      <c r="AQ62" s="283"/>
      <c r="AR62" s="283"/>
      <c r="AS62" s="283"/>
      <c r="AT62" s="283"/>
      <c r="AU62" s="283"/>
      <c r="AV62" s="283"/>
      <c r="AW62" s="283"/>
      <c r="AX62" s="283"/>
      <c r="AY62" s="283"/>
      <c r="AZ62" s="283"/>
      <c r="BA62" s="283"/>
      <c r="BB62" s="283"/>
      <c r="BC62" s="283"/>
    </row>
    <row r="63" spans="1:56">
      <c r="B63" s="121"/>
      <c r="C63" s="58"/>
      <c r="D63" s="121"/>
      <c r="E63" s="121"/>
      <c r="F63" s="121"/>
      <c r="G63" s="88"/>
      <c r="H63" s="369"/>
      <c r="I63" s="88"/>
      <c r="J63" s="88"/>
      <c r="K63" s="88"/>
      <c r="L63" s="88"/>
      <c r="M63" s="121"/>
      <c r="N63" s="121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  <c r="AL63" s="283"/>
      <c r="AM63" s="283"/>
      <c r="AN63" s="283"/>
      <c r="AO63" s="283"/>
      <c r="AP63" s="283"/>
      <c r="AQ63" s="283"/>
      <c r="AR63" s="283"/>
      <c r="AS63" s="283"/>
      <c r="AT63" s="283"/>
      <c r="AU63" s="283"/>
      <c r="AV63" s="283"/>
      <c r="AW63" s="283"/>
      <c r="AX63" s="283"/>
      <c r="AY63" s="283"/>
      <c r="AZ63" s="283"/>
      <c r="BA63" s="283"/>
      <c r="BB63" s="283"/>
      <c r="BC63" s="283"/>
    </row>
    <row r="64" spans="1:56">
      <c r="B64" s="121"/>
      <c r="C64" s="58"/>
      <c r="D64" s="121"/>
      <c r="E64" s="121"/>
      <c r="F64" s="121"/>
      <c r="G64" s="88"/>
      <c r="H64" s="369"/>
      <c r="I64" s="88"/>
      <c r="J64" s="88"/>
      <c r="K64" s="88"/>
      <c r="L64" s="88"/>
      <c r="M64" s="121"/>
      <c r="N64" s="121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283"/>
      <c r="AE64" s="283"/>
      <c r="AF64" s="283"/>
      <c r="AG64" s="283"/>
      <c r="AH64" s="283"/>
      <c r="AI64" s="283"/>
      <c r="AJ64" s="283"/>
      <c r="AK64" s="283"/>
      <c r="AL64" s="283"/>
      <c r="AM64" s="283"/>
      <c r="AN64" s="283"/>
      <c r="AO64" s="283"/>
      <c r="AP64" s="283"/>
      <c r="AQ64" s="283"/>
      <c r="AR64" s="283"/>
      <c r="AS64" s="283"/>
      <c r="AT64" s="283"/>
      <c r="AU64" s="283"/>
      <c r="AV64" s="283"/>
      <c r="AW64" s="283"/>
      <c r="AX64" s="283"/>
      <c r="AY64" s="283"/>
      <c r="AZ64" s="283"/>
      <c r="BA64" s="283"/>
      <c r="BB64" s="283"/>
      <c r="BC64" s="283"/>
    </row>
    <row r="65" spans="2:55">
      <c r="B65" s="121"/>
      <c r="C65" s="58"/>
      <c r="D65" s="121"/>
      <c r="E65" s="121"/>
      <c r="F65" s="121"/>
      <c r="G65" s="88"/>
      <c r="H65" s="369"/>
      <c r="I65" s="88"/>
      <c r="J65" s="88"/>
      <c r="K65" s="88"/>
      <c r="L65" s="88"/>
      <c r="M65" s="121"/>
      <c r="N65" s="121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  <c r="AN65" s="283"/>
      <c r="AO65" s="283"/>
      <c r="AP65" s="283"/>
      <c r="AQ65" s="283"/>
      <c r="AR65" s="283"/>
      <c r="AS65" s="283"/>
      <c r="AT65" s="283"/>
      <c r="AU65" s="283"/>
      <c r="AV65" s="283"/>
      <c r="AW65" s="283"/>
      <c r="AX65" s="283"/>
      <c r="AY65" s="283"/>
      <c r="AZ65" s="283"/>
      <c r="BA65" s="283"/>
      <c r="BB65" s="283"/>
      <c r="BC65" s="283"/>
    </row>
    <row r="66" spans="2:55">
      <c r="B66" s="121"/>
      <c r="C66" s="58"/>
      <c r="D66" s="121"/>
      <c r="E66" s="121"/>
      <c r="F66" s="121"/>
      <c r="G66" s="88"/>
      <c r="H66" s="369"/>
      <c r="I66" s="88"/>
      <c r="J66" s="88"/>
      <c r="K66" s="88"/>
      <c r="L66" s="88"/>
      <c r="M66" s="121"/>
      <c r="N66" s="121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  <c r="AQ66" s="283"/>
      <c r="AR66" s="283"/>
      <c r="AS66" s="283"/>
      <c r="AT66" s="283"/>
      <c r="AU66" s="283"/>
      <c r="AV66" s="283"/>
      <c r="AW66" s="283"/>
      <c r="AX66" s="283"/>
      <c r="AY66" s="283"/>
      <c r="AZ66" s="283"/>
      <c r="BA66" s="283"/>
      <c r="BB66" s="283"/>
      <c r="BC66" s="283"/>
    </row>
    <row r="67" spans="2:55">
      <c r="B67" s="121"/>
      <c r="C67" s="58"/>
      <c r="D67" s="121"/>
      <c r="E67" s="121"/>
      <c r="F67" s="121"/>
      <c r="G67" s="88"/>
      <c r="H67" s="369"/>
      <c r="I67" s="88"/>
      <c r="J67" s="88"/>
      <c r="K67" s="88"/>
      <c r="L67" s="88"/>
      <c r="M67" s="121"/>
      <c r="N67" s="121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  <c r="AS67" s="283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</row>
    <row r="68" spans="2:55">
      <c r="B68" s="121"/>
      <c r="C68" s="58"/>
      <c r="D68" s="121"/>
      <c r="E68" s="121"/>
      <c r="F68" s="121"/>
      <c r="G68" s="88"/>
      <c r="H68" s="369"/>
      <c r="I68" s="88"/>
      <c r="J68" s="88"/>
      <c r="K68" s="88"/>
      <c r="L68" s="88"/>
      <c r="M68" s="121"/>
      <c r="N68" s="121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  <c r="AT68" s="283"/>
      <c r="AU68" s="283"/>
      <c r="AV68" s="283"/>
      <c r="AW68" s="283"/>
      <c r="AX68" s="283"/>
      <c r="AY68" s="283"/>
      <c r="AZ68" s="283"/>
      <c r="BA68" s="283"/>
      <c r="BB68" s="283"/>
      <c r="BC68" s="283"/>
    </row>
    <row r="69" spans="2:55">
      <c r="B69" s="121"/>
      <c r="C69" s="58"/>
      <c r="D69" s="121"/>
      <c r="E69" s="121"/>
      <c r="F69" s="121"/>
      <c r="G69" s="88"/>
      <c r="H69" s="369"/>
      <c r="I69" s="88"/>
      <c r="J69" s="88"/>
      <c r="K69" s="88"/>
      <c r="L69" s="88"/>
      <c r="M69" s="121"/>
      <c r="N69" s="121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  <c r="AW69" s="283"/>
      <c r="AX69" s="283"/>
      <c r="AY69" s="283"/>
      <c r="AZ69" s="283"/>
      <c r="BA69" s="283"/>
      <c r="BB69" s="283"/>
      <c r="BC69" s="283"/>
    </row>
    <row r="70" spans="2:55">
      <c r="B70" s="121"/>
      <c r="C70" s="58"/>
      <c r="D70" s="121"/>
      <c r="E70" s="121"/>
      <c r="F70" s="121"/>
      <c r="G70" s="88"/>
      <c r="H70" s="369"/>
      <c r="I70" s="88"/>
      <c r="J70" s="88"/>
      <c r="K70" s="88"/>
      <c r="L70" s="88"/>
      <c r="M70" s="121"/>
      <c r="N70" s="121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  <c r="AT70" s="283"/>
      <c r="AU70" s="283"/>
      <c r="AV70" s="283"/>
      <c r="AW70" s="283"/>
      <c r="AX70" s="283"/>
      <c r="AY70" s="283"/>
      <c r="AZ70" s="283"/>
      <c r="BA70" s="283"/>
      <c r="BB70" s="283"/>
      <c r="BC70" s="283"/>
    </row>
    <row r="71" spans="2:55">
      <c r="B71" s="121"/>
      <c r="C71" s="58"/>
      <c r="D71" s="121"/>
      <c r="E71" s="121"/>
      <c r="F71" s="121"/>
      <c r="G71" s="88"/>
      <c r="H71" s="369"/>
      <c r="I71" s="88"/>
      <c r="J71" s="88"/>
      <c r="K71" s="88"/>
      <c r="L71" s="88"/>
      <c r="M71" s="121"/>
      <c r="N71" s="121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3"/>
      <c r="BC71" s="283"/>
    </row>
    <row r="72" spans="2:55">
      <c r="B72" s="121"/>
      <c r="C72" s="58"/>
      <c r="D72" s="121"/>
      <c r="E72" s="121"/>
      <c r="F72" s="121"/>
      <c r="G72" s="88"/>
      <c r="H72" s="369"/>
      <c r="I72" s="88"/>
      <c r="J72" s="88"/>
      <c r="K72" s="88"/>
      <c r="L72" s="88"/>
      <c r="M72" s="121"/>
      <c r="N72" s="121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/>
      <c r="AN72" s="283"/>
      <c r="AO72" s="283"/>
      <c r="AP72" s="283"/>
      <c r="AQ72" s="283"/>
      <c r="AR72" s="283"/>
      <c r="AS72" s="283"/>
      <c r="AT72" s="283"/>
      <c r="AU72" s="283"/>
      <c r="AV72" s="283"/>
      <c r="AW72" s="283"/>
      <c r="AX72" s="283"/>
      <c r="AY72" s="283"/>
      <c r="AZ72" s="283"/>
      <c r="BA72" s="283"/>
      <c r="BB72" s="283"/>
      <c r="BC72" s="283"/>
    </row>
    <row r="73" spans="2:55">
      <c r="B73" s="121"/>
      <c r="C73" s="58"/>
      <c r="D73" s="121"/>
      <c r="E73" s="121"/>
      <c r="F73" s="121"/>
      <c r="G73" s="88"/>
      <c r="H73" s="369"/>
      <c r="I73" s="88"/>
      <c r="J73" s="88"/>
      <c r="K73" s="88"/>
      <c r="L73" s="88"/>
      <c r="M73" s="121"/>
      <c r="N73" s="121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  <c r="AW73" s="283"/>
      <c r="AX73" s="283"/>
      <c r="AY73" s="283"/>
      <c r="AZ73" s="283"/>
      <c r="BA73" s="283"/>
      <c r="BB73" s="283"/>
      <c r="BC73" s="283"/>
    </row>
    <row r="74" spans="2:55">
      <c r="B74" s="121"/>
      <c r="C74" s="58"/>
      <c r="D74" s="121"/>
      <c r="E74" s="121"/>
      <c r="F74" s="121"/>
      <c r="G74" s="88"/>
      <c r="H74" s="369"/>
      <c r="I74" s="88"/>
      <c r="J74" s="88"/>
      <c r="K74" s="88"/>
      <c r="L74" s="88"/>
      <c r="M74" s="121"/>
      <c r="N74" s="121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/>
      <c r="AN74" s="283"/>
      <c r="AO74" s="283"/>
      <c r="AP74" s="283"/>
      <c r="AQ74" s="283"/>
      <c r="AR74" s="283"/>
      <c r="AS74" s="283"/>
      <c r="AT74" s="283"/>
      <c r="AU74" s="283"/>
      <c r="AV74" s="283"/>
      <c r="AW74" s="283"/>
      <c r="AX74" s="283"/>
      <c r="AY74" s="283"/>
      <c r="AZ74" s="283"/>
      <c r="BA74" s="283"/>
      <c r="BB74" s="283"/>
      <c r="BC74" s="283"/>
    </row>
    <row r="75" spans="2:55">
      <c r="B75" s="121"/>
      <c r="C75" s="58"/>
      <c r="D75" s="121"/>
      <c r="E75" s="121"/>
      <c r="F75" s="121"/>
      <c r="G75" s="88"/>
      <c r="H75" s="369"/>
      <c r="I75" s="88"/>
      <c r="J75" s="88"/>
      <c r="K75" s="88"/>
      <c r="L75" s="88"/>
      <c r="M75" s="121"/>
      <c r="N75" s="121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/>
      <c r="AN75" s="283"/>
      <c r="AO75" s="283"/>
      <c r="AP75" s="283"/>
      <c r="AQ75" s="283"/>
      <c r="AR75" s="283"/>
      <c r="AS75" s="283"/>
      <c r="AT75" s="283"/>
      <c r="AU75" s="283"/>
      <c r="AV75" s="283"/>
      <c r="AW75" s="283"/>
      <c r="AX75" s="283"/>
      <c r="AY75" s="283"/>
      <c r="AZ75" s="283"/>
      <c r="BA75" s="283"/>
      <c r="BB75" s="283"/>
      <c r="BC75" s="283"/>
    </row>
    <row r="76" spans="2:55">
      <c r="B76" s="121"/>
      <c r="C76" s="58"/>
      <c r="D76" s="121"/>
      <c r="E76" s="121"/>
      <c r="F76" s="121"/>
      <c r="G76" s="88"/>
      <c r="H76" s="369"/>
      <c r="I76" s="88"/>
      <c r="J76" s="88"/>
      <c r="K76" s="88"/>
      <c r="L76" s="88"/>
      <c r="M76" s="121"/>
      <c r="N76" s="121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  <c r="AO76" s="283"/>
      <c r="AP76" s="283"/>
      <c r="AQ76" s="283"/>
      <c r="AR76" s="283"/>
      <c r="AS76" s="283"/>
      <c r="AT76" s="283"/>
      <c r="AU76" s="283"/>
      <c r="AV76" s="283"/>
      <c r="AW76" s="283"/>
      <c r="AX76" s="283"/>
      <c r="AY76" s="283"/>
      <c r="AZ76" s="283"/>
      <c r="BA76" s="283"/>
      <c r="BB76" s="283"/>
      <c r="BC76" s="283"/>
    </row>
    <row r="77" spans="2:55">
      <c r="B77" s="121"/>
      <c r="C77" s="58"/>
      <c r="D77" s="121"/>
      <c r="E77" s="121"/>
      <c r="F77" s="121"/>
      <c r="G77" s="88"/>
      <c r="H77" s="369"/>
      <c r="I77" s="88"/>
      <c r="J77" s="88"/>
      <c r="K77" s="88"/>
      <c r="L77" s="88"/>
      <c r="M77" s="121"/>
      <c r="N77" s="121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  <c r="AN77" s="283"/>
      <c r="AO77" s="283"/>
      <c r="AP77" s="283"/>
      <c r="AQ77" s="283"/>
      <c r="AR77" s="283"/>
      <c r="AS77" s="283"/>
      <c r="AT77" s="283"/>
      <c r="AU77" s="283"/>
      <c r="AV77" s="283"/>
      <c r="AW77" s="283"/>
      <c r="AX77" s="283"/>
      <c r="AY77" s="283"/>
      <c r="AZ77" s="283"/>
      <c r="BA77" s="283"/>
      <c r="BB77" s="283"/>
      <c r="BC77" s="283"/>
    </row>
    <row r="78" spans="2:55">
      <c r="B78" s="121"/>
      <c r="C78" s="58"/>
      <c r="D78" s="121"/>
      <c r="E78" s="121"/>
      <c r="F78" s="121"/>
      <c r="G78" s="88"/>
      <c r="H78" s="369"/>
      <c r="I78" s="88"/>
      <c r="J78" s="88"/>
      <c r="K78" s="88"/>
      <c r="L78" s="88"/>
      <c r="M78" s="121"/>
      <c r="N78" s="121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  <c r="AI78" s="283"/>
      <c r="AJ78" s="283"/>
      <c r="AK78" s="283"/>
      <c r="AL78" s="283"/>
      <c r="AM78" s="283"/>
      <c r="AN78" s="283"/>
      <c r="AO78" s="283"/>
      <c r="AP78" s="283"/>
      <c r="AQ78" s="283"/>
      <c r="AR78" s="283"/>
      <c r="AS78" s="283"/>
      <c r="AT78" s="283"/>
      <c r="AU78" s="283"/>
      <c r="AV78" s="283"/>
      <c r="AW78" s="283"/>
      <c r="AX78" s="283"/>
      <c r="AY78" s="283"/>
      <c r="AZ78" s="283"/>
      <c r="BA78" s="283"/>
      <c r="BB78" s="283"/>
      <c r="BC78" s="283"/>
    </row>
    <row r="79" spans="2:55">
      <c r="B79" s="121"/>
      <c r="C79" s="58"/>
      <c r="D79" s="121"/>
      <c r="E79" s="121"/>
      <c r="F79" s="121"/>
      <c r="G79" s="88"/>
      <c r="H79" s="369"/>
      <c r="I79" s="88"/>
      <c r="J79" s="88"/>
      <c r="K79" s="88"/>
      <c r="L79" s="88"/>
      <c r="M79" s="121"/>
      <c r="N79" s="121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  <c r="AN79" s="283"/>
      <c r="AO79" s="283"/>
      <c r="AP79" s="283"/>
      <c r="AQ79" s="283"/>
      <c r="AR79" s="283"/>
      <c r="AS79" s="283"/>
      <c r="AT79" s="283"/>
      <c r="AU79" s="283"/>
      <c r="AV79" s="283"/>
      <c r="AW79" s="283"/>
      <c r="AX79" s="283"/>
      <c r="AY79" s="283"/>
      <c r="AZ79" s="283"/>
      <c r="BA79" s="283"/>
      <c r="BB79" s="283"/>
      <c r="BC79" s="283"/>
    </row>
    <row r="80" spans="2:55">
      <c r="B80" s="121"/>
      <c r="C80" s="58"/>
      <c r="D80" s="121"/>
      <c r="E80" s="121"/>
      <c r="F80" s="121"/>
      <c r="G80" s="88"/>
      <c r="H80" s="369"/>
      <c r="I80" s="88"/>
      <c r="J80" s="88"/>
      <c r="K80" s="88"/>
      <c r="L80" s="88"/>
      <c r="M80" s="121"/>
      <c r="N80" s="121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  <c r="AK80" s="283"/>
      <c r="AL80" s="283"/>
      <c r="AM80" s="283"/>
      <c r="AN80" s="283"/>
      <c r="AO80" s="283"/>
      <c r="AP80" s="283"/>
      <c r="AQ80" s="283"/>
      <c r="AR80" s="283"/>
      <c r="AS80" s="283"/>
      <c r="AT80" s="283"/>
      <c r="AU80" s="283"/>
      <c r="AV80" s="283"/>
      <c r="AW80" s="283"/>
      <c r="AX80" s="283"/>
      <c r="AY80" s="283"/>
      <c r="AZ80" s="283"/>
      <c r="BA80" s="283"/>
      <c r="BB80" s="283"/>
      <c r="BC80" s="283"/>
    </row>
    <row r="81" spans="2:55">
      <c r="B81" s="121"/>
      <c r="C81" s="58"/>
      <c r="D81" s="121"/>
      <c r="E81" s="121"/>
      <c r="F81" s="121"/>
      <c r="G81" s="88"/>
      <c r="H81" s="369"/>
      <c r="I81" s="88"/>
      <c r="J81" s="88"/>
      <c r="K81" s="88"/>
      <c r="L81" s="88"/>
      <c r="M81" s="121"/>
      <c r="N81" s="121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  <c r="AK81" s="283"/>
      <c r="AL81" s="283"/>
      <c r="AM81" s="283"/>
      <c r="AN81" s="283"/>
      <c r="AO81" s="283"/>
      <c r="AP81" s="283"/>
      <c r="AQ81" s="283"/>
      <c r="AR81" s="283"/>
      <c r="AS81" s="283"/>
      <c r="AT81" s="283"/>
      <c r="AU81" s="283"/>
      <c r="AV81" s="283"/>
      <c r="AW81" s="283"/>
      <c r="AX81" s="283"/>
      <c r="AY81" s="283"/>
      <c r="AZ81" s="283"/>
      <c r="BA81" s="283"/>
      <c r="BB81" s="283"/>
      <c r="BC81" s="283"/>
    </row>
    <row r="82" spans="2:55">
      <c r="B82" s="121"/>
      <c r="C82" s="58"/>
      <c r="D82" s="121"/>
      <c r="E82" s="121"/>
      <c r="F82" s="121"/>
      <c r="G82" s="88"/>
      <c r="H82" s="369"/>
      <c r="I82" s="88"/>
      <c r="J82" s="88"/>
      <c r="K82" s="88"/>
      <c r="L82" s="88"/>
      <c r="M82" s="121"/>
      <c r="N82" s="121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  <c r="AK82" s="283"/>
      <c r="AL82" s="283"/>
      <c r="AM82" s="283"/>
      <c r="AN82" s="283"/>
      <c r="AO82" s="283"/>
      <c r="AP82" s="283"/>
      <c r="AQ82" s="283"/>
      <c r="AR82" s="283"/>
      <c r="AS82" s="283"/>
      <c r="AT82" s="283"/>
      <c r="AU82" s="283"/>
      <c r="AV82" s="283"/>
      <c r="AW82" s="283"/>
      <c r="AX82" s="283"/>
      <c r="AY82" s="283"/>
      <c r="AZ82" s="283"/>
      <c r="BA82" s="283"/>
      <c r="BB82" s="283"/>
      <c r="BC82" s="283"/>
    </row>
  </sheetData>
  <phoneticPr fontId="2" type="noConversion"/>
  <conditionalFormatting sqref="A4:M26 A31:M112">
    <cfRule type="expression" dxfId="91" priority="17">
      <formula>$B4=2</formula>
    </cfRule>
    <cfRule type="expression" dxfId="90" priority="18">
      <formula>$B4=1</formula>
    </cfRule>
  </conditionalFormatting>
  <conditionalFormatting sqref="A31:M112 A4:M26">
    <cfRule type="expression" dxfId="89" priority="16">
      <formula>$B4=3</formula>
    </cfRule>
  </conditionalFormatting>
  <conditionalFormatting sqref="C44">
    <cfRule type="expression" dxfId="88" priority="6">
      <formula>$B44=3</formula>
    </cfRule>
    <cfRule type="expression" dxfId="87" priority="7">
      <formula>$B44=2</formula>
    </cfRule>
    <cfRule type="expression" dxfId="86" priority="8">
      <formula>$B44=1</formula>
    </cfRule>
  </conditionalFormatting>
  <conditionalFormatting sqref="C2:I3">
    <cfRule type="expression" dxfId="85" priority="20">
      <formula>$E2="EPC"</formula>
    </cfRule>
    <cfRule type="expression" dxfId="84" priority="21">
      <formula>$E2="Boiler"</formula>
    </cfRule>
    <cfRule type="expression" dxfId="83" priority="22">
      <formula>$E2="BOP"</formula>
    </cfRule>
    <cfRule type="expression" dxfId="82" priority="23">
      <formula>$E2="HRSG"</formula>
    </cfRule>
  </conditionalFormatting>
  <conditionalFormatting sqref="C43:I43">
    <cfRule type="expression" dxfId="81" priority="12">
      <formula>$E43="EPC"</formula>
    </cfRule>
    <cfRule type="expression" dxfId="80" priority="13">
      <formula>$E43="Boiler"</formula>
    </cfRule>
    <cfRule type="expression" dxfId="79" priority="14">
      <formula>$E43="BOP"</formula>
    </cfRule>
    <cfRule type="expression" dxfId="78" priority="15">
      <formula>$E43="HRSG"</formula>
    </cfRule>
  </conditionalFormatting>
  <conditionalFormatting sqref="C1:K1">
    <cfRule type="expression" dxfId="77" priority="28">
      <formula>$E1="EPC"</formula>
    </cfRule>
    <cfRule type="expression" dxfId="76" priority="29">
      <formula>$E1="Boiler"</formula>
    </cfRule>
    <cfRule type="expression" dxfId="75" priority="30">
      <formula>$E1="BOP"</formula>
    </cfRule>
    <cfRule type="expression" dxfId="74" priority="31">
      <formula>$E1="HRSG"</formula>
    </cfRule>
  </conditionalFormatting>
  <conditionalFormatting sqref="O4:BC25">
    <cfRule type="colorScale" priority="125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O44:BC44">
    <cfRule type="colorScale" priority="2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O48:BC49">
    <cfRule type="colorScale" priority="1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5" id="{00000000-000E-0000-0800-000010000000}">
            <xm:f>HRSG!$Z17=3</xm:f>
            <x14:dxf>
              <font>
                <color theme="8"/>
              </font>
            </x14:dxf>
          </x14:cfRule>
          <x14:cfRule type="expression" priority="96" id="{00000000-000E-0000-0800-000011000000}">
            <xm:f>HRSG!$Z17=2</xm:f>
            <x14:dxf>
              <font>
                <color rgb="FF7030A0"/>
              </font>
            </x14:dxf>
          </x14:cfRule>
          <x14:cfRule type="expression" priority="97" id="{00000000-000E-0000-0800-000012000000}">
            <xm:f>HRSG!$Z17=1</xm:f>
            <x14:dxf>
              <font>
                <color theme="4"/>
              </font>
            </x14:dxf>
          </x14:cfRule>
          <xm:sqref>A27:A29 L27:M29</xm:sqref>
        </x14:conditionalFormatting>
        <x14:conditionalFormatting xmlns:xm="http://schemas.microsoft.com/office/excel/2006/main">
          <x14:cfRule type="expression" priority="110" id="{00000000-000E-0000-0800-000010000000}">
            <xm:f>HRSG!#REF!=3</xm:f>
            <x14:dxf>
              <font>
                <color theme="8"/>
              </font>
            </x14:dxf>
          </x14:cfRule>
          <x14:cfRule type="expression" priority="111" id="{00000000-000E-0000-0800-000011000000}">
            <xm:f>HRSG!#REF!=2</xm:f>
            <x14:dxf>
              <font>
                <color rgb="FF7030A0"/>
              </font>
            </x14:dxf>
          </x14:cfRule>
          <x14:cfRule type="expression" priority="112" id="{00000000-000E-0000-0800-000012000000}">
            <xm:f>HRSG!#REF!=1</xm:f>
            <x14:dxf>
              <font>
                <color theme="4"/>
              </font>
            </x14:dxf>
          </x14:cfRule>
          <xm:sqref>A30 L30:M30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789B-725E-43A3-BD28-6DC9292D8AF3}">
  <dimension ref="A1:N25"/>
  <sheetViews>
    <sheetView zoomScaleNormal="100" workbookViewId="0">
      <selection activeCell="D5" sqref="D5"/>
    </sheetView>
  </sheetViews>
  <sheetFormatPr defaultRowHeight="17.399999999999999"/>
  <cols>
    <col min="1" max="1" width="24" bestFit="1" customWidth="1"/>
    <col min="2" max="2" width="9.59765625" bestFit="1" customWidth="1"/>
    <col min="5" max="5" width="12.59765625" customWidth="1"/>
    <col min="7" max="7" width="13.19921875" customWidth="1"/>
    <col min="8" max="8" width="26.69921875" bestFit="1" customWidth="1"/>
    <col min="12" max="12" width="10.59765625" bestFit="1" customWidth="1"/>
    <col min="13" max="13" width="14.8984375" bestFit="1" customWidth="1"/>
    <col min="14" max="14" width="11.5" bestFit="1" customWidth="1"/>
  </cols>
  <sheetData>
    <row r="1" spans="1:14">
      <c r="A1" s="259" t="s">
        <v>1031</v>
      </c>
      <c r="B1" s="259" t="s">
        <v>1127</v>
      </c>
      <c r="C1" s="259" t="s">
        <v>521</v>
      </c>
      <c r="D1" s="260" t="s">
        <v>520</v>
      </c>
      <c r="E1" s="261" t="s">
        <v>519</v>
      </c>
      <c r="F1" s="261" t="s">
        <v>518</v>
      </c>
      <c r="G1" s="261" t="s">
        <v>517</v>
      </c>
      <c r="H1" s="262" t="s">
        <v>516</v>
      </c>
    </row>
    <row r="2" spans="1:14">
      <c r="A2" s="6" t="s">
        <v>574</v>
      </c>
      <c r="B2" s="79" t="s">
        <v>1128</v>
      </c>
      <c r="C2" s="79" t="s">
        <v>430</v>
      </c>
      <c r="D2" s="121">
        <v>46830</v>
      </c>
      <c r="E2" s="88">
        <v>45813</v>
      </c>
      <c r="F2" s="273">
        <v>2025</v>
      </c>
      <c r="G2" s="88">
        <v>47330</v>
      </c>
      <c r="H2" s="120" t="s">
        <v>1061</v>
      </c>
    </row>
    <row r="3" spans="1:14">
      <c r="A3" s="6" t="s">
        <v>1129</v>
      </c>
      <c r="B3" s="79" t="s">
        <v>1128</v>
      </c>
      <c r="C3" s="79" t="s">
        <v>430</v>
      </c>
      <c r="D3" s="121">
        <v>58597.3</v>
      </c>
      <c r="E3" s="88">
        <v>45699</v>
      </c>
      <c r="F3" s="273">
        <v>2025</v>
      </c>
      <c r="G3" s="88">
        <v>47299</v>
      </c>
      <c r="H3" s="120" t="s">
        <v>1057</v>
      </c>
      <c r="M3" t="s">
        <v>1130</v>
      </c>
      <c r="N3" t="s">
        <v>1131</v>
      </c>
    </row>
    <row r="4" spans="1:14">
      <c r="A4" s="6" t="s">
        <v>1132</v>
      </c>
      <c r="B4" s="79" t="s">
        <v>1128</v>
      </c>
      <c r="C4" s="79" t="s">
        <v>430</v>
      </c>
      <c r="D4" s="121">
        <v>41540</v>
      </c>
      <c r="E4" s="88">
        <v>45699</v>
      </c>
      <c r="F4" s="273">
        <v>2025</v>
      </c>
      <c r="G4" s="88">
        <v>47330</v>
      </c>
      <c r="H4" s="120" t="s">
        <v>1060</v>
      </c>
      <c r="L4" t="s">
        <v>1037</v>
      </c>
      <c r="N4" t="s">
        <v>1133</v>
      </c>
    </row>
    <row r="5" spans="1:14">
      <c r="A5" s="381" t="s">
        <v>489</v>
      </c>
      <c r="B5" s="476" t="s">
        <v>1134</v>
      </c>
      <c r="C5" s="476" t="s">
        <v>430</v>
      </c>
      <c r="D5" s="371">
        <v>32941</v>
      </c>
      <c r="E5" s="372">
        <v>45376</v>
      </c>
      <c r="F5" s="477">
        <v>2024</v>
      </c>
      <c r="G5" s="372">
        <v>45930</v>
      </c>
      <c r="H5" s="478" t="s">
        <v>1135</v>
      </c>
      <c r="L5" t="s">
        <v>1136</v>
      </c>
    </row>
    <row r="6" spans="1:14">
      <c r="A6" s="381" t="s">
        <v>475</v>
      </c>
      <c r="B6" s="476" t="s">
        <v>1134</v>
      </c>
      <c r="C6" s="476" t="s">
        <v>429</v>
      </c>
      <c r="D6" s="371">
        <v>11665.001182</v>
      </c>
      <c r="E6" s="372">
        <v>44469</v>
      </c>
      <c r="F6" s="477">
        <v>2021</v>
      </c>
      <c r="G6" s="372">
        <v>45626</v>
      </c>
      <c r="H6" s="478" t="s">
        <v>1137</v>
      </c>
      <c r="L6" t="s">
        <v>1039</v>
      </c>
      <c r="M6" t="s">
        <v>1133</v>
      </c>
    </row>
    <row r="7" spans="1:14">
      <c r="A7" s="381" t="s">
        <v>468</v>
      </c>
      <c r="B7" s="476" t="s">
        <v>1134</v>
      </c>
      <c r="C7" s="476" t="s">
        <v>430</v>
      </c>
      <c r="D7" s="371">
        <v>62692.262372999998</v>
      </c>
      <c r="E7" s="372">
        <v>44435</v>
      </c>
      <c r="F7" s="477">
        <v>2021</v>
      </c>
      <c r="G7" s="372">
        <v>44806</v>
      </c>
      <c r="H7" s="478" t="s">
        <v>1138</v>
      </c>
      <c r="L7" t="s">
        <v>1139</v>
      </c>
      <c r="N7" t="s">
        <v>1133</v>
      </c>
    </row>
    <row r="8" spans="1:14">
      <c r="A8" s="381" t="s">
        <v>473</v>
      </c>
      <c r="B8" s="476" t="s">
        <v>1134</v>
      </c>
      <c r="C8" s="476" t="s">
        <v>430</v>
      </c>
      <c r="D8" s="371">
        <v>16540</v>
      </c>
      <c r="E8" s="372">
        <v>44263</v>
      </c>
      <c r="F8" s="477">
        <v>2021</v>
      </c>
      <c r="G8" s="372">
        <v>44680</v>
      </c>
      <c r="H8" s="478" t="s">
        <v>1138</v>
      </c>
    </row>
    <row r="9" spans="1:14">
      <c r="A9" s="8" t="s">
        <v>1140</v>
      </c>
      <c r="B9" s="79" t="s">
        <v>1128</v>
      </c>
      <c r="C9" s="79" t="s">
        <v>429</v>
      </c>
      <c r="D9" s="121">
        <v>50863</v>
      </c>
      <c r="E9" s="88">
        <v>43210</v>
      </c>
      <c r="F9" s="273">
        <f>YEAR(E9)</f>
        <v>2018</v>
      </c>
      <c r="G9" s="88"/>
      <c r="H9" s="120" t="s">
        <v>1141</v>
      </c>
    </row>
    <row r="10" spans="1:14">
      <c r="A10" s="6" t="s">
        <v>1020</v>
      </c>
      <c r="B10" s="79" t="s">
        <v>1128</v>
      </c>
      <c r="C10" s="79" t="s">
        <v>430</v>
      </c>
      <c r="D10" s="121">
        <v>19198.138160999999</v>
      </c>
      <c r="E10" s="88">
        <v>42734</v>
      </c>
      <c r="F10" s="273">
        <v>2016</v>
      </c>
      <c r="G10" s="88">
        <v>43646</v>
      </c>
      <c r="H10" s="120" t="s">
        <v>1142</v>
      </c>
    </row>
    <row r="11" spans="1:14">
      <c r="A11" s="6" t="s">
        <v>1143</v>
      </c>
      <c r="B11" s="79" t="s">
        <v>1128</v>
      </c>
      <c r="C11" s="79" t="s">
        <v>430</v>
      </c>
      <c r="D11" s="121">
        <v>35020.679462</v>
      </c>
      <c r="E11" s="88">
        <v>42551</v>
      </c>
      <c r="F11" s="273">
        <v>2016</v>
      </c>
      <c r="G11" s="88">
        <v>44440</v>
      </c>
      <c r="H11" s="120" t="s">
        <v>1045</v>
      </c>
    </row>
    <row r="12" spans="1:14" ht="15.6" customHeight="1">
      <c r="A12" s="6" t="s">
        <v>1144</v>
      </c>
      <c r="B12" s="79" t="s">
        <v>1128</v>
      </c>
      <c r="C12" s="79" t="s">
        <v>430</v>
      </c>
      <c r="D12" s="121">
        <v>21473.936613000002</v>
      </c>
      <c r="E12" s="88">
        <v>42480</v>
      </c>
      <c r="F12" s="273">
        <v>2016</v>
      </c>
      <c r="G12" s="88">
        <v>43951</v>
      </c>
      <c r="H12" s="120" t="s">
        <v>1042</v>
      </c>
    </row>
    <row r="13" spans="1:14">
      <c r="A13" s="479" t="s">
        <v>497</v>
      </c>
      <c r="B13" s="276" t="s">
        <v>1145</v>
      </c>
      <c r="C13" s="276" t="s">
        <v>430</v>
      </c>
      <c r="D13" s="274">
        <v>19380</v>
      </c>
      <c r="E13" s="275">
        <v>41761</v>
      </c>
      <c r="F13" s="480">
        <f>YEAR(E13)</f>
        <v>2014</v>
      </c>
      <c r="G13" s="275"/>
      <c r="H13" s="481"/>
    </row>
    <row r="14" spans="1:14">
      <c r="A14" s="8" t="s">
        <v>1083</v>
      </c>
      <c r="B14" s="79" t="s">
        <v>1128</v>
      </c>
      <c r="C14" s="79" t="s">
        <v>429</v>
      </c>
      <c r="D14" s="121">
        <v>5976</v>
      </c>
      <c r="E14" s="88">
        <v>40939</v>
      </c>
      <c r="F14" s="273">
        <f>YEAR(E14)</f>
        <v>2012</v>
      </c>
      <c r="G14" s="88"/>
      <c r="H14" s="481" t="s">
        <v>1131</v>
      </c>
    </row>
    <row r="15" spans="1:14">
      <c r="A15" s="6" t="s">
        <v>456</v>
      </c>
      <c r="B15" s="79" t="s">
        <v>1128</v>
      </c>
      <c r="C15" s="79" t="s">
        <v>430</v>
      </c>
      <c r="D15" s="121">
        <v>24570</v>
      </c>
      <c r="E15" s="88">
        <v>40892</v>
      </c>
      <c r="F15" s="273">
        <v>2011</v>
      </c>
      <c r="G15" s="88">
        <v>42993</v>
      </c>
      <c r="H15" s="120" t="s">
        <v>1146</v>
      </c>
    </row>
    <row r="16" spans="1:14">
      <c r="A16" s="479" t="s">
        <v>1140</v>
      </c>
      <c r="B16" s="276" t="s">
        <v>1128</v>
      </c>
      <c r="C16" s="276" t="s">
        <v>429</v>
      </c>
      <c r="D16" s="274">
        <v>5448</v>
      </c>
      <c r="E16" s="275">
        <v>40816</v>
      </c>
      <c r="F16" s="480">
        <f>YEAR(E16)</f>
        <v>2011</v>
      </c>
      <c r="G16" s="275"/>
      <c r="H16" s="481" t="s">
        <v>1147</v>
      </c>
    </row>
    <row r="17" spans="1:8">
      <c r="A17" s="479" t="s">
        <v>1140</v>
      </c>
      <c r="B17" s="276" t="s">
        <v>1128</v>
      </c>
      <c r="C17" s="276" t="s">
        <v>429</v>
      </c>
      <c r="D17" s="274">
        <v>5510</v>
      </c>
      <c r="E17" s="275">
        <v>40816</v>
      </c>
      <c r="F17" s="480">
        <f>YEAR(E17)</f>
        <v>2011</v>
      </c>
      <c r="G17" s="275"/>
      <c r="H17" s="481" t="s">
        <v>1147</v>
      </c>
    </row>
    <row r="18" spans="1:8">
      <c r="A18" s="6" t="s">
        <v>1148</v>
      </c>
      <c r="B18" s="79" t="s">
        <v>1128</v>
      </c>
      <c r="C18" s="79" t="s">
        <v>430</v>
      </c>
      <c r="D18" s="121">
        <v>41843.587267000003</v>
      </c>
      <c r="E18" s="88">
        <v>40722</v>
      </c>
      <c r="F18" s="273">
        <v>2011</v>
      </c>
      <c r="G18" s="88">
        <v>43235</v>
      </c>
      <c r="H18" s="120" t="s">
        <v>1149</v>
      </c>
    </row>
    <row r="19" spans="1:8">
      <c r="A19" s="8" t="s">
        <v>1140</v>
      </c>
      <c r="B19" s="79" t="s">
        <v>1128</v>
      </c>
      <c r="C19" s="79" t="s">
        <v>429</v>
      </c>
      <c r="D19" s="121">
        <v>5841</v>
      </c>
      <c r="E19" s="88">
        <v>40400</v>
      </c>
      <c r="F19" s="273">
        <f>YEAR(E19)</f>
        <v>2010</v>
      </c>
      <c r="G19" s="88">
        <v>41516</v>
      </c>
      <c r="H19" s="120" t="s">
        <v>1150</v>
      </c>
    </row>
    <row r="20" spans="1:8">
      <c r="A20" s="8" t="s">
        <v>1140</v>
      </c>
      <c r="B20" s="79" t="s">
        <v>1128</v>
      </c>
      <c r="C20" s="79" t="s">
        <v>429</v>
      </c>
      <c r="D20" s="121">
        <v>82691</v>
      </c>
      <c r="E20" s="88">
        <v>40295</v>
      </c>
      <c r="F20" s="273">
        <f>YEAR(E20)</f>
        <v>2010</v>
      </c>
      <c r="G20" s="88">
        <v>41790</v>
      </c>
      <c r="H20" s="120" t="s">
        <v>1151</v>
      </c>
    </row>
    <row r="21" spans="1:8">
      <c r="H21" s="120"/>
    </row>
    <row r="22" spans="1:8">
      <c r="B22" s="8">
        <v>2024</v>
      </c>
      <c r="C22" s="8">
        <v>2025</v>
      </c>
      <c r="D22" s="8">
        <v>2026</v>
      </c>
      <c r="E22" s="8">
        <v>2027</v>
      </c>
      <c r="F22" s="8"/>
      <c r="H22" s="120"/>
    </row>
    <row r="23" spans="1:8">
      <c r="A23" s="8" t="s">
        <v>1152</v>
      </c>
      <c r="B23">
        <v>10</v>
      </c>
      <c r="C23">
        <v>39</v>
      </c>
      <c r="D23">
        <v>39</v>
      </c>
      <c r="E23">
        <v>39</v>
      </c>
      <c r="H23" s="120" t="s">
        <v>1153</v>
      </c>
    </row>
    <row r="25" spans="1:8">
      <c r="B25" s="482"/>
      <c r="C25" s="483"/>
      <c r="D25" s="483"/>
      <c r="E25" s="483"/>
      <c r="F25" s="483"/>
    </row>
  </sheetData>
  <phoneticPr fontId="2" type="noConversion"/>
  <conditionalFormatting sqref="A1:G1">
    <cfRule type="expression" dxfId="73" priority="1">
      <formula>$C55="EPC"</formula>
    </cfRule>
    <cfRule type="expression" dxfId="72" priority="2">
      <formula>$C55="Boiler"</formula>
    </cfRule>
    <cfRule type="expression" dxfId="71" priority="3">
      <formula>$C55="BOP"</formula>
    </cfRule>
    <cfRule type="expression" dxfId="70" priority="4">
      <formula>$C55="HRSG"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3EB4-7DA2-48AC-9C5E-EE3AB4989029}">
  <dimension ref="A1:BP87"/>
  <sheetViews>
    <sheetView zoomScale="85" zoomScaleNormal="85" workbookViewId="0">
      <pane xSplit="7" ySplit="2" topLeftCell="H15" activePane="bottomRight" state="frozen"/>
      <selection pane="topRight" activeCell="H1" sqref="H1"/>
      <selection pane="bottomLeft" activeCell="A3" sqref="A3"/>
      <selection pane="bottomRight" activeCell="BF40" sqref="BF40:BJ57"/>
    </sheetView>
  </sheetViews>
  <sheetFormatPr defaultRowHeight="15" customHeight="1"/>
  <cols>
    <col min="1" max="1" width="1.69921875" style="6" customWidth="1"/>
    <col min="2" max="2" width="8.796875" style="79"/>
    <col min="3" max="3" width="5.296875" style="79" bestFit="1" customWidth="1"/>
    <col min="4" max="4" width="11.59765625" style="79" bestFit="1" customWidth="1"/>
    <col min="5" max="5" width="27.3984375" style="6" customWidth="1"/>
    <col min="6" max="6" width="11.69921875" style="6" bestFit="1" customWidth="1"/>
    <col min="7" max="7" width="11.5" style="6" bestFit="1" customWidth="1"/>
    <col min="8" max="8" width="6.69921875" style="6" customWidth="1"/>
    <col min="9" max="15" width="8.69921875" style="6" customWidth="1"/>
    <col min="16" max="16" width="9.19921875" style="58" customWidth="1"/>
    <col min="17" max="17" width="1.69921875" style="118" customWidth="1"/>
    <col min="18" max="18" width="8.796875" style="118" customWidth="1"/>
    <col min="19" max="52" width="8.796875" style="6"/>
    <col min="53" max="53" width="8.796875" style="118"/>
    <col min="54" max="55" width="8.796875" style="6"/>
    <col min="56" max="56" width="8.796875" style="6" customWidth="1"/>
    <col min="57" max="57" width="8.796875" style="381"/>
    <col min="58" max="58" width="18.69921875" style="381" bestFit="1" customWidth="1"/>
    <col min="59" max="63" width="8.796875" style="381"/>
    <col min="64" max="64" width="18.69921875" style="381" bestFit="1" customWidth="1"/>
    <col min="65" max="16384" width="8.796875" style="381"/>
  </cols>
  <sheetData>
    <row r="1" spans="1:68" ht="15" customHeight="1">
      <c r="A1" s="122"/>
      <c r="B1" s="248"/>
      <c r="C1" s="248"/>
      <c r="D1" s="248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333"/>
      <c r="Q1" s="123"/>
      <c r="R1" s="322">
        <f t="shared" ref="R1:AZ1" si="0">2000+RIGHT(R2,2)</f>
        <v>2025</v>
      </c>
      <c r="S1" s="322">
        <f t="shared" si="0"/>
        <v>2025</v>
      </c>
      <c r="T1" s="322">
        <f t="shared" si="0"/>
        <v>2025</v>
      </c>
      <c r="U1" s="322">
        <f t="shared" si="0"/>
        <v>2026</v>
      </c>
      <c r="V1" s="322">
        <f t="shared" si="0"/>
        <v>2026</v>
      </c>
      <c r="W1" s="322">
        <f t="shared" si="0"/>
        <v>2026</v>
      </c>
      <c r="X1" s="322">
        <f t="shared" si="0"/>
        <v>2026</v>
      </c>
      <c r="Y1" s="322">
        <f t="shared" si="0"/>
        <v>2027</v>
      </c>
      <c r="Z1" s="322">
        <f t="shared" si="0"/>
        <v>2027</v>
      </c>
      <c r="AA1" s="322">
        <f t="shared" si="0"/>
        <v>2027</v>
      </c>
      <c r="AB1" s="322">
        <f t="shared" si="0"/>
        <v>2027</v>
      </c>
      <c r="AC1" s="322">
        <f t="shared" si="0"/>
        <v>2028</v>
      </c>
      <c r="AD1" s="322">
        <f t="shared" si="0"/>
        <v>2028</v>
      </c>
      <c r="AE1" s="322">
        <f t="shared" si="0"/>
        <v>2028</v>
      </c>
      <c r="AF1" s="322">
        <f t="shared" si="0"/>
        <v>2028</v>
      </c>
      <c r="AG1" s="322">
        <f t="shared" si="0"/>
        <v>2029</v>
      </c>
      <c r="AH1" s="322">
        <f t="shared" si="0"/>
        <v>2029</v>
      </c>
      <c r="AI1" s="322">
        <f t="shared" si="0"/>
        <v>2029</v>
      </c>
      <c r="AJ1" s="322">
        <f t="shared" si="0"/>
        <v>2029</v>
      </c>
      <c r="AK1" s="322">
        <f t="shared" si="0"/>
        <v>2030</v>
      </c>
      <c r="AL1" s="322">
        <f t="shared" si="0"/>
        <v>2030</v>
      </c>
      <c r="AM1" s="322">
        <f t="shared" si="0"/>
        <v>2030</v>
      </c>
      <c r="AN1" s="322">
        <f t="shared" si="0"/>
        <v>2030</v>
      </c>
      <c r="AO1" s="322">
        <f t="shared" si="0"/>
        <v>2031</v>
      </c>
      <c r="AP1" s="322">
        <f t="shared" si="0"/>
        <v>2031</v>
      </c>
      <c r="AQ1" s="322">
        <f t="shared" si="0"/>
        <v>2031</v>
      </c>
      <c r="AR1" s="322">
        <f t="shared" si="0"/>
        <v>2031</v>
      </c>
      <c r="AS1" s="322">
        <f t="shared" si="0"/>
        <v>2032</v>
      </c>
      <c r="AT1" s="322">
        <f t="shared" si="0"/>
        <v>2032</v>
      </c>
      <c r="AU1" s="322">
        <f t="shared" si="0"/>
        <v>2032</v>
      </c>
      <c r="AV1" s="322">
        <f t="shared" si="0"/>
        <v>2032</v>
      </c>
      <c r="AW1" s="322">
        <f t="shared" si="0"/>
        <v>2033</v>
      </c>
      <c r="AX1" s="322">
        <f t="shared" si="0"/>
        <v>2033</v>
      </c>
      <c r="AY1" s="322">
        <f t="shared" si="0"/>
        <v>2033</v>
      </c>
      <c r="AZ1" s="322">
        <f t="shared" si="0"/>
        <v>2033</v>
      </c>
      <c r="BA1" s="123"/>
      <c r="BB1" s="122"/>
      <c r="BC1" s="122"/>
      <c r="BD1" s="122"/>
    </row>
    <row r="2" spans="1:68" ht="15" customHeight="1">
      <c r="A2" s="122"/>
      <c r="B2" s="126"/>
      <c r="C2" s="126" t="s">
        <v>521</v>
      </c>
      <c r="D2" s="126" t="s">
        <v>1031</v>
      </c>
      <c r="E2" s="126" t="s">
        <v>522</v>
      </c>
      <c r="F2" s="126" t="s">
        <v>705</v>
      </c>
      <c r="G2" s="126" t="s">
        <v>520</v>
      </c>
      <c r="H2" s="126" t="s">
        <v>704</v>
      </c>
      <c r="I2" s="125" t="s">
        <v>519</v>
      </c>
      <c r="J2" s="125" t="s">
        <v>518</v>
      </c>
      <c r="K2" s="126" t="s">
        <v>1032</v>
      </c>
      <c r="L2" s="126" t="s">
        <v>529</v>
      </c>
      <c r="M2" s="126" t="s">
        <v>1033</v>
      </c>
      <c r="N2" s="126" t="s">
        <v>517</v>
      </c>
      <c r="O2" s="126" t="s">
        <v>1034</v>
      </c>
      <c r="P2" s="124"/>
      <c r="Q2" s="123"/>
      <c r="R2" s="310" t="s">
        <v>1161</v>
      </c>
      <c r="S2" s="310" t="s">
        <v>990</v>
      </c>
      <c r="T2" s="310" t="s">
        <v>982</v>
      </c>
      <c r="U2" s="310" t="s">
        <v>953</v>
      </c>
      <c r="V2" s="310" t="s">
        <v>939</v>
      </c>
      <c r="W2" s="310" t="s">
        <v>954</v>
      </c>
      <c r="X2" s="310" t="s">
        <v>940</v>
      </c>
      <c r="Y2" s="310" t="s">
        <v>943</v>
      </c>
      <c r="Z2" s="310" t="s">
        <v>944</v>
      </c>
      <c r="AA2" s="310" t="s">
        <v>941</v>
      </c>
      <c r="AB2" s="310" t="s">
        <v>942</v>
      </c>
      <c r="AC2" s="310" t="s">
        <v>945</v>
      </c>
      <c r="AD2" s="310" t="s">
        <v>946</v>
      </c>
      <c r="AE2" s="310" t="s">
        <v>955</v>
      </c>
      <c r="AF2" s="310" t="s">
        <v>949</v>
      </c>
      <c r="AG2" s="310" t="s">
        <v>947</v>
      </c>
      <c r="AH2" s="310" t="s">
        <v>956</v>
      </c>
      <c r="AI2" s="310" t="s">
        <v>957</v>
      </c>
      <c r="AJ2" s="310" t="s">
        <v>958</v>
      </c>
      <c r="AK2" s="310" t="s">
        <v>960</v>
      </c>
      <c r="AL2" s="310" t="s">
        <v>961</v>
      </c>
      <c r="AM2" s="310" t="s">
        <v>962</v>
      </c>
      <c r="AN2" s="310" t="s">
        <v>963</v>
      </c>
      <c r="AO2" s="310" t="s">
        <v>964</v>
      </c>
      <c r="AP2" s="310" t="s">
        <v>965</v>
      </c>
      <c r="AQ2" s="310" t="s">
        <v>966</v>
      </c>
      <c r="AR2" s="310" t="s">
        <v>967</v>
      </c>
      <c r="AS2" s="310" t="s">
        <v>968</v>
      </c>
      <c r="AT2" s="310" t="s">
        <v>969</v>
      </c>
      <c r="AU2" s="310" t="s">
        <v>970</v>
      </c>
      <c r="AV2" s="310" t="s">
        <v>971</v>
      </c>
      <c r="AW2" s="310" t="s">
        <v>972</v>
      </c>
      <c r="AX2" s="310" t="s">
        <v>973</v>
      </c>
      <c r="AY2" s="310" t="s">
        <v>974</v>
      </c>
      <c r="AZ2" s="310" t="s">
        <v>975</v>
      </c>
      <c r="BA2" s="123"/>
      <c r="BB2" s="122"/>
      <c r="BC2" s="122"/>
      <c r="BD2" s="122"/>
    </row>
    <row r="3" spans="1:68" ht="15" customHeight="1">
      <c r="B3" s="165"/>
      <c r="C3" s="165"/>
      <c r="D3" s="165"/>
      <c r="E3" s="165"/>
      <c r="F3" s="165"/>
      <c r="G3" s="165"/>
      <c r="H3" s="165"/>
      <c r="I3" s="164"/>
      <c r="J3" s="164"/>
      <c r="K3" s="165"/>
      <c r="L3" s="164"/>
      <c r="M3" s="164"/>
      <c r="N3" s="165"/>
      <c r="O3" s="165"/>
      <c r="P3" s="306"/>
      <c r="BA3" s="118" t="s">
        <v>512</v>
      </c>
    </row>
    <row r="4" spans="1:68" s="431" customFormat="1" ht="15" customHeight="1">
      <c r="A4" s="281" t="s">
        <v>423</v>
      </c>
      <c r="B4" s="360" t="s">
        <v>989</v>
      </c>
      <c r="C4" s="360"/>
      <c r="D4" s="360"/>
      <c r="E4" s="360"/>
      <c r="F4" s="360"/>
      <c r="G4" s="360"/>
      <c r="H4" s="360"/>
      <c r="I4" s="361"/>
      <c r="J4" s="361"/>
      <c r="K4" s="360"/>
      <c r="L4" s="361"/>
      <c r="M4" s="361"/>
      <c r="N4" s="360"/>
      <c r="O4" s="360"/>
      <c r="P4" s="362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4" t="s">
        <v>959</v>
      </c>
      <c r="BB4" s="363"/>
      <c r="BC4" s="363"/>
      <c r="BD4" s="363"/>
    </row>
    <row r="5" spans="1:68" ht="15" customHeight="1">
      <c r="E5" s="351" t="s">
        <v>979</v>
      </c>
      <c r="R5" s="312">
        <f>SUMIF($E$9:$E$87,$E5,R$9:R$87)</f>
        <v>8645.1176470588234</v>
      </c>
      <c r="S5" s="312">
        <f t="shared" ref="S5:AZ7" si="1">SUMIF($E$9:$E$87,$E5,S$9:S$87)</f>
        <v>11063.916280076699</v>
      </c>
      <c r="T5" s="312">
        <f t="shared" si="1"/>
        <v>11063.916280076699</v>
      </c>
      <c r="U5" s="312">
        <f t="shared" si="1"/>
        <v>11063.916280076699</v>
      </c>
      <c r="V5" s="312">
        <f t="shared" si="1"/>
        <v>11063.916280076699</v>
      </c>
      <c r="W5" s="312">
        <f t="shared" si="1"/>
        <v>11063.916280076699</v>
      </c>
      <c r="X5" s="312">
        <f t="shared" si="1"/>
        <v>11063.916280076699</v>
      </c>
      <c r="Y5" s="312">
        <f t="shared" si="1"/>
        <v>11063.916280076699</v>
      </c>
      <c r="Z5" s="312">
        <f t="shared" si="1"/>
        <v>19705.092750664931</v>
      </c>
      <c r="AA5" s="312">
        <f t="shared" si="1"/>
        <v>32517.483016550461</v>
      </c>
      <c r="AB5" s="312">
        <f t="shared" si="1"/>
        <v>32517.483016550461</v>
      </c>
      <c r="AC5" s="312">
        <f t="shared" si="1"/>
        <v>30098.684383532585</v>
      </c>
      <c r="AD5" s="312">
        <f t="shared" si="1"/>
        <v>69058.344407322875</v>
      </c>
      <c r="AE5" s="312">
        <f t="shared" si="1"/>
        <v>84706.660305749931</v>
      </c>
      <c r="AF5" s="312">
        <f t="shared" si="1"/>
        <v>84706.660305749931</v>
      </c>
      <c r="AG5" s="312">
        <f t="shared" si="1"/>
        <v>84706.660305749931</v>
      </c>
      <c r="AH5" s="312">
        <f t="shared" si="1"/>
        <v>109458.6451883752</v>
      </c>
      <c r="AI5" s="312">
        <f t="shared" si="1"/>
        <v>100813.52754131638</v>
      </c>
      <c r="AJ5" s="312">
        <f t="shared" si="1"/>
        <v>100813.52754131638</v>
      </c>
      <c r="AK5" s="312">
        <f t="shared" si="1"/>
        <v>98394.728908298493</v>
      </c>
      <c r="AL5" s="312">
        <f t="shared" si="1"/>
        <v>119061.57626932493</v>
      </c>
      <c r="AM5" s="312">
        <f t="shared" si="1"/>
        <v>119061.57626932493</v>
      </c>
      <c r="AN5" s="312">
        <f t="shared" si="1"/>
        <v>119061.57626932493</v>
      </c>
      <c r="AO5" s="312">
        <f t="shared" si="1"/>
        <v>116116.61040120252</v>
      </c>
      <c r="AP5" s="312">
        <f t="shared" si="1"/>
        <v>114545.96193820389</v>
      </c>
      <c r="AQ5" s="312">
        <f t="shared" si="1"/>
        <v>105904.78546761567</v>
      </c>
      <c r="AR5" s="312">
        <f t="shared" si="1"/>
        <v>95511.193834748003</v>
      </c>
      <c r="AS5" s="312">
        <f t="shared" si="1"/>
        <v>91741.637523551311</v>
      </c>
      <c r="AT5" s="312">
        <f t="shared" si="1"/>
        <v>99648.002437971329</v>
      </c>
      <c r="AU5" s="312">
        <f t="shared" si="1"/>
        <v>70421.601390643889</v>
      </c>
      <c r="AV5" s="312">
        <f t="shared" si="1"/>
        <v>49555.640846875031</v>
      </c>
      <c r="AW5" s="312">
        <f t="shared" si="1"/>
        <v>49555.640846875031</v>
      </c>
      <c r="AX5" s="312">
        <f t="shared" si="1"/>
        <v>49555.640846875031</v>
      </c>
      <c r="AY5" s="312">
        <f t="shared" si="1"/>
        <v>28573.212275446458</v>
      </c>
      <c r="AZ5" s="312">
        <f t="shared" si="1"/>
        <v>28573.212275446458</v>
      </c>
    </row>
    <row r="6" spans="1:68" ht="15" customHeight="1">
      <c r="E6" s="341" t="s">
        <v>981</v>
      </c>
      <c r="R6" s="312">
        <f>SUMIF($E$9:$E$87,$E6,R$9:R$87)</f>
        <v>8645.1176470588234</v>
      </c>
      <c r="S6" s="312">
        <f t="shared" si="1"/>
        <v>11063.916280076699</v>
      </c>
      <c r="T6" s="312">
        <f t="shared" si="1"/>
        <v>11063.916280076699</v>
      </c>
      <c r="U6" s="312">
        <f t="shared" si="1"/>
        <v>11063.916280076699</v>
      </c>
      <c r="V6" s="312">
        <f t="shared" si="1"/>
        <v>11063.916280076699</v>
      </c>
      <c r="W6" s="312">
        <f t="shared" si="1"/>
        <v>11063.916280076699</v>
      </c>
      <c r="X6" s="312">
        <f t="shared" si="1"/>
        <v>11063.916280076699</v>
      </c>
      <c r="Y6" s="312">
        <f t="shared" si="1"/>
        <v>11063.916280076699</v>
      </c>
      <c r="Z6" s="312">
        <f t="shared" si="1"/>
        <v>19705.092750664931</v>
      </c>
      <c r="AA6" s="312">
        <f t="shared" si="1"/>
        <v>25209.542644187008</v>
      </c>
      <c r="AB6" s="312">
        <f t="shared" si="1"/>
        <v>25209.542644187008</v>
      </c>
      <c r="AC6" s="312">
        <f t="shared" si="1"/>
        <v>22790.744011169132</v>
      </c>
      <c r="AD6" s="312">
        <f t="shared" si="1"/>
        <v>38861.844333073066</v>
      </c>
      <c r="AE6" s="312">
        <f t="shared" si="1"/>
        <v>45033.146854081468</v>
      </c>
      <c r="AF6" s="312">
        <f t="shared" si="1"/>
        <v>45033.146854081468</v>
      </c>
      <c r="AG6" s="312">
        <f t="shared" si="1"/>
        <v>45033.146854081468</v>
      </c>
      <c r="AH6" s="312">
        <f t="shared" si="1"/>
        <v>67900.353581108386</v>
      </c>
      <c r="AI6" s="312">
        <f t="shared" si="1"/>
        <v>59255.23593404956</v>
      </c>
      <c r="AJ6" s="312">
        <f t="shared" si="1"/>
        <v>59255.23593404956</v>
      </c>
      <c r="AK6" s="312">
        <f t="shared" si="1"/>
        <v>56836.437301031685</v>
      </c>
      <c r="AL6" s="312">
        <f t="shared" si="1"/>
        <v>63007.739822040094</v>
      </c>
      <c r="AM6" s="312">
        <f t="shared" si="1"/>
        <v>63007.739822040094</v>
      </c>
      <c r="AN6" s="312">
        <f t="shared" si="1"/>
        <v>63007.739822040094</v>
      </c>
      <c r="AO6" s="312">
        <f t="shared" si="1"/>
        <v>60062.773953917669</v>
      </c>
      <c r="AP6" s="312">
        <f t="shared" si="1"/>
        <v>60062.773953917669</v>
      </c>
      <c r="AQ6" s="312">
        <f t="shared" si="1"/>
        <v>51421.597483329446</v>
      </c>
      <c r="AR6" s="312">
        <f t="shared" si="1"/>
        <v>48335.946222825238</v>
      </c>
      <c r="AS6" s="312">
        <f t="shared" si="1"/>
        <v>46451.168067226892</v>
      </c>
      <c r="AT6" s="312">
        <f t="shared" si="1"/>
        <v>46451.168067226892</v>
      </c>
      <c r="AU6" s="312">
        <f t="shared" si="1"/>
        <v>33325.033613445383</v>
      </c>
      <c r="AV6" s="312">
        <f t="shared" si="1"/>
        <v>27153.731092436974</v>
      </c>
      <c r="AW6" s="312">
        <f t="shared" si="1"/>
        <v>27153.731092436974</v>
      </c>
      <c r="AX6" s="312">
        <f t="shared" si="1"/>
        <v>27153.731092436974</v>
      </c>
      <c r="AY6" s="312">
        <f t="shared" si="1"/>
        <v>6171.3025210084043</v>
      </c>
      <c r="AZ6" s="312">
        <f t="shared" si="1"/>
        <v>6171.3025210084043</v>
      </c>
    </row>
    <row r="7" spans="1:68" ht="15" customHeight="1">
      <c r="E7" s="337" t="s">
        <v>980</v>
      </c>
      <c r="R7" s="312">
        <f>SUMIF($E$9:$E$87,$E7,R$9:R$87)</f>
        <v>8645.1176470588234</v>
      </c>
      <c r="S7" s="312">
        <f t="shared" si="1"/>
        <v>11063.916280076699</v>
      </c>
      <c r="T7" s="312">
        <f t="shared" si="1"/>
        <v>11063.916280076699</v>
      </c>
      <c r="U7" s="312">
        <f t="shared" si="1"/>
        <v>11063.916280076699</v>
      </c>
      <c r="V7" s="312">
        <f t="shared" si="1"/>
        <v>11063.916280076699</v>
      </c>
      <c r="W7" s="312">
        <f t="shared" si="1"/>
        <v>11063.916280076699</v>
      </c>
      <c r="X7" s="312">
        <f t="shared" si="1"/>
        <v>11063.916280076699</v>
      </c>
      <c r="Y7" s="312">
        <f t="shared" si="1"/>
        <v>11063.916280076699</v>
      </c>
      <c r="Z7" s="312">
        <f t="shared" si="1"/>
        <v>19705.092750664931</v>
      </c>
      <c r="AA7" s="312">
        <f t="shared" si="1"/>
        <v>22123.891383682807</v>
      </c>
      <c r="AB7" s="312">
        <f t="shared" si="1"/>
        <v>22123.891383682807</v>
      </c>
      <c r="AC7" s="312">
        <f t="shared" si="1"/>
        <v>19705.092750664931</v>
      </c>
      <c r="AD7" s="312">
        <f t="shared" si="1"/>
        <v>29604.890551560457</v>
      </c>
      <c r="AE7" s="312">
        <f t="shared" si="1"/>
        <v>35776.193072568858</v>
      </c>
      <c r="AF7" s="312">
        <f t="shared" si="1"/>
        <v>35776.193072568858</v>
      </c>
      <c r="AG7" s="312">
        <f t="shared" si="1"/>
        <v>35776.193072568858</v>
      </c>
      <c r="AH7" s="312">
        <f t="shared" si="1"/>
        <v>35776.193072568858</v>
      </c>
      <c r="AI7" s="312">
        <f t="shared" si="1"/>
        <v>27131.075425510036</v>
      </c>
      <c r="AJ7" s="312">
        <f t="shared" si="1"/>
        <v>27131.075425510036</v>
      </c>
      <c r="AK7" s="312">
        <f t="shared" si="1"/>
        <v>24712.276792492161</v>
      </c>
      <c r="AL7" s="312">
        <f t="shared" si="1"/>
        <v>24712.276792492161</v>
      </c>
      <c r="AM7" s="312">
        <f t="shared" si="1"/>
        <v>24712.276792492161</v>
      </c>
      <c r="AN7" s="312">
        <f t="shared" si="1"/>
        <v>24712.276792492161</v>
      </c>
      <c r="AO7" s="312">
        <f t="shared" si="1"/>
        <v>21767.310924369747</v>
      </c>
      <c r="AP7" s="312">
        <f t="shared" si="1"/>
        <v>21767.310924369747</v>
      </c>
      <c r="AQ7" s="312">
        <f t="shared" si="1"/>
        <v>13126.134453781513</v>
      </c>
      <c r="AR7" s="312">
        <f t="shared" si="1"/>
        <v>13126.134453781513</v>
      </c>
      <c r="AS7" s="312">
        <f t="shared" si="1"/>
        <v>13126.134453781513</v>
      </c>
      <c r="AT7" s="312">
        <f t="shared" si="1"/>
        <v>13126.134453781513</v>
      </c>
      <c r="AU7" s="312">
        <f t="shared" si="1"/>
        <v>6171.3025210084033</v>
      </c>
      <c r="AV7" s="312">
        <f t="shared" si="1"/>
        <v>0</v>
      </c>
      <c r="AW7" s="312">
        <f t="shared" si="1"/>
        <v>0</v>
      </c>
      <c r="AX7" s="312">
        <f t="shared" si="1"/>
        <v>0</v>
      </c>
      <c r="AY7" s="312">
        <f t="shared" si="1"/>
        <v>0</v>
      </c>
      <c r="AZ7" s="312">
        <f t="shared" si="1"/>
        <v>0</v>
      </c>
    </row>
    <row r="9" spans="1:68" ht="15" customHeight="1">
      <c r="A9" s="6" t="s">
        <v>423</v>
      </c>
      <c r="B9" s="169" t="s">
        <v>430</v>
      </c>
      <c r="C9" s="168"/>
      <c r="D9" s="168"/>
      <c r="E9" s="168"/>
      <c r="F9" s="168"/>
      <c r="G9" s="168"/>
      <c r="H9" s="168"/>
      <c r="I9" s="167"/>
      <c r="J9" s="167"/>
      <c r="K9" s="168"/>
      <c r="L9" s="167"/>
      <c r="M9" s="167"/>
      <c r="N9" s="168"/>
      <c r="O9" s="168"/>
      <c r="P9" s="334"/>
      <c r="Q9" s="282"/>
      <c r="R9" s="282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282" t="s">
        <v>959</v>
      </c>
      <c r="BB9" s="166"/>
      <c r="BC9" s="166"/>
      <c r="BD9" s="166"/>
    </row>
    <row r="10" spans="1:68" ht="15" customHeight="1" thickBot="1">
      <c r="B10" s="165"/>
      <c r="C10" s="165"/>
      <c r="D10" s="165"/>
      <c r="E10" s="165"/>
      <c r="F10" s="165"/>
      <c r="G10" s="165"/>
      <c r="H10" s="165"/>
      <c r="I10" s="164"/>
      <c r="J10" s="164"/>
      <c r="K10" s="165"/>
      <c r="L10" s="164"/>
      <c r="M10" s="164"/>
      <c r="N10" s="165"/>
      <c r="O10" s="165"/>
      <c r="P10" s="306"/>
      <c r="BA10" s="118" t="s">
        <v>959</v>
      </c>
      <c r="BF10" s="1061" t="s">
        <v>1035</v>
      </c>
      <c r="BG10" s="1061"/>
      <c r="BH10" s="1061"/>
      <c r="BI10" s="1061"/>
      <c r="BJ10" s="1061"/>
      <c r="BL10" s="1071" t="s">
        <v>1036</v>
      </c>
      <c r="BM10" s="1058" t="s">
        <v>1037</v>
      </c>
      <c r="BN10" s="1058" t="s">
        <v>1038</v>
      </c>
      <c r="BO10" s="1058" t="s">
        <v>1039</v>
      </c>
      <c r="BP10" s="1059" t="s">
        <v>1040</v>
      </c>
    </row>
    <row r="11" spans="1:68" s="438" customFormat="1" ht="15" customHeight="1">
      <c r="A11"/>
      <c r="B11" s="163" t="s">
        <v>680</v>
      </c>
      <c r="C11" s="135" t="s">
        <v>430</v>
      </c>
      <c r="D11" s="135" t="s">
        <v>1041</v>
      </c>
      <c r="E11" s="433" t="s">
        <v>1042</v>
      </c>
      <c r="F11" s="434">
        <v>2800</v>
      </c>
      <c r="G11" s="298">
        <v>21474</v>
      </c>
      <c r="H11" s="6"/>
      <c r="I11" s="6"/>
      <c r="J11" s="6"/>
      <c r="K11" s="435"/>
      <c r="L11" s="436" t="s">
        <v>1043</v>
      </c>
      <c r="M11" s="437">
        <v>0.3</v>
      </c>
      <c r="N11" s="6"/>
      <c r="O11" s="6"/>
      <c r="P11" s="12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 s="336" t="s">
        <v>959</v>
      </c>
      <c r="BB11"/>
      <c r="BC11"/>
      <c r="BD11"/>
      <c r="BF11" s="1061"/>
      <c r="BG11" s="1061"/>
      <c r="BH11" s="1061"/>
      <c r="BI11" s="1061"/>
      <c r="BJ11" s="1061"/>
      <c r="BK11" s="381"/>
      <c r="BL11" s="1072"/>
      <c r="BM11" s="1058"/>
      <c r="BN11" s="1058"/>
      <c r="BO11" s="1058"/>
      <c r="BP11" s="1059"/>
    </row>
    <row r="12" spans="1:68" s="438" customFormat="1" ht="15" customHeight="1">
      <c r="A12"/>
      <c r="B12" s="160" t="s">
        <v>680</v>
      </c>
      <c r="C12" s="79" t="s">
        <v>702</v>
      </c>
      <c r="D12" s="79" t="s">
        <v>1044</v>
      </c>
      <c r="E12" s="297" t="s">
        <v>1045</v>
      </c>
      <c r="F12" s="439">
        <v>2800</v>
      </c>
      <c r="G12" s="440">
        <v>35020</v>
      </c>
      <c r="H12" s="6"/>
      <c r="I12" s="435"/>
      <c r="J12" s="441"/>
      <c r="K12" s="435"/>
      <c r="L12" s="442"/>
      <c r="M12" s="442"/>
      <c r="N12" s="443"/>
      <c r="O12" s="443"/>
      <c r="P12" s="121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 s="336" t="s">
        <v>959</v>
      </c>
      <c r="BB12"/>
      <c r="BC12"/>
      <c r="BD12"/>
      <c r="BF12" s="1060" t="s">
        <v>1046</v>
      </c>
      <c r="BG12" s="1060"/>
      <c r="BH12" s="1060"/>
      <c r="BI12" s="1060"/>
      <c r="BJ12" s="1060"/>
      <c r="BK12" s="381"/>
      <c r="BL12" s="444" t="s">
        <v>702</v>
      </c>
      <c r="BM12" s="445" t="s">
        <v>1047</v>
      </c>
      <c r="BN12" s="445" t="s">
        <v>1047</v>
      </c>
      <c r="BO12" s="445" t="s">
        <v>1048</v>
      </c>
      <c r="BP12" s="446" t="s">
        <v>1049</v>
      </c>
    </row>
    <row r="13" spans="1:68" s="438" customFormat="1" ht="15" customHeight="1">
      <c r="A13"/>
      <c r="B13" s="158" t="s">
        <v>680</v>
      </c>
      <c r="C13" s="139" t="s">
        <v>430</v>
      </c>
      <c r="D13" s="139" t="s">
        <v>1044</v>
      </c>
      <c r="E13" s="59" t="s">
        <v>1050</v>
      </c>
      <c r="F13" s="447">
        <v>2800</v>
      </c>
      <c r="G13" s="157">
        <v>19455</v>
      </c>
      <c r="H13" s="6"/>
      <c r="I13" s="448" t="s">
        <v>1051</v>
      </c>
      <c r="J13" s="449" t="s">
        <v>1037</v>
      </c>
      <c r="K13" s="449" t="s">
        <v>1052</v>
      </c>
      <c r="L13" s="450" t="s">
        <v>1039</v>
      </c>
      <c r="M13" s="450" t="s">
        <v>1053</v>
      </c>
      <c r="N13" s="6"/>
      <c r="O13" s="6"/>
      <c r="P13" s="121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 s="336"/>
      <c r="BB13"/>
      <c r="BC13"/>
      <c r="BD13"/>
      <c r="BF13" s="1060"/>
      <c r="BG13" s="1060"/>
      <c r="BH13" s="1060"/>
      <c r="BI13" s="1060"/>
      <c r="BJ13" s="1060"/>
      <c r="BK13" s="381"/>
      <c r="BL13" s="451" t="s">
        <v>1054</v>
      </c>
      <c r="BM13" s="445" t="s">
        <v>1055</v>
      </c>
      <c r="BN13" s="445" t="s">
        <v>1055</v>
      </c>
      <c r="BO13" s="445" t="s">
        <v>1056</v>
      </c>
      <c r="BP13" s="446" t="s">
        <v>1048</v>
      </c>
    </row>
    <row r="14" spans="1:68" s="438" customFormat="1" ht="15" customHeight="1">
      <c r="A14"/>
      <c r="B14" s="160" t="s">
        <v>680</v>
      </c>
      <c r="C14" s="79" t="s">
        <v>702</v>
      </c>
      <c r="D14" s="79" t="s">
        <v>1044</v>
      </c>
      <c r="E14" s="297" t="s">
        <v>1057</v>
      </c>
      <c r="F14" s="452">
        <v>2800</v>
      </c>
      <c r="G14" s="453">
        <v>58597</v>
      </c>
      <c r="H14" s="6"/>
      <c r="I14" s="454" t="s">
        <v>1058</v>
      </c>
      <c r="J14" s="455">
        <v>52</v>
      </c>
      <c r="K14" s="455">
        <v>52</v>
      </c>
      <c r="L14" s="455">
        <v>48</v>
      </c>
      <c r="M14" s="455">
        <v>30</v>
      </c>
      <c r="N14" s="6"/>
      <c r="O14" s="6"/>
      <c r="P14" s="121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 s="336"/>
      <c r="BB14"/>
      <c r="BC14"/>
      <c r="BD14"/>
      <c r="BF14" s="1060"/>
      <c r="BG14" s="1060"/>
      <c r="BH14" s="1060"/>
      <c r="BI14" s="1060"/>
      <c r="BJ14" s="1060"/>
      <c r="BK14" s="381"/>
      <c r="BL14" s="451" t="s">
        <v>1059</v>
      </c>
      <c r="BM14" s="445" t="s">
        <v>1055</v>
      </c>
      <c r="BN14" s="445" t="s">
        <v>1055</v>
      </c>
      <c r="BO14" s="445" t="s">
        <v>1056</v>
      </c>
      <c r="BP14" s="446" t="s">
        <v>1048</v>
      </c>
    </row>
    <row r="15" spans="1:68" s="438" customFormat="1" ht="15" customHeight="1">
      <c r="A15"/>
      <c r="B15" s="160" t="s">
        <v>680</v>
      </c>
      <c r="C15" s="79" t="s">
        <v>430</v>
      </c>
      <c r="D15" s="79" t="s">
        <v>1044</v>
      </c>
      <c r="E15" s="297" t="s">
        <v>1060</v>
      </c>
      <c r="F15" s="439">
        <v>2800</v>
      </c>
      <c r="G15" s="440">
        <v>41450</v>
      </c>
      <c r="H15" s="6"/>
      <c r="I15" s="6"/>
      <c r="J15" s="6"/>
      <c r="K15" s="6"/>
      <c r="L15" s="6"/>
      <c r="M15" s="6"/>
      <c r="N15" s="6"/>
      <c r="O15" s="6"/>
      <c r="P15" s="121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 s="336"/>
      <c r="BB15"/>
      <c r="BC15"/>
      <c r="BD15"/>
      <c r="BF15" s="1060"/>
      <c r="BG15" s="1060"/>
      <c r="BH15" s="1060"/>
      <c r="BI15" s="1060"/>
      <c r="BJ15" s="1060"/>
      <c r="BK15" s="381"/>
      <c r="BL15" s="456"/>
      <c r="BM15" s="456"/>
      <c r="BN15" s="456"/>
      <c r="BO15" s="456"/>
      <c r="BP15" s="456"/>
    </row>
    <row r="16" spans="1:68" s="438" customFormat="1" ht="15" customHeight="1" thickBot="1">
      <c r="A16"/>
      <c r="B16" s="84" t="s">
        <v>680</v>
      </c>
      <c r="C16" s="131" t="s">
        <v>430</v>
      </c>
      <c r="D16" s="131" t="s">
        <v>1044</v>
      </c>
      <c r="E16" s="457" t="s">
        <v>1061</v>
      </c>
      <c r="F16" s="458">
        <v>2800</v>
      </c>
      <c r="G16" s="300">
        <v>46830</v>
      </c>
      <c r="H16" s="6"/>
      <c r="I16" s="459" t="s">
        <v>519</v>
      </c>
      <c r="J16"/>
      <c r="K16"/>
      <c r="L16"/>
      <c r="M16"/>
      <c r="N16"/>
      <c r="O16"/>
      <c r="P16" s="121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 s="336"/>
      <c r="BB16"/>
      <c r="BC16"/>
      <c r="BD16"/>
      <c r="BF16" s="1060"/>
      <c r="BG16" s="1060"/>
      <c r="BH16" s="1060"/>
      <c r="BI16" s="1060"/>
      <c r="BJ16" s="1060"/>
      <c r="BK16" s="381"/>
      <c r="BL16" s="456"/>
      <c r="BM16" s="456"/>
      <c r="BN16" s="456"/>
      <c r="BO16" s="456"/>
      <c r="BP16" s="456"/>
    </row>
    <row r="17" spans="1:68" s="438" customFormat="1" ht="15" customHeight="1">
      <c r="A17"/>
      <c r="B17" s="79"/>
      <c r="C17" s="79"/>
      <c r="D17" s="79"/>
      <c r="E17" s="79"/>
      <c r="F17" s="79"/>
      <c r="G17" s="6"/>
      <c r="H17" s="6"/>
      <c r="I17" s="6" t="s">
        <v>430</v>
      </c>
      <c r="J17" s="460">
        <v>1</v>
      </c>
      <c r="K17" s="460">
        <v>1</v>
      </c>
      <c r="L17" s="460">
        <v>0</v>
      </c>
      <c r="M17" s="460">
        <v>-2</v>
      </c>
      <c r="N17" s="6"/>
      <c r="O17" s="6"/>
      <c r="P17" s="121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 s="336"/>
      <c r="BB17"/>
      <c r="BC17"/>
      <c r="BD17"/>
      <c r="BF17" s="1060"/>
      <c r="BG17" s="1060"/>
      <c r="BH17" s="1060"/>
      <c r="BI17" s="1060"/>
      <c r="BJ17" s="1060"/>
      <c r="BK17" s="381"/>
      <c r="BL17" s="432" t="s">
        <v>1062</v>
      </c>
      <c r="BM17" s="432" t="s">
        <v>1037</v>
      </c>
      <c r="BN17" s="432" t="s">
        <v>1038</v>
      </c>
      <c r="BO17" s="432" t="s">
        <v>1039</v>
      </c>
      <c r="BP17" s="461" t="s">
        <v>1040</v>
      </c>
    </row>
    <row r="18" spans="1:68" s="438" customFormat="1" ht="15" customHeight="1">
      <c r="A18"/>
      <c r="B18" s="79"/>
      <c r="C18" s="79"/>
      <c r="D18" s="79"/>
      <c r="E18" s="6"/>
      <c r="F18" s="6"/>
      <c r="G18" s="6"/>
      <c r="H18" s="6"/>
      <c r="I18" s="6" t="s">
        <v>429</v>
      </c>
      <c r="J18" s="460">
        <v>6</v>
      </c>
      <c r="K18" s="460">
        <v>6</v>
      </c>
      <c r="L18" s="460">
        <v>4</v>
      </c>
      <c r="M18" s="460">
        <v>2</v>
      </c>
      <c r="N18" s="6"/>
      <c r="O18" s="6"/>
      <c r="P18" s="121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 s="336" t="s">
        <v>959</v>
      </c>
      <c r="BB18"/>
      <c r="BC18" s="276"/>
      <c r="BD18"/>
      <c r="BF18" s="1060"/>
      <c r="BG18" s="1060"/>
      <c r="BH18" s="1060"/>
      <c r="BI18" s="1060"/>
      <c r="BJ18" s="1060"/>
      <c r="BK18" s="381"/>
      <c r="BL18" s="444" t="s">
        <v>1058</v>
      </c>
      <c r="BM18" s="462">
        <v>52</v>
      </c>
      <c r="BN18" s="462">
        <v>52</v>
      </c>
      <c r="BO18" s="462">
        <v>48</v>
      </c>
      <c r="BP18" s="463">
        <v>30</v>
      </c>
    </row>
    <row r="19" spans="1:68" s="438" customFormat="1" ht="15" customHeight="1">
      <c r="A19"/>
      <c r="B19" s="79"/>
      <c r="C19" s="79"/>
      <c r="D19" s="79"/>
      <c r="E19" s="79"/>
      <c r="F19" s="79"/>
      <c r="G19" s="79"/>
      <c r="H19" s="6"/>
      <c r="I19"/>
      <c r="J19"/>
      <c r="K19"/>
      <c r="L19"/>
      <c r="M19" s="460"/>
      <c r="N19"/>
      <c r="O19"/>
      <c r="P19" s="121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 s="336" t="s">
        <v>959</v>
      </c>
      <c r="BB19"/>
      <c r="BC19" s="79"/>
      <c r="BD19" s="6"/>
      <c r="BF19" s="1060"/>
      <c r="BG19" s="1060"/>
      <c r="BH19" s="1060"/>
      <c r="BI19" s="1060"/>
      <c r="BJ19" s="1060"/>
      <c r="BK19" s="381"/>
    </row>
    <row r="20" spans="1:68" s="438" customFormat="1" ht="15" customHeight="1">
      <c r="A20" t="str">
        <f t="shared" ref="A20:A27" si="2">IF(G20=BA20,"","F")</f>
        <v/>
      </c>
      <c r="B20" s="777" t="s">
        <v>527</v>
      </c>
      <c r="C20" s="777" t="s">
        <v>524</v>
      </c>
      <c r="D20" s="777" t="s">
        <v>1044</v>
      </c>
      <c r="E20" s="778" t="s">
        <v>1057</v>
      </c>
      <c r="F20" s="779">
        <v>2800</v>
      </c>
      <c r="G20" s="780">
        <v>58597</v>
      </c>
      <c r="H20" s="781">
        <f>G14/F14</f>
        <v>20.927499999999998</v>
      </c>
      <c r="I20" s="777" t="s">
        <v>58</v>
      </c>
      <c r="J20" s="777">
        <f>2000+RIGHT(I20,2)</f>
        <v>2025</v>
      </c>
      <c r="K20" s="777" t="str">
        <f t="shared" ref="K20:K27" si="3">I20</f>
        <v>1Q25</v>
      </c>
      <c r="L20" s="777" t="str">
        <f>M20</f>
        <v>2Q25</v>
      </c>
      <c r="M20" s="777" t="s">
        <v>59</v>
      </c>
      <c r="N20" s="777" t="s">
        <v>984</v>
      </c>
      <c r="O20" s="777"/>
      <c r="P20" s="780">
        <f t="shared" ref="P20:P27" si="4">LEFT(N20)-LEFT(L20)+(RIGHT(N20,2)-RIGHT(L20,2))*4+1</f>
        <v>17</v>
      </c>
      <c r="Q20" s="101"/>
      <c r="R20" s="489" cm="1">
        <f t="array" ref="R20">_xlfn.IFS(SUM($Q20:Q20)&gt;=$G20,0,$L20=R$2,$G20/$P20,Q20&gt;0,$G20/$P20,TRUE,0)</f>
        <v>3446.8823529411766</v>
      </c>
      <c r="S20" s="489" cm="1">
        <f t="array" ref="S20">_xlfn.IFS(SUM($Q20:R20)&gt;=$G20,0,$L20=S$2,$G20/$P20,R20&gt;0,$G20/$P20,TRUE,0)</f>
        <v>3446.8823529411766</v>
      </c>
      <c r="T20" s="489" cm="1">
        <f t="array" ref="T20">_xlfn.IFS(SUM($Q20:S20)&gt;=$G20,0,$L20=T$2,$G20/$P20,S20&gt;0,$G20/$P20,TRUE,0)</f>
        <v>3446.8823529411766</v>
      </c>
      <c r="U20" s="489" cm="1">
        <f t="array" ref="U20">_xlfn.IFS(SUM($Q20:T20)&gt;=$G20,0,$L20=U$2,$G20/$P20,T20&gt;0,$G20/$P20,TRUE,0)</f>
        <v>3446.8823529411766</v>
      </c>
      <c r="V20" s="489" cm="1">
        <f t="array" ref="V20">_xlfn.IFS(SUM($Q20:U20)&gt;=$G20,0,$L20=V$2,$G20/$P20,U20&gt;0,$G20/$P20,TRUE,0)</f>
        <v>3446.8823529411766</v>
      </c>
      <c r="W20" s="489" cm="1">
        <f t="array" ref="W20">_xlfn.IFS(SUM($Q20:V20)&gt;=$G20,0,$L20=W$2,$G20/$P20,V20&gt;0,$G20/$P20,TRUE,0)</f>
        <v>3446.8823529411766</v>
      </c>
      <c r="X20" s="489" cm="1">
        <f t="array" ref="X20">_xlfn.IFS(SUM($Q20:W20)&gt;=$G20,0,$L20=X$2,$G20/$P20,W20&gt;0,$G20/$P20,TRUE,0)</f>
        <v>3446.8823529411766</v>
      </c>
      <c r="Y20" s="489" cm="1">
        <f t="array" ref="Y20">_xlfn.IFS(SUM($Q20:X20)&gt;=$G20,0,$L20=Y$2,$G20/$P20,X20&gt;0,$G20/$P20,TRUE,0)</f>
        <v>3446.8823529411766</v>
      </c>
      <c r="Z20" s="489" cm="1">
        <f t="array" ref="Z20">_xlfn.IFS(SUM($Q20:Y20)&gt;=$G20,0,$L20=Z$2,$G20/$P20,Y20&gt;0,$G20/$P20,TRUE,0)</f>
        <v>3446.8823529411766</v>
      </c>
      <c r="AA20" s="489" cm="1">
        <f t="array" ref="AA20">_xlfn.IFS(SUM($Q20:Z20)&gt;=$G20,0,$L20=AA$2,$G20/$P20,Z20&gt;0,$G20/$P20,TRUE,0)</f>
        <v>3446.8823529411766</v>
      </c>
      <c r="AB20" s="489" cm="1">
        <f t="array" ref="AB20">_xlfn.IFS(SUM($Q20:AA20)&gt;=$G20,0,$L20=AB$2,$G20/$P20,AA20&gt;0,$G20/$P20,TRUE,0)</f>
        <v>3446.8823529411766</v>
      </c>
      <c r="AC20" s="489" cm="1">
        <f t="array" ref="AC20">_xlfn.IFS(SUM($Q20:AB20)&gt;=$G20,0,$L20=AC$2,$G20/$P20,AB20&gt;0,$G20/$P20,TRUE,0)</f>
        <v>3446.8823529411766</v>
      </c>
      <c r="AD20" s="489" cm="1">
        <f t="array" ref="AD20">_xlfn.IFS(SUM($Q20:AC20)&gt;=$G20,0,$L20=AD$2,$G20/$P20,AC20&gt;0,$G20/$P20,TRUE,0)</f>
        <v>3446.8823529411766</v>
      </c>
      <c r="AE20" s="489" cm="1">
        <f t="array" ref="AE20">_xlfn.IFS(SUM($Q20:AD20)&gt;=$G20,0,$L20=AE$2,$G20/$P20,AD20&gt;0,$G20/$P20,TRUE,0)</f>
        <v>3446.8823529411766</v>
      </c>
      <c r="AF20" s="489" cm="1">
        <f t="array" ref="AF20">_xlfn.IFS(SUM($Q20:AE20)&gt;=$G20,0,$L20=AF$2,$G20/$P20,AE20&gt;0,$G20/$P20,TRUE,0)</f>
        <v>3446.8823529411766</v>
      </c>
      <c r="AG20" s="489" cm="1">
        <f t="array" ref="AG20">_xlfn.IFS(SUM($Q20:AF20)&gt;=$G20,0,$L20=AG$2,$G20/$P20,AF20&gt;0,$G20/$P20,TRUE,0)</f>
        <v>3446.8823529411766</v>
      </c>
      <c r="AH20" s="489" cm="1">
        <f t="array" ref="AH20">_xlfn.IFS(SUM($Q20:AG20)&gt;=$G20,0,$L20=AH$2,$G20/$P20,AG20&gt;0,$G20/$P20,TRUE,0)</f>
        <v>3446.8823529411766</v>
      </c>
      <c r="AI20" s="489" cm="1">
        <f t="array" ref="AI20">_xlfn.IFS(SUM($Q20:AH20)&gt;=$G20,0,$L20=AI$2,$G20/$P20,AH20&gt;0,$G20/$P20,TRUE,0)</f>
        <v>0</v>
      </c>
      <c r="AJ20" s="489" cm="1">
        <f t="array" ref="AJ20">_xlfn.IFS(SUM($Q20:AI20)&gt;=$G20,0,$L20=AJ$2,$G20/$P20,AI20&gt;0,$G20/$P20,TRUE,0)</f>
        <v>0</v>
      </c>
      <c r="AK20" s="489" cm="1">
        <f t="array" ref="AK20">_xlfn.IFS(SUM($Q20:AJ20)&gt;=$G20,0,$L20=AK$2,$G20/$P20,AJ20&gt;0,$G20/$P20,TRUE,0)</f>
        <v>0</v>
      </c>
      <c r="AL20" s="489" cm="1">
        <f t="array" ref="AL20">_xlfn.IFS(SUM($Q20:AK20)&gt;=$G20,0,$L20=AL$2,$G20/$P20,AK20&gt;0,$G20/$P20,TRUE,0)</f>
        <v>0</v>
      </c>
      <c r="AM20" s="489" cm="1">
        <f t="array" ref="AM20">_xlfn.IFS(SUM($Q20:AL20)&gt;=$G20,0,$L20=AM$2,$G20/$P20,AL20&gt;0,$G20/$P20,TRUE,0)</f>
        <v>0</v>
      </c>
      <c r="AN20" s="489" cm="1">
        <f t="array" ref="AN20">_xlfn.IFS(SUM($Q20:AM20)&gt;=$G20,0,$L20=AN$2,$G20/$P20,AM20&gt;0,$G20/$P20,TRUE,0)</f>
        <v>0</v>
      </c>
      <c r="AO20" s="489" cm="1">
        <f t="array" ref="AO20">_xlfn.IFS(SUM($Q20:AN20)&gt;=$G20,0,$L20=AO$2,$G20/$P20,AN20&gt;0,$G20/$P20,TRUE,0)</f>
        <v>0</v>
      </c>
      <c r="AP20" s="489" cm="1">
        <f t="array" ref="AP20">_xlfn.IFS(SUM($Q20:AO20)&gt;=$G20,0,$L20=AP$2,$G20/$P20,AO20&gt;0,$G20/$P20,TRUE,0)</f>
        <v>0</v>
      </c>
      <c r="AQ20" s="489" cm="1">
        <f t="array" ref="AQ20">_xlfn.IFS(SUM($Q20:AP20)&gt;=$G20,0,$L20=AQ$2,$G20/$P20,AP20&gt;0,$G20/$P20,TRUE,0)</f>
        <v>0</v>
      </c>
      <c r="AR20" s="489" cm="1">
        <f t="array" ref="AR20">_xlfn.IFS(SUM($Q20:AQ20)&gt;=$G20,0,$L20=AR$2,$G20/$P20,AQ20&gt;0,$G20/$P20,TRUE,0)</f>
        <v>0</v>
      </c>
      <c r="AS20" s="489" cm="1">
        <f t="array" ref="AS20">_xlfn.IFS(SUM($Q20:AR20)&gt;=$G20,0,$L20=AS$2,$G20/$P20,AR20&gt;0,$G20/$P20,TRUE,0)</f>
        <v>0</v>
      </c>
      <c r="AT20" s="489" cm="1">
        <f t="array" ref="AT20">_xlfn.IFS(SUM($Q20:AS20)&gt;=$G20,0,$L20=AT$2,$G20/$P20,AS20&gt;0,$G20/$P20,TRUE,0)</f>
        <v>0</v>
      </c>
      <c r="AU20" s="489" cm="1">
        <f t="array" ref="AU20">_xlfn.IFS(SUM($Q20:AT20)&gt;=$G20,0,$L20=AU$2,$G20/$P20,AT20&gt;0,$G20/$P20,TRUE,0)</f>
        <v>0</v>
      </c>
      <c r="AV20" s="489" cm="1">
        <f t="array" ref="AV20">_xlfn.IFS(SUM($Q20:AU20)&gt;=$G20,0,$L20=AV$2,$G20/$P20,AU20&gt;0,$G20/$P20,TRUE,0)</f>
        <v>0</v>
      </c>
      <c r="AW20" s="489" cm="1">
        <f t="array" ref="AW20">_xlfn.IFS(SUM($Q20:AV20)&gt;=$G20,0,$L20=AW$2,$G20/$P20,AV20&gt;0,$G20/$P20,TRUE,0)</f>
        <v>0</v>
      </c>
      <c r="AX20" s="489" cm="1">
        <f t="array" ref="AX20">_xlfn.IFS(SUM($Q20:AW20)&gt;=$G20,0,$L20=AX$2,$G20/$P20,AW20&gt;0,$G20/$P20,TRUE,0)</f>
        <v>0</v>
      </c>
      <c r="AY20" s="489" cm="1">
        <f t="array" ref="AY20">_xlfn.IFS(SUM($Q20:AX20)&gt;=$G20,0,$L20=AY$2,$G20/$P20,AX20&gt;0,$G20/$P20,TRUE,0)</f>
        <v>0</v>
      </c>
      <c r="AZ20" s="489" cm="1">
        <f t="array" ref="AZ20">_xlfn.IFS(SUM($Q20:AY20)&gt;=$G20,0,$L20=AZ$2,$G20/$P20,AY20&gt;0,$G20/$P20,TRUE,0)</f>
        <v>0</v>
      </c>
      <c r="BA20" s="311">
        <f>SUM(R20:AZ20)</f>
        <v>58596.999999999978</v>
      </c>
      <c r="BB20"/>
      <c r="BC20" s="79"/>
      <c r="BD20" s="6"/>
      <c r="BF20" s="1060"/>
      <c r="BG20" s="1060"/>
      <c r="BH20" s="1060"/>
      <c r="BI20" s="1060"/>
      <c r="BJ20" s="1060"/>
      <c r="BK20" s="381"/>
    </row>
    <row r="21" spans="1:68" s="438" customFormat="1" ht="15" customHeight="1">
      <c r="A21" t="str">
        <f t="shared" si="2"/>
        <v/>
      </c>
      <c r="B21" s="782" t="s">
        <v>527</v>
      </c>
      <c r="C21" s="782" t="s">
        <v>430</v>
      </c>
      <c r="D21" s="782" t="s">
        <v>1044</v>
      </c>
      <c r="E21" s="783" t="s">
        <v>1060</v>
      </c>
      <c r="F21" s="784">
        <v>2800</v>
      </c>
      <c r="G21" s="785">
        <v>41540</v>
      </c>
      <c r="H21" s="786">
        <f>G15/F15</f>
        <v>14.803571428571429</v>
      </c>
      <c r="I21" s="782" t="s">
        <v>58</v>
      </c>
      <c r="J21" s="782">
        <v>2025</v>
      </c>
      <c r="K21" s="782" t="str">
        <f t="shared" si="3"/>
        <v>1Q25</v>
      </c>
      <c r="L21" s="782" t="str">
        <f t="shared" ref="L21:L22" si="5">M21</f>
        <v>2Q25</v>
      </c>
      <c r="M21" s="782" t="s">
        <v>59</v>
      </c>
      <c r="N21" s="782" t="s">
        <v>984</v>
      </c>
      <c r="O21" s="782"/>
      <c r="P21" s="785">
        <f t="shared" si="4"/>
        <v>17</v>
      </c>
      <c r="Q21"/>
      <c r="R21" s="311" cm="1">
        <f t="array" ref="R21">_xlfn.IFS(SUM($Q21:Q21)&gt;=$G21,0,$L21=R$2,$G21/$P21,Q21&gt;0,$G21/$P21,TRUE,0)</f>
        <v>2443.5294117647059</v>
      </c>
      <c r="S21" s="311" cm="1">
        <f t="array" ref="S21">_xlfn.IFS(SUM($Q21:R21)&gt;=$G21,0,$L21=S$2,$G21/$P21,R21&gt;0,$G21/$P21,TRUE,0)</f>
        <v>2443.5294117647059</v>
      </c>
      <c r="T21" s="311" cm="1">
        <f t="array" ref="T21">_xlfn.IFS(SUM($Q21:S21)&gt;=$G21,0,$L21=T$2,$G21/$P21,S21&gt;0,$G21/$P21,TRUE,0)</f>
        <v>2443.5294117647059</v>
      </c>
      <c r="U21" s="311" cm="1">
        <f t="array" ref="U21">_xlfn.IFS(SUM($Q21:T21)&gt;=$G21,0,$L21=U$2,$G21/$P21,T21&gt;0,$G21/$P21,TRUE,0)</f>
        <v>2443.5294117647059</v>
      </c>
      <c r="V21" s="311" cm="1">
        <f t="array" ref="V21">_xlfn.IFS(SUM($Q21:U21)&gt;=$G21,0,$L21=V$2,$G21/$P21,U21&gt;0,$G21/$P21,TRUE,0)</f>
        <v>2443.5294117647059</v>
      </c>
      <c r="W21" s="311" cm="1">
        <f t="array" ref="W21">_xlfn.IFS(SUM($Q21:V21)&gt;=$G21,0,$L21=W$2,$G21/$P21,V21&gt;0,$G21/$P21,TRUE,0)</f>
        <v>2443.5294117647059</v>
      </c>
      <c r="X21" s="311" cm="1">
        <f t="array" ref="X21">_xlfn.IFS(SUM($Q21:W21)&gt;=$G21,0,$L21=X$2,$G21/$P21,W21&gt;0,$G21/$P21,TRUE,0)</f>
        <v>2443.5294117647059</v>
      </c>
      <c r="Y21" s="311" cm="1">
        <f t="array" ref="Y21">_xlfn.IFS(SUM($Q21:X21)&gt;=$G21,0,$L21=Y$2,$G21/$P21,X21&gt;0,$G21/$P21,TRUE,0)</f>
        <v>2443.5294117647059</v>
      </c>
      <c r="Z21" s="311" cm="1">
        <f t="array" ref="Z21">_xlfn.IFS(SUM($Q21:Y21)&gt;=$G21,0,$L21=Z$2,$G21/$P21,Y21&gt;0,$G21/$P21,TRUE,0)</f>
        <v>2443.5294117647059</v>
      </c>
      <c r="AA21" s="311" cm="1">
        <f t="array" ref="AA21">_xlfn.IFS(SUM($Q21:Z21)&gt;=$G21,0,$L21=AA$2,$G21/$P21,Z21&gt;0,$G21/$P21,TRUE,0)</f>
        <v>2443.5294117647059</v>
      </c>
      <c r="AB21" s="311" cm="1">
        <f t="array" ref="AB21">_xlfn.IFS(SUM($Q21:AA21)&gt;=$G21,0,$L21=AB$2,$G21/$P21,AA21&gt;0,$G21/$P21,TRUE,0)</f>
        <v>2443.5294117647059</v>
      </c>
      <c r="AC21" s="311" cm="1">
        <f t="array" ref="AC21">_xlfn.IFS(SUM($Q21:AB21)&gt;=$G21,0,$L21=AC$2,$G21/$P21,AB21&gt;0,$G21/$P21,TRUE,0)</f>
        <v>2443.5294117647059</v>
      </c>
      <c r="AD21" s="311" cm="1">
        <f t="array" ref="AD21">_xlfn.IFS(SUM($Q21:AC21)&gt;=$G21,0,$L21=AD$2,$G21/$P21,AC21&gt;0,$G21/$P21,TRUE,0)</f>
        <v>2443.5294117647059</v>
      </c>
      <c r="AE21" s="311" cm="1">
        <f t="array" ref="AE21">_xlfn.IFS(SUM($Q21:AD21)&gt;=$G21,0,$L21=AE$2,$G21/$P21,AD21&gt;0,$G21/$P21,TRUE,0)</f>
        <v>2443.5294117647059</v>
      </c>
      <c r="AF21" s="311" cm="1">
        <f t="array" ref="AF21">_xlfn.IFS(SUM($Q21:AE21)&gt;=$G21,0,$L21=AF$2,$G21/$P21,AE21&gt;0,$G21/$P21,TRUE,0)</f>
        <v>2443.5294117647059</v>
      </c>
      <c r="AG21" s="311" cm="1">
        <f t="array" ref="AG21">_xlfn.IFS(SUM($Q21:AF21)&gt;=$G21,0,$L21=AG$2,$G21/$P21,AF21&gt;0,$G21/$P21,TRUE,0)</f>
        <v>2443.5294117647059</v>
      </c>
      <c r="AH21" s="311" cm="1">
        <f t="array" ref="AH21">_xlfn.IFS(SUM($Q21:AG21)&gt;=$G21,0,$L21=AH$2,$G21/$P21,AG21&gt;0,$G21/$P21,TRUE,0)</f>
        <v>2443.5294117647059</v>
      </c>
      <c r="AI21" s="311" cm="1">
        <f t="array" ref="AI21">_xlfn.IFS(SUM($Q21:AH21)&gt;=$G21,0,$L21=AI$2,$G21/$P21,AH21&gt;0,$G21/$P21,TRUE,0)</f>
        <v>0</v>
      </c>
      <c r="AJ21" s="311" cm="1">
        <f t="array" ref="AJ21">_xlfn.IFS(SUM($Q21:AI21)&gt;=$G21,0,$L21=AJ$2,$G21/$P21,AI21&gt;0,$G21/$P21,TRUE,0)</f>
        <v>0</v>
      </c>
      <c r="AK21" s="311" cm="1">
        <f t="array" ref="AK21">_xlfn.IFS(SUM($Q21:AJ21)&gt;=$G21,0,$L21=AK$2,$G21/$P21,AJ21&gt;0,$G21/$P21,TRUE,0)</f>
        <v>0</v>
      </c>
      <c r="AL21" s="311" cm="1">
        <f t="array" ref="AL21">_xlfn.IFS(SUM($Q21:AK21)&gt;=$G21,0,$L21=AL$2,$G21/$P21,AK21&gt;0,$G21/$P21,TRUE,0)</f>
        <v>0</v>
      </c>
      <c r="AM21" s="311" cm="1">
        <f t="array" ref="AM21">_xlfn.IFS(SUM($Q21:AL21)&gt;=$G21,0,$L21=AM$2,$G21/$P21,AL21&gt;0,$G21/$P21,TRUE,0)</f>
        <v>0</v>
      </c>
      <c r="AN21" s="311" cm="1">
        <f t="array" ref="AN21">_xlfn.IFS(SUM($Q21:AM21)&gt;=$G21,0,$L21=AN$2,$G21/$P21,AM21&gt;0,$G21/$P21,TRUE,0)</f>
        <v>0</v>
      </c>
      <c r="AO21" s="311" cm="1">
        <f t="array" ref="AO21">_xlfn.IFS(SUM($Q21:AN21)&gt;=$G21,0,$L21=AO$2,$G21/$P21,AN21&gt;0,$G21/$P21,TRUE,0)</f>
        <v>0</v>
      </c>
      <c r="AP21" s="311" cm="1">
        <f t="array" ref="AP21">_xlfn.IFS(SUM($Q21:AO21)&gt;=$G21,0,$L21=AP$2,$G21/$P21,AO21&gt;0,$G21/$P21,TRUE,0)</f>
        <v>0</v>
      </c>
      <c r="AQ21" s="311" cm="1">
        <f t="array" ref="AQ21">_xlfn.IFS(SUM($Q21:AP21)&gt;=$G21,0,$L21=AQ$2,$G21/$P21,AP21&gt;0,$G21/$P21,TRUE,0)</f>
        <v>0</v>
      </c>
      <c r="AR21" s="311" cm="1">
        <f t="array" ref="AR21">_xlfn.IFS(SUM($Q21:AQ21)&gt;=$G21,0,$L21=AR$2,$G21/$P21,AQ21&gt;0,$G21/$P21,TRUE,0)</f>
        <v>0</v>
      </c>
      <c r="AS21" s="311" cm="1">
        <f t="array" ref="AS21">_xlfn.IFS(SUM($Q21:AR21)&gt;=$G21,0,$L21=AS$2,$G21/$P21,AR21&gt;0,$G21/$P21,TRUE,0)</f>
        <v>0</v>
      </c>
      <c r="AT21" s="311" cm="1">
        <f t="array" ref="AT21">_xlfn.IFS(SUM($Q21:AS21)&gt;=$G21,0,$L21=AT$2,$G21/$P21,AS21&gt;0,$G21/$P21,TRUE,0)</f>
        <v>0</v>
      </c>
      <c r="AU21" s="311" cm="1">
        <f t="array" ref="AU21">_xlfn.IFS(SUM($Q21:AT21)&gt;=$G21,0,$L21=AU$2,$G21/$P21,AT21&gt;0,$G21/$P21,TRUE,0)</f>
        <v>0</v>
      </c>
      <c r="AV21" s="311" cm="1">
        <f t="array" ref="AV21">_xlfn.IFS(SUM($Q21:AU21)&gt;=$G21,0,$L21=AV$2,$G21/$P21,AU21&gt;0,$G21/$P21,TRUE,0)</f>
        <v>0</v>
      </c>
      <c r="AW21" s="311" cm="1">
        <f t="array" ref="AW21">_xlfn.IFS(SUM($Q21:AV21)&gt;=$G21,0,$L21=AW$2,$G21/$P21,AV21&gt;0,$G21/$P21,TRUE,0)</f>
        <v>0</v>
      </c>
      <c r="AX21" s="311" cm="1">
        <f t="array" ref="AX21">_xlfn.IFS(SUM($Q21:AW21)&gt;=$G21,0,$L21=AX$2,$G21/$P21,AW21&gt;0,$G21/$P21,TRUE,0)</f>
        <v>0</v>
      </c>
      <c r="AY21" s="311" cm="1">
        <f t="array" ref="AY21">_xlfn.IFS(SUM($Q21:AX21)&gt;=$G21,0,$L21=AY$2,$G21/$P21,AX21&gt;0,$G21/$P21,TRUE,0)</f>
        <v>0</v>
      </c>
      <c r="AZ21" s="311" cm="1">
        <f t="array" ref="AZ21">_xlfn.IFS(SUM($Q21:AY21)&gt;=$G21,0,$L21=AZ$2,$G21/$P21,AY21&gt;0,$G21/$P21,TRUE,0)</f>
        <v>0</v>
      </c>
      <c r="BA21" s="311">
        <f t="shared" ref="BA21:BA27" si="6">SUM(R21:AZ21)</f>
        <v>41540</v>
      </c>
      <c r="BB21"/>
      <c r="BC21" s="79"/>
      <c r="BD21" s="6"/>
      <c r="BF21" s="1060"/>
      <c r="BG21" s="1060"/>
      <c r="BH21" s="1060"/>
      <c r="BI21" s="1060"/>
      <c r="BJ21" s="1060"/>
      <c r="BK21" s="381"/>
    </row>
    <row r="22" spans="1:68" s="438" customFormat="1" ht="15" customHeight="1">
      <c r="A22" t="str">
        <f t="shared" si="2"/>
        <v/>
      </c>
      <c r="B22" s="782" t="s">
        <v>527</v>
      </c>
      <c r="C22" s="782" t="s">
        <v>430</v>
      </c>
      <c r="D22" s="782" t="s">
        <v>1044</v>
      </c>
      <c r="E22" s="783" t="s">
        <v>1061</v>
      </c>
      <c r="F22" s="784">
        <v>2800</v>
      </c>
      <c r="G22" s="785">
        <v>46830</v>
      </c>
      <c r="H22" s="786">
        <f>G16/F16</f>
        <v>16.725000000000001</v>
      </c>
      <c r="I22" s="782" t="s">
        <v>59</v>
      </c>
      <c r="J22" s="782">
        <v>2025</v>
      </c>
      <c r="K22" s="782" t="str">
        <f t="shared" si="3"/>
        <v>2Q25</v>
      </c>
      <c r="L22" s="782" t="str">
        <f t="shared" si="5"/>
        <v>2Q25</v>
      </c>
      <c r="M22" s="782" t="s">
        <v>59</v>
      </c>
      <c r="N22" s="782" t="s">
        <v>984</v>
      </c>
      <c r="O22" s="782"/>
      <c r="P22" s="785">
        <f t="shared" si="4"/>
        <v>17</v>
      </c>
      <c r="Q22"/>
      <c r="R22" s="311" cm="1">
        <f t="array" ref="R22">_xlfn.IFS(SUM($Q22:Q22)&gt;=$G22,0,$L22=R$2,$G22/$P22,Q22&gt;0,$G22/$P22,TRUE,0)</f>
        <v>2754.705882352941</v>
      </c>
      <c r="S22" s="311" cm="1">
        <f t="array" ref="S22">_xlfn.IFS(SUM($Q22:R22)&gt;=$G22,0,$L22=S$2,$G22/$P22,R22&gt;0,$G22/$P22,TRUE,0)</f>
        <v>2754.705882352941</v>
      </c>
      <c r="T22" s="311" cm="1">
        <f t="array" ref="T22">_xlfn.IFS(SUM($Q22:S22)&gt;=$G22,0,$L22=T$2,$G22/$P22,S22&gt;0,$G22/$P22,TRUE,0)</f>
        <v>2754.705882352941</v>
      </c>
      <c r="U22" s="311" cm="1">
        <f t="array" ref="U22">_xlfn.IFS(SUM($Q22:T22)&gt;=$G22,0,$L22=U$2,$G22/$P22,T22&gt;0,$G22/$P22,TRUE,0)</f>
        <v>2754.705882352941</v>
      </c>
      <c r="V22" s="311" cm="1">
        <f t="array" ref="V22">_xlfn.IFS(SUM($Q22:U22)&gt;=$G22,0,$L22=V$2,$G22/$P22,U22&gt;0,$G22/$P22,TRUE,0)</f>
        <v>2754.705882352941</v>
      </c>
      <c r="W22" s="311" cm="1">
        <f t="array" ref="W22">_xlfn.IFS(SUM($Q22:V22)&gt;=$G22,0,$L22=W$2,$G22/$P22,V22&gt;0,$G22/$P22,TRUE,0)</f>
        <v>2754.705882352941</v>
      </c>
      <c r="X22" s="311" cm="1">
        <f t="array" ref="X22">_xlfn.IFS(SUM($Q22:W22)&gt;=$G22,0,$L22=X$2,$G22/$P22,W22&gt;0,$G22/$P22,TRUE,0)</f>
        <v>2754.705882352941</v>
      </c>
      <c r="Y22" s="311" cm="1">
        <f t="array" ref="Y22">_xlfn.IFS(SUM($Q22:X22)&gt;=$G22,0,$L22=Y$2,$G22/$P22,X22&gt;0,$G22/$P22,TRUE,0)</f>
        <v>2754.705882352941</v>
      </c>
      <c r="Z22" s="311" cm="1">
        <f t="array" ref="Z22">_xlfn.IFS(SUM($Q22:Y22)&gt;=$G22,0,$L22=Z$2,$G22/$P22,Y22&gt;0,$G22/$P22,TRUE,0)</f>
        <v>2754.705882352941</v>
      </c>
      <c r="AA22" s="311" cm="1">
        <f t="array" ref="AA22">_xlfn.IFS(SUM($Q22:Z22)&gt;=$G22,0,$L22=AA$2,$G22/$P22,Z22&gt;0,$G22/$P22,TRUE,0)</f>
        <v>2754.705882352941</v>
      </c>
      <c r="AB22" s="311" cm="1">
        <f t="array" ref="AB22">_xlfn.IFS(SUM($Q22:AA22)&gt;=$G22,0,$L22=AB$2,$G22/$P22,AA22&gt;0,$G22/$P22,TRUE,0)</f>
        <v>2754.705882352941</v>
      </c>
      <c r="AC22" s="311" cm="1">
        <f t="array" ref="AC22">_xlfn.IFS(SUM($Q22:AB22)&gt;=$G22,0,$L22=AC$2,$G22/$P22,AB22&gt;0,$G22/$P22,TRUE,0)</f>
        <v>2754.705882352941</v>
      </c>
      <c r="AD22" s="311" cm="1">
        <f t="array" ref="AD22">_xlfn.IFS(SUM($Q22:AC22)&gt;=$G22,0,$L22=AD$2,$G22/$P22,AC22&gt;0,$G22/$P22,TRUE,0)</f>
        <v>2754.705882352941</v>
      </c>
      <c r="AE22" s="311" cm="1">
        <f t="array" ref="AE22">_xlfn.IFS(SUM($Q22:AD22)&gt;=$G22,0,$L22=AE$2,$G22/$P22,AD22&gt;0,$G22/$P22,TRUE,0)</f>
        <v>2754.705882352941</v>
      </c>
      <c r="AF22" s="311" cm="1">
        <f t="array" ref="AF22">_xlfn.IFS(SUM($Q22:AE22)&gt;=$G22,0,$L22=AF$2,$G22/$P22,AE22&gt;0,$G22/$P22,TRUE,0)</f>
        <v>2754.705882352941</v>
      </c>
      <c r="AG22" s="311" cm="1">
        <f t="array" ref="AG22">_xlfn.IFS(SUM($Q22:AF22)&gt;=$G22,0,$L22=AG$2,$G22/$P22,AF22&gt;0,$G22/$P22,TRUE,0)</f>
        <v>2754.705882352941</v>
      </c>
      <c r="AH22" s="311" cm="1">
        <f t="array" ref="AH22">_xlfn.IFS(SUM($Q22:AG22)&gt;=$G22,0,$L22=AH$2,$G22/$P22,AG22&gt;0,$G22/$P22,TRUE,0)</f>
        <v>2754.705882352941</v>
      </c>
      <c r="AI22" s="311" cm="1">
        <f t="array" ref="AI22">_xlfn.IFS(SUM($Q22:AH22)&gt;=$G22,0,$L22=AI$2,$G22/$P22,AH22&gt;0,$G22/$P22,TRUE,0)</f>
        <v>0</v>
      </c>
      <c r="AJ22" s="311" cm="1">
        <f t="array" ref="AJ22">_xlfn.IFS(SUM($Q22:AI22)&gt;=$G22,0,$L22=AJ$2,$G22/$P22,AI22&gt;0,$G22/$P22,TRUE,0)</f>
        <v>0</v>
      </c>
      <c r="AK22" s="311" cm="1">
        <f t="array" ref="AK22">_xlfn.IFS(SUM($Q22:AJ22)&gt;=$G22,0,$L22=AK$2,$G22/$P22,AJ22&gt;0,$G22/$P22,TRUE,0)</f>
        <v>0</v>
      </c>
      <c r="AL22" s="311" cm="1">
        <f t="array" ref="AL22">_xlfn.IFS(SUM($Q22:AK22)&gt;=$G22,0,$L22=AL$2,$G22/$P22,AK22&gt;0,$G22/$P22,TRUE,0)</f>
        <v>0</v>
      </c>
      <c r="AM22" s="311" cm="1">
        <f t="array" ref="AM22">_xlfn.IFS(SUM($Q22:AL22)&gt;=$G22,0,$L22=AM$2,$G22/$P22,AL22&gt;0,$G22/$P22,TRUE,0)</f>
        <v>0</v>
      </c>
      <c r="AN22" s="311" cm="1">
        <f t="array" ref="AN22">_xlfn.IFS(SUM($Q22:AM22)&gt;=$G22,0,$L22=AN$2,$G22/$P22,AM22&gt;0,$G22/$P22,TRUE,0)</f>
        <v>0</v>
      </c>
      <c r="AO22" s="311" cm="1">
        <f t="array" ref="AO22">_xlfn.IFS(SUM($Q22:AN22)&gt;=$G22,0,$L22=AO$2,$G22/$P22,AN22&gt;0,$G22/$P22,TRUE,0)</f>
        <v>0</v>
      </c>
      <c r="AP22" s="311" cm="1">
        <f t="array" ref="AP22">_xlfn.IFS(SUM($Q22:AO22)&gt;=$G22,0,$L22=AP$2,$G22/$P22,AO22&gt;0,$G22/$P22,TRUE,0)</f>
        <v>0</v>
      </c>
      <c r="AQ22" s="311" cm="1">
        <f t="array" ref="AQ22">_xlfn.IFS(SUM($Q22:AP22)&gt;=$G22,0,$L22=AQ$2,$G22/$P22,AP22&gt;0,$G22/$P22,TRUE,0)</f>
        <v>0</v>
      </c>
      <c r="AR22" s="311" cm="1">
        <f t="array" ref="AR22">_xlfn.IFS(SUM($Q22:AQ22)&gt;=$G22,0,$L22=AR$2,$G22/$P22,AQ22&gt;0,$G22/$P22,TRUE,0)</f>
        <v>0</v>
      </c>
      <c r="AS22" s="311" cm="1">
        <f t="array" ref="AS22">_xlfn.IFS(SUM($Q22:AR22)&gt;=$G22,0,$L22=AS$2,$G22/$P22,AR22&gt;0,$G22/$P22,TRUE,0)</f>
        <v>0</v>
      </c>
      <c r="AT22" s="311" cm="1">
        <f t="array" ref="AT22">_xlfn.IFS(SUM($Q22:AS22)&gt;=$G22,0,$L22=AT$2,$G22/$P22,AS22&gt;0,$G22/$P22,TRUE,0)</f>
        <v>0</v>
      </c>
      <c r="AU22" s="311" cm="1">
        <f t="array" ref="AU22">_xlfn.IFS(SUM($Q22:AT22)&gt;=$G22,0,$L22=AU$2,$G22/$P22,AT22&gt;0,$G22/$P22,TRUE,0)</f>
        <v>0</v>
      </c>
      <c r="AV22" s="311" cm="1">
        <f t="array" ref="AV22">_xlfn.IFS(SUM($Q22:AU22)&gt;=$G22,0,$L22=AV$2,$G22/$P22,AU22&gt;0,$G22/$P22,TRUE,0)</f>
        <v>0</v>
      </c>
      <c r="AW22" s="311" cm="1">
        <f t="array" ref="AW22">_xlfn.IFS(SUM($Q22:AV22)&gt;=$G22,0,$L22=AW$2,$G22/$P22,AV22&gt;0,$G22/$P22,TRUE,0)</f>
        <v>0</v>
      </c>
      <c r="AX22" s="311" cm="1">
        <f t="array" ref="AX22">_xlfn.IFS(SUM($Q22:AW22)&gt;=$G22,0,$L22=AX$2,$G22/$P22,AW22&gt;0,$G22/$P22,TRUE,0)</f>
        <v>0</v>
      </c>
      <c r="AY22" s="311" cm="1">
        <f t="array" ref="AY22">_xlfn.IFS(SUM($Q22:AX22)&gt;=$G22,0,$L22=AY$2,$G22/$P22,AX22&gt;0,$G22/$P22,TRUE,0)</f>
        <v>0</v>
      </c>
      <c r="AZ22" s="311" cm="1">
        <f t="array" ref="AZ22">_xlfn.IFS(SUM($Q22:AY22)&gt;=$G22,0,$L22=AZ$2,$G22/$P22,AY22&gt;0,$G22/$P22,TRUE,0)</f>
        <v>0</v>
      </c>
      <c r="BA22" s="311">
        <f t="shared" si="6"/>
        <v>46830.000000000015</v>
      </c>
      <c r="BB22"/>
      <c r="BC22" s="79"/>
      <c r="BD22" s="6"/>
      <c r="BF22" s="1060"/>
      <c r="BG22" s="1060"/>
      <c r="BH22" s="1060"/>
      <c r="BI22" s="1060"/>
      <c r="BJ22" s="1060"/>
      <c r="BK22" s="381"/>
    </row>
    <row r="23" spans="1:68" s="438" customFormat="1" ht="15" customHeight="1">
      <c r="A23" t="str">
        <f t="shared" si="2"/>
        <v/>
      </c>
      <c r="B23" s="79" t="s">
        <v>527</v>
      </c>
      <c r="C23" s="79" t="s">
        <v>430</v>
      </c>
      <c r="D23" s="79" t="s">
        <v>1044</v>
      </c>
      <c r="E23" s="6" t="s">
        <v>1063</v>
      </c>
      <c r="F23" s="439">
        <v>2800</v>
      </c>
      <c r="G23" s="121">
        <f>(G21*G38)/G37</f>
        <v>24187.986330178759</v>
      </c>
      <c r="H23" s="787">
        <f>G23/F23</f>
        <v>8.6385665464924148</v>
      </c>
      <c r="I23" s="79" t="s">
        <v>60</v>
      </c>
      <c r="J23" s="79">
        <v>2025</v>
      </c>
      <c r="K23" s="79" t="str">
        <f t="shared" si="3"/>
        <v>3Q25</v>
      </c>
      <c r="L23" s="79" t="s">
        <v>60</v>
      </c>
      <c r="M23" s="464" t="s">
        <v>59</v>
      </c>
      <c r="N23" s="79" t="s">
        <v>442</v>
      </c>
      <c r="O23" s="79"/>
      <c r="P23" s="121">
        <f t="shared" si="4"/>
        <v>10</v>
      </c>
      <c r="Q23"/>
      <c r="R23" s="311" cm="1">
        <f t="array" ref="R23">_xlfn.IFS(SUM($Q23:Q23)&gt;=$G23,0,$L23=R$2,$G23/$P23,Q23&gt;0,$G23/$P23,TRUE,0)</f>
        <v>0</v>
      </c>
      <c r="S23" s="311" cm="1">
        <f t="array" ref="S23">_xlfn.IFS(SUM($Q23:R23)&gt;=$G23,0,$L23=S$2,$G23/$P23,R23&gt;0,$G23/$P23,TRUE,0)</f>
        <v>2418.798633017876</v>
      </c>
      <c r="T23" s="311" cm="1">
        <f t="array" ref="T23">_xlfn.IFS(SUM($Q23:S23)&gt;=$G23,0,$L23=T$2,$G23/$P23,S23&gt;0,$G23/$P23,TRUE,0)</f>
        <v>2418.798633017876</v>
      </c>
      <c r="U23" s="311" cm="1">
        <f t="array" ref="U23">_xlfn.IFS(SUM($Q23:T23)&gt;=$G23,0,$L23=U$2,$G23/$P23,T23&gt;0,$G23/$P23,TRUE,0)</f>
        <v>2418.798633017876</v>
      </c>
      <c r="V23" s="311" cm="1">
        <f t="array" ref="V23">_xlfn.IFS(SUM($Q23:U23)&gt;=$G23,0,$L23=V$2,$G23/$P23,U23&gt;0,$G23/$P23,TRUE,0)</f>
        <v>2418.798633017876</v>
      </c>
      <c r="W23" s="311" cm="1">
        <f t="array" ref="W23">_xlfn.IFS(SUM($Q23:V23)&gt;=$G23,0,$L23=W$2,$G23/$P23,V23&gt;0,$G23/$P23,TRUE,0)</f>
        <v>2418.798633017876</v>
      </c>
      <c r="X23" s="311" cm="1">
        <f t="array" ref="X23">_xlfn.IFS(SUM($Q23:W23)&gt;=$G23,0,$L23=X$2,$G23/$P23,W23&gt;0,$G23/$P23,TRUE,0)</f>
        <v>2418.798633017876</v>
      </c>
      <c r="Y23" s="311" cm="1">
        <f t="array" ref="Y23">_xlfn.IFS(SUM($Q23:X23)&gt;=$G23,0,$L23=Y$2,$G23/$P23,X23&gt;0,$G23/$P23,TRUE,0)</f>
        <v>2418.798633017876</v>
      </c>
      <c r="Z23" s="311" cm="1">
        <f t="array" ref="Z23">_xlfn.IFS(SUM($Q23:Y23)&gt;=$G23,0,$L23=Z$2,$G23/$P23,Y23&gt;0,$G23/$P23,TRUE,0)</f>
        <v>2418.798633017876</v>
      </c>
      <c r="AA23" s="311" cm="1">
        <f t="array" ref="AA23">_xlfn.IFS(SUM($Q23:Z23)&gt;=$G23,0,$L23=AA$2,$G23/$P23,Z23&gt;0,$G23/$P23,TRUE,0)</f>
        <v>2418.798633017876</v>
      </c>
      <c r="AB23" s="311" cm="1">
        <f t="array" ref="AB23">_xlfn.IFS(SUM($Q23:AA23)&gt;=$G23,0,$L23=AB$2,$G23/$P23,AA23&gt;0,$G23/$P23,TRUE,0)</f>
        <v>2418.798633017876</v>
      </c>
      <c r="AC23" s="311" cm="1">
        <f t="array" ref="AC23">_xlfn.IFS(SUM($Q23:AB23)&gt;=$G23,0,$L23=AC$2,$G23/$P23,AB23&gt;0,$G23/$P23,TRUE,0)</f>
        <v>0</v>
      </c>
      <c r="AD23" s="311" cm="1">
        <f t="array" ref="AD23">_xlfn.IFS(SUM($Q23:AC23)&gt;=$G23,0,$L23=AD$2,$G23/$P23,AC23&gt;0,$G23/$P23,TRUE,0)</f>
        <v>0</v>
      </c>
      <c r="AE23" s="311" cm="1">
        <f t="array" ref="AE23">_xlfn.IFS(SUM($Q23:AD23)&gt;=$G23,0,$L23=AE$2,$G23/$P23,AD23&gt;0,$G23/$P23,TRUE,0)</f>
        <v>0</v>
      </c>
      <c r="AF23" s="311" cm="1">
        <f t="array" ref="AF23">_xlfn.IFS(SUM($Q23:AE23)&gt;=$G23,0,$L23=AF$2,$G23/$P23,AE23&gt;0,$G23/$P23,TRUE,0)</f>
        <v>0</v>
      </c>
      <c r="AG23" s="311" cm="1">
        <f t="array" ref="AG23">_xlfn.IFS(SUM($Q23:AF23)&gt;=$G23,0,$L23=AG$2,$G23/$P23,AF23&gt;0,$G23/$P23,TRUE,0)</f>
        <v>0</v>
      </c>
      <c r="AH23" s="311" cm="1">
        <f t="array" ref="AH23">_xlfn.IFS(SUM($Q23:AG23)&gt;=$G23,0,$L23=AH$2,$G23/$P23,AG23&gt;0,$G23/$P23,TRUE,0)</f>
        <v>0</v>
      </c>
      <c r="AI23" s="311" cm="1">
        <f t="array" ref="AI23">_xlfn.IFS(SUM($Q23:AH23)&gt;=$G23,0,$L23=AI$2,$G23/$P23,AH23&gt;0,$G23/$P23,TRUE,0)</f>
        <v>0</v>
      </c>
      <c r="AJ23" s="311" cm="1">
        <f t="array" ref="AJ23">_xlfn.IFS(SUM($Q23:AI23)&gt;=$G23,0,$L23=AJ$2,$G23/$P23,AI23&gt;0,$G23/$P23,TRUE,0)</f>
        <v>0</v>
      </c>
      <c r="AK23" s="311" cm="1">
        <f t="array" ref="AK23">_xlfn.IFS(SUM($Q23:AJ23)&gt;=$G23,0,$L23=AK$2,$G23/$P23,AJ23&gt;0,$G23/$P23,TRUE,0)</f>
        <v>0</v>
      </c>
      <c r="AL23" s="311" cm="1">
        <f t="array" ref="AL23">_xlfn.IFS(SUM($Q23:AK23)&gt;=$G23,0,$L23=AL$2,$G23/$P23,AK23&gt;0,$G23/$P23,TRUE,0)</f>
        <v>0</v>
      </c>
      <c r="AM23" s="311" cm="1">
        <f t="array" ref="AM23">_xlfn.IFS(SUM($Q23:AL23)&gt;=$G23,0,$L23=AM$2,$G23/$P23,AL23&gt;0,$G23/$P23,TRUE,0)</f>
        <v>0</v>
      </c>
      <c r="AN23" s="311" cm="1">
        <f t="array" ref="AN23">_xlfn.IFS(SUM($Q23:AM23)&gt;=$G23,0,$L23=AN$2,$G23/$P23,AM23&gt;0,$G23/$P23,TRUE,0)</f>
        <v>0</v>
      </c>
      <c r="AO23" s="311" cm="1">
        <f t="array" ref="AO23">_xlfn.IFS(SUM($Q23:AN23)&gt;=$G23,0,$L23=AO$2,$G23/$P23,AN23&gt;0,$G23/$P23,TRUE,0)</f>
        <v>0</v>
      </c>
      <c r="AP23" s="311" cm="1">
        <f t="array" ref="AP23">_xlfn.IFS(SUM($Q23:AO23)&gt;=$G23,0,$L23=AP$2,$G23/$P23,AO23&gt;0,$G23/$P23,TRUE,0)</f>
        <v>0</v>
      </c>
      <c r="AQ23" s="311" cm="1">
        <f t="array" ref="AQ23">_xlfn.IFS(SUM($Q23:AP23)&gt;=$G23,0,$L23=AQ$2,$G23/$P23,AP23&gt;0,$G23/$P23,TRUE,0)</f>
        <v>0</v>
      </c>
      <c r="AR23" s="311" cm="1">
        <f t="array" ref="AR23">_xlfn.IFS(SUM($Q23:AQ23)&gt;=$G23,0,$L23=AR$2,$G23/$P23,AQ23&gt;0,$G23/$P23,TRUE,0)</f>
        <v>0</v>
      </c>
      <c r="AS23" s="311" cm="1">
        <f t="array" ref="AS23">_xlfn.IFS(SUM($Q23:AR23)&gt;=$G23,0,$L23=AS$2,$G23/$P23,AR23&gt;0,$G23/$P23,TRUE,0)</f>
        <v>0</v>
      </c>
      <c r="AT23" s="311" cm="1">
        <f t="array" ref="AT23">_xlfn.IFS(SUM($Q23:AS23)&gt;=$G23,0,$L23=AT$2,$G23/$P23,AS23&gt;0,$G23/$P23,TRUE,0)</f>
        <v>0</v>
      </c>
      <c r="AU23" s="311" cm="1">
        <f t="array" ref="AU23">_xlfn.IFS(SUM($Q23:AT23)&gt;=$G23,0,$L23=AU$2,$G23/$P23,AT23&gt;0,$G23/$P23,TRUE,0)</f>
        <v>0</v>
      </c>
      <c r="AV23" s="311" cm="1">
        <f t="array" ref="AV23">_xlfn.IFS(SUM($Q23:AU23)&gt;=$G23,0,$L23=AV$2,$G23/$P23,AU23&gt;0,$G23/$P23,TRUE,0)</f>
        <v>0</v>
      </c>
      <c r="AW23" s="311" cm="1">
        <f t="array" ref="AW23">_xlfn.IFS(SUM($Q23:AV23)&gt;=$G23,0,$L23=AW$2,$G23/$P23,AV23&gt;0,$G23/$P23,TRUE,0)</f>
        <v>0</v>
      </c>
      <c r="AX23" s="311" cm="1">
        <f t="array" ref="AX23">_xlfn.IFS(SUM($Q23:AW23)&gt;=$G23,0,$L23=AX$2,$G23/$P23,AW23&gt;0,$G23/$P23,TRUE,0)</f>
        <v>0</v>
      </c>
      <c r="AY23" s="311" cm="1">
        <f t="array" ref="AY23">_xlfn.IFS(SUM($Q23:AX23)&gt;=$G23,0,$L23=AY$2,$G23/$P23,AX23&gt;0,$G23/$P23,TRUE,0)</f>
        <v>0</v>
      </c>
      <c r="AZ23" s="311" cm="1">
        <f t="array" ref="AZ23">_xlfn.IFS(SUM($Q23:AY23)&gt;=$G23,0,$L23=AZ$2,$G23/$P23,AY23&gt;0,$G23/$P23,TRUE,0)</f>
        <v>0</v>
      </c>
      <c r="BA23" s="311">
        <f t="shared" si="6"/>
        <v>24187.986330178759</v>
      </c>
      <c r="BB23"/>
      <c r="BC23" s="79"/>
      <c r="BD23" s="6"/>
      <c r="BF23" s="1060"/>
      <c r="BG23" s="1060"/>
      <c r="BH23" s="1060"/>
      <c r="BI23" s="1060"/>
      <c r="BJ23" s="1060"/>
      <c r="BK23" s="381"/>
    </row>
    <row r="24" spans="1:68" s="438" customFormat="1" ht="15" customHeight="1">
      <c r="A24" t="str">
        <f t="shared" si="2"/>
        <v/>
      </c>
      <c r="B24" s="79" t="s">
        <v>527</v>
      </c>
      <c r="C24" s="79" t="s">
        <v>430</v>
      </c>
      <c r="D24" s="79" t="s">
        <v>1044</v>
      </c>
      <c r="E24" s="297" t="s">
        <v>1064</v>
      </c>
      <c r="F24" s="439">
        <v>2800</v>
      </c>
      <c r="G24" s="121">
        <f>ROUND(F24*H24, -2)</f>
        <v>58600</v>
      </c>
      <c r="H24" s="787">
        <f>H20</f>
        <v>20.927499999999998</v>
      </c>
      <c r="I24" s="79" t="s">
        <v>445</v>
      </c>
      <c r="J24" s="79">
        <v>2027</v>
      </c>
      <c r="K24" s="79" t="str">
        <f t="shared" si="3"/>
        <v>1Q27</v>
      </c>
      <c r="L24" s="79" t="str">
        <f>M24</f>
        <v>2Q27</v>
      </c>
      <c r="M24" s="464" t="s">
        <v>444</v>
      </c>
      <c r="N24" s="79" t="s">
        <v>1065</v>
      </c>
      <c r="O24" s="79"/>
      <c r="P24" s="121">
        <f t="shared" si="4"/>
        <v>17</v>
      </c>
      <c r="Q24"/>
      <c r="R24" s="311" cm="1">
        <f t="array" ref="R24">_xlfn.IFS(SUM($Q24:Q24)&gt;=$G24,0,$L24=R$2,$G24/$P24,Q24&gt;0,$G24/$P24,TRUE,0)</f>
        <v>0</v>
      </c>
      <c r="S24" s="311" cm="1">
        <f t="array" ref="S24">_xlfn.IFS(SUM($R24:R24)&gt;=$G24,0,$L24=S$2,$G24/$P24,R24&gt;0,$G24/$P24,TRUE,0)</f>
        <v>0</v>
      </c>
      <c r="T24" s="311" cm="1">
        <f t="array" ref="T24">_xlfn.IFS(SUM($R24:S24)&gt;=$G24,0,$L24=T$2,$G24/$P24,S24&gt;0,$G24/$P24,TRUE,0)</f>
        <v>0</v>
      </c>
      <c r="U24" s="311" cm="1">
        <f t="array" ref="U24">_xlfn.IFS(SUM($R24:T24)&gt;=$G24,0,$L24=U$2,$G24/$P24,T24&gt;0,$G24/$P24,TRUE,0)</f>
        <v>0</v>
      </c>
      <c r="V24" s="311" cm="1">
        <f t="array" ref="V24">_xlfn.IFS(SUM($R24:U24)&gt;=$G24,0,$L24=V$2,$G24/$P24,U24&gt;0,$G24/$P24,TRUE,0)</f>
        <v>0</v>
      </c>
      <c r="W24" s="311" cm="1">
        <f t="array" ref="W24">_xlfn.IFS(SUM($R24:V24)&gt;=$G24,0,$L24=W$2,$G24/$P24,V24&gt;0,$G24/$P24,TRUE,0)</f>
        <v>0</v>
      </c>
      <c r="X24" s="311" cm="1">
        <f t="array" ref="X24">_xlfn.IFS(SUM($R24:W24)&gt;=$G24,0,$L24=X$2,$G24/$P24,W24&gt;0,$G24/$P24,TRUE,0)</f>
        <v>0</v>
      </c>
      <c r="Y24" s="311" cm="1">
        <f t="array" ref="Y24">_xlfn.IFS(SUM($R24:X24)&gt;=$G24,0,$L24=Y$2,$G24/$P24,X24&gt;0,$G24/$P24,TRUE,0)</f>
        <v>0</v>
      </c>
      <c r="Z24" s="311" cm="1">
        <f t="array" ref="Z24">_xlfn.IFS(SUM($R24:Y24)&gt;=$G24,0,$L24=Z$2,$G24/$P24,Y24&gt;0,$G24/$P24,TRUE,0)</f>
        <v>3447.0588235294117</v>
      </c>
      <c r="AA24" s="311" cm="1">
        <f t="array" ref="AA24">_xlfn.IFS(SUM($R24:Z24)&gt;=$G24,0,$L24=AA$2,$G24/$P24,Z24&gt;0,$G24/$P24,TRUE,0)</f>
        <v>3447.0588235294117</v>
      </c>
      <c r="AB24" s="311" cm="1">
        <f t="array" ref="AB24">_xlfn.IFS(SUM($R24:AA24)&gt;=$G24,0,$L24=AB$2,$G24/$P24,AA24&gt;0,$G24/$P24,TRUE,0)</f>
        <v>3447.0588235294117</v>
      </c>
      <c r="AC24" s="311" cm="1">
        <f t="array" ref="AC24">_xlfn.IFS(SUM($R24:AB24)&gt;=$G24,0,$L24=AC$2,$G24/$P24,AB24&gt;0,$G24/$P24,TRUE,0)</f>
        <v>3447.0588235294117</v>
      </c>
      <c r="AD24" s="311" cm="1">
        <f t="array" ref="AD24">_xlfn.IFS(SUM($R24:AC24)&gt;=$G24,0,$L24=AD$2,$G24/$P24,AC24&gt;0,$G24/$P24,TRUE,0)</f>
        <v>3447.0588235294117</v>
      </c>
      <c r="AE24" s="311" cm="1">
        <f t="array" ref="AE24">_xlfn.IFS(SUM($R24:AD24)&gt;=$G24,0,$L24=AE$2,$G24/$P24,AD24&gt;0,$G24/$P24,TRUE,0)</f>
        <v>3447.0588235294117</v>
      </c>
      <c r="AF24" s="311" cm="1">
        <f t="array" ref="AF24">_xlfn.IFS(SUM($R24:AE24)&gt;=$G24,0,$L24=AF$2,$G24/$P24,AE24&gt;0,$G24/$P24,TRUE,0)</f>
        <v>3447.0588235294117</v>
      </c>
      <c r="AG24" s="311" cm="1">
        <f t="array" ref="AG24">_xlfn.IFS(SUM($R24:AF24)&gt;=$G24,0,$L24=AG$2,$G24/$P24,AF24&gt;0,$G24/$P24,TRUE,0)</f>
        <v>3447.0588235294117</v>
      </c>
      <c r="AH24" s="311" cm="1">
        <f t="array" ref="AH24">_xlfn.IFS(SUM($R24:AG24)&gt;=$G24,0,$L24=AH$2,$G24/$P24,AG24&gt;0,$G24/$P24,TRUE,0)</f>
        <v>3447.0588235294117</v>
      </c>
      <c r="AI24" s="311" cm="1">
        <f t="array" ref="AI24">_xlfn.IFS(SUM($R24:AH24)&gt;=$G24,0,$L24=AI$2,$G24/$P24,AH24&gt;0,$G24/$P24,TRUE,0)</f>
        <v>3447.0588235294117</v>
      </c>
      <c r="AJ24" s="311" cm="1">
        <f t="array" ref="AJ24">_xlfn.IFS(SUM($R24:AI24)&gt;=$G24,0,$L24=AJ$2,$G24/$P24,AI24&gt;0,$G24/$P24,TRUE,0)</f>
        <v>3447.0588235294117</v>
      </c>
      <c r="AK24" s="311" cm="1">
        <f t="array" ref="AK24">_xlfn.IFS(SUM($R24:AJ24)&gt;=$G24,0,$L24=AK$2,$G24/$P24,AJ24&gt;0,$G24/$P24,TRUE,0)</f>
        <v>3447.0588235294117</v>
      </c>
      <c r="AL24" s="311" cm="1">
        <f t="array" ref="AL24">_xlfn.IFS(SUM($R24:AK24)&gt;=$G24,0,$L24=AL$2,$G24/$P24,AK24&gt;0,$G24/$P24,TRUE,0)</f>
        <v>3447.0588235294117</v>
      </c>
      <c r="AM24" s="311" cm="1">
        <f t="array" ref="AM24">_xlfn.IFS(SUM($R24:AL24)&gt;=$G24,0,$L24=AM$2,$G24/$P24,AL24&gt;0,$G24/$P24,TRUE,0)</f>
        <v>3447.0588235294117</v>
      </c>
      <c r="AN24" s="311" cm="1">
        <f t="array" ref="AN24">_xlfn.IFS(SUM($R24:AM24)&gt;=$G24,0,$L24=AN$2,$G24/$P24,AM24&gt;0,$G24/$P24,TRUE,0)</f>
        <v>3447.0588235294117</v>
      </c>
      <c r="AO24" s="311" cm="1">
        <f t="array" ref="AO24">_xlfn.IFS(SUM($R24:AN24)&gt;=$G24,0,$L24=AO$2,$G24/$P24,AN24&gt;0,$G24/$P24,TRUE,0)</f>
        <v>3447.0588235294117</v>
      </c>
      <c r="AP24" s="311" cm="1">
        <f t="array" ref="AP24">_xlfn.IFS(SUM($R24:AO24)&gt;=$G24,0,$L24=AP$2,$G24/$P24,AO24&gt;0,$G24/$P24,TRUE,0)</f>
        <v>3447.0588235294117</v>
      </c>
      <c r="AQ24" s="311" cm="1">
        <f t="array" ref="AQ24">_xlfn.IFS(SUM($R24:AP24)&gt;=$G24,0,$L24=AQ$2,$G24/$P24,AP24&gt;0,$G24/$P24,TRUE,0)</f>
        <v>0</v>
      </c>
      <c r="AR24" s="311" cm="1">
        <f t="array" ref="AR24">_xlfn.IFS(SUM($R24:AQ24)&gt;=$G24,0,$L24=AR$2,$G24/$P24,AQ24&gt;0,$G24/$P24,TRUE,0)</f>
        <v>0</v>
      </c>
      <c r="AS24" s="311" cm="1">
        <f t="array" ref="AS24">_xlfn.IFS(SUM($R24:AR24)&gt;=$G24,0,$L24=AS$2,$G24/$P24,AR24&gt;0,$G24/$P24,TRUE,0)</f>
        <v>0</v>
      </c>
      <c r="AT24" s="311" cm="1">
        <f t="array" ref="AT24">_xlfn.IFS(SUM($R24:AS24)&gt;=$G24,0,$L24=AT$2,$G24/$P24,AS24&gt;0,$G24/$P24,TRUE,0)</f>
        <v>0</v>
      </c>
      <c r="AU24" s="311" cm="1">
        <f t="array" ref="AU24">_xlfn.IFS(SUM($R24:AT24)&gt;=$G24,0,$L24=AU$2,$G24/$P24,AT24&gt;0,$G24/$P24,TRUE,0)</f>
        <v>0</v>
      </c>
      <c r="AV24" s="311" cm="1">
        <f t="array" ref="AV24">_xlfn.IFS(SUM($R24:AU24)&gt;=$G24,0,$L24=AV$2,$G24/$P24,AU24&gt;0,$G24/$P24,TRUE,0)</f>
        <v>0</v>
      </c>
      <c r="AW24" s="311" cm="1">
        <f t="array" ref="AW24">_xlfn.IFS(SUM($R24:AV24)&gt;=$G24,0,$L24=AW$2,$G24/$P24,AV24&gt;0,$G24/$P24,TRUE,0)</f>
        <v>0</v>
      </c>
      <c r="AX24" s="311" cm="1">
        <f t="array" ref="AX24">_xlfn.IFS(SUM($R24:AW24)&gt;=$G24,0,$L24=AX$2,$G24/$P24,AW24&gt;0,$G24/$P24,TRUE,0)</f>
        <v>0</v>
      </c>
      <c r="AY24" s="311" cm="1">
        <f t="array" ref="AY24">_xlfn.IFS(SUM($R24:AX24)&gt;=$G24,0,$L24=AY$2,$G24/$P24,AX24&gt;0,$G24/$P24,TRUE,0)</f>
        <v>0</v>
      </c>
      <c r="AZ24" s="311" cm="1">
        <f t="array" ref="AZ24">_xlfn.IFS(SUM($R24:AY24)&gt;=$G24,0,$L24=AZ$2,$G24/$P24,AY24&gt;0,$G24/$P24,TRUE,0)</f>
        <v>0</v>
      </c>
      <c r="BA24" s="311">
        <f t="shared" si="6"/>
        <v>58600.000000000007</v>
      </c>
      <c r="BB24"/>
      <c r="BC24" s="79"/>
      <c r="BD24" s="6"/>
      <c r="BF24" s="1060"/>
      <c r="BG24" s="1060"/>
      <c r="BH24" s="1060"/>
      <c r="BI24" s="1060"/>
      <c r="BJ24" s="1060"/>
      <c r="BK24" s="381"/>
    </row>
    <row r="25" spans="1:68" s="438" customFormat="1" ht="15" customHeight="1">
      <c r="A25" t="str">
        <f t="shared" si="2"/>
        <v/>
      </c>
      <c r="B25" s="79" t="s">
        <v>527</v>
      </c>
      <c r="C25" s="79" t="s">
        <v>524</v>
      </c>
      <c r="D25" s="79" t="s">
        <v>1044</v>
      </c>
      <c r="E25" s="6" t="s">
        <v>1066</v>
      </c>
      <c r="F25" s="439">
        <v>2800</v>
      </c>
      <c r="G25" s="121">
        <f>ROUND(F25*H25, -2)</f>
        <v>41500</v>
      </c>
      <c r="H25" s="787">
        <f>H21</f>
        <v>14.803571428571429</v>
      </c>
      <c r="I25" s="79" t="s">
        <v>445</v>
      </c>
      <c r="J25" s="79">
        <v>2027</v>
      </c>
      <c r="K25" s="79" t="str">
        <f t="shared" si="3"/>
        <v>1Q27</v>
      </c>
      <c r="L25" s="79" t="str">
        <f t="shared" ref="L25:L26" si="7">M25</f>
        <v>2Q27</v>
      </c>
      <c r="M25" s="464" t="s">
        <v>444</v>
      </c>
      <c r="N25" s="79" t="s">
        <v>1065</v>
      </c>
      <c r="O25" s="79"/>
      <c r="P25" s="121">
        <f t="shared" si="4"/>
        <v>17</v>
      </c>
      <c r="Q25"/>
      <c r="R25" s="311" cm="1">
        <f t="array" ref="R25">_xlfn.IFS(SUM($Q25:Q25)&gt;=$G25,0,$L25=R$2,$G25/$P25,Q25&gt;0,$G25/$P25,TRUE,0)</f>
        <v>0</v>
      </c>
      <c r="S25" s="311" cm="1">
        <f t="array" ref="S25">_xlfn.IFS(SUM($R25:R25)&gt;=$G25,0,$L25=S$2,$G25/$P25,R25&gt;0,$G25/$P25,TRUE,0)</f>
        <v>0</v>
      </c>
      <c r="T25" s="311" cm="1">
        <f t="array" ref="T25">_xlfn.IFS(SUM($R25:S25)&gt;=$G25,0,$L25=T$2,$G25/$P25,S25&gt;0,$G25/$P25,TRUE,0)</f>
        <v>0</v>
      </c>
      <c r="U25" s="311" cm="1">
        <f t="array" ref="U25">_xlfn.IFS(SUM($R25:T25)&gt;=$G25,0,$L25=U$2,$G25/$P25,T25&gt;0,$G25/$P25,TRUE,0)</f>
        <v>0</v>
      </c>
      <c r="V25" s="311" cm="1">
        <f t="array" ref="V25">_xlfn.IFS(SUM($R25:U25)&gt;=$G25,0,$L25=V$2,$G25/$P25,U25&gt;0,$G25/$P25,TRUE,0)</f>
        <v>0</v>
      </c>
      <c r="W25" s="311" cm="1">
        <f t="array" ref="W25">_xlfn.IFS(SUM($R25:V25)&gt;=$G25,0,$L25=W$2,$G25/$P25,V25&gt;0,$G25/$P25,TRUE,0)</f>
        <v>0</v>
      </c>
      <c r="X25" s="311" cm="1">
        <f t="array" ref="X25">_xlfn.IFS(SUM($R25:W25)&gt;=$G25,0,$L25=X$2,$G25/$P25,W25&gt;0,$G25/$P25,TRUE,0)</f>
        <v>0</v>
      </c>
      <c r="Y25" s="311" cm="1">
        <f t="array" ref="Y25">_xlfn.IFS(SUM($R25:X25)&gt;=$G25,0,$L25=Y$2,$G25/$P25,X25&gt;0,$G25/$P25,TRUE,0)</f>
        <v>0</v>
      </c>
      <c r="Z25" s="311" cm="1">
        <f t="array" ref="Z25">_xlfn.IFS(SUM($R25:Y25)&gt;=$G25,0,$L25=Z$2,$G25/$P25,Y25&gt;0,$G25/$P25,TRUE,0)</f>
        <v>2441.1764705882351</v>
      </c>
      <c r="AA25" s="311" cm="1">
        <f t="array" ref="AA25">_xlfn.IFS(SUM($R25:Z25)&gt;=$G25,0,$L25=AA$2,$G25/$P25,Z25&gt;0,$G25/$P25,TRUE,0)</f>
        <v>2441.1764705882351</v>
      </c>
      <c r="AB25" s="311" cm="1">
        <f t="array" ref="AB25">_xlfn.IFS(SUM($R25:AA25)&gt;=$G25,0,$L25=AB$2,$G25/$P25,AA25&gt;0,$G25/$P25,TRUE,0)</f>
        <v>2441.1764705882351</v>
      </c>
      <c r="AC25" s="311" cm="1">
        <f t="array" ref="AC25">_xlfn.IFS(SUM($R25:AB25)&gt;=$G25,0,$L25=AC$2,$G25/$P25,AB25&gt;0,$G25/$P25,TRUE,0)</f>
        <v>2441.1764705882351</v>
      </c>
      <c r="AD25" s="311" cm="1">
        <f t="array" ref="AD25">_xlfn.IFS(SUM($R25:AC25)&gt;=$G25,0,$L25=AD$2,$G25/$P25,AC25&gt;0,$G25/$P25,TRUE,0)</f>
        <v>2441.1764705882351</v>
      </c>
      <c r="AE25" s="311" cm="1">
        <f t="array" ref="AE25">_xlfn.IFS(SUM($R25:AD25)&gt;=$G25,0,$L25=AE$2,$G25/$P25,AD25&gt;0,$G25/$P25,TRUE,0)</f>
        <v>2441.1764705882351</v>
      </c>
      <c r="AF25" s="311" cm="1">
        <f t="array" ref="AF25">_xlfn.IFS(SUM($R25:AE25)&gt;=$G25,0,$L25=AF$2,$G25/$P25,AE25&gt;0,$G25/$P25,TRUE,0)</f>
        <v>2441.1764705882351</v>
      </c>
      <c r="AG25" s="311" cm="1">
        <f t="array" ref="AG25">_xlfn.IFS(SUM($R25:AF25)&gt;=$G25,0,$L25=AG$2,$G25/$P25,AF25&gt;0,$G25/$P25,TRUE,0)</f>
        <v>2441.1764705882351</v>
      </c>
      <c r="AH25" s="311" cm="1">
        <f t="array" ref="AH25">_xlfn.IFS(SUM($R25:AG25)&gt;=$G25,0,$L25=AH$2,$G25/$P25,AG25&gt;0,$G25/$P25,TRUE,0)</f>
        <v>2441.1764705882351</v>
      </c>
      <c r="AI25" s="311" cm="1">
        <f t="array" ref="AI25">_xlfn.IFS(SUM($R25:AH25)&gt;=$G25,0,$L25=AI$2,$G25/$P25,AH25&gt;0,$G25/$P25,TRUE,0)</f>
        <v>2441.1764705882351</v>
      </c>
      <c r="AJ25" s="311" cm="1">
        <f t="array" ref="AJ25">_xlfn.IFS(SUM($R25:AI25)&gt;=$G25,0,$L25=AJ$2,$G25/$P25,AI25&gt;0,$G25/$P25,TRUE,0)</f>
        <v>2441.1764705882351</v>
      </c>
      <c r="AK25" s="311" cm="1">
        <f t="array" ref="AK25">_xlfn.IFS(SUM($R25:AJ25)&gt;=$G25,0,$L25=AK$2,$G25/$P25,AJ25&gt;0,$G25/$P25,TRUE,0)</f>
        <v>2441.1764705882351</v>
      </c>
      <c r="AL25" s="311" cm="1">
        <f t="array" ref="AL25">_xlfn.IFS(SUM($R25:AK25)&gt;=$G25,0,$L25=AL$2,$G25/$P25,AK25&gt;0,$G25/$P25,TRUE,0)</f>
        <v>2441.1764705882351</v>
      </c>
      <c r="AM25" s="311" cm="1">
        <f t="array" ref="AM25">_xlfn.IFS(SUM($R25:AL25)&gt;=$G25,0,$L25=AM$2,$G25/$P25,AL25&gt;0,$G25/$P25,TRUE,0)</f>
        <v>2441.1764705882351</v>
      </c>
      <c r="AN25" s="311" cm="1">
        <f t="array" ref="AN25">_xlfn.IFS(SUM($R25:AM25)&gt;=$G25,0,$L25=AN$2,$G25/$P25,AM25&gt;0,$G25/$P25,TRUE,0)</f>
        <v>2441.1764705882351</v>
      </c>
      <c r="AO25" s="311" cm="1">
        <f t="array" ref="AO25">_xlfn.IFS(SUM($R25:AN25)&gt;=$G25,0,$L25=AO$2,$G25/$P25,AN25&gt;0,$G25/$P25,TRUE,0)</f>
        <v>2441.1764705882351</v>
      </c>
      <c r="AP25" s="311" cm="1">
        <f t="array" ref="AP25">_xlfn.IFS(SUM($R25:AO25)&gt;=$G25,0,$L25=AP$2,$G25/$P25,AO25&gt;0,$G25/$P25,TRUE,0)</f>
        <v>2441.1764705882351</v>
      </c>
      <c r="AQ25" s="311" cm="1">
        <f t="array" ref="AQ25">_xlfn.IFS(SUM($R25:AP25)&gt;=$G25,0,$L25=AQ$2,$G25/$P25,AP25&gt;0,$G25/$P25,TRUE,0)</f>
        <v>0</v>
      </c>
      <c r="AR25" s="311" cm="1">
        <f t="array" ref="AR25">_xlfn.IFS(SUM($R25:AQ25)&gt;=$G25,0,$L25=AR$2,$G25/$P25,AQ25&gt;0,$G25/$P25,TRUE,0)</f>
        <v>0</v>
      </c>
      <c r="AS25" s="311" cm="1">
        <f t="array" ref="AS25">_xlfn.IFS(SUM($R25:AR25)&gt;=$G25,0,$L25=AS$2,$G25/$P25,AR25&gt;0,$G25/$P25,TRUE,0)</f>
        <v>0</v>
      </c>
      <c r="AT25" s="311" cm="1">
        <f t="array" ref="AT25">_xlfn.IFS(SUM($R25:AS25)&gt;=$G25,0,$L25=AT$2,$G25/$P25,AS25&gt;0,$G25/$P25,TRUE,0)</f>
        <v>0</v>
      </c>
      <c r="AU25" s="311" cm="1">
        <f t="array" ref="AU25">_xlfn.IFS(SUM($R25:AT25)&gt;=$G25,0,$L25=AU$2,$G25/$P25,AT25&gt;0,$G25/$P25,TRUE,0)</f>
        <v>0</v>
      </c>
      <c r="AV25" s="311" cm="1">
        <f t="array" ref="AV25">_xlfn.IFS(SUM($R25:AU25)&gt;=$G25,0,$L25=AV$2,$G25/$P25,AU25&gt;0,$G25/$P25,TRUE,0)</f>
        <v>0</v>
      </c>
      <c r="AW25" s="311" cm="1">
        <f t="array" ref="AW25">_xlfn.IFS(SUM($R25:AV25)&gt;=$G25,0,$L25=AW$2,$G25/$P25,AV25&gt;0,$G25/$P25,TRUE,0)</f>
        <v>0</v>
      </c>
      <c r="AX25" s="311" cm="1">
        <f t="array" ref="AX25">_xlfn.IFS(SUM($R25:AW25)&gt;=$G25,0,$L25=AX$2,$G25/$P25,AW25&gt;0,$G25/$P25,TRUE,0)</f>
        <v>0</v>
      </c>
      <c r="AY25" s="311" cm="1">
        <f t="array" ref="AY25">_xlfn.IFS(SUM($R25:AX25)&gt;=$G25,0,$L25=AY$2,$G25/$P25,AX25&gt;0,$G25/$P25,TRUE,0)</f>
        <v>0</v>
      </c>
      <c r="AZ25" s="311" cm="1">
        <f t="array" ref="AZ25">_xlfn.IFS(SUM($R25:AY25)&gt;=$G25,0,$L25=AZ$2,$G25/$P25,AY25&gt;0,$G25/$P25,TRUE,0)</f>
        <v>0</v>
      </c>
      <c r="BA25" s="311">
        <f t="shared" si="6"/>
        <v>41500</v>
      </c>
      <c r="BB25"/>
      <c r="BC25" s="79"/>
      <c r="BD25" s="6"/>
      <c r="BF25" s="1060"/>
      <c r="BG25" s="1060"/>
      <c r="BH25" s="1060"/>
      <c r="BI25" s="1060"/>
      <c r="BJ25" s="1060"/>
      <c r="BK25" s="381"/>
    </row>
    <row r="26" spans="1:68" s="438" customFormat="1" ht="15" customHeight="1">
      <c r="A26" t="str">
        <f t="shared" si="2"/>
        <v/>
      </c>
      <c r="B26" s="79" t="s">
        <v>527</v>
      </c>
      <c r="C26" s="79" t="s">
        <v>430</v>
      </c>
      <c r="D26" s="79" t="s">
        <v>1044</v>
      </c>
      <c r="E26" s="6" t="s">
        <v>1067</v>
      </c>
      <c r="F26" s="439">
        <v>2800</v>
      </c>
      <c r="G26" s="121">
        <f>ROUND(F26*H26, -2)</f>
        <v>46800</v>
      </c>
      <c r="H26" s="787">
        <f>H22</f>
        <v>16.725000000000001</v>
      </c>
      <c r="I26" s="79" t="s">
        <v>444</v>
      </c>
      <c r="J26" s="79">
        <v>2027</v>
      </c>
      <c r="K26" s="79" t="str">
        <f t="shared" si="3"/>
        <v>2Q27</v>
      </c>
      <c r="L26" s="79" t="str">
        <f t="shared" si="7"/>
        <v>2Q27</v>
      </c>
      <c r="M26" s="464" t="s">
        <v>444</v>
      </c>
      <c r="N26" s="79" t="s">
        <v>1065</v>
      </c>
      <c r="O26" s="79"/>
      <c r="P26" s="121">
        <f t="shared" si="4"/>
        <v>17</v>
      </c>
      <c r="Q26"/>
      <c r="R26" s="311" cm="1">
        <f t="array" ref="R26">_xlfn.IFS(SUM($Q26:Q26)&gt;=$G26,0,$L26=R$2,$G26/$P26,Q26&gt;0,$G26/$P26,TRUE,0)</f>
        <v>0</v>
      </c>
      <c r="S26" s="311" cm="1">
        <f t="array" ref="S26">_xlfn.IFS(SUM($R26:R26)&gt;=$G26,0,$L26=S$2,$G26/$P26,R26&gt;0,$G26/$P26,TRUE,0)</f>
        <v>0</v>
      </c>
      <c r="T26" s="311" cm="1">
        <f t="array" ref="T26">_xlfn.IFS(SUM($R26:S26)&gt;=$G26,0,$L26=T$2,$G26/$P26,S26&gt;0,$G26/$P26,TRUE,0)</f>
        <v>0</v>
      </c>
      <c r="U26" s="311" cm="1">
        <f t="array" ref="U26">_xlfn.IFS(SUM($R26:T26)&gt;=$G26,0,$L26=U$2,$G26/$P26,T26&gt;0,$G26/$P26,TRUE,0)</f>
        <v>0</v>
      </c>
      <c r="V26" s="311" cm="1">
        <f t="array" ref="V26">_xlfn.IFS(SUM($R26:U26)&gt;=$G26,0,$L26=V$2,$G26/$P26,U26&gt;0,$G26/$P26,TRUE,0)</f>
        <v>0</v>
      </c>
      <c r="W26" s="311" cm="1">
        <f t="array" ref="W26">_xlfn.IFS(SUM($R26:V26)&gt;=$G26,0,$L26=W$2,$G26/$P26,V26&gt;0,$G26/$P26,TRUE,0)</f>
        <v>0</v>
      </c>
      <c r="X26" s="311" cm="1">
        <f t="array" ref="X26">_xlfn.IFS(SUM($R26:W26)&gt;=$G26,0,$L26=X$2,$G26/$P26,W26&gt;0,$G26/$P26,TRUE,0)</f>
        <v>0</v>
      </c>
      <c r="Y26" s="311" cm="1">
        <f t="array" ref="Y26">_xlfn.IFS(SUM($R26:X26)&gt;=$G26,0,$L26=Y$2,$G26/$P26,X26&gt;0,$G26/$P26,TRUE,0)</f>
        <v>0</v>
      </c>
      <c r="Z26" s="311" cm="1">
        <f t="array" ref="Z26">_xlfn.IFS(SUM($R26:Y26)&gt;=$G26,0,$L26=Z$2,$G26/$P26,Y26&gt;0,$G26/$P26,TRUE,0)</f>
        <v>2752.9411764705883</v>
      </c>
      <c r="AA26" s="311" cm="1">
        <f t="array" ref="AA26">_xlfn.IFS(SUM($R26:Z26)&gt;=$G26,0,$L26=AA$2,$G26/$P26,Z26&gt;0,$G26/$P26,TRUE,0)</f>
        <v>2752.9411764705883</v>
      </c>
      <c r="AB26" s="311" cm="1">
        <f t="array" ref="AB26">_xlfn.IFS(SUM($R26:AA26)&gt;=$G26,0,$L26=AB$2,$G26/$P26,AA26&gt;0,$G26/$P26,TRUE,0)</f>
        <v>2752.9411764705883</v>
      </c>
      <c r="AC26" s="311" cm="1">
        <f t="array" ref="AC26">_xlfn.IFS(SUM($R26:AB26)&gt;=$G26,0,$L26=AC$2,$G26/$P26,AB26&gt;0,$G26/$P26,TRUE,0)</f>
        <v>2752.9411764705883</v>
      </c>
      <c r="AD26" s="311" cm="1">
        <f t="array" ref="AD26">_xlfn.IFS(SUM($R26:AC26)&gt;=$G26,0,$L26=AD$2,$G26/$P26,AC26&gt;0,$G26/$P26,TRUE,0)</f>
        <v>2752.9411764705883</v>
      </c>
      <c r="AE26" s="311" cm="1">
        <f t="array" ref="AE26">_xlfn.IFS(SUM($R26:AD26)&gt;=$G26,0,$L26=AE$2,$G26/$P26,AD26&gt;0,$G26/$P26,TRUE,0)</f>
        <v>2752.9411764705883</v>
      </c>
      <c r="AF26" s="311" cm="1">
        <f t="array" ref="AF26">_xlfn.IFS(SUM($R26:AE26)&gt;=$G26,0,$L26=AF$2,$G26/$P26,AE26&gt;0,$G26/$P26,TRUE,0)</f>
        <v>2752.9411764705883</v>
      </c>
      <c r="AG26" s="311" cm="1">
        <f t="array" ref="AG26">_xlfn.IFS(SUM($R26:AF26)&gt;=$G26,0,$L26=AG$2,$G26/$P26,AF26&gt;0,$G26/$P26,TRUE,0)</f>
        <v>2752.9411764705883</v>
      </c>
      <c r="AH26" s="311" cm="1">
        <f t="array" ref="AH26">_xlfn.IFS(SUM($R26:AG26)&gt;=$G26,0,$L26=AH$2,$G26/$P26,AG26&gt;0,$G26/$P26,TRUE,0)</f>
        <v>2752.9411764705883</v>
      </c>
      <c r="AI26" s="311" cm="1">
        <f t="array" ref="AI26">_xlfn.IFS(SUM($R26:AH26)&gt;=$G26,0,$L26=AI$2,$G26/$P26,AH26&gt;0,$G26/$P26,TRUE,0)</f>
        <v>2752.9411764705883</v>
      </c>
      <c r="AJ26" s="311" cm="1">
        <f t="array" ref="AJ26">_xlfn.IFS(SUM($R26:AI26)&gt;=$G26,0,$L26=AJ$2,$G26/$P26,AI26&gt;0,$G26/$P26,TRUE,0)</f>
        <v>2752.9411764705883</v>
      </c>
      <c r="AK26" s="311" cm="1">
        <f t="array" ref="AK26">_xlfn.IFS(SUM($R26:AJ26)&gt;=$G26,0,$L26=AK$2,$G26/$P26,AJ26&gt;0,$G26/$P26,TRUE,0)</f>
        <v>2752.9411764705883</v>
      </c>
      <c r="AL26" s="311" cm="1">
        <f t="array" ref="AL26">_xlfn.IFS(SUM($R26:AK26)&gt;=$G26,0,$L26=AL$2,$G26/$P26,AK26&gt;0,$G26/$P26,TRUE,0)</f>
        <v>2752.9411764705883</v>
      </c>
      <c r="AM26" s="311" cm="1">
        <f t="array" ref="AM26">_xlfn.IFS(SUM($R26:AL26)&gt;=$G26,0,$L26=AM$2,$G26/$P26,AL26&gt;0,$G26/$P26,TRUE,0)</f>
        <v>2752.9411764705883</v>
      </c>
      <c r="AN26" s="311" cm="1">
        <f t="array" ref="AN26">_xlfn.IFS(SUM($R26:AM26)&gt;=$G26,0,$L26=AN$2,$G26/$P26,AM26&gt;0,$G26/$P26,TRUE,0)</f>
        <v>2752.9411764705883</v>
      </c>
      <c r="AO26" s="311" cm="1">
        <f t="array" ref="AO26">_xlfn.IFS(SUM($R26:AN26)&gt;=$G26,0,$L26=AO$2,$G26/$P26,AN26&gt;0,$G26/$P26,TRUE,0)</f>
        <v>2752.9411764705883</v>
      </c>
      <c r="AP26" s="311" cm="1">
        <f t="array" ref="AP26">_xlfn.IFS(SUM($R26:AO26)&gt;=$G26,0,$L26=AP$2,$G26/$P26,AO26&gt;0,$G26/$P26,TRUE,0)</f>
        <v>2752.9411764705883</v>
      </c>
      <c r="AQ26" s="311" cm="1">
        <f t="array" ref="AQ26">_xlfn.IFS(SUM($R26:AP26)&gt;=$G26,0,$L26=AQ$2,$G26/$P26,AP26&gt;0,$G26/$P26,TRUE,0)</f>
        <v>0</v>
      </c>
      <c r="AR26" s="311" cm="1">
        <f t="array" ref="AR26">_xlfn.IFS(SUM($R26:AQ26)&gt;=$G26,0,$L26=AR$2,$G26/$P26,AQ26&gt;0,$G26/$P26,TRUE,0)</f>
        <v>0</v>
      </c>
      <c r="AS26" s="311" cm="1">
        <f t="array" ref="AS26">_xlfn.IFS(SUM($R26:AR26)&gt;=$G26,0,$L26=AS$2,$G26/$P26,AR26&gt;0,$G26/$P26,TRUE,0)</f>
        <v>0</v>
      </c>
      <c r="AT26" s="311" cm="1">
        <f t="array" ref="AT26">_xlfn.IFS(SUM($R26:AS26)&gt;=$G26,0,$L26=AT$2,$G26/$P26,AS26&gt;0,$G26/$P26,TRUE,0)</f>
        <v>0</v>
      </c>
      <c r="AU26" s="311" cm="1">
        <f t="array" ref="AU26">_xlfn.IFS(SUM($R26:AT26)&gt;=$G26,0,$L26=AU$2,$G26/$P26,AT26&gt;0,$G26/$P26,TRUE,0)</f>
        <v>0</v>
      </c>
      <c r="AV26" s="311" cm="1">
        <f t="array" ref="AV26">_xlfn.IFS(SUM($R26:AU26)&gt;=$G26,0,$L26=AV$2,$G26/$P26,AU26&gt;0,$G26/$P26,TRUE,0)</f>
        <v>0</v>
      </c>
      <c r="AW26" s="311" cm="1">
        <f t="array" ref="AW26">_xlfn.IFS(SUM($R26:AV26)&gt;=$G26,0,$L26=AW$2,$G26/$P26,AV26&gt;0,$G26/$P26,TRUE,0)</f>
        <v>0</v>
      </c>
      <c r="AX26" s="311" cm="1">
        <f t="array" ref="AX26">_xlfn.IFS(SUM($R26:AW26)&gt;=$G26,0,$L26=AX$2,$G26/$P26,AW26&gt;0,$G26/$P26,TRUE,0)</f>
        <v>0</v>
      </c>
      <c r="AY26" s="311" cm="1">
        <f t="array" ref="AY26">_xlfn.IFS(SUM($R26:AX26)&gt;=$G26,0,$L26=AY$2,$G26/$P26,AX26&gt;0,$G26/$P26,TRUE,0)</f>
        <v>0</v>
      </c>
      <c r="AZ26" s="311" cm="1">
        <f t="array" ref="AZ26">_xlfn.IFS(SUM($R26:AY26)&gt;=$G26,0,$L26=AZ$2,$G26/$P26,AY26&gt;0,$G26/$P26,TRUE,0)</f>
        <v>0</v>
      </c>
      <c r="BA26" s="311">
        <f t="shared" si="6"/>
        <v>46799.999999999993</v>
      </c>
      <c r="BB26"/>
      <c r="BC26" s="79"/>
      <c r="BD26" s="6"/>
      <c r="BF26" s="1060"/>
      <c r="BG26" s="1060"/>
      <c r="BH26" s="1060"/>
      <c r="BI26" s="1060"/>
      <c r="BJ26" s="1060"/>
      <c r="BK26" s="381"/>
    </row>
    <row r="27" spans="1:68" s="438" customFormat="1" ht="15" customHeight="1">
      <c r="A27" t="str">
        <f t="shared" si="2"/>
        <v/>
      </c>
      <c r="B27" s="139" t="s">
        <v>527</v>
      </c>
      <c r="C27" s="139" t="s">
        <v>430</v>
      </c>
      <c r="D27" s="139" t="s">
        <v>1044</v>
      </c>
      <c r="E27" s="59" t="s">
        <v>1068</v>
      </c>
      <c r="F27" s="447">
        <v>2800</v>
      </c>
      <c r="G27" s="140">
        <f>G23</f>
        <v>24187.986330178759</v>
      </c>
      <c r="H27" s="788">
        <f>H23</f>
        <v>8.6385665464924148</v>
      </c>
      <c r="I27" s="139" t="s">
        <v>442</v>
      </c>
      <c r="J27" s="139">
        <v>2027</v>
      </c>
      <c r="K27" s="139" t="str">
        <f t="shared" si="3"/>
        <v>4Q27</v>
      </c>
      <c r="L27" s="139" t="s">
        <v>443</v>
      </c>
      <c r="M27" s="789" t="s">
        <v>444</v>
      </c>
      <c r="N27" s="139" t="s">
        <v>976</v>
      </c>
      <c r="O27" s="139"/>
      <c r="P27" s="140">
        <f t="shared" si="4"/>
        <v>10</v>
      </c>
      <c r="Q27" s="98"/>
      <c r="R27" s="490" cm="1">
        <f t="array" ref="R27">_xlfn.IFS(SUM($Q27:Q27)&gt;=$G27,0,$L27=R$2,$G27/$P27,Q27&gt;0,$G27/$P27,TRUE,0)</f>
        <v>0</v>
      </c>
      <c r="S27" s="490" cm="1">
        <f t="array" ref="S27">_xlfn.IFS(SUM($R27:R27)&gt;=$G27,0,$L27=S$2,$G27/$P27,R27&gt;0,$G27/$P27,TRUE,0)</f>
        <v>0</v>
      </c>
      <c r="T27" s="490" cm="1">
        <f t="array" ref="T27">_xlfn.IFS(SUM($R27:S27)&gt;=$G27,0,$L27=T$2,$G27/$P27,S27&gt;0,$G27/$P27,TRUE,0)</f>
        <v>0</v>
      </c>
      <c r="U27" s="490" cm="1">
        <f t="array" ref="U27">_xlfn.IFS(SUM($R27:T27)&gt;=$G27,0,$L27=U$2,$G27/$P27,T27&gt;0,$G27/$P27,TRUE,0)</f>
        <v>0</v>
      </c>
      <c r="V27" s="490" cm="1">
        <f t="array" ref="V27">_xlfn.IFS(SUM($R27:U27)&gt;=$G27,0,$L27=V$2,$G27/$P27,U27&gt;0,$G27/$P27,TRUE,0)</f>
        <v>0</v>
      </c>
      <c r="W27" s="490" cm="1">
        <f t="array" ref="W27">_xlfn.IFS(SUM($R27:V27)&gt;=$G27,0,$L27=W$2,$G27/$P27,V27&gt;0,$G27/$P27,TRUE,0)</f>
        <v>0</v>
      </c>
      <c r="X27" s="490" cm="1">
        <f t="array" ref="X27">_xlfn.IFS(SUM($R27:W27)&gt;=$G27,0,$L27=X$2,$G27/$P27,W27&gt;0,$G27/$P27,TRUE,0)</f>
        <v>0</v>
      </c>
      <c r="Y27" s="490" cm="1">
        <f t="array" ref="Y27">_xlfn.IFS(SUM($R27:X27)&gt;=$G27,0,$L27=Y$2,$G27/$P27,X27&gt;0,$G27/$P27,TRUE,0)</f>
        <v>0</v>
      </c>
      <c r="Z27" s="490" cm="1">
        <f t="array" ref="Z27">_xlfn.IFS(SUM($R27:Y27)&gt;=$G27,0,$L27=Z$2,$G27/$P27,Y27&gt;0,$G27/$P27,TRUE,0)</f>
        <v>0</v>
      </c>
      <c r="AA27" s="490" cm="1">
        <f t="array" ref="AA27">_xlfn.IFS(SUM($R27:Z27)&gt;=$G27,0,$L27=AA$2,$G27/$P27,Z27&gt;0,$G27/$P27,TRUE,0)</f>
        <v>2418.798633017876</v>
      </c>
      <c r="AB27" s="490" cm="1">
        <f t="array" ref="AB27">_xlfn.IFS(SUM($R27:AA27)&gt;=$G27,0,$L27=AB$2,$G27/$P27,AA27&gt;0,$G27/$P27,TRUE,0)</f>
        <v>2418.798633017876</v>
      </c>
      <c r="AC27" s="490" cm="1">
        <f t="array" ref="AC27">_xlfn.IFS(SUM($R27:AB27)&gt;=$G27,0,$L27=AC$2,$G27/$P27,AB27&gt;0,$G27/$P27,TRUE,0)</f>
        <v>2418.798633017876</v>
      </c>
      <c r="AD27" s="490" cm="1">
        <f t="array" ref="AD27">_xlfn.IFS(SUM($R27:AC27)&gt;=$G27,0,$L27=AD$2,$G27/$P27,AC27&gt;0,$G27/$P27,TRUE,0)</f>
        <v>2418.798633017876</v>
      </c>
      <c r="AE27" s="490" cm="1">
        <f t="array" ref="AE27">_xlfn.IFS(SUM($R27:AD27)&gt;=$G27,0,$L27=AE$2,$G27/$P27,AD27&gt;0,$G27/$P27,TRUE,0)</f>
        <v>2418.798633017876</v>
      </c>
      <c r="AF27" s="490" cm="1">
        <f t="array" ref="AF27">_xlfn.IFS(SUM($R27:AE27)&gt;=$G27,0,$L27=AF$2,$G27/$P27,AE27&gt;0,$G27/$P27,TRUE,0)</f>
        <v>2418.798633017876</v>
      </c>
      <c r="AG27" s="490" cm="1">
        <f t="array" ref="AG27">_xlfn.IFS(SUM($R27:AF27)&gt;=$G27,0,$L27=AG$2,$G27/$P27,AF27&gt;0,$G27/$P27,TRUE,0)</f>
        <v>2418.798633017876</v>
      </c>
      <c r="AH27" s="490" cm="1">
        <f t="array" ref="AH27">_xlfn.IFS(SUM($R27:AG27)&gt;=$G27,0,$L27=AH$2,$G27/$P27,AG27&gt;0,$G27/$P27,TRUE,0)</f>
        <v>2418.798633017876</v>
      </c>
      <c r="AI27" s="490" cm="1">
        <f t="array" ref="AI27">_xlfn.IFS(SUM($R27:AH27)&gt;=$G27,0,$L27=AI$2,$G27/$P27,AH27&gt;0,$G27/$P27,TRUE,0)</f>
        <v>2418.798633017876</v>
      </c>
      <c r="AJ27" s="490" cm="1">
        <f t="array" ref="AJ27">_xlfn.IFS(SUM($R27:AI27)&gt;=$G27,0,$L27=AJ$2,$G27/$P27,AI27&gt;0,$G27/$P27,TRUE,0)</f>
        <v>2418.798633017876</v>
      </c>
      <c r="AK27" s="490" cm="1">
        <f t="array" ref="AK27">_xlfn.IFS(SUM($R27:AJ27)&gt;=$G27,0,$L27=AK$2,$G27/$P27,AJ27&gt;0,$G27/$P27,TRUE,0)</f>
        <v>0</v>
      </c>
      <c r="AL27" s="490" cm="1">
        <f t="array" ref="AL27">_xlfn.IFS(SUM($R27:AK27)&gt;=$G27,0,$L27=AL$2,$G27/$P27,AK27&gt;0,$G27/$P27,TRUE,0)</f>
        <v>0</v>
      </c>
      <c r="AM27" s="490" cm="1">
        <f t="array" ref="AM27">_xlfn.IFS(SUM($R27:AL27)&gt;=$G27,0,$L27=AM$2,$G27/$P27,AL27&gt;0,$G27/$P27,TRUE,0)</f>
        <v>0</v>
      </c>
      <c r="AN27" s="490" cm="1">
        <f t="array" ref="AN27">_xlfn.IFS(SUM($R27:AM27)&gt;=$G27,0,$L27=AN$2,$G27/$P27,AM27&gt;0,$G27/$P27,TRUE,0)</f>
        <v>0</v>
      </c>
      <c r="AO27" s="490" cm="1">
        <f t="array" ref="AO27">_xlfn.IFS(SUM($R27:AN27)&gt;=$G27,0,$L27=AO$2,$G27/$P27,AN27&gt;0,$G27/$P27,TRUE,0)</f>
        <v>0</v>
      </c>
      <c r="AP27" s="490" cm="1">
        <f t="array" ref="AP27">_xlfn.IFS(SUM($R27:AO27)&gt;=$G27,0,$L27=AP$2,$G27/$P27,AO27&gt;0,$G27/$P27,TRUE,0)</f>
        <v>0</v>
      </c>
      <c r="AQ27" s="490" cm="1">
        <f t="array" ref="AQ27">_xlfn.IFS(SUM($R27:AP27)&gt;=$G27,0,$L27=AQ$2,$G27/$P27,AP27&gt;0,$G27/$P27,TRUE,0)</f>
        <v>0</v>
      </c>
      <c r="AR27" s="490" cm="1">
        <f t="array" ref="AR27">_xlfn.IFS(SUM($R27:AQ27)&gt;=$G27,0,$L27=AR$2,$G27/$P27,AQ27&gt;0,$G27/$P27,TRUE,0)</f>
        <v>0</v>
      </c>
      <c r="AS27" s="490" cm="1">
        <f t="array" ref="AS27">_xlfn.IFS(SUM($R27:AR27)&gt;=$G27,0,$L27=AS$2,$G27/$P27,AR27&gt;0,$G27/$P27,TRUE,0)</f>
        <v>0</v>
      </c>
      <c r="AT27" s="490" cm="1">
        <f t="array" ref="AT27">_xlfn.IFS(SUM($R27:AS27)&gt;=$G27,0,$L27=AT$2,$G27/$P27,AS27&gt;0,$G27/$P27,TRUE,0)</f>
        <v>0</v>
      </c>
      <c r="AU27" s="490" cm="1">
        <f t="array" ref="AU27">_xlfn.IFS(SUM($R27:AT27)&gt;=$G27,0,$L27=AU$2,$G27/$P27,AT27&gt;0,$G27/$P27,TRUE,0)</f>
        <v>0</v>
      </c>
      <c r="AV27" s="490" cm="1">
        <f t="array" ref="AV27">_xlfn.IFS(SUM($R27:AU27)&gt;=$G27,0,$L27=AV$2,$G27/$P27,AU27&gt;0,$G27/$P27,TRUE,0)</f>
        <v>0</v>
      </c>
      <c r="AW27" s="490" cm="1">
        <f t="array" ref="AW27">_xlfn.IFS(SUM($R27:AV27)&gt;=$G27,0,$L27=AW$2,$G27/$P27,AV27&gt;0,$G27/$P27,TRUE,0)</f>
        <v>0</v>
      </c>
      <c r="AX27" s="490" cm="1">
        <f t="array" ref="AX27">_xlfn.IFS(SUM($R27:AW27)&gt;=$G27,0,$L27=AX$2,$G27/$P27,AW27&gt;0,$G27/$P27,TRUE,0)</f>
        <v>0</v>
      </c>
      <c r="AY27" s="490" cm="1">
        <f t="array" ref="AY27">_xlfn.IFS(SUM($R27:AX27)&gt;=$G27,0,$L27=AY$2,$G27/$P27,AX27&gt;0,$G27/$P27,TRUE,0)</f>
        <v>0</v>
      </c>
      <c r="AZ27" s="490" cm="1">
        <f t="array" ref="AZ27">_xlfn.IFS(SUM($R27:AY27)&gt;=$G27,0,$L27=AZ$2,$G27/$P27,AY27&gt;0,$G27/$P27,TRUE,0)</f>
        <v>0</v>
      </c>
      <c r="BA27" s="311">
        <f t="shared" si="6"/>
        <v>24187.986330178759</v>
      </c>
      <c r="BB27"/>
      <c r="BC27" s="79"/>
      <c r="BD27" s="6"/>
      <c r="BF27" s="1060"/>
      <c r="BG27" s="1060"/>
      <c r="BH27" s="1060"/>
      <c r="BI27" s="1060"/>
      <c r="BJ27" s="1060"/>
    </row>
    <row r="28" spans="1:68" s="465" customFormat="1" ht="15" customHeight="1">
      <c r="A28" s="349"/>
      <c r="B28" s="350"/>
      <c r="C28" s="350"/>
      <c r="D28" s="350"/>
      <c r="E28" s="351" t="s">
        <v>979</v>
      </c>
      <c r="F28" s="349"/>
      <c r="G28" s="349"/>
      <c r="H28" s="352"/>
      <c r="I28" s="358"/>
      <c r="J28" s="358"/>
      <c r="K28" s="349"/>
      <c r="L28" s="353"/>
      <c r="M28" s="460"/>
      <c r="N28" s="354"/>
      <c r="O28" s="354"/>
      <c r="P28" s="349"/>
      <c r="Q28" s="355"/>
      <c r="R28" s="365">
        <f>R29+SUMIF($B$20:$B$27,"잠재",R20:R27)</f>
        <v>8645.1176470588234</v>
      </c>
      <c r="S28" s="365">
        <f>S29+SUMIF($B$20:$B$27,"잠재",S20:S27)</f>
        <v>11063.916280076699</v>
      </c>
      <c r="T28" s="365">
        <f t="shared" ref="T28:AZ28" si="8">T29+SUMIF($B$20:$B$27,"잠재",T20:T27)</f>
        <v>11063.916280076699</v>
      </c>
      <c r="U28" s="365">
        <f t="shared" si="8"/>
        <v>11063.916280076699</v>
      </c>
      <c r="V28" s="365">
        <f t="shared" si="8"/>
        <v>11063.916280076699</v>
      </c>
      <c r="W28" s="365">
        <f t="shared" si="8"/>
        <v>11063.916280076699</v>
      </c>
      <c r="X28" s="365">
        <f t="shared" si="8"/>
        <v>11063.916280076699</v>
      </c>
      <c r="Y28" s="365">
        <f t="shared" si="8"/>
        <v>11063.916280076699</v>
      </c>
      <c r="Z28" s="365">
        <f t="shared" si="8"/>
        <v>19705.092750664931</v>
      </c>
      <c r="AA28" s="365">
        <f t="shared" si="8"/>
        <v>22123.891383682807</v>
      </c>
      <c r="AB28" s="365">
        <f t="shared" si="8"/>
        <v>22123.891383682807</v>
      </c>
      <c r="AC28" s="365">
        <f t="shared" si="8"/>
        <v>19705.092750664931</v>
      </c>
      <c r="AD28" s="365">
        <f t="shared" si="8"/>
        <v>19705.092750664931</v>
      </c>
      <c r="AE28" s="365">
        <f t="shared" si="8"/>
        <v>19705.092750664931</v>
      </c>
      <c r="AF28" s="365">
        <f t="shared" si="8"/>
        <v>19705.092750664931</v>
      </c>
      <c r="AG28" s="365">
        <f t="shared" si="8"/>
        <v>19705.092750664931</v>
      </c>
      <c r="AH28" s="365">
        <f t="shared" si="8"/>
        <v>19705.092750664931</v>
      </c>
      <c r="AI28" s="365">
        <f t="shared" si="8"/>
        <v>11059.97510360611</v>
      </c>
      <c r="AJ28" s="365">
        <f t="shared" si="8"/>
        <v>11059.97510360611</v>
      </c>
      <c r="AK28" s="365">
        <f t="shared" si="8"/>
        <v>8641.1764705882342</v>
      </c>
      <c r="AL28" s="365">
        <f t="shared" si="8"/>
        <v>8641.1764705882342</v>
      </c>
      <c r="AM28" s="365">
        <f t="shared" si="8"/>
        <v>8641.1764705882342</v>
      </c>
      <c r="AN28" s="365">
        <f t="shared" si="8"/>
        <v>8641.1764705882342</v>
      </c>
      <c r="AO28" s="365">
        <f t="shared" si="8"/>
        <v>8641.1764705882342</v>
      </c>
      <c r="AP28" s="365">
        <f t="shared" si="8"/>
        <v>8641.1764705882342</v>
      </c>
      <c r="AQ28" s="365">
        <f t="shared" si="8"/>
        <v>0</v>
      </c>
      <c r="AR28" s="365">
        <f t="shared" si="8"/>
        <v>0</v>
      </c>
      <c r="AS28" s="365">
        <f t="shared" si="8"/>
        <v>0</v>
      </c>
      <c r="AT28" s="365">
        <f t="shared" si="8"/>
        <v>0</v>
      </c>
      <c r="AU28" s="365">
        <f t="shared" si="8"/>
        <v>0</v>
      </c>
      <c r="AV28" s="365">
        <f t="shared" si="8"/>
        <v>0</v>
      </c>
      <c r="AW28" s="365">
        <f t="shared" si="8"/>
        <v>0</v>
      </c>
      <c r="AX28" s="365">
        <f t="shared" si="8"/>
        <v>0</v>
      </c>
      <c r="AY28" s="365">
        <f t="shared" si="8"/>
        <v>0</v>
      </c>
      <c r="AZ28" s="365">
        <f t="shared" si="8"/>
        <v>0</v>
      </c>
      <c r="BA28" s="365" t="s">
        <v>959</v>
      </c>
      <c r="BB28" s="349"/>
      <c r="BC28" s="6"/>
      <c r="BD28" s="6"/>
      <c r="BF28" s="1060"/>
      <c r="BG28" s="1060"/>
      <c r="BH28" s="1060"/>
      <c r="BI28" s="1060"/>
      <c r="BJ28" s="1060"/>
    </row>
    <row r="29" spans="1:68" s="466" customFormat="1" ht="15" customHeight="1">
      <c r="A29" s="339"/>
      <c r="B29" s="340"/>
      <c r="C29" s="340"/>
      <c r="D29" s="340"/>
      <c r="E29" s="341" t="s">
        <v>981</v>
      </c>
      <c r="F29" s="339"/>
      <c r="G29" s="339"/>
      <c r="H29" s="342"/>
      <c r="I29" s="340"/>
      <c r="J29" s="340"/>
      <c r="K29" s="339"/>
      <c r="L29" s="343"/>
      <c r="M29" s="343"/>
      <c r="N29" s="344"/>
      <c r="O29" s="344"/>
      <c r="P29" s="339"/>
      <c r="Q29" s="345"/>
      <c r="R29" s="366">
        <f>R30+SUMIF($B$20:$B$27,"가능",R20:R27)</f>
        <v>8645.1176470588234</v>
      </c>
      <c r="S29" s="366">
        <f>S30+SUMIF($B$20:$B$27,"가능",S20:S27)</f>
        <v>11063.916280076699</v>
      </c>
      <c r="T29" s="366">
        <f t="shared" ref="T29:AZ29" si="9">T30+SUMIF($B$20:$B$27,"가능",T20:T27)</f>
        <v>11063.916280076699</v>
      </c>
      <c r="U29" s="366">
        <f t="shared" si="9"/>
        <v>11063.916280076699</v>
      </c>
      <c r="V29" s="366">
        <f t="shared" si="9"/>
        <v>11063.916280076699</v>
      </c>
      <c r="W29" s="366">
        <f t="shared" si="9"/>
        <v>11063.916280076699</v>
      </c>
      <c r="X29" s="366">
        <f t="shared" si="9"/>
        <v>11063.916280076699</v>
      </c>
      <c r="Y29" s="366">
        <f t="shared" si="9"/>
        <v>11063.916280076699</v>
      </c>
      <c r="Z29" s="366">
        <f t="shared" si="9"/>
        <v>19705.092750664931</v>
      </c>
      <c r="AA29" s="366">
        <f t="shared" si="9"/>
        <v>22123.891383682807</v>
      </c>
      <c r="AB29" s="366">
        <f t="shared" si="9"/>
        <v>22123.891383682807</v>
      </c>
      <c r="AC29" s="366">
        <f t="shared" si="9"/>
        <v>19705.092750664931</v>
      </c>
      <c r="AD29" s="366">
        <f t="shared" si="9"/>
        <v>19705.092750664931</v>
      </c>
      <c r="AE29" s="366">
        <f t="shared" si="9"/>
        <v>19705.092750664931</v>
      </c>
      <c r="AF29" s="366">
        <f t="shared" si="9"/>
        <v>19705.092750664931</v>
      </c>
      <c r="AG29" s="366">
        <f t="shared" si="9"/>
        <v>19705.092750664931</v>
      </c>
      <c r="AH29" s="366">
        <f t="shared" si="9"/>
        <v>19705.092750664931</v>
      </c>
      <c r="AI29" s="366">
        <f t="shared" si="9"/>
        <v>11059.97510360611</v>
      </c>
      <c r="AJ29" s="366">
        <f t="shared" si="9"/>
        <v>11059.97510360611</v>
      </c>
      <c r="AK29" s="366">
        <f t="shared" si="9"/>
        <v>8641.1764705882342</v>
      </c>
      <c r="AL29" s="366">
        <f t="shared" si="9"/>
        <v>8641.1764705882342</v>
      </c>
      <c r="AM29" s="366">
        <f t="shared" si="9"/>
        <v>8641.1764705882342</v>
      </c>
      <c r="AN29" s="366">
        <f t="shared" si="9"/>
        <v>8641.1764705882342</v>
      </c>
      <c r="AO29" s="366">
        <f t="shared" si="9"/>
        <v>8641.1764705882342</v>
      </c>
      <c r="AP29" s="366">
        <f t="shared" si="9"/>
        <v>8641.1764705882342</v>
      </c>
      <c r="AQ29" s="366">
        <f t="shared" si="9"/>
        <v>0</v>
      </c>
      <c r="AR29" s="366">
        <f t="shared" si="9"/>
        <v>0</v>
      </c>
      <c r="AS29" s="366">
        <f t="shared" si="9"/>
        <v>0</v>
      </c>
      <c r="AT29" s="366">
        <f t="shared" si="9"/>
        <v>0</v>
      </c>
      <c r="AU29" s="366">
        <f t="shared" si="9"/>
        <v>0</v>
      </c>
      <c r="AV29" s="366">
        <f t="shared" si="9"/>
        <v>0</v>
      </c>
      <c r="AW29" s="366">
        <f t="shared" si="9"/>
        <v>0</v>
      </c>
      <c r="AX29" s="366">
        <f t="shared" si="9"/>
        <v>0</v>
      </c>
      <c r="AY29" s="366">
        <f t="shared" si="9"/>
        <v>0</v>
      </c>
      <c r="AZ29" s="366">
        <f t="shared" si="9"/>
        <v>0</v>
      </c>
      <c r="BA29" s="366" t="s">
        <v>959</v>
      </c>
      <c r="BB29" s="339"/>
      <c r="BC29" s="6"/>
      <c r="BD29" s="6"/>
      <c r="BF29" s="1060"/>
      <c r="BG29" s="1060"/>
      <c r="BH29" s="1060"/>
      <c r="BI29" s="1060"/>
      <c r="BJ29" s="1060"/>
    </row>
    <row r="30" spans="1:68" ht="15" customHeight="1">
      <c r="E30" s="337" t="s">
        <v>980</v>
      </c>
      <c r="H30" s="121"/>
      <c r="I30" s="79"/>
      <c r="J30" s="79"/>
      <c r="L30" s="338"/>
      <c r="M30" s="338"/>
      <c r="N30" s="147"/>
      <c r="O30" s="147"/>
      <c r="P30" s="6"/>
      <c r="Q30" s="283"/>
      <c r="R30" s="312">
        <f>SUMIF($B$20:$B$27,"확실", R20:R27)</f>
        <v>8645.1176470588234</v>
      </c>
      <c r="S30" s="312">
        <f>SUMIF($B$20:$B$27,"확실", S20:S27)</f>
        <v>11063.916280076699</v>
      </c>
      <c r="T30" s="312">
        <f t="shared" ref="T30:AZ30" si="10">SUMIF($B$20:$B$27,"확실", T20:T27)</f>
        <v>11063.916280076699</v>
      </c>
      <c r="U30" s="312">
        <f t="shared" si="10"/>
        <v>11063.916280076699</v>
      </c>
      <c r="V30" s="312">
        <f t="shared" si="10"/>
        <v>11063.916280076699</v>
      </c>
      <c r="W30" s="312">
        <f t="shared" si="10"/>
        <v>11063.916280076699</v>
      </c>
      <c r="X30" s="312">
        <f t="shared" si="10"/>
        <v>11063.916280076699</v>
      </c>
      <c r="Y30" s="312">
        <f t="shared" si="10"/>
        <v>11063.916280076699</v>
      </c>
      <c r="Z30" s="312">
        <f t="shared" si="10"/>
        <v>19705.092750664931</v>
      </c>
      <c r="AA30" s="312">
        <f t="shared" si="10"/>
        <v>22123.891383682807</v>
      </c>
      <c r="AB30" s="312">
        <f t="shared" si="10"/>
        <v>22123.891383682807</v>
      </c>
      <c r="AC30" s="312">
        <f t="shared" si="10"/>
        <v>19705.092750664931</v>
      </c>
      <c r="AD30" s="312">
        <f t="shared" si="10"/>
        <v>19705.092750664931</v>
      </c>
      <c r="AE30" s="312">
        <f t="shared" si="10"/>
        <v>19705.092750664931</v>
      </c>
      <c r="AF30" s="312">
        <f t="shared" si="10"/>
        <v>19705.092750664931</v>
      </c>
      <c r="AG30" s="312">
        <f t="shared" si="10"/>
        <v>19705.092750664931</v>
      </c>
      <c r="AH30" s="312">
        <f t="shared" si="10"/>
        <v>19705.092750664931</v>
      </c>
      <c r="AI30" s="312">
        <f t="shared" si="10"/>
        <v>11059.97510360611</v>
      </c>
      <c r="AJ30" s="312">
        <f t="shared" si="10"/>
        <v>11059.97510360611</v>
      </c>
      <c r="AK30" s="312">
        <f t="shared" si="10"/>
        <v>8641.1764705882342</v>
      </c>
      <c r="AL30" s="312">
        <f t="shared" si="10"/>
        <v>8641.1764705882342</v>
      </c>
      <c r="AM30" s="312">
        <f t="shared" si="10"/>
        <v>8641.1764705882342</v>
      </c>
      <c r="AN30" s="312">
        <f t="shared" si="10"/>
        <v>8641.1764705882342</v>
      </c>
      <c r="AO30" s="312">
        <f t="shared" si="10"/>
        <v>8641.1764705882342</v>
      </c>
      <c r="AP30" s="312">
        <f t="shared" si="10"/>
        <v>8641.1764705882342</v>
      </c>
      <c r="AQ30" s="312">
        <f t="shared" si="10"/>
        <v>0</v>
      </c>
      <c r="AR30" s="312">
        <f t="shared" si="10"/>
        <v>0</v>
      </c>
      <c r="AS30" s="312">
        <f t="shared" si="10"/>
        <v>0</v>
      </c>
      <c r="AT30" s="312">
        <f t="shared" si="10"/>
        <v>0</v>
      </c>
      <c r="AU30" s="312">
        <f t="shared" si="10"/>
        <v>0</v>
      </c>
      <c r="AV30" s="312">
        <f t="shared" si="10"/>
        <v>0</v>
      </c>
      <c r="AW30" s="312">
        <f t="shared" si="10"/>
        <v>0</v>
      </c>
      <c r="AX30" s="312">
        <f t="shared" si="10"/>
        <v>0</v>
      </c>
      <c r="AY30" s="312">
        <f t="shared" si="10"/>
        <v>0</v>
      </c>
      <c r="AZ30" s="312">
        <f t="shared" si="10"/>
        <v>0</v>
      </c>
      <c r="BA30" s="367" t="s">
        <v>959</v>
      </c>
      <c r="BF30" s="1060"/>
      <c r="BG30" s="1060"/>
      <c r="BH30" s="1060"/>
      <c r="BI30" s="1060"/>
      <c r="BJ30" s="1060"/>
    </row>
    <row r="31" spans="1:68" ht="15" customHeight="1">
      <c r="H31" s="121"/>
      <c r="I31" s="129"/>
      <c r="J31" s="129"/>
      <c r="L31" s="134"/>
      <c r="M31" s="134"/>
      <c r="N31" s="133"/>
      <c r="O31" s="133"/>
      <c r="P31" s="121"/>
      <c r="Q31" s="283"/>
      <c r="R31" s="283"/>
      <c r="BF31" s="1060"/>
      <c r="BG31" s="1060"/>
      <c r="BH31" s="1060"/>
      <c r="BI31" s="1060"/>
      <c r="BJ31" s="1060"/>
    </row>
    <row r="32" spans="1:68" s="467" customFormat="1" ht="15" customHeight="1">
      <c r="A32" s="8" t="s">
        <v>423</v>
      </c>
      <c r="B32" s="146" t="s">
        <v>1069</v>
      </c>
      <c r="C32" s="146"/>
      <c r="D32" s="146"/>
      <c r="E32" s="146"/>
      <c r="F32" s="146"/>
      <c r="G32" s="146"/>
      <c r="H32" s="146"/>
      <c r="I32" s="145"/>
      <c r="J32" s="145"/>
      <c r="K32" s="146"/>
      <c r="L32" s="145"/>
      <c r="M32" s="145"/>
      <c r="N32" s="146"/>
      <c r="O32" s="146"/>
      <c r="P32" s="335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282" t="s">
        <v>959</v>
      </c>
      <c r="BB32" s="144"/>
      <c r="BC32" s="144"/>
      <c r="BD32" s="144"/>
      <c r="BF32" s="1060"/>
      <c r="BG32" s="1060"/>
      <c r="BH32" s="1060"/>
      <c r="BI32" s="1060"/>
      <c r="BJ32" s="1060"/>
    </row>
    <row r="33" spans="1:62" ht="15" customHeight="1" thickBot="1">
      <c r="B33" s="165"/>
      <c r="C33" s="165"/>
      <c r="D33" s="165"/>
      <c r="E33" s="165"/>
      <c r="F33" s="165"/>
      <c r="G33" s="165"/>
      <c r="H33" s="90" t="s">
        <v>1070</v>
      </c>
      <c r="I33" s="90" t="s">
        <v>704</v>
      </c>
      <c r="J33" s="8" t="s">
        <v>1071</v>
      </c>
      <c r="K33" s="8" t="s">
        <v>1072</v>
      </c>
      <c r="L33" s="90" t="s">
        <v>1073</v>
      </c>
      <c r="M33" s="90"/>
      <c r="N33" s="165"/>
      <c r="O33" s="165"/>
      <c r="P33" s="306" t="s">
        <v>1070</v>
      </c>
      <c r="BA33" s="118" t="s">
        <v>959</v>
      </c>
      <c r="BF33" s="1060"/>
      <c r="BG33" s="1060"/>
      <c r="BH33" s="1060"/>
      <c r="BI33" s="1060"/>
      <c r="BJ33" s="1060"/>
    </row>
    <row r="34" spans="1:62" ht="15" customHeight="1">
      <c r="B34" s="163" t="s">
        <v>1074</v>
      </c>
      <c r="C34" s="135" t="s">
        <v>450</v>
      </c>
      <c r="D34" s="135" t="s">
        <v>1075</v>
      </c>
      <c r="E34" s="136" t="s">
        <v>1076</v>
      </c>
      <c r="F34" s="162">
        <f>ROUND(1117*4, -2)</f>
        <v>4500</v>
      </c>
      <c r="G34" s="161">
        <v>82691</v>
      </c>
      <c r="H34" s="487">
        <v>18</v>
      </c>
      <c r="I34" s="488">
        <f>G34/((H34*1000000)/F34)</f>
        <v>20.672750000000001</v>
      </c>
      <c r="J34" s="488">
        <f>G22/((11.7*1000000)/F22)</f>
        <v>11.207179487179488</v>
      </c>
      <c r="K34" s="488"/>
      <c r="L34" s="469">
        <f>H22</f>
        <v>16.725000000000001</v>
      </c>
      <c r="M34" s="469"/>
      <c r="N34" s="118" t="s">
        <v>1077</v>
      </c>
      <c r="O34" s="118"/>
      <c r="P34" s="468">
        <v>9.8000000000000007</v>
      </c>
      <c r="BA34" s="118" t="s">
        <v>959</v>
      </c>
      <c r="BF34" s="1060"/>
      <c r="BG34" s="1060"/>
      <c r="BH34" s="1060"/>
      <c r="BI34" s="1060"/>
      <c r="BJ34" s="1060"/>
    </row>
    <row r="35" spans="1:62" ht="15" customHeight="1">
      <c r="B35" s="160" t="s">
        <v>1074</v>
      </c>
      <c r="C35" s="79" t="s">
        <v>450</v>
      </c>
      <c r="D35" s="79" t="s">
        <v>1078</v>
      </c>
      <c r="E35" s="6" t="s">
        <v>1079</v>
      </c>
      <c r="F35" s="147">
        <f>ROUND(1117*4, -2)</f>
        <v>4500</v>
      </c>
      <c r="G35" s="159">
        <v>5842</v>
      </c>
      <c r="H35" s="487">
        <v>18</v>
      </c>
      <c r="I35" s="488"/>
      <c r="J35" s="488"/>
      <c r="K35" s="488"/>
      <c r="L35" s="469"/>
      <c r="M35" s="469"/>
      <c r="N35" s="306" t="s">
        <v>1080</v>
      </c>
      <c r="O35" s="306"/>
      <c r="P35" s="468">
        <v>11.7</v>
      </c>
      <c r="BA35" s="118" t="s">
        <v>959</v>
      </c>
      <c r="BF35" s="1060"/>
      <c r="BG35" s="1060"/>
      <c r="BH35" s="1060"/>
      <c r="BI35" s="1060"/>
      <c r="BJ35" s="1060"/>
    </row>
    <row r="36" spans="1:62" ht="15" customHeight="1">
      <c r="B36" s="158" t="s">
        <v>1074</v>
      </c>
      <c r="C36" s="79" t="s">
        <v>450</v>
      </c>
      <c r="D36" s="79" t="s">
        <v>1078</v>
      </c>
      <c r="E36" s="6" t="s">
        <v>1081</v>
      </c>
      <c r="F36" s="147">
        <f>ROUND(1117*4, -2)</f>
        <v>4500</v>
      </c>
      <c r="G36" s="157">
        <v>50863</v>
      </c>
      <c r="H36" s="487">
        <v>18</v>
      </c>
      <c r="I36" s="488">
        <f>G36/((H36*1000000)/F36)</f>
        <v>12.71575</v>
      </c>
      <c r="J36" s="488">
        <f>G24/((11.7*1000000)/F24)</f>
        <v>14.023931623931624</v>
      </c>
      <c r="K36" s="488"/>
      <c r="L36" s="469">
        <f>H20</f>
        <v>20.927499999999998</v>
      </c>
      <c r="M36" s="469"/>
      <c r="N36" s="165" t="s">
        <v>1082</v>
      </c>
      <c r="O36" s="165"/>
      <c r="P36" s="468">
        <v>26</v>
      </c>
      <c r="BA36" s="118" t="s">
        <v>959</v>
      </c>
    </row>
    <row r="37" spans="1:62" ht="15" customHeight="1">
      <c r="B37" s="160" t="s">
        <v>680</v>
      </c>
      <c r="C37" s="394" t="s">
        <v>427</v>
      </c>
      <c r="D37" s="394" t="s">
        <v>1083</v>
      </c>
      <c r="E37" s="141" t="s">
        <v>1084</v>
      </c>
      <c r="F37" s="398">
        <v>5600</v>
      </c>
      <c r="G37" s="159">
        <v>41844</v>
      </c>
      <c r="H37" s="487">
        <v>21.4</v>
      </c>
      <c r="I37" s="488">
        <f>G37/((H37*1000000)/F37)</f>
        <v>10.949831775700934</v>
      </c>
      <c r="J37" s="488">
        <f>G25/((11.7*1000000)/F25)</f>
        <v>9.9316239316239319</v>
      </c>
      <c r="K37" s="488">
        <f>G11/((9.8/F11)*1000000)</f>
        <v>6.1354285714285712</v>
      </c>
      <c r="L37" s="469">
        <f>H21</f>
        <v>14.803571428571429</v>
      </c>
      <c r="M37" s="469"/>
      <c r="N37" s="165" t="s">
        <v>1085</v>
      </c>
      <c r="O37" s="165"/>
      <c r="P37" s="468">
        <v>24</v>
      </c>
      <c r="BA37" s="118" t="s">
        <v>959</v>
      </c>
    </row>
    <row r="38" spans="1:62" ht="15" customHeight="1" thickBot="1">
      <c r="B38" s="84" t="s">
        <v>680</v>
      </c>
      <c r="C38" s="131" t="s">
        <v>528</v>
      </c>
      <c r="D38" s="131" t="s">
        <v>1083</v>
      </c>
      <c r="E38" s="132" t="s">
        <v>1086</v>
      </c>
      <c r="F38" s="149">
        <v>5600</v>
      </c>
      <c r="G38" s="305">
        <v>24365</v>
      </c>
      <c r="H38" s="487">
        <v>21.4</v>
      </c>
      <c r="I38" s="488">
        <f>G38/((H38*1000000)/F38)</f>
        <v>6.3758878504672891</v>
      </c>
      <c r="J38" s="488">
        <f>G26/((11.7*1000000)/F26)</f>
        <v>11.200000000000001</v>
      </c>
      <c r="K38" s="488">
        <f>G13/((9.8/F13)*1000000)</f>
        <v>5.5585714285714287</v>
      </c>
      <c r="L38" s="469">
        <f>H23</f>
        <v>8.6385665464924148</v>
      </c>
      <c r="M38" s="469"/>
      <c r="N38" s="118"/>
      <c r="O38" s="118"/>
      <c r="P38" s="470"/>
      <c r="BA38" s="118" t="s">
        <v>959</v>
      </c>
      <c r="BF38" s="1061" t="s">
        <v>1087</v>
      </c>
      <c r="BG38" s="1061"/>
      <c r="BH38" s="1061"/>
      <c r="BI38" s="1061"/>
      <c r="BJ38" s="1061"/>
    </row>
    <row r="39" spans="1:62" ht="15" customHeight="1">
      <c r="H39" s="121"/>
      <c r="K39" s="79"/>
      <c r="L39" s="88"/>
      <c r="M39" s="88"/>
      <c r="N39" s="79"/>
      <c r="O39" s="79"/>
      <c r="P39" s="121"/>
      <c r="BA39" s="118" t="s">
        <v>959</v>
      </c>
      <c r="BF39" s="1061"/>
      <c r="BG39" s="1061"/>
      <c r="BH39" s="1061"/>
      <c r="BI39" s="1061"/>
      <c r="BJ39" s="1061"/>
    </row>
    <row r="40" spans="1:62" ht="15" customHeight="1">
      <c r="A40" t="str">
        <f t="shared" ref="A40:A61" si="11">IF(G40=BA40,"","F")</f>
        <v/>
      </c>
      <c r="B40" s="394" t="s">
        <v>527</v>
      </c>
      <c r="C40" s="394" t="s">
        <v>1088</v>
      </c>
      <c r="D40" s="394" t="s">
        <v>1041</v>
      </c>
      <c r="E40" s="141" t="s">
        <v>1089</v>
      </c>
      <c r="F40" s="398">
        <v>2000</v>
      </c>
      <c r="G40" s="397">
        <f>F40*H40</f>
        <v>29607.142857142859</v>
      </c>
      <c r="H40" s="624">
        <f>$L$37</f>
        <v>14.803571428571429</v>
      </c>
      <c r="I40" s="394" t="s">
        <v>445</v>
      </c>
      <c r="J40" s="394">
        <f t="shared" ref="J40:J63" si="12">2000+RIGHT(I40,2)</f>
        <v>2027</v>
      </c>
      <c r="K40" s="394"/>
      <c r="L40" s="399" t="s">
        <v>439</v>
      </c>
      <c r="M40" s="399" t="s">
        <v>439</v>
      </c>
      <c r="N40" s="399" t="str">
        <f>LEFT(M40,2)&amp;(4+RIGHT(M40,2))</f>
        <v>3Q32</v>
      </c>
      <c r="O40" s="399"/>
      <c r="P40" s="397">
        <f t="shared" ref="P40:P63" si="13">LEFT(N40)-LEFT(L40)+(RIGHT(N40,2)-RIGHT(L40,2))*4+1</f>
        <v>17</v>
      </c>
      <c r="Q40" s="400"/>
      <c r="R40" s="400"/>
      <c r="S40" s="489" cm="1">
        <f t="array" ref="S40">_xlfn.IFS(SUM($R40:R40)&gt;=$G40,0,$L40=S$2,$G40/$P40,R40&gt;0,$G40/$P40,TRUE,0)</f>
        <v>0</v>
      </c>
      <c r="T40" s="489" cm="1">
        <f t="array" ref="T40">_xlfn.IFS(SUM($R40:S40)&gt;=$G40,0,$L40=T$2,$G40/$P40,S40&gt;0,$G40/$P40,TRUE,0)</f>
        <v>0</v>
      </c>
      <c r="U40" s="489" cm="1">
        <f t="array" ref="U40">_xlfn.IFS(SUM($R40:T40)&gt;=$G40,0,$L40=U$2,$G40/$P40,T40&gt;0,$G40/$P40,TRUE,0)</f>
        <v>0</v>
      </c>
      <c r="V40" s="489" cm="1">
        <f t="array" ref="V40">_xlfn.IFS(SUM($R40:U40)&gt;=$G40,0,$L40=V$2,$G40/$P40,U40&gt;0,$G40/$P40,TRUE,0)</f>
        <v>0</v>
      </c>
      <c r="W40" s="489" cm="1">
        <f t="array" ref="W40">_xlfn.IFS(SUM($R40:V40)&gt;=$G40,0,$L40=W$2,$G40/$P40,V40&gt;0,$G40/$P40,TRUE,0)</f>
        <v>0</v>
      </c>
      <c r="X40" s="489" cm="1">
        <f t="array" ref="X40">_xlfn.IFS(SUM($R40:W40)&gt;=$G40,0,$L40=X$2,$G40/$P40,W40&gt;0,$G40/$P40,TRUE,0)</f>
        <v>0</v>
      </c>
      <c r="Y40" s="489" cm="1">
        <f t="array" ref="Y40">_xlfn.IFS(SUM($R40:X40)&gt;=$G40,0,$L40=Y$2,$G40/$P40,X40&gt;0,$G40/$P40,TRUE,0)</f>
        <v>0</v>
      </c>
      <c r="Z40" s="489" cm="1">
        <f t="array" ref="Z40">_xlfn.IFS(SUM($R40:Y40)&gt;=$G40,0,$L40=Z$2,$G40/$P40,Y40&gt;0,$G40/$P40,TRUE,0)</f>
        <v>0</v>
      </c>
      <c r="AA40" s="489" cm="1">
        <f t="array" ref="AA40">_xlfn.IFS(SUM($R40:Z40)&gt;=$G40,0,$L40=AA$2,$G40/$P40,Z40&gt;0,$G40/$P40,TRUE,0)</f>
        <v>0</v>
      </c>
      <c r="AB40" s="489" cm="1">
        <f t="array" ref="AB40">_xlfn.IFS(SUM($R40:AA40)&gt;=$G40,0,$L40=AB$2,$G40/$P40,AA40&gt;0,$G40/$P40,TRUE,0)</f>
        <v>0</v>
      </c>
      <c r="AC40" s="489" cm="1">
        <f t="array" ref="AC40">_xlfn.IFS(SUM($R40:AB40)&gt;=$G40,0,$L40=AC$2,$G40/$P40,AB40&gt;0,$G40/$P40,TRUE,0)</f>
        <v>0</v>
      </c>
      <c r="AD40" s="489" cm="1">
        <f t="array" ref="AD40">_xlfn.IFS(SUM($R40:AC40)&gt;=$G40,0,$L40=AD$2,$G40/$P40,AC40&gt;0,$G40/$P40,TRUE,0)</f>
        <v>0</v>
      </c>
      <c r="AE40" s="489" cm="1">
        <f t="array" ref="AE40">_xlfn.IFS(SUM($R40:AD40)&gt;=$G40,0,$L40=AE$2,$G40/$P40,AD40&gt;0,$G40/$P40,TRUE,0)</f>
        <v>1741.5966386554624</v>
      </c>
      <c r="AF40" s="489" cm="1">
        <f t="array" ref="AF40">_xlfn.IFS(SUM($R40:AE40)&gt;=$G40,0,$L40=AF$2,$G40/$P40,AE40&gt;0,$G40/$P40,TRUE,0)</f>
        <v>1741.5966386554624</v>
      </c>
      <c r="AG40" s="489" cm="1">
        <f t="array" ref="AG40">_xlfn.IFS(SUM($R40:AF40)&gt;=$G40,0,$L40=AG$2,$G40/$P40,AF40&gt;0,$G40/$P40,TRUE,0)</f>
        <v>1741.5966386554624</v>
      </c>
      <c r="AH40" s="489" cm="1">
        <f t="array" ref="AH40">_xlfn.IFS(SUM($R40:AG40)&gt;=$G40,0,$L40=AH$2,$G40/$P40,AG40&gt;0,$G40/$P40,TRUE,0)</f>
        <v>1741.5966386554624</v>
      </c>
      <c r="AI40" s="489" cm="1">
        <f t="array" ref="AI40">_xlfn.IFS(SUM($R40:AH40)&gt;=$G40,0,$L40=AI$2,$G40/$P40,AH40&gt;0,$G40/$P40,TRUE,0)</f>
        <v>1741.5966386554624</v>
      </c>
      <c r="AJ40" s="489" cm="1">
        <f t="array" ref="AJ40">_xlfn.IFS(SUM($R40:AI40)&gt;=$G40,0,$L40=AJ$2,$G40/$P40,AI40&gt;0,$G40/$P40,TRUE,0)</f>
        <v>1741.5966386554624</v>
      </c>
      <c r="AK40" s="489" cm="1">
        <f t="array" ref="AK40">_xlfn.IFS(SUM($R40:AJ40)&gt;=$G40,0,$L40=AK$2,$G40/$P40,AJ40&gt;0,$G40/$P40,TRUE,0)</f>
        <v>1741.5966386554624</v>
      </c>
      <c r="AL40" s="489" cm="1">
        <f t="array" ref="AL40">_xlfn.IFS(SUM($R40:AK40)&gt;=$G40,0,$L40=AL$2,$G40/$P40,AK40&gt;0,$G40/$P40,TRUE,0)</f>
        <v>1741.5966386554624</v>
      </c>
      <c r="AM40" s="489" cm="1">
        <f t="array" ref="AM40">_xlfn.IFS(SUM($R40:AL40)&gt;=$G40,0,$L40=AM$2,$G40/$P40,AL40&gt;0,$G40/$P40,TRUE,0)</f>
        <v>1741.5966386554624</v>
      </c>
      <c r="AN40" s="489" cm="1">
        <f t="array" ref="AN40">_xlfn.IFS(SUM($R40:AM40)&gt;=$G40,0,$L40=AN$2,$G40/$P40,AM40&gt;0,$G40/$P40,TRUE,0)</f>
        <v>1741.5966386554624</v>
      </c>
      <c r="AO40" s="489" cm="1">
        <f t="array" ref="AO40">_xlfn.IFS(SUM($R40:AN40)&gt;=$G40,0,$L40=AO$2,$G40/$P40,AN40&gt;0,$G40/$P40,TRUE,0)</f>
        <v>1741.5966386554624</v>
      </c>
      <c r="AP40" s="489" cm="1">
        <f t="array" ref="AP40">_xlfn.IFS(SUM($R40:AO40)&gt;=$G40,0,$L40=AP$2,$G40/$P40,AO40&gt;0,$G40/$P40,TRUE,0)</f>
        <v>1741.5966386554624</v>
      </c>
      <c r="AQ40" s="489" cm="1">
        <f t="array" ref="AQ40">_xlfn.IFS(SUM($R40:AP40)&gt;=$G40,0,$L40=AQ$2,$G40/$P40,AP40&gt;0,$G40/$P40,TRUE,0)</f>
        <v>1741.5966386554624</v>
      </c>
      <c r="AR40" s="489" cm="1">
        <f t="array" ref="AR40">_xlfn.IFS(SUM($R40:AQ40)&gt;=$G40,0,$L40=AR$2,$G40/$P40,AQ40&gt;0,$G40/$P40,TRUE,0)</f>
        <v>1741.5966386554624</v>
      </c>
      <c r="AS40" s="489" cm="1">
        <f t="array" ref="AS40">_xlfn.IFS(SUM($R40:AR40)&gt;=$G40,0,$L40=AS$2,$G40/$P40,AR40&gt;0,$G40/$P40,TRUE,0)</f>
        <v>1741.5966386554624</v>
      </c>
      <c r="AT40" s="489" cm="1">
        <f t="array" ref="AT40">_xlfn.IFS(SUM($R40:AS40)&gt;=$G40,0,$L40=AT$2,$G40/$P40,AS40&gt;0,$G40/$P40,TRUE,0)</f>
        <v>1741.5966386554624</v>
      </c>
      <c r="AU40" s="489" cm="1">
        <f t="array" ref="AU40">_xlfn.IFS(SUM($R40:AT40)&gt;=$G40,0,$L40=AU$2,$G40/$P40,AT40&gt;0,$G40/$P40,TRUE,0)</f>
        <v>1741.5966386554624</v>
      </c>
      <c r="AV40" s="489" cm="1">
        <f t="array" ref="AV40">_xlfn.IFS(SUM($R40:AU40)&gt;=$G40,0,$L40=AV$2,$G40/$P40,AU40&gt;0,$G40/$P40,TRUE,0)</f>
        <v>0</v>
      </c>
      <c r="AW40" s="489" cm="1">
        <f t="array" ref="AW40">_xlfn.IFS(SUM($R40:AV40)&gt;=$G40,0,$L40=AW$2,$G40/$P40,AV40&gt;0,$G40/$P40,TRUE,0)</f>
        <v>0</v>
      </c>
      <c r="AX40" s="489" cm="1">
        <f t="array" ref="AX40">_xlfn.IFS(SUM($R40:AW40)&gt;=$G40,0,$L40=AX$2,$G40/$P40,AW40&gt;0,$G40/$P40,TRUE,0)</f>
        <v>0</v>
      </c>
      <c r="AY40" s="489" cm="1">
        <f t="array" ref="AY40">_xlfn.IFS(SUM($R40:AX40)&gt;=$G40,0,$L40=AY$2,$G40/$P40,AX40&gt;0,$G40/$P40,TRUE,0)</f>
        <v>0</v>
      </c>
      <c r="AZ40" s="489" cm="1">
        <f t="array" ref="AZ40">_xlfn.IFS(SUM($R40:AY40)&gt;=$G40,0,$L40=AZ$2,$G40/$P40,AY40&gt;0,$G40/$P40,TRUE,0)</f>
        <v>0</v>
      </c>
      <c r="BA40" s="311">
        <f t="shared" ref="BA40:BA63" si="14">SUM(S40:AZ40)</f>
        <v>29607.142857142851</v>
      </c>
      <c r="BF40" s="1062" t="s">
        <v>1090</v>
      </c>
      <c r="BG40" s="1063"/>
      <c r="BH40" s="1063"/>
      <c r="BI40" s="1063"/>
      <c r="BJ40" s="1064"/>
    </row>
    <row r="41" spans="1:62" ht="15" customHeight="1">
      <c r="A41" t="str">
        <f t="shared" si="11"/>
        <v/>
      </c>
      <c r="B41" s="79" t="s">
        <v>527</v>
      </c>
      <c r="C41" s="79" t="s">
        <v>1088</v>
      </c>
      <c r="D41" s="79" t="s">
        <v>1041</v>
      </c>
      <c r="E41" s="6" t="s">
        <v>1091</v>
      </c>
      <c r="F41" s="147">
        <v>2000</v>
      </c>
      <c r="G41" s="121">
        <f t="shared" ref="G41:G61" si="15">F41*H41</f>
        <v>41855</v>
      </c>
      <c r="H41" s="625">
        <f>$L$36</f>
        <v>20.927499999999998</v>
      </c>
      <c r="I41" s="79" t="s">
        <v>445</v>
      </c>
      <c r="J41" s="79">
        <f t="shared" si="12"/>
        <v>2027</v>
      </c>
      <c r="K41" s="79"/>
      <c r="L41" s="88" t="s">
        <v>439</v>
      </c>
      <c r="M41" s="88" t="s">
        <v>439</v>
      </c>
      <c r="N41" s="88" t="str">
        <f>LEFT(M41,2)&amp;(4+RIGHT(M41,2))</f>
        <v>3Q32</v>
      </c>
      <c r="O41" s="88"/>
      <c r="P41" s="121">
        <f t="shared" si="13"/>
        <v>17</v>
      </c>
      <c r="S41" s="311" cm="1">
        <f t="array" ref="S41">_xlfn.IFS(SUM($R41:R41)&gt;=$G41,0,$L41=S$2,$G41/$P41,R41&gt;0,$G41/$P41,TRUE,0)</f>
        <v>0</v>
      </c>
      <c r="T41" s="311" cm="1">
        <f t="array" ref="T41">_xlfn.IFS(SUM($R41:S41)&gt;=$G41,0,$L41=T$2,$G41/$P41,S41&gt;0,$G41/$P41,TRUE,0)</f>
        <v>0</v>
      </c>
      <c r="U41" s="311" cm="1">
        <f t="array" ref="U41">_xlfn.IFS(SUM($R41:T41)&gt;=$G41,0,$L41=U$2,$G41/$P41,T41&gt;0,$G41/$P41,TRUE,0)</f>
        <v>0</v>
      </c>
      <c r="V41" s="311" cm="1">
        <f t="array" ref="V41">_xlfn.IFS(SUM($R41:U41)&gt;=$G41,0,$L41=V$2,$G41/$P41,U41&gt;0,$G41/$P41,TRUE,0)</f>
        <v>0</v>
      </c>
      <c r="W41" s="311" cm="1">
        <f t="array" ref="W41">_xlfn.IFS(SUM($R41:V41)&gt;=$G41,0,$L41=W$2,$G41/$P41,V41&gt;0,$G41/$P41,TRUE,0)</f>
        <v>0</v>
      </c>
      <c r="X41" s="311" cm="1">
        <f t="array" ref="X41">_xlfn.IFS(SUM($R41:W41)&gt;=$G41,0,$L41=X$2,$G41/$P41,W41&gt;0,$G41/$P41,TRUE,0)</f>
        <v>0</v>
      </c>
      <c r="Y41" s="311" cm="1">
        <f t="array" ref="Y41">_xlfn.IFS(SUM($R41:X41)&gt;=$G41,0,$L41=Y$2,$G41/$P41,X41&gt;0,$G41/$P41,TRUE,0)</f>
        <v>0</v>
      </c>
      <c r="Z41" s="311" cm="1">
        <f t="array" ref="Z41">_xlfn.IFS(SUM($R41:Y41)&gt;=$G41,0,$L41=Z$2,$G41/$P41,Y41&gt;0,$G41/$P41,TRUE,0)</f>
        <v>0</v>
      </c>
      <c r="AA41" s="311" cm="1">
        <f t="array" ref="AA41">_xlfn.IFS(SUM($R41:Z41)&gt;=$G41,0,$L41=AA$2,$G41/$P41,Z41&gt;0,$G41/$P41,TRUE,0)</f>
        <v>0</v>
      </c>
      <c r="AB41" s="311" cm="1">
        <f t="array" ref="AB41">_xlfn.IFS(SUM($R41:AA41)&gt;=$G41,0,$L41=AB$2,$G41/$P41,AA41&gt;0,$G41/$P41,TRUE,0)</f>
        <v>0</v>
      </c>
      <c r="AC41" s="311" cm="1">
        <f t="array" ref="AC41">_xlfn.IFS(SUM($R41:AB41)&gt;=$G41,0,$L41=AC$2,$G41/$P41,AB41&gt;0,$G41/$P41,TRUE,0)</f>
        <v>0</v>
      </c>
      <c r="AD41" s="311" cm="1">
        <f t="array" ref="AD41">_xlfn.IFS(SUM($R41:AC41)&gt;=$G41,0,$L41=AD$2,$G41/$P41,AC41&gt;0,$G41/$P41,TRUE,0)</f>
        <v>0</v>
      </c>
      <c r="AE41" s="311" cm="1">
        <f t="array" ref="AE41">_xlfn.IFS(SUM($R41:AD41)&gt;=$G41,0,$L41=AE$2,$G41/$P41,AD41&gt;0,$G41/$P41,TRUE,0)</f>
        <v>2462.0588235294117</v>
      </c>
      <c r="AF41" s="311" cm="1">
        <f t="array" ref="AF41">_xlfn.IFS(SUM($R41:AE41)&gt;=$G41,0,$L41=AF$2,$G41/$P41,AE41&gt;0,$G41/$P41,TRUE,0)</f>
        <v>2462.0588235294117</v>
      </c>
      <c r="AG41" s="311" cm="1">
        <f t="array" ref="AG41">_xlfn.IFS(SUM($R41:AF41)&gt;=$G41,0,$L41=AG$2,$G41/$P41,AF41&gt;0,$G41/$P41,TRUE,0)</f>
        <v>2462.0588235294117</v>
      </c>
      <c r="AH41" s="311" cm="1">
        <f t="array" ref="AH41">_xlfn.IFS(SUM($R41:AG41)&gt;=$G41,0,$L41=AH$2,$G41/$P41,AG41&gt;0,$G41/$P41,TRUE,0)</f>
        <v>2462.0588235294117</v>
      </c>
      <c r="AI41" s="311" cm="1">
        <f t="array" ref="AI41">_xlfn.IFS(SUM($R41:AH41)&gt;=$G41,0,$L41=AI$2,$G41/$P41,AH41&gt;0,$G41/$P41,TRUE,0)</f>
        <v>2462.0588235294117</v>
      </c>
      <c r="AJ41" s="311" cm="1">
        <f t="array" ref="AJ41">_xlfn.IFS(SUM($R41:AI41)&gt;=$G41,0,$L41=AJ$2,$G41/$P41,AI41&gt;0,$G41/$P41,TRUE,0)</f>
        <v>2462.0588235294117</v>
      </c>
      <c r="AK41" s="311" cm="1">
        <f t="array" ref="AK41">_xlfn.IFS(SUM($R41:AJ41)&gt;=$G41,0,$L41=AK$2,$G41/$P41,AJ41&gt;0,$G41/$P41,TRUE,0)</f>
        <v>2462.0588235294117</v>
      </c>
      <c r="AL41" s="311" cm="1">
        <f t="array" ref="AL41">_xlfn.IFS(SUM($R41:AK41)&gt;=$G41,0,$L41=AL$2,$G41/$P41,AK41&gt;0,$G41/$P41,TRUE,0)</f>
        <v>2462.0588235294117</v>
      </c>
      <c r="AM41" s="311" cm="1">
        <f t="array" ref="AM41">_xlfn.IFS(SUM($R41:AL41)&gt;=$G41,0,$L41=AM$2,$G41/$P41,AL41&gt;0,$G41/$P41,TRUE,0)</f>
        <v>2462.0588235294117</v>
      </c>
      <c r="AN41" s="311" cm="1">
        <f t="array" ref="AN41">_xlfn.IFS(SUM($R41:AM41)&gt;=$G41,0,$L41=AN$2,$G41/$P41,AM41&gt;0,$G41/$P41,TRUE,0)</f>
        <v>2462.0588235294117</v>
      </c>
      <c r="AO41" s="311" cm="1">
        <f t="array" ref="AO41">_xlfn.IFS(SUM($R41:AN41)&gt;=$G41,0,$L41=AO$2,$G41/$P41,AN41&gt;0,$G41/$P41,TRUE,0)</f>
        <v>2462.0588235294117</v>
      </c>
      <c r="AP41" s="311" cm="1">
        <f t="array" ref="AP41">_xlfn.IFS(SUM($R41:AO41)&gt;=$G41,0,$L41=AP$2,$G41/$P41,AO41&gt;0,$G41/$P41,TRUE,0)</f>
        <v>2462.0588235294117</v>
      </c>
      <c r="AQ41" s="311" cm="1">
        <f t="array" ref="AQ41">_xlfn.IFS(SUM($R41:AP41)&gt;=$G41,0,$L41=AQ$2,$G41/$P41,AP41&gt;0,$G41/$P41,TRUE,0)</f>
        <v>2462.0588235294117</v>
      </c>
      <c r="AR41" s="311" cm="1">
        <f t="array" ref="AR41">_xlfn.IFS(SUM($R41:AQ41)&gt;=$G41,0,$L41=AR$2,$G41/$P41,AQ41&gt;0,$G41/$P41,TRUE,0)</f>
        <v>2462.0588235294117</v>
      </c>
      <c r="AS41" s="311" cm="1">
        <f t="array" ref="AS41">_xlfn.IFS(SUM($R41:AR41)&gt;=$G41,0,$L41=AS$2,$G41/$P41,AR41&gt;0,$G41/$P41,TRUE,0)</f>
        <v>2462.0588235294117</v>
      </c>
      <c r="AT41" s="311" cm="1">
        <f t="array" ref="AT41">_xlfn.IFS(SUM($R41:AS41)&gt;=$G41,0,$L41=AT$2,$G41/$P41,AS41&gt;0,$G41/$P41,TRUE,0)</f>
        <v>2462.0588235294117</v>
      </c>
      <c r="AU41" s="311" cm="1">
        <f t="array" ref="AU41">_xlfn.IFS(SUM($R41:AT41)&gt;=$G41,0,$L41=AU$2,$G41/$P41,AT41&gt;0,$G41/$P41,TRUE,0)</f>
        <v>2462.0588235294117</v>
      </c>
      <c r="AV41" s="311" cm="1">
        <f t="array" ref="AV41">_xlfn.IFS(SUM($R41:AU41)&gt;=$G41,0,$L41=AV$2,$G41/$P41,AU41&gt;0,$G41/$P41,TRUE,0)</f>
        <v>0</v>
      </c>
      <c r="AW41" s="311" cm="1">
        <f t="array" ref="AW41">_xlfn.IFS(SUM($R41:AV41)&gt;=$G41,0,$L41=AW$2,$G41/$P41,AV41&gt;0,$G41/$P41,TRUE,0)</f>
        <v>0</v>
      </c>
      <c r="AX41" s="311" cm="1">
        <f t="array" ref="AX41">_xlfn.IFS(SUM($R41:AW41)&gt;=$G41,0,$L41=AX$2,$G41/$P41,AW41&gt;0,$G41/$P41,TRUE,0)</f>
        <v>0</v>
      </c>
      <c r="AY41" s="311" cm="1">
        <f t="array" ref="AY41">_xlfn.IFS(SUM($R41:AX41)&gt;=$G41,0,$L41=AY$2,$G41/$P41,AX41&gt;0,$G41/$P41,TRUE,0)</f>
        <v>0</v>
      </c>
      <c r="AZ41" s="311" cm="1">
        <f t="array" ref="AZ41">_xlfn.IFS(SUM($R41:AY41)&gt;=$G41,0,$L41=AZ$2,$G41/$P41,AY41&gt;0,$G41/$P41,TRUE,0)</f>
        <v>0</v>
      </c>
      <c r="BA41" s="311">
        <f t="shared" si="14"/>
        <v>41855.000000000007</v>
      </c>
      <c r="BF41" s="1065"/>
      <c r="BG41" s="1066"/>
      <c r="BH41" s="1066"/>
      <c r="BI41" s="1066"/>
      <c r="BJ41" s="1067"/>
    </row>
    <row r="42" spans="1:62" ht="15" customHeight="1">
      <c r="A42" t="str">
        <f t="shared" si="11"/>
        <v/>
      </c>
      <c r="B42" s="79" t="s">
        <v>527</v>
      </c>
      <c r="C42" s="79" t="s">
        <v>1088</v>
      </c>
      <c r="D42" s="79" t="s">
        <v>1041</v>
      </c>
      <c r="E42" s="6" t="s">
        <v>1092</v>
      </c>
      <c r="F42" s="147">
        <v>2000</v>
      </c>
      <c r="G42" s="121">
        <f t="shared" si="15"/>
        <v>33450</v>
      </c>
      <c r="H42" s="625">
        <f>$L$34</f>
        <v>16.725000000000001</v>
      </c>
      <c r="I42" s="79" t="s">
        <v>443</v>
      </c>
      <c r="J42" s="79">
        <f t="shared" si="12"/>
        <v>2027</v>
      </c>
      <c r="K42" s="79"/>
      <c r="L42" s="88" t="s">
        <v>439</v>
      </c>
      <c r="M42" s="88" t="s">
        <v>439</v>
      </c>
      <c r="N42" s="88" t="str">
        <f>LEFT(M42,2)&amp;(4+RIGHT(M42,2))</f>
        <v>3Q32</v>
      </c>
      <c r="O42" s="88"/>
      <c r="P42" s="121">
        <f t="shared" si="13"/>
        <v>17</v>
      </c>
      <c r="S42" s="311" cm="1">
        <f t="array" ref="S42">_xlfn.IFS(SUM($R42:R42)&gt;=$G42,0,$L42=S$2,$G42/$P42,R42&gt;0,$G42/$P42,TRUE,0)</f>
        <v>0</v>
      </c>
      <c r="T42" s="311" cm="1">
        <f t="array" ref="T42">_xlfn.IFS(SUM($R42:S42)&gt;=$G42,0,$L42=T$2,$G42/$P42,S42&gt;0,$G42/$P42,TRUE,0)</f>
        <v>0</v>
      </c>
      <c r="U42" s="311" cm="1">
        <f t="array" ref="U42">_xlfn.IFS(SUM($R42:T42)&gt;=$G42,0,$L42=U$2,$G42/$P42,T42&gt;0,$G42/$P42,TRUE,0)</f>
        <v>0</v>
      </c>
      <c r="V42" s="311" cm="1">
        <f t="array" ref="V42">_xlfn.IFS(SUM($R42:U42)&gt;=$G42,0,$L42=V$2,$G42/$P42,U42&gt;0,$G42/$P42,TRUE,0)</f>
        <v>0</v>
      </c>
      <c r="W42" s="311" cm="1">
        <f t="array" ref="W42">_xlfn.IFS(SUM($R42:V42)&gt;=$G42,0,$L42=W$2,$G42/$P42,V42&gt;0,$G42/$P42,TRUE,0)</f>
        <v>0</v>
      </c>
      <c r="X42" s="311" cm="1">
        <f t="array" ref="X42">_xlfn.IFS(SUM($R42:W42)&gt;=$G42,0,$L42=X$2,$G42/$P42,W42&gt;0,$G42/$P42,TRUE,0)</f>
        <v>0</v>
      </c>
      <c r="Y42" s="311" cm="1">
        <f t="array" ref="Y42">_xlfn.IFS(SUM($R42:X42)&gt;=$G42,0,$L42=Y$2,$G42/$P42,X42&gt;0,$G42/$P42,TRUE,0)</f>
        <v>0</v>
      </c>
      <c r="Z42" s="311" cm="1">
        <f t="array" ref="Z42">_xlfn.IFS(SUM($R42:Y42)&gt;=$G42,0,$L42=Z$2,$G42/$P42,Y42&gt;0,$G42/$P42,TRUE,0)</f>
        <v>0</v>
      </c>
      <c r="AA42" s="311" cm="1">
        <f t="array" ref="AA42">_xlfn.IFS(SUM($R42:Z42)&gt;=$G42,0,$L42=AA$2,$G42/$P42,Z42&gt;0,$G42/$P42,TRUE,0)</f>
        <v>0</v>
      </c>
      <c r="AB42" s="311" cm="1">
        <f t="array" ref="AB42">_xlfn.IFS(SUM($R42:AA42)&gt;=$G42,0,$L42=AB$2,$G42/$P42,AA42&gt;0,$G42/$P42,TRUE,0)</f>
        <v>0</v>
      </c>
      <c r="AC42" s="311" cm="1">
        <f t="array" ref="AC42">_xlfn.IFS(SUM($R42:AB42)&gt;=$G42,0,$L42=AC$2,$G42/$P42,AB42&gt;0,$G42/$P42,TRUE,0)</f>
        <v>0</v>
      </c>
      <c r="AD42" s="311" cm="1">
        <f t="array" ref="AD42">_xlfn.IFS(SUM($R42:AC42)&gt;=$G42,0,$L42=AD$2,$G42/$P42,AC42&gt;0,$G42/$P42,TRUE,0)</f>
        <v>0</v>
      </c>
      <c r="AE42" s="311" cm="1">
        <f t="array" ref="AE42">_xlfn.IFS(SUM($R42:AD42)&gt;=$G42,0,$L42=AE$2,$G42/$P42,AD42&gt;0,$G42/$P42,TRUE,0)</f>
        <v>1967.6470588235295</v>
      </c>
      <c r="AF42" s="311" cm="1">
        <f t="array" ref="AF42">_xlfn.IFS(SUM($R42:AE42)&gt;=$G42,0,$L42=AF$2,$G42/$P42,AE42&gt;0,$G42/$P42,TRUE,0)</f>
        <v>1967.6470588235295</v>
      </c>
      <c r="AG42" s="311" cm="1">
        <f t="array" ref="AG42">_xlfn.IFS(SUM($R42:AF42)&gt;=$G42,0,$L42=AG$2,$G42/$P42,AF42&gt;0,$G42/$P42,TRUE,0)</f>
        <v>1967.6470588235295</v>
      </c>
      <c r="AH42" s="311" cm="1">
        <f t="array" ref="AH42">_xlfn.IFS(SUM($R42:AG42)&gt;=$G42,0,$L42=AH$2,$G42/$P42,AG42&gt;0,$G42/$P42,TRUE,0)</f>
        <v>1967.6470588235295</v>
      </c>
      <c r="AI42" s="311" cm="1">
        <f t="array" ref="AI42">_xlfn.IFS(SUM($R42:AH42)&gt;=$G42,0,$L42=AI$2,$G42/$P42,AH42&gt;0,$G42/$P42,TRUE,0)</f>
        <v>1967.6470588235295</v>
      </c>
      <c r="AJ42" s="311" cm="1">
        <f t="array" ref="AJ42">_xlfn.IFS(SUM($R42:AI42)&gt;=$G42,0,$L42=AJ$2,$G42/$P42,AI42&gt;0,$G42/$P42,TRUE,0)</f>
        <v>1967.6470588235295</v>
      </c>
      <c r="AK42" s="311" cm="1">
        <f t="array" ref="AK42">_xlfn.IFS(SUM($R42:AJ42)&gt;=$G42,0,$L42=AK$2,$G42/$P42,AJ42&gt;0,$G42/$P42,TRUE,0)</f>
        <v>1967.6470588235295</v>
      </c>
      <c r="AL42" s="311" cm="1">
        <f t="array" ref="AL42">_xlfn.IFS(SUM($R42:AK42)&gt;=$G42,0,$L42=AL$2,$G42/$P42,AK42&gt;0,$G42/$P42,TRUE,0)</f>
        <v>1967.6470588235295</v>
      </c>
      <c r="AM42" s="311" cm="1">
        <f t="array" ref="AM42">_xlfn.IFS(SUM($R42:AL42)&gt;=$G42,0,$L42=AM$2,$G42/$P42,AL42&gt;0,$G42/$P42,TRUE,0)</f>
        <v>1967.6470588235295</v>
      </c>
      <c r="AN42" s="311" cm="1">
        <f t="array" ref="AN42">_xlfn.IFS(SUM($R42:AM42)&gt;=$G42,0,$L42=AN$2,$G42/$P42,AM42&gt;0,$G42/$P42,TRUE,0)</f>
        <v>1967.6470588235295</v>
      </c>
      <c r="AO42" s="311" cm="1">
        <f t="array" ref="AO42">_xlfn.IFS(SUM($R42:AN42)&gt;=$G42,0,$L42=AO$2,$G42/$P42,AN42&gt;0,$G42/$P42,TRUE,0)</f>
        <v>1967.6470588235295</v>
      </c>
      <c r="AP42" s="311" cm="1">
        <f t="array" ref="AP42">_xlfn.IFS(SUM($R42:AO42)&gt;=$G42,0,$L42=AP$2,$G42/$P42,AO42&gt;0,$G42/$P42,TRUE,0)</f>
        <v>1967.6470588235295</v>
      </c>
      <c r="AQ42" s="311" cm="1">
        <f t="array" ref="AQ42">_xlfn.IFS(SUM($R42:AP42)&gt;=$G42,0,$L42=AQ$2,$G42/$P42,AP42&gt;0,$G42/$P42,TRUE,0)</f>
        <v>1967.6470588235295</v>
      </c>
      <c r="AR42" s="311" cm="1">
        <f t="array" ref="AR42">_xlfn.IFS(SUM($R42:AQ42)&gt;=$G42,0,$L42=AR$2,$G42/$P42,AQ42&gt;0,$G42/$P42,TRUE,0)</f>
        <v>1967.6470588235295</v>
      </c>
      <c r="AS42" s="311" cm="1">
        <f t="array" ref="AS42">_xlfn.IFS(SUM($R42:AR42)&gt;=$G42,0,$L42=AS$2,$G42/$P42,AR42&gt;0,$G42/$P42,TRUE,0)</f>
        <v>1967.6470588235295</v>
      </c>
      <c r="AT42" s="311" cm="1">
        <f t="array" ref="AT42">_xlfn.IFS(SUM($R42:AS42)&gt;=$G42,0,$L42=AT$2,$G42/$P42,AS42&gt;0,$G42/$P42,TRUE,0)</f>
        <v>1967.6470588235295</v>
      </c>
      <c r="AU42" s="311" cm="1">
        <f t="array" ref="AU42">_xlfn.IFS(SUM($R42:AT42)&gt;=$G42,0,$L42=AU$2,$G42/$P42,AT42&gt;0,$G42/$P42,TRUE,0)</f>
        <v>1967.6470588235295</v>
      </c>
      <c r="AV42" s="311" cm="1">
        <f t="array" ref="AV42">_xlfn.IFS(SUM($R42:AU42)&gt;=$G42,0,$L42=AV$2,$G42/$P42,AU42&gt;0,$G42/$P42,TRUE,0)</f>
        <v>0</v>
      </c>
      <c r="AW42" s="311" cm="1">
        <f t="array" ref="AW42">_xlfn.IFS(SUM($R42:AV42)&gt;=$G42,0,$L42=AW$2,$G42/$P42,AV42&gt;0,$G42/$P42,TRUE,0)</f>
        <v>0</v>
      </c>
      <c r="AX42" s="311" cm="1">
        <f t="array" ref="AX42">_xlfn.IFS(SUM($R42:AW42)&gt;=$G42,0,$L42=AX$2,$G42/$P42,AW42&gt;0,$G42/$P42,TRUE,0)</f>
        <v>0</v>
      </c>
      <c r="AY42" s="311" cm="1">
        <f t="array" ref="AY42">_xlfn.IFS(SUM($R42:AX42)&gt;=$G42,0,$L42=AY$2,$G42/$P42,AX42&gt;0,$G42/$P42,TRUE,0)</f>
        <v>0</v>
      </c>
      <c r="AZ42" s="311" cm="1">
        <f t="array" ref="AZ42">_xlfn.IFS(SUM($R42:AY42)&gt;=$G42,0,$L42=AZ$2,$G42/$P42,AY42&gt;0,$G42/$P42,TRUE,0)</f>
        <v>0</v>
      </c>
      <c r="BA42" s="311">
        <f t="shared" si="14"/>
        <v>33449.999999999993</v>
      </c>
      <c r="BF42" s="1065"/>
      <c r="BG42" s="1066"/>
      <c r="BH42" s="1066"/>
      <c r="BI42" s="1066"/>
      <c r="BJ42" s="1067"/>
    </row>
    <row r="43" spans="1:62" ht="15" customHeight="1">
      <c r="A43" t="str">
        <f t="shared" si="11"/>
        <v/>
      </c>
      <c r="B43" s="139" t="s">
        <v>525</v>
      </c>
      <c r="C43" s="139" t="s">
        <v>1088</v>
      </c>
      <c r="D43" s="139" t="s">
        <v>1041</v>
      </c>
      <c r="E43" s="59" t="s">
        <v>1093</v>
      </c>
      <c r="F43" s="143">
        <v>2000</v>
      </c>
      <c r="G43" s="121">
        <f t="shared" si="15"/>
        <v>17277.13309298483</v>
      </c>
      <c r="H43" s="626">
        <f>$L$38</f>
        <v>8.6385665464924148</v>
      </c>
      <c r="I43" s="139" t="s">
        <v>441</v>
      </c>
      <c r="J43" s="139">
        <f t="shared" si="12"/>
        <v>2028</v>
      </c>
      <c r="K43" s="139"/>
      <c r="L43" s="138" t="s">
        <v>439</v>
      </c>
      <c r="M43" s="138" t="s">
        <v>439</v>
      </c>
      <c r="N43" s="139" t="str">
        <f>IF(ISODD(VALUE(LEFT(M43,1))),"1","4")&amp;"Q"&amp;(1+2+RIGHT(M43,2))</f>
        <v>1Q31</v>
      </c>
      <c r="O43" s="139"/>
      <c r="P43" s="140">
        <f t="shared" si="13"/>
        <v>11</v>
      </c>
      <c r="Q43" s="279"/>
      <c r="R43" s="279"/>
      <c r="S43" s="490" cm="1">
        <f t="array" ref="S43">_xlfn.IFS(SUM($R43:R43)&gt;=$G43,0,$L43=S$2,$G43/$P43,R43&gt;0,$G43/$P43,TRUE,0)</f>
        <v>0</v>
      </c>
      <c r="T43" s="490" cm="1">
        <f t="array" ref="T43">_xlfn.IFS(SUM($R43:S43)&gt;=$G43,0,$L43=T$2,$G43/$P43,S43&gt;0,$G43/$P43,TRUE,0)</f>
        <v>0</v>
      </c>
      <c r="U43" s="490" cm="1">
        <f t="array" ref="U43">_xlfn.IFS(SUM($R43:T43)&gt;=$G43,0,$L43=U$2,$G43/$P43,T43&gt;0,$G43/$P43,TRUE,0)</f>
        <v>0</v>
      </c>
      <c r="V43" s="490" cm="1">
        <f t="array" ref="V43">_xlfn.IFS(SUM($R43:U43)&gt;=$G43,0,$L43=V$2,$G43/$P43,U43&gt;0,$G43/$P43,TRUE,0)</f>
        <v>0</v>
      </c>
      <c r="W43" s="490" cm="1">
        <f t="array" ref="W43">_xlfn.IFS(SUM($R43:V43)&gt;=$G43,0,$L43=W$2,$G43/$P43,V43&gt;0,$G43/$P43,TRUE,0)</f>
        <v>0</v>
      </c>
      <c r="X43" s="490" cm="1">
        <f t="array" ref="X43">_xlfn.IFS(SUM($R43:W43)&gt;=$G43,0,$L43=X$2,$G43/$P43,W43&gt;0,$G43/$P43,TRUE,0)</f>
        <v>0</v>
      </c>
      <c r="Y43" s="490" cm="1">
        <f t="array" ref="Y43">_xlfn.IFS(SUM($R43:X43)&gt;=$G43,0,$L43=Y$2,$G43/$P43,X43&gt;0,$G43/$P43,TRUE,0)</f>
        <v>0</v>
      </c>
      <c r="Z43" s="490" cm="1">
        <f t="array" ref="Z43">_xlfn.IFS(SUM($R43:Y43)&gt;=$G43,0,$L43=Z$2,$G43/$P43,Y43&gt;0,$G43/$P43,TRUE,0)</f>
        <v>0</v>
      </c>
      <c r="AA43" s="490" cm="1">
        <f t="array" ref="AA43">_xlfn.IFS(SUM($R43:Z43)&gt;=$G43,0,$L43=AA$2,$G43/$P43,Z43&gt;0,$G43/$P43,TRUE,0)</f>
        <v>0</v>
      </c>
      <c r="AB43" s="490" cm="1">
        <f t="array" ref="AB43">_xlfn.IFS(SUM($R43:AA43)&gt;=$G43,0,$L43=AB$2,$G43/$P43,AA43&gt;0,$G43/$P43,TRUE,0)</f>
        <v>0</v>
      </c>
      <c r="AC43" s="490" cm="1">
        <f t="array" ref="AC43">_xlfn.IFS(SUM($R43:AB43)&gt;=$G43,0,$L43=AC$2,$G43/$P43,AB43&gt;0,$G43/$P43,TRUE,0)</f>
        <v>0</v>
      </c>
      <c r="AD43" s="490" cm="1">
        <f t="array" ref="AD43">_xlfn.IFS(SUM($R43:AC43)&gt;=$G43,0,$L43=AD$2,$G43/$P43,AC43&gt;0,$G43/$P43,TRUE,0)</f>
        <v>0</v>
      </c>
      <c r="AE43" s="490" cm="1">
        <f t="array" ref="AE43">_xlfn.IFS(SUM($R43:AD43)&gt;=$G43,0,$L43=AE$2,$G43/$P43,AD43&gt;0,$G43/$P43,TRUE,0)</f>
        <v>1570.648462998621</v>
      </c>
      <c r="AF43" s="490" cm="1">
        <f t="array" ref="AF43">_xlfn.IFS(SUM($R43:AE43)&gt;=$G43,0,$L43=AF$2,$G43/$P43,AE43&gt;0,$G43/$P43,TRUE,0)</f>
        <v>1570.648462998621</v>
      </c>
      <c r="AG43" s="490" cm="1">
        <f t="array" ref="AG43">_xlfn.IFS(SUM($R43:AF43)&gt;=$G43,0,$L43=AG$2,$G43/$P43,AF43&gt;0,$G43/$P43,TRUE,0)</f>
        <v>1570.648462998621</v>
      </c>
      <c r="AH43" s="490" cm="1">
        <f t="array" ref="AH43">_xlfn.IFS(SUM($R43:AG43)&gt;=$G43,0,$L43=AH$2,$G43/$P43,AG43&gt;0,$G43/$P43,TRUE,0)</f>
        <v>1570.648462998621</v>
      </c>
      <c r="AI43" s="490" cm="1">
        <f t="array" ref="AI43">_xlfn.IFS(SUM($R43:AH43)&gt;=$G43,0,$L43=AI$2,$G43/$P43,AH43&gt;0,$G43/$P43,TRUE,0)</f>
        <v>1570.648462998621</v>
      </c>
      <c r="AJ43" s="490" cm="1">
        <f t="array" ref="AJ43">_xlfn.IFS(SUM($R43:AI43)&gt;=$G43,0,$L43=AJ$2,$G43/$P43,AI43&gt;0,$G43/$P43,TRUE,0)</f>
        <v>1570.648462998621</v>
      </c>
      <c r="AK43" s="490" cm="1">
        <f t="array" ref="AK43">_xlfn.IFS(SUM($R43:AJ43)&gt;=$G43,0,$L43=AK$2,$G43/$P43,AJ43&gt;0,$G43/$P43,TRUE,0)</f>
        <v>1570.648462998621</v>
      </c>
      <c r="AL43" s="490" cm="1">
        <f t="array" ref="AL43">_xlfn.IFS(SUM($R43:AK43)&gt;=$G43,0,$L43=AL$2,$G43/$P43,AK43&gt;0,$G43/$P43,TRUE,0)</f>
        <v>1570.648462998621</v>
      </c>
      <c r="AM43" s="490" cm="1">
        <f t="array" ref="AM43">_xlfn.IFS(SUM($R43:AL43)&gt;=$G43,0,$L43=AM$2,$G43/$P43,AL43&gt;0,$G43/$P43,TRUE,0)</f>
        <v>1570.648462998621</v>
      </c>
      <c r="AN43" s="490" cm="1">
        <f t="array" ref="AN43">_xlfn.IFS(SUM($R43:AM43)&gt;=$G43,0,$L43=AN$2,$G43/$P43,AM43&gt;0,$G43/$P43,TRUE,0)</f>
        <v>1570.648462998621</v>
      </c>
      <c r="AO43" s="490" cm="1">
        <f t="array" ref="AO43">_xlfn.IFS(SUM($R43:AN43)&gt;=$G43,0,$L43=AO$2,$G43/$P43,AN43&gt;0,$G43/$P43,TRUE,0)</f>
        <v>1570.648462998621</v>
      </c>
      <c r="AP43" s="490" cm="1">
        <f t="array" ref="AP43">_xlfn.IFS(SUM($R43:AO43)&gt;=$G43,0,$L43=AP$2,$G43/$P43,AO43&gt;0,$G43/$P43,TRUE,0)</f>
        <v>0</v>
      </c>
      <c r="AQ43" s="490" cm="1">
        <f t="array" ref="AQ43">_xlfn.IFS(SUM($R43:AP43)&gt;=$G43,0,$L43=AQ$2,$G43/$P43,AP43&gt;0,$G43/$P43,TRUE,0)</f>
        <v>0</v>
      </c>
      <c r="AR43" s="490" cm="1">
        <f t="array" ref="AR43">_xlfn.IFS(SUM($R43:AQ43)&gt;=$G43,0,$L43=AR$2,$G43/$P43,AQ43&gt;0,$G43/$P43,TRUE,0)</f>
        <v>0</v>
      </c>
      <c r="AS43" s="490" cm="1">
        <f t="array" ref="AS43">_xlfn.IFS(SUM($R43:AR43)&gt;=$G43,0,$L43=AS$2,$G43/$P43,AR43&gt;0,$G43/$P43,TRUE,0)</f>
        <v>0</v>
      </c>
      <c r="AT43" s="490" cm="1">
        <f t="array" ref="AT43">_xlfn.IFS(SUM($R43:AS43)&gt;=$G43,0,$L43=AT$2,$G43/$P43,AS43&gt;0,$G43/$P43,TRUE,0)</f>
        <v>0</v>
      </c>
      <c r="AU43" s="490" cm="1">
        <f t="array" ref="AU43">_xlfn.IFS(SUM($R43:AT43)&gt;=$G43,0,$L43=AU$2,$G43/$P43,AT43&gt;0,$G43/$P43,TRUE,0)</f>
        <v>0</v>
      </c>
      <c r="AV43" s="490" cm="1">
        <f t="array" ref="AV43">_xlfn.IFS(SUM($R43:AU43)&gt;=$G43,0,$L43=AV$2,$G43/$P43,AU43&gt;0,$G43/$P43,TRUE,0)</f>
        <v>0</v>
      </c>
      <c r="AW43" s="490" cm="1">
        <f t="array" ref="AW43">_xlfn.IFS(SUM($R43:AV43)&gt;=$G43,0,$L43=AW$2,$G43/$P43,AV43&gt;0,$G43/$P43,TRUE,0)</f>
        <v>0</v>
      </c>
      <c r="AX43" s="490" cm="1">
        <f t="array" ref="AX43">_xlfn.IFS(SUM($R43:AW43)&gt;=$G43,0,$L43=AX$2,$G43/$P43,AW43&gt;0,$G43/$P43,TRUE,0)</f>
        <v>0</v>
      </c>
      <c r="AY43" s="490" cm="1">
        <f t="array" ref="AY43">_xlfn.IFS(SUM($R43:AX43)&gt;=$G43,0,$L43=AY$2,$G43/$P43,AX43&gt;0,$G43/$P43,TRUE,0)</f>
        <v>0</v>
      </c>
      <c r="AZ43" s="490" cm="1">
        <f t="array" ref="AZ43">_xlfn.IFS(SUM($R43:AY43)&gt;=$G43,0,$L43=AZ$2,$G43/$P43,AY43&gt;0,$G43/$P43,TRUE,0)</f>
        <v>0</v>
      </c>
      <c r="BA43" s="311">
        <f t="shared" si="14"/>
        <v>17277.13309298483</v>
      </c>
      <c r="BF43" s="1065"/>
      <c r="BG43" s="1066"/>
      <c r="BH43" s="1066"/>
      <c r="BI43" s="1066"/>
      <c r="BJ43" s="1067"/>
    </row>
    <row r="44" spans="1:62" ht="15" customHeight="1">
      <c r="A44" t="str">
        <f t="shared" si="11"/>
        <v/>
      </c>
      <c r="B44" s="394" t="s">
        <v>526</v>
      </c>
      <c r="C44" s="394" t="s">
        <v>1088</v>
      </c>
      <c r="D44" s="394" t="s">
        <v>1041</v>
      </c>
      <c r="E44" s="141" t="s">
        <v>1094</v>
      </c>
      <c r="F44" s="398">
        <v>2400</v>
      </c>
      <c r="G44" s="397">
        <f t="shared" si="15"/>
        <v>35528.571428571428</v>
      </c>
      <c r="H44" s="624">
        <f>$L$37</f>
        <v>14.803571428571429</v>
      </c>
      <c r="I44" s="394" t="s">
        <v>440</v>
      </c>
      <c r="J44" s="394">
        <f t="shared" si="12"/>
        <v>2028</v>
      </c>
      <c r="K44" s="394"/>
      <c r="L44" s="399" t="str">
        <f>M44</f>
        <v>2Q29</v>
      </c>
      <c r="M44" s="399" t="s">
        <v>984</v>
      </c>
      <c r="N44" s="399" t="str">
        <f>LEFT(M44,2)&amp;(4+RIGHT(M44,2))</f>
        <v>2Q33</v>
      </c>
      <c r="O44" s="399"/>
      <c r="P44" s="397">
        <f t="shared" si="13"/>
        <v>17</v>
      </c>
      <c r="Q44" s="400"/>
      <c r="R44" s="400"/>
      <c r="S44" s="489" cm="1">
        <f t="array" ref="S44">_xlfn.IFS(SUM($R44:R44)&gt;=$G44,0,$L44=S$2,$G44/$P44,R44&gt;0,$G44/$P44,TRUE,0)</f>
        <v>0</v>
      </c>
      <c r="T44" s="489" cm="1">
        <f t="array" ref="T44">_xlfn.IFS(SUM($R44:S44)&gt;=$G44,0,$L44=T$2,$G44/$P44,S44&gt;0,$G44/$P44,TRUE,0)</f>
        <v>0</v>
      </c>
      <c r="U44" s="489" cm="1">
        <f t="array" ref="U44">_xlfn.IFS(SUM($R44:T44)&gt;=$G44,0,$L44=U$2,$G44/$P44,T44&gt;0,$G44/$P44,TRUE,0)</f>
        <v>0</v>
      </c>
      <c r="V44" s="489" cm="1">
        <f t="array" ref="V44">_xlfn.IFS(SUM($R44:U44)&gt;=$G44,0,$L44=V$2,$G44/$P44,U44&gt;0,$G44/$P44,TRUE,0)</f>
        <v>0</v>
      </c>
      <c r="W44" s="489" cm="1">
        <f t="array" ref="W44">_xlfn.IFS(SUM($R44:V44)&gt;=$G44,0,$L44=W$2,$G44/$P44,V44&gt;0,$G44/$P44,TRUE,0)</f>
        <v>0</v>
      </c>
      <c r="X44" s="489" cm="1">
        <f t="array" ref="X44">_xlfn.IFS(SUM($R44:W44)&gt;=$G44,0,$L44=X$2,$G44/$P44,W44&gt;0,$G44/$P44,TRUE,0)</f>
        <v>0</v>
      </c>
      <c r="Y44" s="489" cm="1">
        <f t="array" ref="Y44">_xlfn.IFS(SUM($R44:X44)&gt;=$G44,0,$L44=Y$2,$G44/$P44,X44&gt;0,$G44/$P44,TRUE,0)</f>
        <v>0</v>
      </c>
      <c r="Z44" s="489" cm="1">
        <f t="array" ref="Z44">_xlfn.IFS(SUM($R44:Y44)&gt;=$G44,0,$L44=Z$2,$G44/$P44,Y44&gt;0,$G44/$P44,TRUE,0)</f>
        <v>0</v>
      </c>
      <c r="AA44" s="489" cm="1">
        <f t="array" ref="AA44">_xlfn.IFS(SUM($R44:Z44)&gt;=$G44,0,$L44=AA$2,$G44/$P44,Z44&gt;0,$G44/$P44,TRUE,0)</f>
        <v>0</v>
      </c>
      <c r="AB44" s="489" cm="1">
        <f t="array" ref="AB44">_xlfn.IFS(SUM($R44:AA44)&gt;=$G44,0,$L44=AB$2,$G44/$P44,AA44&gt;0,$G44/$P44,TRUE,0)</f>
        <v>0</v>
      </c>
      <c r="AC44" s="489" cm="1">
        <f t="array" ref="AC44">_xlfn.IFS(SUM($R44:AB44)&gt;=$G44,0,$L44=AC$2,$G44/$P44,AB44&gt;0,$G44/$P44,TRUE,0)</f>
        <v>0</v>
      </c>
      <c r="AD44" s="489" cm="1">
        <f t="array" ref="AD44">_xlfn.IFS(SUM($R44:AC44)&gt;=$G44,0,$L44=AD$2,$G44/$P44,AC44&gt;0,$G44/$P44,TRUE,0)</f>
        <v>0</v>
      </c>
      <c r="AE44" s="489" cm="1">
        <f t="array" ref="AE44">_xlfn.IFS(SUM($R44:AD44)&gt;=$G44,0,$L44=AE$2,$G44/$P44,AD44&gt;0,$G44/$P44,TRUE,0)</f>
        <v>0</v>
      </c>
      <c r="AF44" s="489" cm="1">
        <f t="array" ref="AF44">_xlfn.IFS(SUM($R44:AE44)&gt;=$G44,0,$L44=AF$2,$G44/$P44,AE44&gt;0,$G44/$P44,TRUE,0)</f>
        <v>0</v>
      </c>
      <c r="AG44" s="489" cm="1">
        <f t="array" ref="AG44">_xlfn.IFS(SUM($R44:AF44)&gt;=$G44,0,$L44=AG$2,$G44/$P44,AF44&gt;0,$G44/$P44,TRUE,0)</f>
        <v>0</v>
      </c>
      <c r="AH44" s="489" cm="1">
        <f t="array" ref="AH44">_xlfn.IFS(SUM($R44:AG44)&gt;=$G44,0,$L44=AH$2,$G44/$P44,AG44&gt;0,$G44/$P44,TRUE,0)</f>
        <v>2089.9159663865544</v>
      </c>
      <c r="AI44" s="489" cm="1">
        <f t="array" ref="AI44">_xlfn.IFS(SUM($R44:AH44)&gt;=$G44,0,$L44=AI$2,$G44/$P44,AH44&gt;0,$G44/$P44,TRUE,0)</f>
        <v>2089.9159663865544</v>
      </c>
      <c r="AJ44" s="489" cm="1">
        <f t="array" ref="AJ44">_xlfn.IFS(SUM($R44:AI44)&gt;=$G44,0,$L44=AJ$2,$G44/$P44,AI44&gt;0,$G44/$P44,TRUE,0)</f>
        <v>2089.9159663865544</v>
      </c>
      <c r="AK44" s="489" cm="1">
        <f t="array" ref="AK44">_xlfn.IFS(SUM($R44:AJ44)&gt;=$G44,0,$L44=AK$2,$G44/$P44,AJ44&gt;0,$G44/$P44,TRUE,0)</f>
        <v>2089.9159663865544</v>
      </c>
      <c r="AL44" s="489" cm="1">
        <f t="array" ref="AL44">_xlfn.IFS(SUM($R44:AK44)&gt;=$G44,0,$L44=AL$2,$G44/$P44,AK44&gt;0,$G44/$P44,TRUE,0)</f>
        <v>2089.9159663865544</v>
      </c>
      <c r="AM44" s="489" cm="1">
        <f t="array" ref="AM44">_xlfn.IFS(SUM($R44:AL44)&gt;=$G44,0,$L44=AM$2,$G44/$P44,AL44&gt;0,$G44/$P44,TRUE,0)</f>
        <v>2089.9159663865544</v>
      </c>
      <c r="AN44" s="489" cm="1">
        <f t="array" ref="AN44">_xlfn.IFS(SUM($R44:AM44)&gt;=$G44,0,$L44=AN$2,$G44/$P44,AM44&gt;0,$G44/$P44,TRUE,0)</f>
        <v>2089.9159663865544</v>
      </c>
      <c r="AO44" s="489" cm="1">
        <f t="array" ref="AO44">_xlfn.IFS(SUM($R44:AN44)&gt;=$G44,0,$L44=AO$2,$G44/$P44,AN44&gt;0,$G44/$P44,TRUE,0)</f>
        <v>2089.9159663865544</v>
      </c>
      <c r="AP44" s="489" cm="1">
        <f t="array" ref="AP44">_xlfn.IFS(SUM($R44:AO44)&gt;=$G44,0,$L44=AP$2,$G44/$P44,AO44&gt;0,$G44/$P44,TRUE,0)</f>
        <v>2089.9159663865544</v>
      </c>
      <c r="AQ44" s="489" cm="1">
        <f t="array" ref="AQ44">_xlfn.IFS(SUM($R44:AP44)&gt;=$G44,0,$L44=AQ$2,$G44/$P44,AP44&gt;0,$G44/$P44,TRUE,0)</f>
        <v>2089.9159663865544</v>
      </c>
      <c r="AR44" s="489" cm="1">
        <f t="array" ref="AR44">_xlfn.IFS(SUM($R44:AQ44)&gt;=$G44,0,$L44=AR$2,$G44/$P44,AQ44&gt;0,$G44/$P44,TRUE,0)</f>
        <v>2089.9159663865544</v>
      </c>
      <c r="AS44" s="489" cm="1">
        <f t="array" ref="AS44">_xlfn.IFS(SUM($R44:AR44)&gt;=$G44,0,$L44=AS$2,$G44/$P44,AR44&gt;0,$G44/$P44,TRUE,0)</f>
        <v>2089.9159663865544</v>
      </c>
      <c r="AT44" s="489" cm="1">
        <f t="array" ref="AT44">_xlfn.IFS(SUM($R44:AS44)&gt;=$G44,0,$L44=AT$2,$G44/$P44,AS44&gt;0,$G44/$P44,TRUE,0)</f>
        <v>2089.9159663865544</v>
      </c>
      <c r="AU44" s="489" cm="1">
        <f t="array" ref="AU44">_xlfn.IFS(SUM($R44:AT44)&gt;=$G44,0,$L44=AU$2,$G44/$P44,AT44&gt;0,$G44/$P44,TRUE,0)</f>
        <v>2089.9159663865544</v>
      </c>
      <c r="AV44" s="489" cm="1">
        <f t="array" ref="AV44">_xlfn.IFS(SUM($R44:AU44)&gt;=$G44,0,$L44=AV$2,$G44/$P44,AU44&gt;0,$G44/$P44,TRUE,0)</f>
        <v>2089.9159663865544</v>
      </c>
      <c r="AW44" s="489" cm="1">
        <f t="array" ref="AW44">_xlfn.IFS(SUM($R44:AV44)&gt;=$G44,0,$L44=AW$2,$G44/$P44,AV44&gt;0,$G44/$P44,TRUE,0)</f>
        <v>2089.9159663865544</v>
      </c>
      <c r="AX44" s="489" cm="1">
        <f t="array" ref="AX44">_xlfn.IFS(SUM($R44:AW44)&gt;=$G44,0,$L44=AX$2,$G44/$P44,AW44&gt;0,$G44/$P44,TRUE,0)</f>
        <v>2089.9159663865544</v>
      </c>
      <c r="AY44" s="489" cm="1">
        <f t="array" ref="AY44">_xlfn.IFS(SUM($R44:AX44)&gt;=$G44,0,$L44=AY$2,$G44/$P44,AX44&gt;0,$G44/$P44,TRUE,0)</f>
        <v>0</v>
      </c>
      <c r="AZ44" s="489" cm="1">
        <f t="array" ref="AZ44">_xlfn.IFS(SUM($R44:AY44)&gt;=$G44,0,$L44=AZ$2,$G44/$P44,AY44&gt;0,$G44/$P44,TRUE,0)</f>
        <v>0</v>
      </c>
      <c r="BA44" s="311">
        <f t="shared" si="14"/>
        <v>35528.571428571428</v>
      </c>
      <c r="BF44" s="1065"/>
      <c r="BG44" s="1066"/>
      <c r="BH44" s="1066"/>
      <c r="BI44" s="1066"/>
      <c r="BJ44" s="1067"/>
    </row>
    <row r="45" spans="1:62" ht="15" customHeight="1">
      <c r="A45" t="str">
        <f t="shared" si="11"/>
        <v/>
      </c>
      <c r="B45" s="79" t="s">
        <v>526</v>
      </c>
      <c r="C45" s="79" t="s">
        <v>1088</v>
      </c>
      <c r="D45" s="79" t="s">
        <v>1041</v>
      </c>
      <c r="E45" s="6" t="s">
        <v>1095</v>
      </c>
      <c r="F45" s="147">
        <v>2400</v>
      </c>
      <c r="G45" s="121">
        <f t="shared" si="15"/>
        <v>50225.999999999993</v>
      </c>
      <c r="H45" s="625">
        <f>$L$36</f>
        <v>20.927499999999998</v>
      </c>
      <c r="I45" s="79" t="s">
        <v>440</v>
      </c>
      <c r="J45" s="79">
        <f t="shared" si="12"/>
        <v>2028</v>
      </c>
      <c r="K45" s="79"/>
      <c r="L45" s="88" t="str">
        <f>M45</f>
        <v>2Q29</v>
      </c>
      <c r="M45" s="88" t="s">
        <v>984</v>
      </c>
      <c r="N45" s="88" t="str">
        <f>LEFT(M45,2)&amp;(4+RIGHT(M45,2))</f>
        <v>2Q33</v>
      </c>
      <c r="O45" s="88"/>
      <c r="P45" s="121">
        <f t="shared" si="13"/>
        <v>17</v>
      </c>
      <c r="S45" s="311" cm="1">
        <f t="array" ref="S45">_xlfn.IFS(SUM($R45:R45)&gt;=$G45,0,$L45=S$2,$G45/$P45,R45&gt;0,$G45/$P45,TRUE,0)</f>
        <v>0</v>
      </c>
      <c r="T45" s="311" cm="1">
        <f t="array" ref="T45">_xlfn.IFS(SUM($R45:S45)&gt;=$G45,0,$L45=T$2,$G45/$P45,S45&gt;0,$G45/$P45,TRUE,0)</f>
        <v>0</v>
      </c>
      <c r="U45" s="311" cm="1">
        <f t="array" ref="U45">_xlfn.IFS(SUM($R45:T45)&gt;=$G45,0,$L45=U$2,$G45/$P45,T45&gt;0,$G45/$P45,TRUE,0)</f>
        <v>0</v>
      </c>
      <c r="V45" s="311" cm="1">
        <f t="array" ref="V45">_xlfn.IFS(SUM($R45:U45)&gt;=$G45,0,$L45=V$2,$G45/$P45,U45&gt;0,$G45/$P45,TRUE,0)</f>
        <v>0</v>
      </c>
      <c r="W45" s="311" cm="1">
        <f t="array" ref="W45">_xlfn.IFS(SUM($R45:V45)&gt;=$G45,0,$L45=W$2,$G45/$P45,V45&gt;0,$G45/$P45,TRUE,0)</f>
        <v>0</v>
      </c>
      <c r="X45" s="311" cm="1">
        <f t="array" ref="X45">_xlfn.IFS(SUM($R45:W45)&gt;=$G45,0,$L45=X$2,$G45/$P45,W45&gt;0,$G45/$P45,TRUE,0)</f>
        <v>0</v>
      </c>
      <c r="Y45" s="311" cm="1">
        <f t="array" ref="Y45">_xlfn.IFS(SUM($R45:X45)&gt;=$G45,0,$L45=Y$2,$G45/$P45,X45&gt;0,$G45/$P45,TRUE,0)</f>
        <v>0</v>
      </c>
      <c r="Z45" s="311" cm="1">
        <f t="array" ref="Z45">_xlfn.IFS(SUM($R45:Y45)&gt;=$G45,0,$L45=Z$2,$G45/$P45,Y45&gt;0,$G45/$P45,TRUE,0)</f>
        <v>0</v>
      </c>
      <c r="AA45" s="311" cm="1">
        <f t="array" ref="AA45">_xlfn.IFS(SUM($R45:Z45)&gt;=$G45,0,$L45=AA$2,$G45/$P45,Z45&gt;0,$G45/$P45,TRUE,0)</f>
        <v>0</v>
      </c>
      <c r="AB45" s="311" cm="1">
        <f t="array" ref="AB45">_xlfn.IFS(SUM($R45:AA45)&gt;=$G45,0,$L45=AB$2,$G45/$P45,AA45&gt;0,$G45/$P45,TRUE,0)</f>
        <v>0</v>
      </c>
      <c r="AC45" s="311" cm="1">
        <f t="array" ref="AC45">_xlfn.IFS(SUM($R45:AB45)&gt;=$G45,0,$L45=AC$2,$G45/$P45,AB45&gt;0,$G45/$P45,TRUE,0)</f>
        <v>0</v>
      </c>
      <c r="AD45" s="311" cm="1">
        <f t="array" ref="AD45">_xlfn.IFS(SUM($R45:AC45)&gt;=$G45,0,$L45=AD$2,$G45/$P45,AC45&gt;0,$G45/$P45,TRUE,0)</f>
        <v>0</v>
      </c>
      <c r="AE45" s="311" cm="1">
        <f t="array" ref="AE45">_xlfn.IFS(SUM($R45:AD45)&gt;=$G45,0,$L45=AE$2,$G45/$P45,AD45&gt;0,$G45/$P45,TRUE,0)</f>
        <v>0</v>
      </c>
      <c r="AF45" s="311" cm="1">
        <f t="array" ref="AF45">_xlfn.IFS(SUM($R45:AE45)&gt;=$G45,0,$L45=AF$2,$G45/$P45,AE45&gt;0,$G45/$P45,TRUE,0)</f>
        <v>0</v>
      </c>
      <c r="AG45" s="311" cm="1">
        <f t="array" ref="AG45">_xlfn.IFS(SUM($R45:AF45)&gt;=$G45,0,$L45=AG$2,$G45/$P45,AF45&gt;0,$G45/$P45,TRUE,0)</f>
        <v>0</v>
      </c>
      <c r="AH45" s="311" cm="1">
        <f t="array" ref="AH45">_xlfn.IFS(SUM($R45:AG45)&gt;=$G45,0,$L45=AH$2,$G45/$P45,AG45&gt;0,$G45/$P45,TRUE,0)</f>
        <v>2954.4705882352937</v>
      </c>
      <c r="AI45" s="311" cm="1">
        <f t="array" ref="AI45">_xlfn.IFS(SUM($R45:AH45)&gt;=$G45,0,$L45=AI$2,$G45/$P45,AH45&gt;0,$G45/$P45,TRUE,0)</f>
        <v>2954.4705882352937</v>
      </c>
      <c r="AJ45" s="311" cm="1">
        <f t="array" ref="AJ45">_xlfn.IFS(SUM($R45:AI45)&gt;=$G45,0,$L45=AJ$2,$G45/$P45,AI45&gt;0,$G45/$P45,TRUE,0)</f>
        <v>2954.4705882352937</v>
      </c>
      <c r="AK45" s="311" cm="1">
        <f t="array" ref="AK45">_xlfn.IFS(SUM($R45:AJ45)&gt;=$G45,0,$L45=AK$2,$G45/$P45,AJ45&gt;0,$G45/$P45,TRUE,0)</f>
        <v>2954.4705882352937</v>
      </c>
      <c r="AL45" s="311" cm="1">
        <f t="array" ref="AL45">_xlfn.IFS(SUM($R45:AK45)&gt;=$G45,0,$L45=AL$2,$G45/$P45,AK45&gt;0,$G45/$P45,TRUE,0)</f>
        <v>2954.4705882352937</v>
      </c>
      <c r="AM45" s="311" cm="1">
        <f t="array" ref="AM45">_xlfn.IFS(SUM($R45:AL45)&gt;=$G45,0,$L45=AM$2,$G45/$P45,AL45&gt;0,$G45/$P45,TRUE,0)</f>
        <v>2954.4705882352937</v>
      </c>
      <c r="AN45" s="311" cm="1">
        <f t="array" ref="AN45">_xlfn.IFS(SUM($R45:AM45)&gt;=$G45,0,$L45=AN$2,$G45/$P45,AM45&gt;0,$G45/$P45,TRUE,0)</f>
        <v>2954.4705882352937</v>
      </c>
      <c r="AO45" s="311" cm="1">
        <f t="array" ref="AO45">_xlfn.IFS(SUM($R45:AN45)&gt;=$G45,0,$L45=AO$2,$G45/$P45,AN45&gt;0,$G45/$P45,TRUE,0)</f>
        <v>2954.4705882352937</v>
      </c>
      <c r="AP45" s="311" cm="1">
        <f t="array" ref="AP45">_xlfn.IFS(SUM($R45:AO45)&gt;=$G45,0,$L45=AP$2,$G45/$P45,AO45&gt;0,$G45/$P45,TRUE,0)</f>
        <v>2954.4705882352937</v>
      </c>
      <c r="AQ45" s="311" cm="1">
        <f t="array" ref="AQ45">_xlfn.IFS(SUM($R45:AP45)&gt;=$G45,0,$L45=AQ$2,$G45/$P45,AP45&gt;0,$G45/$P45,TRUE,0)</f>
        <v>2954.4705882352937</v>
      </c>
      <c r="AR45" s="311" cm="1">
        <f t="array" ref="AR45">_xlfn.IFS(SUM($R45:AQ45)&gt;=$G45,0,$L45=AR$2,$G45/$P45,AQ45&gt;0,$G45/$P45,TRUE,0)</f>
        <v>2954.4705882352937</v>
      </c>
      <c r="AS45" s="311" cm="1">
        <f t="array" ref="AS45">_xlfn.IFS(SUM($R45:AR45)&gt;=$G45,0,$L45=AS$2,$G45/$P45,AR45&gt;0,$G45/$P45,TRUE,0)</f>
        <v>2954.4705882352937</v>
      </c>
      <c r="AT45" s="311" cm="1">
        <f t="array" ref="AT45">_xlfn.IFS(SUM($R45:AS45)&gt;=$G45,0,$L45=AT$2,$G45/$P45,AS45&gt;0,$G45/$P45,TRUE,0)</f>
        <v>2954.4705882352937</v>
      </c>
      <c r="AU45" s="311" cm="1">
        <f t="array" ref="AU45">_xlfn.IFS(SUM($R45:AT45)&gt;=$G45,0,$L45=AU$2,$G45/$P45,AT45&gt;0,$G45/$P45,TRUE,0)</f>
        <v>2954.4705882352937</v>
      </c>
      <c r="AV45" s="311" cm="1">
        <f t="array" ref="AV45">_xlfn.IFS(SUM($R45:AU45)&gt;=$G45,0,$L45=AV$2,$G45/$P45,AU45&gt;0,$G45/$P45,TRUE,0)</f>
        <v>2954.4705882352937</v>
      </c>
      <c r="AW45" s="311" cm="1">
        <f t="array" ref="AW45">_xlfn.IFS(SUM($R45:AV45)&gt;=$G45,0,$L45=AW$2,$G45/$P45,AV45&gt;0,$G45/$P45,TRUE,0)</f>
        <v>2954.4705882352937</v>
      </c>
      <c r="AX45" s="311" cm="1">
        <f t="array" ref="AX45">_xlfn.IFS(SUM($R45:AW45)&gt;=$G45,0,$L45=AX$2,$G45/$P45,AW45&gt;0,$G45/$P45,TRUE,0)</f>
        <v>2954.4705882352937</v>
      </c>
      <c r="AY45" s="311" cm="1">
        <f t="array" ref="AY45">_xlfn.IFS(SUM($R45:AX45)&gt;=$G45,0,$L45=AY$2,$G45/$P45,AX45&gt;0,$G45/$P45,TRUE,0)</f>
        <v>0</v>
      </c>
      <c r="AZ45" s="311" cm="1">
        <f t="array" ref="AZ45">_xlfn.IFS(SUM($R45:AY45)&gt;=$G45,0,$L45=AZ$2,$G45/$P45,AY45&gt;0,$G45/$P45,TRUE,0)</f>
        <v>0</v>
      </c>
      <c r="BA45" s="311">
        <f t="shared" si="14"/>
        <v>50225.999999999993</v>
      </c>
      <c r="BF45" s="1065"/>
      <c r="BG45" s="1066"/>
      <c r="BH45" s="1066"/>
      <c r="BI45" s="1066"/>
      <c r="BJ45" s="1067"/>
    </row>
    <row r="46" spans="1:62" ht="15" customHeight="1">
      <c r="A46" t="str">
        <f t="shared" si="11"/>
        <v/>
      </c>
      <c r="B46" s="79" t="s">
        <v>526</v>
      </c>
      <c r="C46" s="79" t="s">
        <v>1088</v>
      </c>
      <c r="D46" s="79" t="s">
        <v>1041</v>
      </c>
      <c r="E46" s="6" t="s">
        <v>1096</v>
      </c>
      <c r="F46" s="147">
        <v>2400</v>
      </c>
      <c r="G46" s="121">
        <f t="shared" si="15"/>
        <v>40140</v>
      </c>
      <c r="H46" s="625">
        <f>$L$34</f>
        <v>16.725000000000001</v>
      </c>
      <c r="I46" s="79" t="s">
        <v>438</v>
      </c>
      <c r="J46" s="79">
        <f t="shared" si="12"/>
        <v>2028</v>
      </c>
      <c r="K46" s="79"/>
      <c r="L46" s="88" t="str">
        <f>M46</f>
        <v>2Q29</v>
      </c>
      <c r="M46" s="88" t="s">
        <v>984</v>
      </c>
      <c r="N46" s="88" t="str">
        <f>LEFT(M46,2)&amp;(4+RIGHT(M46,2))</f>
        <v>2Q33</v>
      </c>
      <c r="O46" s="88"/>
      <c r="P46" s="121">
        <f t="shared" si="13"/>
        <v>17</v>
      </c>
      <c r="S46" s="311" cm="1">
        <f t="array" ref="S46">_xlfn.IFS(SUM($R46:R46)&gt;=$G46,0,$L46=S$2,$G46/$P46,R46&gt;0,$G46/$P46,TRUE,0)</f>
        <v>0</v>
      </c>
      <c r="T46" s="311" cm="1">
        <f t="array" ref="T46">_xlfn.IFS(SUM($R46:S46)&gt;=$G46,0,$L46=T$2,$G46/$P46,S46&gt;0,$G46/$P46,TRUE,0)</f>
        <v>0</v>
      </c>
      <c r="U46" s="311" cm="1">
        <f t="array" ref="U46">_xlfn.IFS(SUM($R46:T46)&gt;=$G46,0,$L46=U$2,$G46/$P46,T46&gt;0,$G46/$P46,TRUE,0)</f>
        <v>0</v>
      </c>
      <c r="V46" s="311" cm="1">
        <f t="array" ref="V46">_xlfn.IFS(SUM($R46:U46)&gt;=$G46,0,$L46=V$2,$G46/$P46,U46&gt;0,$G46/$P46,TRUE,0)</f>
        <v>0</v>
      </c>
      <c r="W46" s="311" cm="1">
        <f t="array" ref="W46">_xlfn.IFS(SUM($R46:V46)&gt;=$G46,0,$L46=W$2,$G46/$P46,V46&gt;0,$G46/$P46,TRUE,0)</f>
        <v>0</v>
      </c>
      <c r="X46" s="311" cm="1">
        <f t="array" ref="X46">_xlfn.IFS(SUM($R46:W46)&gt;=$G46,0,$L46=X$2,$G46/$P46,W46&gt;0,$G46/$P46,TRUE,0)</f>
        <v>0</v>
      </c>
      <c r="Y46" s="311" cm="1">
        <f t="array" ref="Y46">_xlfn.IFS(SUM($R46:X46)&gt;=$G46,0,$L46=Y$2,$G46/$P46,X46&gt;0,$G46/$P46,TRUE,0)</f>
        <v>0</v>
      </c>
      <c r="Z46" s="311" cm="1">
        <f t="array" ref="Z46">_xlfn.IFS(SUM($R46:Y46)&gt;=$G46,0,$L46=Z$2,$G46/$P46,Y46&gt;0,$G46/$P46,TRUE,0)</f>
        <v>0</v>
      </c>
      <c r="AA46" s="311" cm="1">
        <f t="array" ref="AA46">_xlfn.IFS(SUM($R46:Z46)&gt;=$G46,0,$L46=AA$2,$G46/$P46,Z46&gt;0,$G46/$P46,TRUE,0)</f>
        <v>0</v>
      </c>
      <c r="AB46" s="311" cm="1">
        <f t="array" ref="AB46">_xlfn.IFS(SUM($R46:AA46)&gt;=$G46,0,$L46=AB$2,$G46/$P46,AA46&gt;0,$G46/$P46,TRUE,0)</f>
        <v>0</v>
      </c>
      <c r="AC46" s="311" cm="1">
        <f t="array" ref="AC46">_xlfn.IFS(SUM($R46:AB46)&gt;=$G46,0,$L46=AC$2,$G46/$P46,AB46&gt;0,$G46/$P46,TRUE,0)</f>
        <v>0</v>
      </c>
      <c r="AD46" s="311" cm="1">
        <f t="array" ref="AD46">_xlfn.IFS(SUM($R46:AC46)&gt;=$G46,0,$L46=AD$2,$G46/$P46,AC46&gt;0,$G46/$P46,TRUE,0)</f>
        <v>0</v>
      </c>
      <c r="AE46" s="311" cm="1">
        <f t="array" ref="AE46">_xlfn.IFS(SUM($R46:AD46)&gt;=$G46,0,$L46=AE$2,$G46/$P46,AD46&gt;0,$G46/$P46,TRUE,0)</f>
        <v>0</v>
      </c>
      <c r="AF46" s="311" cm="1">
        <f t="array" ref="AF46">_xlfn.IFS(SUM($R46:AE46)&gt;=$G46,0,$L46=AF$2,$G46/$P46,AE46&gt;0,$G46/$P46,TRUE,0)</f>
        <v>0</v>
      </c>
      <c r="AG46" s="311" cm="1">
        <f t="array" ref="AG46">_xlfn.IFS(SUM($R46:AF46)&gt;=$G46,0,$L46=AG$2,$G46/$P46,AF46&gt;0,$G46/$P46,TRUE,0)</f>
        <v>0</v>
      </c>
      <c r="AH46" s="311" cm="1">
        <f t="array" ref="AH46">_xlfn.IFS(SUM($R46:AG46)&gt;=$G46,0,$L46=AH$2,$G46/$P46,AG46&gt;0,$G46/$P46,TRUE,0)</f>
        <v>2361.1764705882351</v>
      </c>
      <c r="AI46" s="311" cm="1">
        <f t="array" ref="AI46">_xlfn.IFS(SUM($R46:AH46)&gt;=$G46,0,$L46=AI$2,$G46/$P46,AH46&gt;0,$G46/$P46,TRUE,0)</f>
        <v>2361.1764705882351</v>
      </c>
      <c r="AJ46" s="311" cm="1">
        <f t="array" ref="AJ46">_xlfn.IFS(SUM($R46:AI46)&gt;=$G46,0,$L46=AJ$2,$G46/$P46,AI46&gt;0,$G46/$P46,TRUE,0)</f>
        <v>2361.1764705882351</v>
      </c>
      <c r="AK46" s="311" cm="1">
        <f t="array" ref="AK46">_xlfn.IFS(SUM($R46:AJ46)&gt;=$G46,0,$L46=AK$2,$G46/$P46,AJ46&gt;0,$G46/$P46,TRUE,0)</f>
        <v>2361.1764705882351</v>
      </c>
      <c r="AL46" s="311" cm="1">
        <f t="array" ref="AL46">_xlfn.IFS(SUM($R46:AK46)&gt;=$G46,0,$L46=AL$2,$G46/$P46,AK46&gt;0,$G46/$P46,TRUE,0)</f>
        <v>2361.1764705882351</v>
      </c>
      <c r="AM46" s="311" cm="1">
        <f t="array" ref="AM46">_xlfn.IFS(SUM($R46:AL46)&gt;=$G46,0,$L46=AM$2,$G46/$P46,AL46&gt;0,$G46/$P46,TRUE,0)</f>
        <v>2361.1764705882351</v>
      </c>
      <c r="AN46" s="311" cm="1">
        <f t="array" ref="AN46">_xlfn.IFS(SUM($R46:AM46)&gt;=$G46,0,$L46=AN$2,$G46/$P46,AM46&gt;0,$G46/$P46,TRUE,0)</f>
        <v>2361.1764705882351</v>
      </c>
      <c r="AO46" s="311" cm="1">
        <f t="array" ref="AO46">_xlfn.IFS(SUM($R46:AN46)&gt;=$G46,0,$L46=AO$2,$G46/$P46,AN46&gt;0,$G46/$P46,TRUE,0)</f>
        <v>2361.1764705882351</v>
      </c>
      <c r="AP46" s="311" cm="1">
        <f t="array" ref="AP46">_xlfn.IFS(SUM($R46:AO46)&gt;=$G46,0,$L46=AP$2,$G46/$P46,AO46&gt;0,$G46/$P46,TRUE,0)</f>
        <v>2361.1764705882351</v>
      </c>
      <c r="AQ46" s="311" cm="1">
        <f t="array" ref="AQ46">_xlfn.IFS(SUM($R46:AP46)&gt;=$G46,0,$L46=AQ$2,$G46/$P46,AP46&gt;0,$G46/$P46,TRUE,0)</f>
        <v>2361.1764705882351</v>
      </c>
      <c r="AR46" s="311" cm="1">
        <f t="array" ref="AR46">_xlfn.IFS(SUM($R46:AQ46)&gt;=$G46,0,$L46=AR$2,$G46/$P46,AQ46&gt;0,$G46/$P46,TRUE,0)</f>
        <v>2361.1764705882351</v>
      </c>
      <c r="AS46" s="311" cm="1">
        <f t="array" ref="AS46">_xlfn.IFS(SUM($R46:AR46)&gt;=$G46,0,$L46=AS$2,$G46/$P46,AR46&gt;0,$G46/$P46,TRUE,0)</f>
        <v>2361.1764705882351</v>
      </c>
      <c r="AT46" s="311" cm="1">
        <f t="array" ref="AT46">_xlfn.IFS(SUM($R46:AS46)&gt;=$G46,0,$L46=AT$2,$G46/$P46,AS46&gt;0,$G46/$P46,TRUE,0)</f>
        <v>2361.1764705882351</v>
      </c>
      <c r="AU46" s="311" cm="1">
        <f t="array" ref="AU46">_xlfn.IFS(SUM($R46:AT46)&gt;=$G46,0,$L46=AU$2,$G46/$P46,AT46&gt;0,$G46/$P46,TRUE,0)</f>
        <v>2361.1764705882351</v>
      </c>
      <c r="AV46" s="311" cm="1">
        <f t="array" ref="AV46">_xlfn.IFS(SUM($R46:AU46)&gt;=$G46,0,$L46=AV$2,$G46/$P46,AU46&gt;0,$G46/$P46,TRUE,0)</f>
        <v>2361.1764705882351</v>
      </c>
      <c r="AW46" s="311" cm="1">
        <f t="array" ref="AW46">_xlfn.IFS(SUM($R46:AV46)&gt;=$G46,0,$L46=AW$2,$G46/$P46,AV46&gt;0,$G46/$P46,TRUE,0)</f>
        <v>2361.1764705882351</v>
      </c>
      <c r="AX46" s="311" cm="1">
        <f t="array" ref="AX46">_xlfn.IFS(SUM($R46:AW46)&gt;=$G46,0,$L46=AX$2,$G46/$P46,AW46&gt;0,$G46/$P46,TRUE,0)</f>
        <v>2361.1764705882351</v>
      </c>
      <c r="AY46" s="311" cm="1">
        <f t="array" ref="AY46">_xlfn.IFS(SUM($R46:AX46)&gt;=$G46,0,$L46=AY$2,$G46/$P46,AX46&gt;0,$G46/$P46,TRUE,0)</f>
        <v>0</v>
      </c>
      <c r="AZ46" s="311" cm="1">
        <f t="array" ref="AZ46">_xlfn.IFS(SUM($R46:AY46)&gt;=$G46,0,$L46=AZ$2,$G46/$P46,AY46&gt;0,$G46/$P46,TRUE,0)</f>
        <v>0</v>
      </c>
      <c r="BA46" s="311">
        <f t="shared" si="14"/>
        <v>40140</v>
      </c>
      <c r="BF46" s="1065"/>
      <c r="BG46" s="1066"/>
      <c r="BH46" s="1066"/>
      <c r="BI46" s="1066"/>
      <c r="BJ46" s="1067"/>
    </row>
    <row r="47" spans="1:62" ht="15.6" customHeight="1">
      <c r="A47" t="str">
        <f t="shared" si="11"/>
        <v/>
      </c>
      <c r="B47" s="139" t="s">
        <v>525</v>
      </c>
      <c r="C47" s="139" t="s">
        <v>1088</v>
      </c>
      <c r="D47" s="139" t="s">
        <v>1041</v>
      </c>
      <c r="E47" s="59" t="s">
        <v>1097</v>
      </c>
      <c r="F47" s="143">
        <v>2400</v>
      </c>
      <c r="G47" s="140">
        <f t="shared" si="15"/>
        <v>20732.559711581795</v>
      </c>
      <c r="H47" s="626">
        <f>$L$38</f>
        <v>8.6385665464924148</v>
      </c>
      <c r="I47" s="139" t="s">
        <v>984</v>
      </c>
      <c r="J47" s="139">
        <f t="shared" si="12"/>
        <v>2029</v>
      </c>
      <c r="K47" s="139"/>
      <c r="L47" s="138" t="str">
        <f>M47</f>
        <v>2Q29</v>
      </c>
      <c r="M47" s="138" t="s">
        <v>984</v>
      </c>
      <c r="N47" s="139" t="s">
        <v>1098</v>
      </c>
      <c r="O47" s="139"/>
      <c r="P47" s="140">
        <f t="shared" si="13"/>
        <v>11</v>
      </c>
      <c r="Q47" s="279"/>
      <c r="R47" s="279"/>
      <c r="S47" s="490" cm="1">
        <f t="array" ref="S47">_xlfn.IFS(SUM($R47:R47)&gt;=$G47,0,$L47=S$2,$G47/$P47,R47&gt;0,$G47/$P47,TRUE,0)</f>
        <v>0</v>
      </c>
      <c r="T47" s="490" cm="1">
        <f t="array" ref="T47">_xlfn.IFS(SUM($R47:S47)&gt;=$G47,0,$L47=T$2,$G47/$P47,S47&gt;0,$G47/$P47,TRUE,0)</f>
        <v>0</v>
      </c>
      <c r="U47" s="490" cm="1">
        <f t="array" ref="U47">_xlfn.IFS(SUM($R47:T47)&gt;=$G47,0,$L47=U$2,$G47/$P47,T47&gt;0,$G47/$P47,TRUE,0)</f>
        <v>0</v>
      </c>
      <c r="V47" s="490" cm="1">
        <f t="array" ref="V47">_xlfn.IFS(SUM($R47:U47)&gt;=$G47,0,$L47=V$2,$G47/$P47,U47&gt;0,$G47/$P47,TRUE,0)</f>
        <v>0</v>
      </c>
      <c r="W47" s="490" cm="1">
        <f t="array" ref="W47">_xlfn.IFS(SUM($R47:V47)&gt;=$G47,0,$L47=W$2,$G47/$P47,V47&gt;0,$G47/$P47,TRUE,0)</f>
        <v>0</v>
      </c>
      <c r="X47" s="490" cm="1">
        <f t="array" ref="X47">_xlfn.IFS(SUM($R47:W47)&gt;=$G47,0,$L47=X$2,$G47/$P47,W47&gt;0,$G47/$P47,TRUE,0)</f>
        <v>0</v>
      </c>
      <c r="Y47" s="490" cm="1">
        <f t="array" ref="Y47">_xlfn.IFS(SUM($R47:X47)&gt;=$G47,0,$L47=Y$2,$G47/$P47,X47&gt;0,$G47/$P47,TRUE,0)</f>
        <v>0</v>
      </c>
      <c r="Z47" s="490" cm="1">
        <f t="array" ref="Z47">_xlfn.IFS(SUM($R47:Y47)&gt;=$G47,0,$L47=Z$2,$G47/$P47,Y47&gt;0,$G47/$P47,TRUE,0)</f>
        <v>0</v>
      </c>
      <c r="AA47" s="490" cm="1">
        <f t="array" ref="AA47">_xlfn.IFS(SUM($R47:Z47)&gt;=$G47,0,$L47=AA$2,$G47/$P47,Z47&gt;0,$G47/$P47,TRUE,0)</f>
        <v>0</v>
      </c>
      <c r="AB47" s="490" cm="1">
        <f t="array" ref="AB47">_xlfn.IFS(SUM($R47:AA47)&gt;=$G47,0,$L47=AB$2,$G47/$P47,AA47&gt;0,$G47/$P47,TRUE,0)</f>
        <v>0</v>
      </c>
      <c r="AC47" s="490" cm="1">
        <f t="array" ref="AC47">_xlfn.IFS(SUM($R47:AB47)&gt;=$G47,0,$L47=AC$2,$G47/$P47,AB47&gt;0,$G47/$P47,TRUE,0)</f>
        <v>0</v>
      </c>
      <c r="AD47" s="490" cm="1">
        <f t="array" ref="AD47">_xlfn.IFS(SUM($R47:AC47)&gt;=$G47,0,$L47=AD$2,$G47/$P47,AC47&gt;0,$G47/$P47,TRUE,0)</f>
        <v>0</v>
      </c>
      <c r="AE47" s="490" cm="1">
        <f t="array" ref="AE47">_xlfn.IFS(SUM($R47:AD47)&gt;=$G47,0,$L47=AE$2,$G47/$P47,AD47&gt;0,$G47/$P47,TRUE,0)</f>
        <v>0</v>
      </c>
      <c r="AF47" s="490" cm="1">
        <f t="array" ref="AF47">_xlfn.IFS(SUM($R47:AE47)&gt;=$G47,0,$L47=AF$2,$G47/$P47,AE47&gt;0,$G47/$P47,TRUE,0)</f>
        <v>0</v>
      </c>
      <c r="AG47" s="490" cm="1">
        <f t="array" ref="AG47">_xlfn.IFS(SUM($R47:AF47)&gt;=$G47,0,$L47=AG$2,$G47/$P47,AF47&gt;0,$G47/$P47,TRUE,0)</f>
        <v>0</v>
      </c>
      <c r="AH47" s="490" cm="1">
        <f t="array" ref="AH47">_xlfn.IFS(SUM($R47:AG47)&gt;=$G47,0,$L47=AH$2,$G47/$P47,AG47&gt;0,$G47/$P47,TRUE,0)</f>
        <v>1884.7781555983449</v>
      </c>
      <c r="AI47" s="490" cm="1">
        <f t="array" ref="AI47">_xlfn.IFS(SUM($R47:AH47)&gt;=$G47,0,$L47=AI$2,$G47/$P47,AH47&gt;0,$G47/$P47,TRUE,0)</f>
        <v>1884.7781555983449</v>
      </c>
      <c r="AJ47" s="490" cm="1">
        <f t="array" ref="AJ47">_xlfn.IFS(SUM($R47:AI47)&gt;=$G47,0,$L47=AJ$2,$G47/$P47,AI47&gt;0,$G47/$P47,TRUE,0)</f>
        <v>1884.7781555983449</v>
      </c>
      <c r="AK47" s="490" cm="1">
        <f t="array" ref="AK47">_xlfn.IFS(SUM($R47:AJ47)&gt;=$G47,0,$L47=AK$2,$G47/$P47,AJ47&gt;0,$G47/$P47,TRUE,0)</f>
        <v>1884.7781555983449</v>
      </c>
      <c r="AL47" s="490" cm="1">
        <f t="array" ref="AL47">_xlfn.IFS(SUM($R47:AK47)&gt;=$G47,0,$L47=AL$2,$G47/$P47,AK47&gt;0,$G47/$P47,TRUE,0)</f>
        <v>1884.7781555983449</v>
      </c>
      <c r="AM47" s="490" cm="1">
        <f t="array" ref="AM47">_xlfn.IFS(SUM($R47:AL47)&gt;=$G47,0,$L47=AM$2,$G47/$P47,AL47&gt;0,$G47/$P47,TRUE,0)</f>
        <v>1884.7781555983449</v>
      </c>
      <c r="AN47" s="490" cm="1">
        <f t="array" ref="AN47">_xlfn.IFS(SUM($R47:AM47)&gt;=$G47,0,$L47=AN$2,$G47/$P47,AM47&gt;0,$G47/$P47,TRUE,0)</f>
        <v>1884.7781555983449</v>
      </c>
      <c r="AO47" s="490" cm="1">
        <f t="array" ref="AO47">_xlfn.IFS(SUM($R47:AN47)&gt;=$G47,0,$L47=AO$2,$G47/$P47,AN47&gt;0,$G47/$P47,TRUE,0)</f>
        <v>1884.7781555983449</v>
      </c>
      <c r="AP47" s="490" cm="1">
        <f t="array" ref="AP47">_xlfn.IFS(SUM($R47:AO47)&gt;=$G47,0,$L47=AP$2,$G47/$P47,AO47&gt;0,$G47/$P47,TRUE,0)</f>
        <v>1884.7781555983449</v>
      </c>
      <c r="AQ47" s="490" cm="1">
        <f t="array" ref="AQ47">_xlfn.IFS(SUM($R47:AP47)&gt;=$G47,0,$L47=AQ$2,$G47/$P47,AP47&gt;0,$G47/$P47,TRUE,0)</f>
        <v>1884.7781555983449</v>
      </c>
      <c r="AR47" s="490" cm="1">
        <f t="array" ref="AR47">_xlfn.IFS(SUM($R47:AQ47)&gt;=$G47,0,$L47=AR$2,$G47/$P47,AQ47&gt;0,$G47/$P47,TRUE,0)</f>
        <v>1884.7781555983449</v>
      </c>
      <c r="AS47" s="490" cm="1">
        <f t="array" ref="AS47">_xlfn.IFS(SUM($R47:AR47)&gt;=$G47,0,$L47=AS$2,$G47/$P47,AR47&gt;0,$G47/$P47,TRUE,0)</f>
        <v>0</v>
      </c>
      <c r="AT47" s="490" cm="1">
        <f t="array" ref="AT47">_xlfn.IFS(SUM($R47:AS47)&gt;=$G47,0,$L47=AT$2,$G47/$P47,AS47&gt;0,$G47/$P47,TRUE,0)</f>
        <v>0</v>
      </c>
      <c r="AU47" s="490" cm="1">
        <f t="array" ref="AU47">_xlfn.IFS(SUM($R47:AT47)&gt;=$G47,0,$L47=AU$2,$G47/$P47,AT47&gt;0,$G47/$P47,TRUE,0)</f>
        <v>0</v>
      </c>
      <c r="AV47" s="490" cm="1">
        <f t="array" ref="AV47">_xlfn.IFS(SUM($R47:AU47)&gt;=$G47,0,$L47=AV$2,$G47/$P47,AU47&gt;0,$G47/$P47,TRUE,0)</f>
        <v>0</v>
      </c>
      <c r="AW47" s="490" cm="1">
        <f t="array" ref="AW47">_xlfn.IFS(SUM($R47:AV47)&gt;=$G47,0,$L47=AW$2,$G47/$P47,AV47&gt;0,$G47/$P47,TRUE,0)</f>
        <v>0</v>
      </c>
      <c r="AX47" s="490" cm="1">
        <f t="array" ref="AX47">_xlfn.IFS(SUM($R47:AW47)&gt;=$G47,0,$L47=AX$2,$G47/$P47,AW47&gt;0,$G47/$P47,TRUE,0)</f>
        <v>0</v>
      </c>
      <c r="AY47" s="490" cm="1">
        <f t="array" ref="AY47">_xlfn.IFS(SUM($R47:AX47)&gt;=$G47,0,$L47=AY$2,$G47/$P47,AX47&gt;0,$G47/$P47,TRUE,0)</f>
        <v>0</v>
      </c>
      <c r="AZ47" s="490" cm="1">
        <f t="array" ref="AZ47">_xlfn.IFS(SUM($R47:AY47)&gt;=$G47,0,$L47=AZ$2,$G47/$P47,AY47&gt;0,$G47/$P47,TRUE,0)</f>
        <v>0</v>
      </c>
      <c r="BA47" s="311">
        <f t="shared" si="14"/>
        <v>20732.559711581798</v>
      </c>
      <c r="BF47" s="1065"/>
      <c r="BG47" s="1066"/>
      <c r="BH47" s="1066"/>
      <c r="BI47" s="1066"/>
      <c r="BJ47" s="1067"/>
    </row>
    <row r="48" spans="1:62" ht="15" customHeight="1">
      <c r="A48"/>
      <c r="B48" s="394" t="s">
        <v>527</v>
      </c>
      <c r="C48" s="394" t="s">
        <v>1099</v>
      </c>
      <c r="D48" s="394" t="s">
        <v>1075</v>
      </c>
      <c r="E48" s="141" t="s">
        <v>1100</v>
      </c>
      <c r="F48" s="398">
        <v>3750</v>
      </c>
      <c r="G48" s="397">
        <f t="shared" si="15"/>
        <v>55513.392857142855</v>
      </c>
      <c r="H48" s="624">
        <f>$L$37</f>
        <v>14.803571428571429</v>
      </c>
      <c r="I48" s="394" t="s">
        <v>444</v>
      </c>
      <c r="J48" s="394">
        <f t="shared" si="12"/>
        <v>2027</v>
      </c>
      <c r="K48" s="394"/>
      <c r="L48" s="399" t="s">
        <v>440</v>
      </c>
      <c r="M48" s="399" t="s">
        <v>440</v>
      </c>
      <c r="N48" s="399" t="str">
        <f>LEFT(M48,2)&amp;(4+RIGHT(M48,2))</f>
        <v>2Q32</v>
      </c>
      <c r="O48" s="399"/>
      <c r="P48" s="397">
        <f t="shared" si="13"/>
        <v>17</v>
      </c>
      <c r="Q48" s="627"/>
      <c r="R48" s="627"/>
      <c r="S48" s="489" cm="1">
        <f t="array" ref="S48">_xlfn.IFS(SUM($R48:R48)&gt;=$G48,0,$L48=S$2,$G48/$P48,R48&gt;0,$G48/$P48,TRUE,0)</f>
        <v>0</v>
      </c>
      <c r="T48" s="489" cm="1">
        <f t="array" ref="T48">_xlfn.IFS(SUM($R48:S48)&gt;=$G48,0,$L48=T$2,$G48/$P48,S48&gt;0,$G48/$P48,TRUE,0)</f>
        <v>0</v>
      </c>
      <c r="U48" s="489" cm="1">
        <f t="array" ref="U48">_xlfn.IFS(SUM($R48:T48)&gt;=$G48,0,$L48=U$2,$G48/$P48,T48&gt;0,$G48/$P48,TRUE,0)</f>
        <v>0</v>
      </c>
      <c r="V48" s="489" cm="1">
        <f t="array" ref="V48">_xlfn.IFS(SUM($R48:U48)&gt;=$G48,0,$L48=V$2,$G48/$P48,U48&gt;0,$G48/$P48,TRUE,0)</f>
        <v>0</v>
      </c>
      <c r="W48" s="489" cm="1">
        <f t="array" ref="W48">_xlfn.IFS(SUM($R48:V48)&gt;=$G48,0,$L48=W$2,$G48/$P48,V48&gt;0,$G48/$P48,TRUE,0)</f>
        <v>0</v>
      </c>
      <c r="X48" s="489" cm="1">
        <f t="array" ref="X48">_xlfn.IFS(SUM($R48:W48)&gt;=$G48,0,$L48=X$2,$G48/$P48,W48&gt;0,$G48/$P48,TRUE,0)</f>
        <v>0</v>
      </c>
      <c r="Y48" s="489" cm="1">
        <f t="array" ref="Y48">_xlfn.IFS(SUM($R48:X48)&gt;=$G48,0,$L48=Y$2,$G48/$P48,X48&gt;0,$G48/$P48,TRUE,0)</f>
        <v>0</v>
      </c>
      <c r="Z48" s="489" cm="1">
        <f t="array" ref="Z48">_xlfn.IFS(SUM($R48:Y48)&gt;=$G48,0,$L48=Z$2,$G48/$P48,Y48&gt;0,$G48/$P48,TRUE,0)</f>
        <v>0</v>
      </c>
      <c r="AA48" s="489" cm="1">
        <f t="array" ref="AA48">_xlfn.IFS(SUM($R48:Z48)&gt;=$G48,0,$L48=AA$2,$G48/$P48,Z48&gt;0,$G48/$P48,TRUE,0)</f>
        <v>0</v>
      </c>
      <c r="AB48" s="489" cm="1">
        <f t="array" ref="AB48">_xlfn.IFS(SUM($R48:AA48)&gt;=$G48,0,$L48=AB$2,$G48/$P48,AA48&gt;0,$G48/$P48,TRUE,0)</f>
        <v>0</v>
      </c>
      <c r="AC48" s="489" cm="1">
        <f t="array" ref="AC48">_xlfn.IFS(SUM($R48:AB48)&gt;=$G48,0,$L48=AC$2,$G48/$P48,AB48&gt;0,$G48/$P48,TRUE,0)</f>
        <v>0</v>
      </c>
      <c r="AD48" s="489" cm="1">
        <f t="array" ref="AD48">_xlfn.IFS(SUM($R48:AC48)&gt;=$G48,0,$L48=AD$2,$G48/$P48,AC48&gt;0,$G48/$P48,TRUE,0)</f>
        <v>3265.4936974789916</v>
      </c>
      <c r="AE48" s="489" cm="1">
        <f t="array" ref="AE48">_xlfn.IFS(SUM($R48:AD48)&gt;=$G48,0,$L48=AE$2,$G48/$P48,AD48&gt;0,$G48/$P48,TRUE,0)</f>
        <v>3265.4936974789916</v>
      </c>
      <c r="AF48" s="489" cm="1">
        <f t="array" ref="AF48">_xlfn.IFS(SUM($R48:AE48)&gt;=$G48,0,$L48=AF$2,$G48/$P48,AE48&gt;0,$G48/$P48,TRUE,0)</f>
        <v>3265.4936974789916</v>
      </c>
      <c r="AG48" s="489" cm="1">
        <f t="array" ref="AG48">_xlfn.IFS(SUM($R48:AF48)&gt;=$G48,0,$L48=AG$2,$G48/$P48,AF48&gt;0,$G48/$P48,TRUE,0)</f>
        <v>3265.4936974789916</v>
      </c>
      <c r="AH48" s="489" cm="1">
        <f t="array" ref="AH48">_xlfn.IFS(SUM($R48:AG48)&gt;=$G48,0,$L48=AH$2,$G48/$P48,AG48&gt;0,$G48/$P48,TRUE,0)</f>
        <v>3265.4936974789916</v>
      </c>
      <c r="AI48" s="489" cm="1">
        <f t="array" ref="AI48">_xlfn.IFS(SUM($R48:AH48)&gt;=$G48,0,$L48=AI$2,$G48/$P48,AH48&gt;0,$G48/$P48,TRUE,0)</f>
        <v>3265.4936974789916</v>
      </c>
      <c r="AJ48" s="489" cm="1">
        <f t="array" ref="AJ48">_xlfn.IFS(SUM($R48:AI48)&gt;=$G48,0,$L48=AJ$2,$G48/$P48,AI48&gt;0,$G48/$P48,TRUE,0)</f>
        <v>3265.4936974789916</v>
      </c>
      <c r="AK48" s="489" cm="1">
        <f t="array" ref="AK48">_xlfn.IFS(SUM($R48:AJ48)&gt;=$G48,0,$L48=AK$2,$G48/$P48,AJ48&gt;0,$G48/$P48,TRUE,0)</f>
        <v>3265.4936974789916</v>
      </c>
      <c r="AL48" s="489" cm="1">
        <f t="array" ref="AL48">_xlfn.IFS(SUM($R48:AK48)&gt;=$G48,0,$L48=AL$2,$G48/$P48,AK48&gt;0,$G48/$P48,TRUE,0)</f>
        <v>3265.4936974789916</v>
      </c>
      <c r="AM48" s="489" cm="1">
        <f t="array" ref="AM48">_xlfn.IFS(SUM($R48:AL48)&gt;=$G48,0,$L48=AM$2,$G48/$P48,AL48&gt;0,$G48/$P48,TRUE,0)</f>
        <v>3265.4936974789916</v>
      </c>
      <c r="AN48" s="489" cm="1">
        <f t="array" ref="AN48">_xlfn.IFS(SUM($R48:AM48)&gt;=$G48,0,$L48=AN$2,$G48/$P48,AM48&gt;0,$G48/$P48,TRUE,0)</f>
        <v>3265.4936974789916</v>
      </c>
      <c r="AO48" s="489" cm="1">
        <f t="array" ref="AO48">_xlfn.IFS(SUM($R48:AN48)&gt;=$G48,0,$L48=AO$2,$G48/$P48,AN48&gt;0,$G48/$P48,TRUE,0)</f>
        <v>3265.4936974789916</v>
      </c>
      <c r="AP48" s="489" cm="1">
        <f t="array" ref="AP48">_xlfn.IFS(SUM($R48:AO48)&gt;=$G48,0,$L48=AP$2,$G48/$P48,AO48&gt;0,$G48/$P48,TRUE,0)</f>
        <v>3265.4936974789916</v>
      </c>
      <c r="AQ48" s="489" cm="1">
        <f t="array" ref="AQ48">_xlfn.IFS(SUM($R48:AP48)&gt;=$G48,0,$L48=AQ$2,$G48/$P48,AP48&gt;0,$G48/$P48,TRUE,0)</f>
        <v>3265.4936974789916</v>
      </c>
      <c r="AR48" s="489" cm="1">
        <f t="array" ref="AR48">_xlfn.IFS(SUM($R48:AQ48)&gt;=$G48,0,$L48=AR$2,$G48/$P48,AQ48&gt;0,$G48/$P48,TRUE,0)</f>
        <v>3265.4936974789916</v>
      </c>
      <c r="AS48" s="489" cm="1">
        <f t="array" ref="AS48">_xlfn.IFS(SUM($R48:AR48)&gt;=$G48,0,$L48=AS$2,$G48/$P48,AR48&gt;0,$G48/$P48,TRUE,0)</f>
        <v>3265.4936974789916</v>
      </c>
      <c r="AT48" s="489" cm="1">
        <f t="array" ref="AT48">_xlfn.IFS(SUM($R48:AS48)&gt;=$G48,0,$L48=AT$2,$G48/$P48,AS48&gt;0,$G48/$P48,TRUE,0)</f>
        <v>3265.4936974789916</v>
      </c>
      <c r="AU48" s="489">
        <v>0</v>
      </c>
      <c r="AV48" s="489" cm="1">
        <f t="array" ref="AV48">_xlfn.IFS(SUM($R48:AU48)&gt;=$G48,0,$L48=AV$2,$G48/$P48,AU48&gt;0,$G48/$P48,TRUE,0)</f>
        <v>0</v>
      </c>
      <c r="AW48" s="489" cm="1">
        <f t="array" ref="AW48">_xlfn.IFS(SUM($R48:AV48)&gt;=$G48,0,$L48=AW$2,$G48/$P48,AV48&gt;0,$G48/$P48,TRUE,0)</f>
        <v>0</v>
      </c>
      <c r="AX48" s="489" cm="1">
        <f t="array" ref="AX48">_xlfn.IFS(SUM($R48:AW48)&gt;=$G48,0,$L48=AX$2,$G48/$P48,AW48&gt;0,$G48/$P48,TRUE,0)</f>
        <v>0</v>
      </c>
      <c r="AY48" s="489" cm="1">
        <f t="array" ref="AY48">_xlfn.IFS(SUM($R48:AX48)&gt;=$G48,0,$L48=AY$2,$G48/$P48,AX48&gt;0,$G48/$P48,TRUE,0)</f>
        <v>0</v>
      </c>
      <c r="AZ48" s="489" cm="1">
        <f t="array" ref="AZ48">_xlfn.IFS(SUM($R48:AY48)&gt;=$G48,0,$L48=AZ$2,$G48/$P48,AY48&gt;0,$G48/$P48,TRUE,0)</f>
        <v>0</v>
      </c>
      <c r="BA48" s="311">
        <f t="shared" si="14"/>
        <v>55513.392857142848</v>
      </c>
      <c r="BF48" s="1065"/>
      <c r="BG48" s="1066"/>
      <c r="BH48" s="1066"/>
      <c r="BI48" s="1066"/>
      <c r="BJ48" s="1067"/>
    </row>
    <row r="49" spans="1:62" ht="15" customHeight="1">
      <c r="A49" t="str">
        <f t="shared" si="11"/>
        <v/>
      </c>
      <c r="B49" s="79" t="s">
        <v>525</v>
      </c>
      <c r="C49" s="79" t="s">
        <v>1099</v>
      </c>
      <c r="D49" s="79" t="s">
        <v>1075</v>
      </c>
      <c r="E49" s="6" t="s">
        <v>1101</v>
      </c>
      <c r="F49" s="147">
        <v>3750</v>
      </c>
      <c r="G49" s="121">
        <f t="shared" si="15"/>
        <v>78478.125</v>
      </c>
      <c r="H49" s="625">
        <f>$L$36</f>
        <v>20.927499999999998</v>
      </c>
      <c r="I49" s="79" t="s">
        <v>444</v>
      </c>
      <c r="J49" s="79">
        <f t="shared" si="12"/>
        <v>2027</v>
      </c>
      <c r="K49" s="79"/>
      <c r="L49" s="88" t="s">
        <v>440</v>
      </c>
      <c r="M49" s="88" t="s">
        <v>440</v>
      </c>
      <c r="N49" s="88" t="str">
        <f>LEFT(M49,2)&amp;(4+RIGHT(M49,2))</f>
        <v>2Q32</v>
      </c>
      <c r="O49" s="88"/>
      <c r="P49" s="121">
        <f t="shared" si="13"/>
        <v>17</v>
      </c>
      <c r="Q49" s="283"/>
      <c r="R49" s="283"/>
      <c r="S49" s="311" cm="1">
        <f t="array" ref="S49">_xlfn.IFS(SUM($R49:R49)&gt;=$G49,0,$L49=S$2,$G49/$P49,R49&gt;0,$G49/$P49,TRUE,0)</f>
        <v>0</v>
      </c>
      <c r="T49" s="311" cm="1">
        <f t="array" ref="T49">_xlfn.IFS(SUM($R49:S49)&gt;=$G49,0,$L49=T$2,$G49/$P49,S49&gt;0,$G49/$P49,TRUE,0)</f>
        <v>0</v>
      </c>
      <c r="U49" s="311" cm="1">
        <f t="array" ref="U49">_xlfn.IFS(SUM($R49:T49)&gt;=$G49,0,$L49=U$2,$G49/$P49,T49&gt;0,$G49/$P49,TRUE,0)</f>
        <v>0</v>
      </c>
      <c r="V49" s="311" cm="1">
        <f t="array" ref="V49">_xlfn.IFS(SUM($R49:U49)&gt;=$G49,0,$L49=V$2,$G49/$P49,U49&gt;0,$G49/$P49,TRUE,0)</f>
        <v>0</v>
      </c>
      <c r="W49" s="311" cm="1">
        <f t="array" ref="W49">_xlfn.IFS(SUM($R49:V49)&gt;=$G49,0,$L49=W$2,$G49/$P49,V49&gt;0,$G49/$P49,TRUE,0)</f>
        <v>0</v>
      </c>
      <c r="X49" s="311" cm="1">
        <f t="array" ref="X49">_xlfn.IFS(SUM($R49:W49)&gt;=$G49,0,$L49=X$2,$G49/$P49,W49&gt;0,$G49/$P49,TRUE,0)</f>
        <v>0</v>
      </c>
      <c r="Y49" s="311" cm="1">
        <f t="array" ref="Y49">_xlfn.IFS(SUM($R49:X49)&gt;=$G49,0,$L49=Y$2,$G49/$P49,X49&gt;0,$G49/$P49,TRUE,0)</f>
        <v>0</v>
      </c>
      <c r="Z49" s="311" cm="1">
        <f t="array" ref="Z49">_xlfn.IFS(SUM($R49:Y49)&gt;=$G49,0,$L49=Z$2,$G49/$P49,Y49&gt;0,$G49/$P49,TRUE,0)</f>
        <v>0</v>
      </c>
      <c r="AA49" s="311" cm="1">
        <f t="array" ref="AA49">_xlfn.IFS(SUM($R49:Z49)&gt;=$G49,0,$L49=AA$2,$G49/$P49,Z49&gt;0,$G49/$P49,TRUE,0)</f>
        <v>0</v>
      </c>
      <c r="AB49" s="311" cm="1">
        <f t="array" ref="AB49">_xlfn.IFS(SUM($R49:AA49)&gt;=$G49,0,$L49=AB$2,$G49/$P49,AA49&gt;0,$G49/$P49,TRUE,0)</f>
        <v>0</v>
      </c>
      <c r="AC49" s="311" cm="1">
        <f t="array" ref="AC49">_xlfn.IFS(SUM($R49:AB49)&gt;=$G49,0,$L49=AC$2,$G49/$P49,AB49&gt;0,$G49/$P49,TRUE,0)</f>
        <v>0</v>
      </c>
      <c r="AD49" s="311" cm="1">
        <f t="array" ref="AD49">_xlfn.IFS(SUM($R49:AC49)&gt;=$G49,0,$L49=AD$2,$G49/$P49,AC49&gt;0,$G49/$P49,TRUE,0)</f>
        <v>4616.3602941176468</v>
      </c>
      <c r="AE49" s="311" cm="1">
        <f t="array" ref="AE49">_xlfn.IFS(SUM($R49:AD49)&gt;=$G49,0,$L49=AE$2,$G49/$P49,AD49&gt;0,$G49/$P49,TRUE,0)</f>
        <v>4616.3602941176468</v>
      </c>
      <c r="AF49" s="311" cm="1">
        <f t="array" ref="AF49">_xlfn.IFS(SUM($R49:AE49)&gt;=$G49,0,$L49=AF$2,$G49/$P49,AE49&gt;0,$G49/$P49,TRUE,0)</f>
        <v>4616.3602941176468</v>
      </c>
      <c r="AG49" s="311" cm="1">
        <f t="array" ref="AG49">_xlfn.IFS(SUM($R49:AF49)&gt;=$G49,0,$L49=AG$2,$G49/$P49,AF49&gt;0,$G49/$P49,TRUE,0)</f>
        <v>4616.3602941176468</v>
      </c>
      <c r="AH49" s="311" cm="1">
        <f t="array" ref="AH49">_xlfn.IFS(SUM($R49:AG49)&gt;=$G49,0,$L49=AH$2,$G49/$P49,AG49&gt;0,$G49/$P49,TRUE,0)</f>
        <v>4616.3602941176468</v>
      </c>
      <c r="AI49" s="311" cm="1">
        <f t="array" ref="AI49">_xlfn.IFS(SUM($R49:AH49)&gt;=$G49,0,$L49=AI$2,$G49/$P49,AH49&gt;0,$G49/$P49,TRUE,0)</f>
        <v>4616.3602941176468</v>
      </c>
      <c r="AJ49" s="311" cm="1">
        <f t="array" ref="AJ49">_xlfn.IFS(SUM($R49:AI49)&gt;=$G49,0,$L49=AJ$2,$G49/$P49,AI49&gt;0,$G49/$P49,TRUE,0)</f>
        <v>4616.3602941176468</v>
      </c>
      <c r="AK49" s="311" cm="1">
        <f t="array" ref="AK49">_xlfn.IFS(SUM($R49:AJ49)&gt;=$G49,0,$L49=AK$2,$G49/$P49,AJ49&gt;0,$G49/$P49,TRUE,0)</f>
        <v>4616.3602941176468</v>
      </c>
      <c r="AL49" s="311" cm="1">
        <f t="array" ref="AL49">_xlfn.IFS(SUM($R49:AK49)&gt;=$G49,0,$L49=AL$2,$G49/$P49,AK49&gt;0,$G49/$P49,TRUE,0)</f>
        <v>4616.3602941176468</v>
      </c>
      <c r="AM49" s="311" cm="1">
        <f t="array" ref="AM49">_xlfn.IFS(SUM($R49:AL49)&gt;=$G49,0,$L49=AM$2,$G49/$P49,AL49&gt;0,$G49/$P49,TRUE,0)</f>
        <v>4616.3602941176468</v>
      </c>
      <c r="AN49" s="311" cm="1">
        <f t="array" ref="AN49">_xlfn.IFS(SUM($R49:AM49)&gt;=$G49,0,$L49=AN$2,$G49/$P49,AM49&gt;0,$G49/$P49,TRUE,0)</f>
        <v>4616.3602941176468</v>
      </c>
      <c r="AO49" s="311" cm="1">
        <f t="array" ref="AO49">_xlfn.IFS(SUM($R49:AN49)&gt;=$G49,0,$L49=AO$2,$G49/$P49,AN49&gt;0,$G49/$P49,TRUE,0)</f>
        <v>4616.3602941176468</v>
      </c>
      <c r="AP49" s="311" cm="1">
        <f t="array" ref="AP49">_xlfn.IFS(SUM($R49:AO49)&gt;=$G49,0,$L49=AP$2,$G49/$P49,AO49&gt;0,$G49/$P49,TRUE,0)</f>
        <v>4616.3602941176468</v>
      </c>
      <c r="AQ49" s="311" cm="1">
        <f t="array" ref="AQ49">_xlfn.IFS(SUM($R49:AP49)&gt;=$G49,0,$L49=AQ$2,$G49/$P49,AP49&gt;0,$G49/$P49,TRUE,0)</f>
        <v>4616.3602941176468</v>
      </c>
      <c r="AR49" s="311" cm="1">
        <f t="array" ref="AR49">_xlfn.IFS(SUM($R49:AQ49)&gt;=$G49,0,$L49=AR$2,$G49/$P49,AQ49&gt;0,$G49/$P49,TRUE,0)</f>
        <v>4616.3602941176468</v>
      </c>
      <c r="AS49" s="311" cm="1">
        <f t="array" ref="AS49">_xlfn.IFS(SUM($R49:AR49)&gt;=$G49,0,$L49=AS$2,$G49/$P49,AR49&gt;0,$G49/$P49,TRUE,0)</f>
        <v>4616.3602941176468</v>
      </c>
      <c r="AT49" s="311" cm="1">
        <f t="array" ref="AT49">_xlfn.IFS(SUM($R49:AS49)&gt;=$G49,0,$L49=AT$2,$G49/$P49,AS49&gt;0,$G49/$P49,TRUE,0)</f>
        <v>4616.3602941176468</v>
      </c>
      <c r="AU49" s="311" cm="1">
        <f t="array" ref="AU49">_xlfn.IFS(SUM($R49:AT49)&gt;=$G49,0,$L49=AU$2,$G49/$P49,AT49&gt;0,$G49/$P49,TRUE,0)</f>
        <v>0</v>
      </c>
      <c r="AV49" s="311" cm="1">
        <f t="array" ref="AV49">_xlfn.IFS(SUM($R49:AU49)&gt;=$G49,0,$L49=AV$2,$G49/$P49,AU49&gt;0,$G49/$P49,TRUE,0)</f>
        <v>0</v>
      </c>
      <c r="AW49" s="311" cm="1">
        <f t="array" ref="AW49">_xlfn.IFS(SUM($R49:AV49)&gt;=$G49,0,$L49=AW$2,$G49/$P49,AV49&gt;0,$G49/$P49,TRUE,0)</f>
        <v>0</v>
      </c>
      <c r="AX49" s="311" cm="1">
        <f t="array" ref="AX49">_xlfn.IFS(SUM($R49:AW49)&gt;=$G49,0,$L49=AX$2,$G49/$P49,AW49&gt;0,$G49/$P49,TRUE,0)</f>
        <v>0</v>
      </c>
      <c r="AY49" s="311" cm="1">
        <f t="array" ref="AY49">_xlfn.IFS(SUM($R49:AX49)&gt;=$G49,0,$L49=AY$2,$G49/$P49,AX49&gt;0,$G49/$P49,TRUE,0)</f>
        <v>0</v>
      </c>
      <c r="AZ49" s="311" cm="1">
        <f t="array" ref="AZ49">_xlfn.IFS(SUM($R49:AY49)&gt;=$G49,0,$L49=AZ$2,$G49/$P49,AY49&gt;0,$G49/$P49,TRUE,0)</f>
        <v>0</v>
      </c>
      <c r="BA49" s="311">
        <f t="shared" si="14"/>
        <v>78478.125000000029</v>
      </c>
      <c r="BF49" s="1065"/>
      <c r="BG49" s="1066"/>
      <c r="BH49" s="1066"/>
      <c r="BI49" s="1066"/>
      <c r="BJ49" s="1067"/>
    </row>
    <row r="50" spans="1:62" ht="15" customHeight="1">
      <c r="A50" t="str">
        <f t="shared" si="11"/>
        <v/>
      </c>
      <c r="B50" s="79" t="s">
        <v>527</v>
      </c>
      <c r="C50" s="79" t="s">
        <v>1099</v>
      </c>
      <c r="D50" s="79" t="s">
        <v>1075</v>
      </c>
      <c r="E50" s="6" t="s">
        <v>1102</v>
      </c>
      <c r="F50" s="147">
        <v>3750</v>
      </c>
      <c r="G50" s="121">
        <f t="shared" si="15"/>
        <v>62718.750000000007</v>
      </c>
      <c r="H50" s="625">
        <f>$L$34</f>
        <v>16.725000000000001</v>
      </c>
      <c r="I50" s="79" t="s">
        <v>442</v>
      </c>
      <c r="J50" s="79">
        <f t="shared" si="12"/>
        <v>2027</v>
      </c>
      <c r="K50" s="79"/>
      <c r="L50" s="88" t="s">
        <v>440</v>
      </c>
      <c r="M50" s="88" t="s">
        <v>440</v>
      </c>
      <c r="N50" s="88" t="str">
        <f>LEFT(M50,2)&amp;(4+RIGHT(M50,2))</f>
        <v>2Q32</v>
      </c>
      <c r="O50" s="88"/>
      <c r="P50" s="121">
        <f t="shared" si="13"/>
        <v>17</v>
      </c>
      <c r="Q50" s="283"/>
      <c r="R50" s="283"/>
      <c r="S50" s="311" cm="1">
        <f t="array" ref="S50">_xlfn.IFS(SUM($R50:R50)&gt;=$G50,0,$L50=S$2,$G50/$P50,R50&gt;0,$G50/$P50,TRUE,0)</f>
        <v>0</v>
      </c>
      <c r="T50" s="311" cm="1">
        <f t="array" ref="T50">_xlfn.IFS(SUM($R50:S50)&gt;=$G50,0,$L50=T$2,$G50/$P50,S50&gt;0,$G50/$P50,TRUE,0)</f>
        <v>0</v>
      </c>
      <c r="U50" s="311" cm="1">
        <f t="array" ref="U50">_xlfn.IFS(SUM($R50:T50)&gt;=$G50,0,$L50=U$2,$G50/$P50,T50&gt;0,$G50/$P50,TRUE,0)</f>
        <v>0</v>
      </c>
      <c r="V50" s="311" cm="1">
        <f t="array" ref="V50">_xlfn.IFS(SUM($R50:U50)&gt;=$G50,0,$L50=V$2,$G50/$P50,U50&gt;0,$G50/$P50,TRUE,0)</f>
        <v>0</v>
      </c>
      <c r="W50" s="311" cm="1">
        <f t="array" ref="W50">_xlfn.IFS(SUM($R50:V50)&gt;=$G50,0,$L50=W$2,$G50/$P50,V50&gt;0,$G50/$P50,TRUE,0)</f>
        <v>0</v>
      </c>
      <c r="X50" s="311" cm="1">
        <f t="array" ref="X50">_xlfn.IFS(SUM($R50:W50)&gt;=$G50,0,$L50=X$2,$G50/$P50,W50&gt;0,$G50/$P50,TRUE,0)</f>
        <v>0</v>
      </c>
      <c r="Y50" s="311" cm="1">
        <f t="array" ref="Y50">_xlfn.IFS(SUM($R50:X50)&gt;=$G50,0,$L50=Y$2,$G50/$P50,X50&gt;0,$G50/$P50,TRUE,0)</f>
        <v>0</v>
      </c>
      <c r="Z50" s="311" cm="1">
        <f t="array" ref="Z50">_xlfn.IFS(SUM($R50:Y50)&gt;=$G50,0,$L50=Z$2,$G50/$P50,Y50&gt;0,$G50/$P50,TRUE,0)</f>
        <v>0</v>
      </c>
      <c r="AA50" s="311" cm="1">
        <f t="array" ref="AA50">_xlfn.IFS(SUM($R50:Z50)&gt;=$G50,0,$L50=AA$2,$G50/$P50,Z50&gt;0,$G50/$P50,TRUE,0)</f>
        <v>0</v>
      </c>
      <c r="AB50" s="311" cm="1">
        <f t="array" ref="AB50">_xlfn.IFS(SUM($R50:AA50)&gt;=$G50,0,$L50=AB$2,$G50/$P50,AA50&gt;0,$G50/$P50,TRUE,0)</f>
        <v>0</v>
      </c>
      <c r="AC50" s="311" cm="1">
        <f t="array" ref="AC50">_xlfn.IFS(SUM($R50:AB50)&gt;=$G50,0,$L50=AC$2,$G50/$P50,AB50&gt;0,$G50/$P50,TRUE,0)</f>
        <v>0</v>
      </c>
      <c r="AD50" s="311" cm="1">
        <f t="array" ref="AD50">_xlfn.IFS(SUM($R50:AC50)&gt;=$G50,0,$L50=AD$2,$G50/$P50,AC50&gt;0,$G50/$P50,TRUE,0)</f>
        <v>3689.338235294118</v>
      </c>
      <c r="AE50" s="311" cm="1">
        <f t="array" ref="AE50">_xlfn.IFS(SUM($R50:AD50)&gt;=$G50,0,$L50=AE$2,$G50/$P50,AD50&gt;0,$G50/$P50,TRUE,0)</f>
        <v>3689.338235294118</v>
      </c>
      <c r="AF50" s="311" cm="1">
        <f t="array" ref="AF50">_xlfn.IFS(SUM($R50:AE50)&gt;=$G50,0,$L50=AF$2,$G50/$P50,AE50&gt;0,$G50/$P50,TRUE,0)</f>
        <v>3689.338235294118</v>
      </c>
      <c r="AG50" s="311" cm="1">
        <f t="array" ref="AG50">_xlfn.IFS(SUM($R50:AF50)&gt;=$G50,0,$L50=AG$2,$G50/$P50,AF50&gt;0,$G50/$P50,TRUE,0)</f>
        <v>3689.338235294118</v>
      </c>
      <c r="AH50" s="311" cm="1">
        <f t="array" ref="AH50">_xlfn.IFS(SUM($R50:AG50)&gt;=$G50,0,$L50=AH$2,$G50/$P50,AG50&gt;0,$G50/$P50,TRUE,0)</f>
        <v>3689.338235294118</v>
      </c>
      <c r="AI50" s="311" cm="1">
        <f t="array" ref="AI50">_xlfn.IFS(SUM($R50:AH50)&gt;=$G50,0,$L50=AI$2,$G50/$P50,AH50&gt;0,$G50/$P50,TRUE,0)</f>
        <v>3689.338235294118</v>
      </c>
      <c r="AJ50" s="311" cm="1">
        <f t="array" ref="AJ50">_xlfn.IFS(SUM($R50:AI50)&gt;=$G50,0,$L50=AJ$2,$G50/$P50,AI50&gt;0,$G50/$P50,TRUE,0)</f>
        <v>3689.338235294118</v>
      </c>
      <c r="AK50" s="311" cm="1">
        <f t="array" ref="AK50">_xlfn.IFS(SUM($R50:AJ50)&gt;=$G50,0,$L50=AK$2,$G50/$P50,AJ50&gt;0,$G50/$P50,TRUE,0)</f>
        <v>3689.338235294118</v>
      </c>
      <c r="AL50" s="311" cm="1">
        <f t="array" ref="AL50">_xlfn.IFS(SUM($R50:AK50)&gt;=$G50,0,$L50=AL$2,$G50/$P50,AK50&gt;0,$G50/$P50,TRUE,0)</f>
        <v>3689.338235294118</v>
      </c>
      <c r="AM50" s="311" cm="1">
        <f t="array" ref="AM50">_xlfn.IFS(SUM($R50:AL50)&gt;=$G50,0,$L50=AM$2,$G50/$P50,AL50&gt;0,$G50/$P50,TRUE,0)</f>
        <v>3689.338235294118</v>
      </c>
      <c r="AN50" s="311" cm="1">
        <f t="array" ref="AN50">_xlfn.IFS(SUM($R50:AM50)&gt;=$G50,0,$L50=AN$2,$G50/$P50,AM50&gt;0,$G50/$P50,TRUE,0)</f>
        <v>3689.338235294118</v>
      </c>
      <c r="AO50" s="311" cm="1">
        <f t="array" ref="AO50">_xlfn.IFS(SUM($R50:AN50)&gt;=$G50,0,$L50=AO$2,$G50/$P50,AN50&gt;0,$G50/$P50,TRUE,0)</f>
        <v>3689.338235294118</v>
      </c>
      <c r="AP50" s="311" cm="1">
        <f t="array" ref="AP50">_xlfn.IFS(SUM($R50:AO50)&gt;=$G50,0,$L50=AP$2,$G50/$P50,AO50&gt;0,$G50/$P50,TRUE,0)</f>
        <v>3689.338235294118</v>
      </c>
      <c r="AQ50" s="311" cm="1">
        <f t="array" ref="AQ50">_xlfn.IFS(SUM($R50:AP50)&gt;=$G50,0,$L50=AQ$2,$G50/$P50,AP50&gt;0,$G50/$P50,TRUE,0)</f>
        <v>3689.338235294118</v>
      </c>
      <c r="AR50" s="311" cm="1">
        <f t="array" ref="AR50">_xlfn.IFS(SUM($R50:AQ50)&gt;=$G50,0,$L50=AR$2,$G50/$P50,AQ50&gt;0,$G50/$P50,TRUE,0)</f>
        <v>3689.338235294118</v>
      </c>
      <c r="AS50" s="311" cm="1">
        <f t="array" ref="AS50">_xlfn.IFS(SUM($R50:AR50)&gt;=$G50,0,$L50=AS$2,$G50/$P50,AR50&gt;0,$G50/$P50,TRUE,0)</f>
        <v>3689.338235294118</v>
      </c>
      <c r="AT50" s="311" cm="1">
        <f t="array" ref="AT50">_xlfn.IFS(SUM($R50:AS50)&gt;=$G50,0,$L50=AT$2,$G50/$P50,AS50&gt;0,$G50/$P50,TRUE,0)</f>
        <v>3689.338235294118</v>
      </c>
      <c r="AU50" s="311" cm="1">
        <f t="array" ref="AU50">_xlfn.IFS(SUM($R50:AT50)&gt;=$G50,0,$L50=AU$2,$G50/$P50,AT50&gt;0,$G50/$P50,TRUE,0)</f>
        <v>0</v>
      </c>
      <c r="AV50" s="311" cm="1">
        <f t="array" ref="AV50">_xlfn.IFS(SUM($R50:AU50)&gt;=$G50,0,$L50=AV$2,$G50/$P50,AU50&gt;0,$G50/$P50,TRUE,0)</f>
        <v>0</v>
      </c>
      <c r="AW50" s="311" cm="1">
        <f t="array" ref="AW50">_xlfn.IFS(SUM($R50:AV50)&gt;=$G50,0,$L50=AW$2,$G50/$P50,AV50&gt;0,$G50/$P50,TRUE,0)</f>
        <v>0</v>
      </c>
      <c r="AX50" s="311" cm="1">
        <f t="array" ref="AX50">_xlfn.IFS(SUM($R50:AW50)&gt;=$G50,0,$L50=AX$2,$G50/$P50,AW50&gt;0,$G50/$P50,TRUE,0)</f>
        <v>0</v>
      </c>
      <c r="AY50" s="311" cm="1">
        <f t="array" ref="AY50">_xlfn.IFS(SUM($R50:AX50)&gt;=$G50,0,$L50=AY$2,$G50/$P50,AX50&gt;0,$G50/$P50,TRUE,0)</f>
        <v>0</v>
      </c>
      <c r="AZ50" s="311" cm="1">
        <f t="array" ref="AZ50">_xlfn.IFS(SUM($R50:AY50)&gt;=$G50,0,$L50=AZ$2,$G50/$P50,AY50&gt;0,$G50/$P50,TRUE,0)</f>
        <v>0</v>
      </c>
      <c r="BA50" s="311">
        <f t="shared" si="14"/>
        <v>62718.750000000015</v>
      </c>
      <c r="BF50" s="1065"/>
      <c r="BG50" s="1066"/>
      <c r="BH50" s="1066"/>
      <c r="BI50" s="1066"/>
      <c r="BJ50" s="1067"/>
    </row>
    <row r="51" spans="1:62" ht="15" customHeight="1">
      <c r="A51" t="str">
        <f t="shared" si="11"/>
        <v/>
      </c>
      <c r="B51" s="139" t="s">
        <v>527</v>
      </c>
      <c r="C51" s="139" t="s">
        <v>1099</v>
      </c>
      <c r="D51" s="139" t="s">
        <v>1075</v>
      </c>
      <c r="E51" s="59" t="s">
        <v>1103</v>
      </c>
      <c r="F51" s="143">
        <v>3750</v>
      </c>
      <c r="G51" s="140">
        <f t="shared" si="15"/>
        <v>32394.624549346554</v>
      </c>
      <c r="H51" s="626">
        <f>$L$38</f>
        <v>8.6385665464924148</v>
      </c>
      <c r="I51" s="139" t="s">
        <v>441</v>
      </c>
      <c r="J51" s="139">
        <f t="shared" si="12"/>
        <v>2028</v>
      </c>
      <c r="K51" s="139"/>
      <c r="L51" s="138" t="s">
        <v>440</v>
      </c>
      <c r="M51" s="138" t="s">
        <v>440</v>
      </c>
      <c r="N51" s="139" t="s">
        <v>978</v>
      </c>
      <c r="O51" s="139"/>
      <c r="P51" s="140">
        <f t="shared" si="13"/>
        <v>11</v>
      </c>
      <c r="Q51" s="401"/>
      <c r="R51" s="401"/>
      <c r="S51" s="490" cm="1">
        <f t="array" ref="S51">_xlfn.IFS(SUM($R51:R51)&gt;=$G51,0,$L51=S$2,$G51/$P51,R51&gt;0,$G51/$P51,TRUE,0)</f>
        <v>0</v>
      </c>
      <c r="T51" s="490" cm="1">
        <f t="array" ref="T51">_xlfn.IFS(SUM($R51:S51)&gt;=$G51,0,$L51=T$2,$G51/$P51,S51&gt;0,$G51/$P51,TRUE,0)</f>
        <v>0</v>
      </c>
      <c r="U51" s="490" cm="1">
        <f t="array" ref="U51">_xlfn.IFS(SUM($R51:T51)&gt;=$G51,0,$L51=U$2,$G51/$P51,T51&gt;0,$G51/$P51,TRUE,0)</f>
        <v>0</v>
      </c>
      <c r="V51" s="490" cm="1">
        <f t="array" ref="V51">_xlfn.IFS(SUM($R51:U51)&gt;=$G51,0,$L51=V$2,$G51/$P51,U51&gt;0,$G51/$P51,TRUE,0)</f>
        <v>0</v>
      </c>
      <c r="W51" s="490" cm="1">
        <f t="array" ref="W51">_xlfn.IFS(SUM($R51:V51)&gt;=$G51,0,$L51=W$2,$G51/$P51,V51&gt;0,$G51/$P51,TRUE,0)</f>
        <v>0</v>
      </c>
      <c r="X51" s="490" cm="1">
        <f t="array" ref="X51">_xlfn.IFS(SUM($R51:W51)&gt;=$G51,0,$L51=X$2,$G51/$P51,W51&gt;0,$G51/$P51,TRUE,0)</f>
        <v>0</v>
      </c>
      <c r="Y51" s="490" cm="1">
        <f t="array" ref="Y51">_xlfn.IFS(SUM($R51:X51)&gt;=$G51,0,$L51=Y$2,$G51/$P51,X51&gt;0,$G51/$P51,TRUE,0)</f>
        <v>0</v>
      </c>
      <c r="Z51" s="490" cm="1">
        <f t="array" ref="Z51">_xlfn.IFS(SUM($R51:Y51)&gt;=$G51,0,$L51=Z$2,$G51/$P51,Y51&gt;0,$G51/$P51,TRUE,0)</f>
        <v>0</v>
      </c>
      <c r="AA51" s="490" cm="1">
        <f t="array" ref="AA51">_xlfn.IFS(SUM($R51:Z51)&gt;=$G51,0,$L51=AA$2,$G51/$P51,Z51&gt;0,$G51/$P51,TRUE,0)</f>
        <v>0</v>
      </c>
      <c r="AB51" s="490" cm="1">
        <f t="array" ref="AB51">_xlfn.IFS(SUM($R51:AA51)&gt;=$G51,0,$L51=AB$2,$G51/$P51,AA51&gt;0,$G51/$P51,TRUE,0)</f>
        <v>0</v>
      </c>
      <c r="AC51" s="490" cm="1">
        <f t="array" ref="AC51">_xlfn.IFS(SUM($R51:AB51)&gt;=$G51,0,$L51=AC$2,$G51/$P51,AB51&gt;0,$G51/$P51,TRUE,0)</f>
        <v>0</v>
      </c>
      <c r="AD51" s="490" cm="1">
        <f t="array" ref="AD51">_xlfn.IFS(SUM($R51:AC51)&gt;=$G51,0,$L51=AD$2,$G51/$P51,AC51&gt;0,$G51/$P51,TRUE,0)</f>
        <v>2944.9658681224141</v>
      </c>
      <c r="AE51" s="490" cm="1">
        <f t="array" ref="AE51">_xlfn.IFS(SUM($R51:AD51)&gt;=$G51,0,$L51=AE$2,$G51/$P51,AD51&gt;0,$G51/$P51,TRUE,0)</f>
        <v>2944.9658681224141</v>
      </c>
      <c r="AF51" s="490" cm="1">
        <f t="array" ref="AF51">_xlfn.IFS(SUM($R51:AE51)&gt;=$G51,0,$L51=AF$2,$G51/$P51,AE51&gt;0,$G51/$P51,TRUE,0)</f>
        <v>2944.9658681224141</v>
      </c>
      <c r="AG51" s="490" cm="1">
        <f t="array" ref="AG51">_xlfn.IFS(SUM($R51:AF51)&gt;=$G51,0,$L51=AG$2,$G51/$P51,AF51&gt;0,$G51/$P51,TRUE,0)</f>
        <v>2944.9658681224141</v>
      </c>
      <c r="AH51" s="490" cm="1">
        <f t="array" ref="AH51">_xlfn.IFS(SUM($R51:AG51)&gt;=$G51,0,$L51=AH$2,$G51/$P51,AG51&gt;0,$G51/$P51,TRUE,0)</f>
        <v>2944.9658681224141</v>
      </c>
      <c r="AI51" s="490" cm="1">
        <f t="array" ref="AI51">_xlfn.IFS(SUM($R51:AH51)&gt;=$G51,0,$L51=AI$2,$G51/$P51,AH51&gt;0,$G51/$P51,TRUE,0)</f>
        <v>2944.9658681224141</v>
      </c>
      <c r="AJ51" s="490" cm="1">
        <f t="array" ref="AJ51">_xlfn.IFS(SUM($R51:AI51)&gt;=$G51,0,$L51=AJ$2,$G51/$P51,AI51&gt;0,$G51/$P51,TRUE,0)</f>
        <v>2944.9658681224141</v>
      </c>
      <c r="AK51" s="490" cm="1">
        <f t="array" ref="AK51">_xlfn.IFS(SUM($R51:AJ51)&gt;=$G51,0,$L51=AK$2,$G51/$P51,AJ51&gt;0,$G51/$P51,TRUE,0)</f>
        <v>2944.9658681224141</v>
      </c>
      <c r="AL51" s="490" cm="1">
        <f t="array" ref="AL51">_xlfn.IFS(SUM($R51:AK51)&gt;=$G51,0,$L51=AL$2,$G51/$P51,AK51&gt;0,$G51/$P51,TRUE,0)</f>
        <v>2944.9658681224141</v>
      </c>
      <c r="AM51" s="490" cm="1">
        <f t="array" ref="AM51">_xlfn.IFS(SUM($R51:AL51)&gt;=$G51,0,$L51=AM$2,$G51/$P51,AL51&gt;0,$G51/$P51,TRUE,0)</f>
        <v>2944.9658681224141</v>
      </c>
      <c r="AN51" s="490" cm="1">
        <f t="array" ref="AN51">_xlfn.IFS(SUM($R51:AM51)&gt;=$G51,0,$L51=AN$2,$G51/$P51,AM51&gt;0,$G51/$P51,TRUE,0)</f>
        <v>2944.9658681224141</v>
      </c>
      <c r="AO51" s="490" cm="1">
        <f t="array" ref="AO51">_xlfn.IFS(SUM($R51:AN51)&gt;=$G51,0,$L51=AO$2,$G51/$P51,AN51&gt;0,$G51/$P51,TRUE,0)</f>
        <v>0</v>
      </c>
      <c r="AP51" s="490" cm="1">
        <f t="array" ref="AP51">_xlfn.IFS(SUM($R51:AO51)&gt;=$G51,0,$L51=AP$2,$G51/$P51,AO51&gt;0,$G51/$P51,TRUE,0)</f>
        <v>0</v>
      </c>
      <c r="AQ51" s="490" cm="1">
        <f t="array" ref="AQ51">_xlfn.IFS(SUM($R51:AP51)&gt;=$G51,0,$L51=AQ$2,$G51/$P51,AP51&gt;0,$G51/$P51,TRUE,0)</f>
        <v>0</v>
      </c>
      <c r="AR51" s="490" cm="1">
        <f t="array" ref="AR51">_xlfn.IFS(SUM($R51:AQ51)&gt;=$G51,0,$L51=AR$2,$G51/$P51,AQ51&gt;0,$G51/$P51,TRUE,0)</f>
        <v>0</v>
      </c>
      <c r="AS51" s="490" cm="1">
        <f t="array" ref="AS51">_xlfn.IFS(SUM($R51:AR51)&gt;=$G51,0,$L51=AS$2,$G51/$P51,AR51&gt;0,$G51/$P51,TRUE,0)</f>
        <v>0</v>
      </c>
      <c r="AT51" s="490" cm="1">
        <f t="array" ref="AT51">_xlfn.IFS(SUM($R51:AS51)&gt;=$G51,0,$L51=AT$2,$G51/$P51,AS51&gt;0,$G51/$P51,TRUE,0)</f>
        <v>0</v>
      </c>
      <c r="AU51" s="490" cm="1">
        <f t="array" ref="AU51">_xlfn.IFS(SUM($R51:AT51)&gt;=$G51,0,$L51=AU$2,$G51/$P51,AT51&gt;0,$G51/$P51,TRUE,0)</f>
        <v>0</v>
      </c>
      <c r="AV51" s="490" cm="1">
        <f t="array" ref="AV51">_xlfn.IFS(SUM($R51:AU51)&gt;=$G51,0,$L51=AV$2,$G51/$P51,AU51&gt;0,$G51/$P51,TRUE,0)</f>
        <v>0</v>
      </c>
      <c r="AW51" s="490" cm="1">
        <f t="array" ref="AW51">_xlfn.IFS(SUM($R51:AV51)&gt;=$G51,0,$L51=AW$2,$G51/$P51,AV51&gt;0,$G51/$P51,TRUE,0)</f>
        <v>0</v>
      </c>
      <c r="AX51" s="490" cm="1">
        <f t="array" ref="AX51">_xlfn.IFS(SUM($R51:AW51)&gt;=$G51,0,$L51=AX$2,$G51/$P51,AW51&gt;0,$G51/$P51,TRUE,0)</f>
        <v>0</v>
      </c>
      <c r="AY51" s="490" cm="1">
        <f t="array" ref="AY51">_xlfn.IFS(SUM($R51:AX51)&gt;=$G51,0,$L51=AY$2,$G51/$P51,AX51&gt;0,$G51/$P51,TRUE,0)</f>
        <v>0</v>
      </c>
      <c r="AZ51" s="490" cm="1">
        <f t="array" ref="AZ51">_xlfn.IFS(SUM($R51:AY51)&gt;=$G51,0,$L51=AZ$2,$G51/$P51,AY51&gt;0,$G51/$P51,TRUE,0)</f>
        <v>0</v>
      </c>
      <c r="BA51" s="311">
        <f t="shared" si="14"/>
        <v>32394.624549346554</v>
      </c>
      <c r="BF51" s="1065"/>
      <c r="BG51" s="1066"/>
      <c r="BH51" s="1066"/>
      <c r="BI51" s="1066"/>
      <c r="BJ51" s="1067"/>
    </row>
    <row r="52" spans="1:62" ht="15" customHeight="1">
      <c r="A52" t="str">
        <f t="shared" si="11"/>
        <v/>
      </c>
      <c r="B52" s="394" t="s">
        <v>525</v>
      </c>
      <c r="C52" s="394" t="s">
        <v>1099</v>
      </c>
      <c r="D52" s="394" t="s">
        <v>1075</v>
      </c>
      <c r="E52" s="141" t="s">
        <v>1158</v>
      </c>
      <c r="F52" s="398">
        <v>2400</v>
      </c>
      <c r="G52" s="397">
        <f t="shared" si="15"/>
        <v>35528.571428571428</v>
      </c>
      <c r="H52" s="624">
        <f>$L$37</f>
        <v>14.803571428571429</v>
      </c>
      <c r="I52" s="394" t="s">
        <v>443</v>
      </c>
      <c r="J52" s="394">
        <f t="shared" si="12"/>
        <v>2027</v>
      </c>
      <c r="K52" s="394"/>
      <c r="L52" s="399" t="s">
        <v>984</v>
      </c>
      <c r="M52" s="399" t="s">
        <v>984</v>
      </c>
      <c r="N52" s="399" t="str">
        <f>LEFT(M52,2)&amp;(4+RIGHT(M52,2))</f>
        <v>2Q33</v>
      </c>
      <c r="O52" s="399"/>
      <c r="P52" s="397">
        <f t="shared" si="13"/>
        <v>17</v>
      </c>
      <c r="Q52" s="627"/>
      <c r="R52" s="627"/>
      <c r="S52" s="489" cm="1">
        <f t="array" ref="S52">_xlfn.IFS(SUM($R52:R52)&gt;=$G52,0,$L52=S$2,$G52/$P52,R52&gt;0,$G52/$P52,TRUE,0)</f>
        <v>0</v>
      </c>
      <c r="T52" s="489" cm="1">
        <f t="array" ref="T52">_xlfn.IFS(SUM($R52:S52)&gt;=$G52,0,$L52=T$2,$G52/$P52,S52&gt;0,$G52/$P52,TRUE,0)</f>
        <v>0</v>
      </c>
      <c r="U52" s="489" cm="1">
        <f t="array" ref="U52">_xlfn.IFS(SUM($R52:T52)&gt;=$G52,0,$L52=U$2,$G52/$P52,T52&gt;0,$G52/$P52,TRUE,0)</f>
        <v>0</v>
      </c>
      <c r="V52" s="489" cm="1">
        <f t="array" ref="V52">_xlfn.IFS(SUM($R52:U52)&gt;=$G52,0,$L52=V$2,$G52/$P52,U52&gt;0,$G52/$P52,TRUE,0)</f>
        <v>0</v>
      </c>
      <c r="W52" s="489" cm="1">
        <f t="array" ref="W52">_xlfn.IFS(SUM($R52:V52)&gt;=$G52,0,$L52=W$2,$G52/$P52,V52&gt;0,$G52/$P52,TRUE,0)</f>
        <v>0</v>
      </c>
      <c r="X52" s="489" cm="1">
        <f t="array" ref="X52">_xlfn.IFS(SUM($R52:W52)&gt;=$G52,0,$L52=X$2,$G52/$P52,W52&gt;0,$G52/$P52,TRUE,0)</f>
        <v>0</v>
      </c>
      <c r="Y52" s="489" cm="1">
        <f t="array" ref="Y52">_xlfn.IFS(SUM($R52:X52)&gt;=$G52,0,$L52=Y$2,$G52/$P52,X52&gt;0,$G52/$P52,TRUE,0)</f>
        <v>0</v>
      </c>
      <c r="Z52" s="489" cm="1">
        <f t="array" ref="Z52">_xlfn.IFS(SUM($R52:Y52)&gt;=$G52,0,$L52=Z$2,$G52/$P52,Y52&gt;0,$G52/$P52,TRUE,0)</f>
        <v>0</v>
      </c>
      <c r="AA52" s="489" cm="1">
        <f t="array" ref="AA52">_xlfn.IFS(SUM($R52:Z52)&gt;=$G52,0,$L52=AA$2,$G52/$P52,Z52&gt;0,$G52/$P52,TRUE,0)</f>
        <v>0</v>
      </c>
      <c r="AB52" s="489" cm="1">
        <f t="array" ref="AB52">_xlfn.IFS(SUM($R52:AA52)&gt;=$G52,0,$L52=AB$2,$G52/$P52,AA52&gt;0,$G52/$P52,TRUE,0)</f>
        <v>0</v>
      </c>
      <c r="AC52" s="489" cm="1">
        <f t="array" ref="AC52">_xlfn.IFS(SUM($R52:AB52)&gt;=$G52,0,$L52=AC$2,$G52/$P52,AB52&gt;0,$G52/$P52,TRUE,0)</f>
        <v>0</v>
      </c>
      <c r="AD52" s="489" cm="1">
        <f t="array" ref="AD52">_xlfn.IFS(SUM($R52:AC52)&gt;=$G52,0,$L52=AD$2,$G52/$P52,AC52&gt;0,$G52/$P52,TRUE,0)</f>
        <v>0</v>
      </c>
      <c r="AE52" s="489" cm="1">
        <f t="array" ref="AE52">_xlfn.IFS(SUM($R52:AD52)&gt;=$G52,0,$L52=AE$2,$G52/$P52,AD52&gt;0,$G52/$P52,TRUE,0)</f>
        <v>0</v>
      </c>
      <c r="AF52" s="489" cm="1">
        <f t="array" ref="AF52">_xlfn.IFS(SUM($R52:AE52)&gt;=$G52,0,$L52=AF$2,$G52/$P52,AE52&gt;0,$G52/$P52,TRUE,0)</f>
        <v>0</v>
      </c>
      <c r="AG52" s="489" cm="1">
        <f t="array" ref="AG52">_xlfn.IFS(SUM($R52:AF52)&gt;=$G52,0,$L52=AG$2,$G52/$P52,AF52&gt;0,$G52/$P52,TRUE,0)</f>
        <v>0</v>
      </c>
      <c r="AH52" s="489" cm="1">
        <f t="array" ref="AH52">_xlfn.IFS(SUM($R52:AG52)&gt;=$G52,0,$L52=AH$2,$G52/$P52,AG52&gt;0,$G52/$P52,TRUE,0)</f>
        <v>2089.9159663865544</v>
      </c>
      <c r="AI52" s="489" cm="1">
        <f t="array" ref="AI52">_xlfn.IFS(SUM($R52:AH52)&gt;=$G52,0,$L52=AI$2,$G52/$P52,AH52&gt;0,$G52/$P52,TRUE,0)</f>
        <v>2089.9159663865544</v>
      </c>
      <c r="AJ52" s="489" cm="1">
        <f t="array" ref="AJ52">_xlfn.IFS(SUM($R52:AI52)&gt;=$G52,0,$L52=AJ$2,$G52/$P52,AI52&gt;0,$G52/$P52,TRUE,0)</f>
        <v>2089.9159663865544</v>
      </c>
      <c r="AK52" s="489" cm="1">
        <f t="array" ref="AK52">_xlfn.IFS(SUM($R52:AJ52)&gt;=$G52,0,$L52=AK$2,$G52/$P52,AJ52&gt;0,$G52/$P52,TRUE,0)</f>
        <v>2089.9159663865544</v>
      </c>
      <c r="AL52" s="489" cm="1">
        <f t="array" ref="AL52">_xlfn.IFS(SUM($R52:AK52)&gt;=$G52,0,$L52=AL$2,$G52/$P52,AK52&gt;0,$G52/$P52,TRUE,0)</f>
        <v>2089.9159663865544</v>
      </c>
      <c r="AM52" s="489" cm="1">
        <f t="array" ref="AM52">_xlfn.IFS(SUM($R52:AL52)&gt;=$G52,0,$L52=AM$2,$G52/$P52,AL52&gt;0,$G52/$P52,TRUE,0)</f>
        <v>2089.9159663865544</v>
      </c>
      <c r="AN52" s="489" cm="1">
        <f t="array" ref="AN52">_xlfn.IFS(SUM($R52:AM52)&gt;=$G52,0,$L52=AN$2,$G52/$P52,AM52&gt;0,$G52/$P52,TRUE,0)</f>
        <v>2089.9159663865544</v>
      </c>
      <c r="AO52" s="489" cm="1">
        <f t="array" ref="AO52">_xlfn.IFS(SUM($R52:AN52)&gt;=$G52,0,$L52=AO$2,$G52/$P52,AN52&gt;0,$G52/$P52,TRUE,0)</f>
        <v>2089.9159663865544</v>
      </c>
      <c r="AP52" s="489" cm="1">
        <f t="array" ref="AP52">_xlfn.IFS(SUM($R52:AO52)&gt;=$G52,0,$L52=AP$2,$G52/$P52,AO52&gt;0,$G52/$P52,TRUE,0)</f>
        <v>2089.9159663865544</v>
      </c>
      <c r="AQ52" s="489" cm="1">
        <f t="array" ref="AQ52">_xlfn.IFS(SUM($R52:AP52)&gt;=$G52,0,$L52=AQ$2,$G52/$P52,AP52&gt;0,$G52/$P52,TRUE,0)</f>
        <v>2089.9159663865544</v>
      </c>
      <c r="AR52" s="489" cm="1">
        <f t="array" ref="AR52">_xlfn.IFS(SUM($R52:AQ52)&gt;=$G52,0,$L52=AR$2,$G52/$P52,AQ52&gt;0,$G52/$P52,TRUE,0)</f>
        <v>2089.9159663865544</v>
      </c>
      <c r="AS52" s="489" cm="1">
        <f t="array" ref="AS52">_xlfn.IFS(SUM($R52:AR52)&gt;=$G52,0,$L52=AS$2,$G52/$P52,AR52&gt;0,$G52/$P52,TRUE,0)</f>
        <v>2089.9159663865544</v>
      </c>
      <c r="AT52" s="489" cm="1">
        <f t="array" ref="AT52">_xlfn.IFS(SUM($R52:AS52)&gt;=$G52,0,$L52=AT$2,$G52/$P52,AS52&gt;0,$G52/$P52,TRUE,0)</f>
        <v>2089.9159663865544</v>
      </c>
      <c r="AU52" s="489" cm="1">
        <f t="array" ref="AU52">_xlfn.IFS(SUM($R52:AT52)&gt;=$G52,0,$L52=AU$2,$G52/$P52,AT52&gt;0,$G52/$P52,TRUE,0)</f>
        <v>2089.9159663865544</v>
      </c>
      <c r="AV52" s="489" cm="1">
        <f t="array" ref="AV52">_xlfn.IFS(SUM($R52:AU52)&gt;=$G52,0,$L52=AV$2,$G52/$P52,AU52&gt;0,$G52/$P52,TRUE,0)</f>
        <v>2089.9159663865544</v>
      </c>
      <c r="AW52" s="489" cm="1">
        <f t="array" ref="AW52">_xlfn.IFS(SUM($R52:AV52)&gt;=$G52,0,$L52=AW$2,$G52/$P52,AV52&gt;0,$G52/$P52,TRUE,0)</f>
        <v>2089.9159663865544</v>
      </c>
      <c r="AX52" s="489" cm="1">
        <f t="array" ref="AX52">_xlfn.IFS(SUM($R52:AW52)&gt;=$G52,0,$L52=AX$2,$G52/$P52,AW52&gt;0,$G52/$P52,TRUE,0)</f>
        <v>2089.9159663865544</v>
      </c>
      <c r="AY52" s="489" cm="1">
        <f t="array" ref="AY52">_xlfn.IFS(SUM($R52:AX52)&gt;=$G52,0,$L52=AY$2,$G52/$P52,AX52&gt;0,$G52/$P52,TRUE,0)</f>
        <v>0</v>
      </c>
      <c r="AZ52" s="489" cm="1">
        <f t="array" ref="AZ52">_xlfn.IFS(SUM($R52:AY52)&gt;=$G52,0,$L52=AZ$2,$G52/$P52,AY52&gt;0,$G52/$P52,TRUE,0)</f>
        <v>0</v>
      </c>
      <c r="BA52" s="311">
        <f t="shared" si="14"/>
        <v>35528.571428571428</v>
      </c>
      <c r="BF52" s="1065"/>
      <c r="BG52" s="1066"/>
      <c r="BH52" s="1066"/>
      <c r="BI52" s="1066"/>
      <c r="BJ52" s="1067"/>
    </row>
    <row r="53" spans="1:62" ht="15" customHeight="1">
      <c r="A53" t="str">
        <f t="shared" si="11"/>
        <v/>
      </c>
      <c r="B53" s="79" t="s">
        <v>525</v>
      </c>
      <c r="C53" s="79" t="s">
        <v>1099</v>
      </c>
      <c r="D53" s="79" t="s">
        <v>1075</v>
      </c>
      <c r="E53" s="6" t="s">
        <v>1157</v>
      </c>
      <c r="F53" s="147">
        <v>2400</v>
      </c>
      <c r="G53" s="121">
        <f t="shared" si="15"/>
        <v>50225.999999999993</v>
      </c>
      <c r="H53" s="625">
        <f>$L$36</f>
        <v>20.927499999999998</v>
      </c>
      <c r="I53" s="79" t="s">
        <v>443</v>
      </c>
      <c r="J53" s="79">
        <f t="shared" si="12"/>
        <v>2027</v>
      </c>
      <c r="K53" s="79"/>
      <c r="L53" s="88" t="s">
        <v>984</v>
      </c>
      <c r="M53" s="88" t="s">
        <v>984</v>
      </c>
      <c r="N53" s="88" t="str">
        <f>LEFT(M53,2)&amp;(4+RIGHT(M53,2))</f>
        <v>2Q33</v>
      </c>
      <c r="O53" s="88"/>
      <c r="P53" s="121">
        <f t="shared" si="13"/>
        <v>17</v>
      </c>
      <c r="Q53" s="283"/>
      <c r="R53" s="283"/>
      <c r="S53" s="311" cm="1">
        <f t="array" ref="S53">_xlfn.IFS(SUM($R53:R53)&gt;=$G53,0,$L53=S$2,$G53/$P53,R53&gt;0,$G53/$P53,TRUE,0)</f>
        <v>0</v>
      </c>
      <c r="T53" s="311" cm="1">
        <f t="array" ref="T53">_xlfn.IFS(SUM($R53:S53)&gt;=$G53,0,$L53=T$2,$G53/$P53,S53&gt;0,$G53/$P53,TRUE,0)</f>
        <v>0</v>
      </c>
      <c r="U53" s="311" cm="1">
        <f t="array" ref="U53">_xlfn.IFS(SUM($R53:T53)&gt;=$G53,0,$L53=U$2,$G53/$P53,T53&gt;0,$G53/$P53,TRUE,0)</f>
        <v>0</v>
      </c>
      <c r="V53" s="311" cm="1">
        <f t="array" ref="V53">_xlfn.IFS(SUM($R53:U53)&gt;=$G53,0,$L53=V$2,$G53/$P53,U53&gt;0,$G53/$P53,TRUE,0)</f>
        <v>0</v>
      </c>
      <c r="W53" s="311" cm="1">
        <f t="array" ref="W53">_xlfn.IFS(SUM($R53:V53)&gt;=$G53,0,$L53=W$2,$G53/$P53,V53&gt;0,$G53/$P53,TRUE,0)</f>
        <v>0</v>
      </c>
      <c r="X53" s="311" cm="1">
        <f t="array" ref="X53">_xlfn.IFS(SUM($R53:W53)&gt;=$G53,0,$L53=X$2,$G53/$P53,W53&gt;0,$G53/$P53,TRUE,0)</f>
        <v>0</v>
      </c>
      <c r="Y53" s="311" cm="1">
        <f t="array" ref="Y53">_xlfn.IFS(SUM($R53:X53)&gt;=$G53,0,$L53=Y$2,$G53/$P53,X53&gt;0,$G53/$P53,TRUE,0)</f>
        <v>0</v>
      </c>
      <c r="Z53" s="311" cm="1">
        <f t="array" ref="Z53">_xlfn.IFS(SUM($R53:Y53)&gt;=$G53,0,$L53=Z$2,$G53/$P53,Y53&gt;0,$G53/$P53,TRUE,0)</f>
        <v>0</v>
      </c>
      <c r="AA53" s="311" cm="1">
        <f t="array" ref="AA53">_xlfn.IFS(SUM($R53:Z53)&gt;=$G53,0,$L53=AA$2,$G53/$P53,Z53&gt;0,$G53/$P53,TRUE,0)</f>
        <v>0</v>
      </c>
      <c r="AB53" s="311" cm="1">
        <f t="array" ref="AB53">_xlfn.IFS(SUM($R53:AA53)&gt;=$G53,0,$L53=AB$2,$G53/$P53,AA53&gt;0,$G53/$P53,TRUE,0)</f>
        <v>0</v>
      </c>
      <c r="AC53" s="311" cm="1">
        <f t="array" ref="AC53">_xlfn.IFS(SUM($R53:AB53)&gt;=$G53,0,$L53=AC$2,$G53/$P53,AB53&gt;0,$G53/$P53,TRUE,0)</f>
        <v>0</v>
      </c>
      <c r="AD53" s="311" cm="1">
        <f t="array" ref="AD53">_xlfn.IFS(SUM($R53:AC53)&gt;=$G53,0,$L53=AD$2,$G53/$P53,AC53&gt;0,$G53/$P53,TRUE,0)</f>
        <v>0</v>
      </c>
      <c r="AE53" s="311" cm="1">
        <f t="array" ref="AE53">_xlfn.IFS(SUM($R53:AD53)&gt;=$G53,0,$L53=AE$2,$G53/$P53,AD53&gt;0,$G53/$P53,TRUE,0)</f>
        <v>0</v>
      </c>
      <c r="AF53" s="311" cm="1">
        <f t="array" ref="AF53">_xlfn.IFS(SUM($R53:AE53)&gt;=$G53,0,$L53=AF$2,$G53/$P53,AE53&gt;0,$G53/$P53,TRUE,0)</f>
        <v>0</v>
      </c>
      <c r="AG53" s="311" cm="1">
        <f t="array" ref="AG53">_xlfn.IFS(SUM($R53:AF53)&gt;=$G53,0,$L53=AG$2,$G53/$P53,AF53&gt;0,$G53/$P53,TRUE,0)</f>
        <v>0</v>
      </c>
      <c r="AH53" s="311" cm="1">
        <f t="array" ref="AH53">_xlfn.IFS(SUM($R53:AG53)&gt;=$G53,0,$L53=AH$2,$G53/$P53,AG53&gt;0,$G53/$P53,TRUE,0)</f>
        <v>2954.4705882352937</v>
      </c>
      <c r="AI53" s="311" cm="1">
        <f t="array" ref="AI53">_xlfn.IFS(SUM($R53:AH53)&gt;=$G53,0,$L53=AI$2,$G53/$P53,AH53&gt;0,$G53/$P53,TRUE,0)</f>
        <v>2954.4705882352937</v>
      </c>
      <c r="AJ53" s="311" cm="1">
        <f t="array" ref="AJ53">_xlfn.IFS(SUM($R53:AI53)&gt;=$G53,0,$L53=AJ$2,$G53/$P53,AI53&gt;0,$G53/$P53,TRUE,0)</f>
        <v>2954.4705882352937</v>
      </c>
      <c r="AK53" s="311" cm="1">
        <f t="array" ref="AK53">_xlfn.IFS(SUM($R53:AJ53)&gt;=$G53,0,$L53=AK$2,$G53/$P53,AJ53&gt;0,$G53/$P53,TRUE,0)</f>
        <v>2954.4705882352937</v>
      </c>
      <c r="AL53" s="311" cm="1">
        <f t="array" ref="AL53">_xlfn.IFS(SUM($R53:AK53)&gt;=$G53,0,$L53=AL$2,$G53/$P53,AK53&gt;0,$G53/$P53,TRUE,0)</f>
        <v>2954.4705882352937</v>
      </c>
      <c r="AM53" s="311" cm="1">
        <f t="array" ref="AM53">_xlfn.IFS(SUM($R53:AL53)&gt;=$G53,0,$L53=AM$2,$G53/$P53,AL53&gt;0,$G53/$P53,TRUE,0)</f>
        <v>2954.4705882352937</v>
      </c>
      <c r="AN53" s="311" cm="1">
        <f t="array" ref="AN53">_xlfn.IFS(SUM($R53:AM53)&gt;=$G53,0,$L53=AN$2,$G53/$P53,AM53&gt;0,$G53/$P53,TRUE,0)</f>
        <v>2954.4705882352937</v>
      </c>
      <c r="AO53" s="311" cm="1">
        <f t="array" ref="AO53">_xlfn.IFS(SUM($R53:AN53)&gt;=$G53,0,$L53=AO$2,$G53/$P53,AN53&gt;0,$G53/$P53,TRUE,0)</f>
        <v>2954.4705882352937</v>
      </c>
      <c r="AP53" s="311" cm="1">
        <f t="array" ref="AP53">_xlfn.IFS(SUM($R53:AO53)&gt;=$G53,0,$L53=AP$2,$G53/$P53,AO53&gt;0,$G53/$P53,TRUE,0)</f>
        <v>2954.4705882352937</v>
      </c>
      <c r="AQ53" s="311" cm="1">
        <f t="array" ref="AQ53">_xlfn.IFS(SUM($R53:AP53)&gt;=$G53,0,$L53=AQ$2,$G53/$P53,AP53&gt;0,$G53/$P53,TRUE,0)</f>
        <v>2954.4705882352937</v>
      </c>
      <c r="AR53" s="311" cm="1">
        <f t="array" ref="AR53">_xlfn.IFS(SUM($R53:AQ53)&gt;=$G53,0,$L53=AR$2,$G53/$P53,AQ53&gt;0,$G53/$P53,TRUE,0)</f>
        <v>2954.4705882352937</v>
      </c>
      <c r="AS53" s="311" cm="1">
        <f t="array" ref="AS53">_xlfn.IFS(SUM($R53:AR53)&gt;=$G53,0,$L53=AS$2,$G53/$P53,AR53&gt;0,$G53/$P53,TRUE,0)</f>
        <v>2954.4705882352937</v>
      </c>
      <c r="AT53" s="311" cm="1">
        <f t="array" ref="AT53">_xlfn.IFS(SUM($R53:AS53)&gt;=$G53,0,$L53=AT$2,$G53/$P53,AS53&gt;0,$G53/$P53,TRUE,0)</f>
        <v>2954.4705882352937</v>
      </c>
      <c r="AU53" s="311" cm="1">
        <f t="array" ref="AU53">_xlfn.IFS(SUM($R53:AT53)&gt;=$G53,0,$L53=AU$2,$G53/$P53,AT53&gt;0,$G53/$P53,TRUE,0)</f>
        <v>2954.4705882352937</v>
      </c>
      <c r="AV53" s="311" cm="1">
        <f t="array" ref="AV53">_xlfn.IFS(SUM($R53:AU53)&gt;=$G53,0,$L53=AV$2,$G53/$P53,AU53&gt;0,$G53/$P53,TRUE,0)</f>
        <v>2954.4705882352937</v>
      </c>
      <c r="AW53" s="311" cm="1">
        <f t="array" ref="AW53">_xlfn.IFS(SUM($R53:AV53)&gt;=$G53,0,$L53=AW$2,$G53/$P53,AV53&gt;0,$G53/$P53,TRUE,0)</f>
        <v>2954.4705882352937</v>
      </c>
      <c r="AX53" s="311" cm="1">
        <f t="array" ref="AX53">_xlfn.IFS(SUM($R53:AW53)&gt;=$G53,0,$L53=AX$2,$G53/$P53,AW53&gt;0,$G53/$P53,TRUE,0)</f>
        <v>2954.4705882352937</v>
      </c>
      <c r="AY53" s="311" cm="1">
        <f t="array" ref="AY53">_xlfn.IFS(SUM($R53:AX53)&gt;=$G53,0,$L53=AY$2,$G53/$P53,AX53&gt;0,$G53/$P53,TRUE,0)</f>
        <v>0</v>
      </c>
      <c r="AZ53" s="311" cm="1">
        <f t="array" ref="AZ53">_xlfn.IFS(SUM($R53:AY53)&gt;=$G53,0,$L53=AZ$2,$G53/$P53,AY53&gt;0,$G53/$P53,TRUE,0)</f>
        <v>0</v>
      </c>
      <c r="BA53" s="311">
        <f t="shared" si="14"/>
        <v>50225.999999999993</v>
      </c>
      <c r="BF53" s="1065"/>
      <c r="BG53" s="1066"/>
      <c r="BH53" s="1066"/>
      <c r="BI53" s="1066"/>
      <c r="BJ53" s="1067"/>
    </row>
    <row r="54" spans="1:62" ht="15" customHeight="1">
      <c r="A54" t="str">
        <f t="shared" si="11"/>
        <v/>
      </c>
      <c r="B54" s="79" t="s">
        <v>525</v>
      </c>
      <c r="C54" s="79" t="s">
        <v>1099</v>
      </c>
      <c r="D54" s="79" t="s">
        <v>1075</v>
      </c>
      <c r="E54" s="6" t="s">
        <v>1154</v>
      </c>
      <c r="F54" s="147">
        <v>2400</v>
      </c>
      <c r="G54" s="121">
        <f t="shared" si="15"/>
        <v>40140</v>
      </c>
      <c r="H54" s="625">
        <f>$L$34</f>
        <v>16.725000000000001</v>
      </c>
      <c r="I54" s="79" t="s">
        <v>441</v>
      </c>
      <c r="J54" s="79">
        <f t="shared" si="12"/>
        <v>2028</v>
      </c>
      <c r="K54" s="79"/>
      <c r="L54" s="88" t="s">
        <v>984</v>
      </c>
      <c r="M54" s="88" t="s">
        <v>984</v>
      </c>
      <c r="N54" s="88" t="str">
        <f>LEFT(M54,2)&amp;(4+RIGHT(M54,2))</f>
        <v>2Q33</v>
      </c>
      <c r="O54" s="88"/>
      <c r="P54" s="121">
        <f t="shared" si="13"/>
        <v>17</v>
      </c>
      <c r="Q54" s="283"/>
      <c r="R54" s="283"/>
      <c r="S54" s="311" cm="1">
        <f t="array" ref="S54">_xlfn.IFS(SUM($R54:R54)&gt;=$G54,0,$L54=S$2,$G54/$P54,R54&gt;0,$G54/$P54,TRUE,0)</f>
        <v>0</v>
      </c>
      <c r="T54" s="311" cm="1">
        <f t="array" ref="T54">_xlfn.IFS(SUM($R54:S54)&gt;=$G54,0,$L54=T$2,$G54/$P54,S54&gt;0,$G54/$P54,TRUE,0)</f>
        <v>0</v>
      </c>
      <c r="U54" s="311" cm="1">
        <f t="array" ref="U54">_xlfn.IFS(SUM($R54:T54)&gt;=$G54,0,$L54=U$2,$G54/$P54,T54&gt;0,$G54/$P54,TRUE,0)</f>
        <v>0</v>
      </c>
      <c r="V54" s="311" cm="1">
        <f t="array" ref="V54">_xlfn.IFS(SUM($R54:U54)&gt;=$G54,0,$L54=V$2,$G54/$P54,U54&gt;0,$G54/$P54,TRUE,0)</f>
        <v>0</v>
      </c>
      <c r="W54" s="311" cm="1">
        <f t="array" ref="W54">_xlfn.IFS(SUM($R54:V54)&gt;=$G54,0,$L54=W$2,$G54/$P54,V54&gt;0,$G54/$P54,TRUE,0)</f>
        <v>0</v>
      </c>
      <c r="X54" s="311" cm="1">
        <f t="array" ref="X54">_xlfn.IFS(SUM($R54:W54)&gt;=$G54,0,$L54=X$2,$G54/$P54,W54&gt;0,$G54/$P54,TRUE,0)</f>
        <v>0</v>
      </c>
      <c r="Y54" s="311" cm="1">
        <f t="array" ref="Y54">_xlfn.IFS(SUM($R54:X54)&gt;=$G54,0,$L54=Y$2,$G54/$P54,X54&gt;0,$G54/$P54,TRUE,0)</f>
        <v>0</v>
      </c>
      <c r="Z54" s="311" cm="1">
        <f t="array" ref="Z54">_xlfn.IFS(SUM($R54:Y54)&gt;=$G54,0,$L54=Z$2,$G54/$P54,Y54&gt;0,$G54/$P54,TRUE,0)</f>
        <v>0</v>
      </c>
      <c r="AA54" s="311" cm="1">
        <f t="array" ref="AA54">_xlfn.IFS(SUM($R54:Z54)&gt;=$G54,0,$L54=AA$2,$G54/$P54,Z54&gt;0,$G54/$P54,TRUE,0)</f>
        <v>0</v>
      </c>
      <c r="AB54" s="311" cm="1">
        <f t="array" ref="AB54">_xlfn.IFS(SUM($R54:AA54)&gt;=$G54,0,$L54=AB$2,$G54/$P54,AA54&gt;0,$G54/$P54,TRUE,0)</f>
        <v>0</v>
      </c>
      <c r="AC54" s="311" cm="1">
        <f t="array" ref="AC54">_xlfn.IFS(SUM($R54:AB54)&gt;=$G54,0,$L54=AC$2,$G54/$P54,AB54&gt;0,$G54/$P54,TRUE,0)</f>
        <v>0</v>
      </c>
      <c r="AD54" s="311" cm="1">
        <f t="array" ref="AD54">_xlfn.IFS(SUM($R54:AC54)&gt;=$G54,0,$L54=AD$2,$G54/$P54,AC54&gt;0,$G54/$P54,TRUE,0)</f>
        <v>0</v>
      </c>
      <c r="AE54" s="311" cm="1">
        <f t="array" ref="AE54">_xlfn.IFS(SUM($R54:AD54)&gt;=$G54,0,$L54=AE$2,$G54/$P54,AD54&gt;0,$G54/$P54,TRUE,0)</f>
        <v>0</v>
      </c>
      <c r="AF54" s="311" cm="1">
        <f t="array" ref="AF54">_xlfn.IFS(SUM($R54:AE54)&gt;=$G54,0,$L54=AF$2,$G54/$P54,AE54&gt;0,$G54/$P54,TRUE,0)</f>
        <v>0</v>
      </c>
      <c r="AG54" s="311" cm="1">
        <f t="array" ref="AG54">_xlfn.IFS(SUM($R54:AF54)&gt;=$G54,0,$L54=AG$2,$G54/$P54,AF54&gt;0,$G54/$P54,TRUE,0)</f>
        <v>0</v>
      </c>
      <c r="AH54" s="311" cm="1">
        <f t="array" ref="AH54">_xlfn.IFS(SUM($R54:AG54)&gt;=$G54,0,$L54=AH$2,$G54/$P54,AG54&gt;0,$G54/$P54,TRUE,0)</f>
        <v>2361.1764705882351</v>
      </c>
      <c r="AI54" s="311" cm="1">
        <f t="array" ref="AI54">_xlfn.IFS(SUM($R54:AH54)&gt;=$G54,0,$L54=AI$2,$G54/$P54,AH54&gt;0,$G54/$P54,TRUE,0)</f>
        <v>2361.1764705882351</v>
      </c>
      <c r="AJ54" s="311" cm="1">
        <f t="array" ref="AJ54">_xlfn.IFS(SUM($R54:AI54)&gt;=$G54,0,$L54=AJ$2,$G54/$P54,AI54&gt;0,$G54/$P54,TRUE,0)</f>
        <v>2361.1764705882351</v>
      </c>
      <c r="AK54" s="311" cm="1">
        <f t="array" ref="AK54">_xlfn.IFS(SUM($R54:AJ54)&gt;=$G54,0,$L54=AK$2,$G54/$P54,AJ54&gt;0,$G54/$P54,TRUE,0)</f>
        <v>2361.1764705882351</v>
      </c>
      <c r="AL54" s="311" cm="1">
        <f t="array" ref="AL54">_xlfn.IFS(SUM($R54:AK54)&gt;=$G54,0,$L54=AL$2,$G54/$P54,AK54&gt;0,$G54/$P54,TRUE,0)</f>
        <v>2361.1764705882351</v>
      </c>
      <c r="AM54" s="311" cm="1">
        <f t="array" ref="AM54">_xlfn.IFS(SUM($R54:AL54)&gt;=$G54,0,$L54=AM$2,$G54/$P54,AL54&gt;0,$G54/$P54,TRUE,0)</f>
        <v>2361.1764705882351</v>
      </c>
      <c r="AN54" s="311" cm="1">
        <f t="array" ref="AN54">_xlfn.IFS(SUM($R54:AM54)&gt;=$G54,0,$L54=AN$2,$G54/$P54,AM54&gt;0,$G54/$P54,TRUE,0)</f>
        <v>2361.1764705882351</v>
      </c>
      <c r="AO54" s="311" cm="1">
        <f t="array" ref="AO54">_xlfn.IFS(SUM($R54:AN54)&gt;=$G54,0,$L54=AO$2,$G54/$P54,AN54&gt;0,$G54/$P54,TRUE,0)</f>
        <v>2361.1764705882351</v>
      </c>
      <c r="AP54" s="311" cm="1">
        <f t="array" ref="AP54">_xlfn.IFS(SUM($R54:AO54)&gt;=$G54,0,$L54=AP$2,$G54/$P54,AO54&gt;0,$G54/$P54,TRUE,0)</f>
        <v>2361.1764705882351</v>
      </c>
      <c r="AQ54" s="311" cm="1">
        <f t="array" ref="AQ54">_xlfn.IFS(SUM($R54:AP54)&gt;=$G54,0,$L54=AQ$2,$G54/$P54,AP54&gt;0,$G54/$P54,TRUE,0)</f>
        <v>2361.1764705882351</v>
      </c>
      <c r="AR54" s="311" cm="1">
        <f t="array" ref="AR54">_xlfn.IFS(SUM($R54:AQ54)&gt;=$G54,0,$L54=AR$2,$G54/$P54,AQ54&gt;0,$G54/$P54,TRUE,0)</f>
        <v>2361.1764705882351</v>
      </c>
      <c r="AS54" s="311" cm="1">
        <f t="array" ref="AS54">_xlfn.IFS(SUM($R54:AR54)&gt;=$G54,0,$L54=AS$2,$G54/$P54,AR54&gt;0,$G54/$P54,TRUE,0)</f>
        <v>2361.1764705882351</v>
      </c>
      <c r="AT54" s="311" cm="1">
        <f t="array" ref="AT54">_xlfn.IFS(SUM($R54:AS54)&gt;=$G54,0,$L54=AT$2,$G54/$P54,AS54&gt;0,$G54/$P54,TRUE,0)</f>
        <v>2361.1764705882351</v>
      </c>
      <c r="AU54" s="311" cm="1">
        <f t="array" ref="AU54">_xlfn.IFS(SUM($R54:AT54)&gt;=$G54,0,$L54=AU$2,$G54/$P54,AT54&gt;0,$G54/$P54,TRUE,0)</f>
        <v>2361.1764705882351</v>
      </c>
      <c r="AV54" s="311" cm="1">
        <f t="array" ref="AV54">_xlfn.IFS(SUM($R54:AU54)&gt;=$G54,0,$L54=AV$2,$G54/$P54,AU54&gt;0,$G54/$P54,TRUE,0)</f>
        <v>2361.1764705882351</v>
      </c>
      <c r="AW54" s="311" cm="1">
        <f t="array" ref="AW54">_xlfn.IFS(SUM($R54:AV54)&gt;=$G54,0,$L54=AW$2,$G54/$P54,AV54&gt;0,$G54/$P54,TRUE,0)</f>
        <v>2361.1764705882351</v>
      </c>
      <c r="AX54" s="311" cm="1">
        <f t="array" ref="AX54">_xlfn.IFS(SUM($R54:AW54)&gt;=$G54,0,$L54=AX$2,$G54/$P54,AW54&gt;0,$G54/$P54,TRUE,0)</f>
        <v>2361.1764705882351</v>
      </c>
      <c r="AY54" s="311" cm="1">
        <f t="array" ref="AY54">_xlfn.IFS(SUM($R54:AX54)&gt;=$G54,0,$L54=AY$2,$G54/$P54,AX54&gt;0,$G54/$P54,TRUE,0)</f>
        <v>0</v>
      </c>
      <c r="AZ54" s="311" cm="1">
        <f t="array" ref="AZ54">_xlfn.IFS(SUM($R54:AY54)&gt;=$G54,0,$L54=AZ$2,$G54/$P54,AY54&gt;0,$G54/$P54,TRUE,0)</f>
        <v>0</v>
      </c>
      <c r="BA54" s="311">
        <f t="shared" si="14"/>
        <v>40140</v>
      </c>
      <c r="BF54" s="1065"/>
      <c r="BG54" s="1066"/>
      <c r="BH54" s="1066"/>
      <c r="BI54" s="1066"/>
      <c r="BJ54" s="1067"/>
    </row>
    <row r="55" spans="1:62" s="472" customFormat="1" ht="15" customHeight="1">
      <c r="A55" t="str">
        <f t="shared" si="11"/>
        <v/>
      </c>
      <c r="B55" s="139" t="s">
        <v>525</v>
      </c>
      <c r="C55" s="139" t="s">
        <v>1099</v>
      </c>
      <c r="D55" s="139" t="s">
        <v>1075</v>
      </c>
      <c r="E55" s="59" t="s">
        <v>1155</v>
      </c>
      <c r="F55" s="471">
        <v>2400</v>
      </c>
      <c r="G55" s="140">
        <f t="shared" si="15"/>
        <v>20732.559711581795</v>
      </c>
      <c r="H55" s="626">
        <f>$L$38</f>
        <v>8.6385665464924148</v>
      </c>
      <c r="I55" s="139" t="s">
        <v>440</v>
      </c>
      <c r="J55" s="139">
        <f t="shared" si="12"/>
        <v>2028</v>
      </c>
      <c r="K55" s="139"/>
      <c r="L55" s="138" t="s">
        <v>984</v>
      </c>
      <c r="M55" s="138" t="s">
        <v>984</v>
      </c>
      <c r="N55" s="139" t="s">
        <v>1098</v>
      </c>
      <c r="O55" s="139"/>
      <c r="P55" s="140">
        <f t="shared" si="13"/>
        <v>11</v>
      </c>
      <c r="Q55" s="628"/>
      <c r="R55" s="628"/>
      <c r="S55" s="490" cm="1">
        <f t="array" ref="S55">_xlfn.IFS(SUM($R55:R55)&gt;=$G55,0,$L55=S$2,$G55/$P55,R55&gt;0,$G55/$P55,TRUE,0)</f>
        <v>0</v>
      </c>
      <c r="T55" s="490" cm="1">
        <f t="array" ref="T55">_xlfn.IFS(SUM($R55:S55)&gt;=$G55,0,$L55=T$2,$G55/$P55,S55&gt;0,$G55/$P55,TRUE,0)</f>
        <v>0</v>
      </c>
      <c r="U55" s="490" cm="1">
        <f t="array" ref="U55">_xlfn.IFS(SUM($R55:T55)&gt;=$G55,0,$L55=U$2,$G55/$P55,T55&gt;0,$G55/$P55,TRUE,0)</f>
        <v>0</v>
      </c>
      <c r="V55" s="490" cm="1">
        <f t="array" ref="V55">_xlfn.IFS(SUM($R55:U55)&gt;=$G55,0,$L55=V$2,$G55/$P55,U55&gt;0,$G55/$P55,TRUE,0)</f>
        <v>0</v>
      </c>
      <c r="W55" s="490" cm="1">
        <f t="array" ref="W55">_xlfn.IFS(SUM($R55:V55)&gt;=$G55,0,$L55=W$2,$G55/$P55,V55&gt;0,$G55/$P55,TRUE,0)</f>
        <v>0</v>
      </c>
      <c r="X55" s="490" cm="1">
        <f t="array" ref="X55">_xlfn.IFS(SUM($R55:W55)&gt;=$G55,0,$L55=X$2,$G55/$P55,W55&gt;0,$G55/$P55,TRUE,0)</f>
        <v>0</v>
      </c>
      <c r="Y55" s="490" cm="1">
        <f t="array" ref="Y55">_xlfn.IFS(SUM($R55:X55)&gt;=$G55,0,$L55=Y$2,$G55/$P55,X55&gt;0,$G55/$P55,TRUE,0)</f>
        <v>0</v>
      </c>
      <c r="Z55" s="490" cm="1">
        <f t="array" ref="Z55">_xlfn.IFS(SUM($R55:Y55)&gt;=$G55,0,$L55=Z$2,$G55/$P55,Y55&gt;0,$G55/$P55,TRUE,0)</f>
        <v>0</v>
      </c>
      <c r="AA55" s="490" cm="1">
        <f t="array" ref="AA55">_xlfn.IFS(SUM($R55:Z55)&gt;=$G55,0,$L55=AA$2,$G55/$P55,Z55&gt;0,$G55/$P55,TRUE,0)</f>
        <v>0</v>
      </c>
      <c r="AB55" s="490" cm="1">
        <f t="array" ref="AB55">_xlfn.IFS(SUM($R55:AA55)&gt;=$G55,0,$L55=AB$2,$G55/$P55,AA55&gt;0,$G55/$P55,TRUE,0)</f>
        <v>0</v>
      </c>
      <c r="AC55" s="490" cm="1">
        <f t="array" ref="AC55">_xlfn.IFS(SUM($R55:AB55)&gt;=$G55,0,$L55=AC$2,$G55/$P55,AB55&gt;0,$G55/$P55,TRUE,0)</f>
        <v>0</v>
      </c>
      <c r="AD55" s="490" cm="1">
        <f t="array" ref="AD55">_xlfn.IFS(SUM($R55:AC55)&gt;=$G55,0,$L55=AD$2,$G55/$P55,AC55&gt;0,$G55/$P55,TRUE,0)</f>
        <v>0</v>
      </c>
      <c r="AE55" s="490" cm="1">
        <f t="array" ref="AE55">_xlfn.IFS(SUM($R55:AD55)&gt;=$G55,0,$L55=AE$2,$G55/$P55,AD55&gt;0,$G55/$P55,TRUE,0)</f>
        <v>0</v>
      </c>
      <c r="AF55" s="490" cm="1">
        <f t="array" ref="AF55">_xlfn.IFS(SUM($R55:AE55)&gt;=$G55,0,$L55=AF$2,$G55/$P55,AE55&gt;0,$G55/$P55,TRUE,0)</f>
        <v>0</v>
      </c>
      <c r="AG55" s="490" cm="1">
        <f t="array" ref="AG55">_xlfn.IFS(SUM($R55:AF55)&gt;=$G55,0,$L55=AG$2,$G55/$P55,AF55&gt;0,$G55/$P55,TRUE,0)</f>
        <v>0</v>
      </c>
      <c r="AH55" s="490" cm="1">
        <f t="array" ref="AH55">_xlfn.IFS(SUM($R55:AG55)&gt;=$G55,0,$L55=AH$2,$G55/$P55,AG55&gt;0,$G55/$P55,TRUE,0)</f>
        <v>1884.7781555983449</v>
      </c>
      <c r="AI55" s="490" cm="1">
        <f t="array" ref="AI55">_xlfn.IFS(SUM($R55:AH55)&gt;=$G55,0,$L55=AI$2,$G55/$P55,AH55&gt;0,$G55/$P55,TRUE,0)</f>
        <v>1884.7781555983449</v>
      </c>
      <c r="AJ55" s="490" cm="1">
        <f t="array" ref="AJ55">_xlfn.IFS(SUM($R55:AI55)&gt;=$G55,0,$L55=AJ$2,$G55/$P55,AI55&gt;0,$G55/$P55,TRUE,0)</f>
        <v>1884.7781555983449</v>
      </c>
      <c r="AK55" s="490" cm="1">
        <f t="array" ref="AK55">_xlfn.IFS(SUM($R55:AJ55)&gt;=$G55,0,$L55=AK$2,$G55/$P55,AJ55&gt;0,$G55/$P55,TRUE,0)</f>
        <v>1884.7781555983449</v>
      </c>
      <c r="AL55" s="490" cm="1">
        <f t="array" ref="AL55">_xlfn.IFS(SUM($R55:AK55)&gt;=$G55,0,$L55=AL$2,$G55/$P55,AK55&gt;0,$G55/$P55,TRUE,0)</f>
        <v>1884.7781555983449</v>
      </c>
      <c r="AM55" s="490" cm="1">
        <f t="array" ref="AM55">_xlfn.IFS(SUM($R55:AL55)&gt;=$G55,0,$L55=AM$2,$G55/$P55,AL55&gt;0,$G55/$P55,TRUE,0)</f>
        <v>1884.7781555983449</v>
      </c>
      <c r="AN55" s="490" cm="1">
        <f t="array" ref="AN55">_xlfn.IFS(SUM($R55:AM55)&gt;=$G55,0,$L55=AN$2,$G55/$P55,AM55&gt;0,$G55/$P55,TRUE,0)</f>
        <v>1884.7781555983449</v>
      </c>
      <c r="AO55" s="490" cm="1">
        <f t="array" ref="AO55">_xlfn.IFS(SUM($R55:AN55)&gt;=$G55,0,$L55=AO$2,$G55/$P55,AN55&gt;0,$G55/$P55,TRUE,0)</f>
        <v>1884.7781555983449</v>
      </c>
      <c r="AP55" s="490" cm="1">
        <f t="array" ref="AP55">_xlfn.IFS(SUM($R55:AO55)&gt;=$G55,0,$L55=AP$2,$G55/$P55,AO55&gt;0,$G55/$P55,TRUE,0)</f>
        <v>1884.7781555983449</v>
      </c>
      <c r="AQ55" s="490" cm="1">
        <f t="array" ref="AQ55">_xlfn.IFS(SUM($R55:AP55)&gt;=$G55,0,$L55=AQ$2,$G55/$P55,AP55&gt;0,$G55/$P55,TRUE,0)</f>
        <v>1884.7781555983449</v>
      </c>
      <c r="AR55" s="490" cm="1">
        <f t="array" ref="AR55">_xlfn.IFS(SUM($R55:AQ55)&gt;=$G55,0,$L55=AR$2,$G55/$P55,AQ55&gt;0,$G55/$P55,TRUE,0)</f>
        <v>1884.7781555983449</v>
      </c>
      <c r="AS55" s="490" cm="1">
        <f t="array" ref="AS55">_xlfn.IFS(SUM($R55:AR55)&gt;=$G55,0,$L55=AS$2,$G55/$P55,AR55&gt;0,$G55/$P55,TRUE,0)</f>
        <v>0</v>
      </c>
      <c r="AT55" s="490" cm="1">
        <f t="array" ref="AT55">_xlfn.IFS(SUM($R55:AS55)&gt;=$G55,0,$L55=AT$2,$G55/$P55,AS55&gt;0,$G55/$P55,TRUE,0)</f>
        <v>0</v>
      </c>
      <c r="AU55" s="490" cm="1">
        <f t="array" ref="AU55">_xlfn.IFS(SUM($R55:AT55)&gt;=$G55,0,$L55=AU$2,$G55/$P55,AT55&gt;0,$G55/$P55,TRUE,0)</f>
        <v>0</v>
      </c>
      <c r="AV55" s="490" cm="1">
        <f t="array" ref="AV55">_xlfn.IFS(SUM($R55:AU55)&gt;=$G55,0,$L55=AV$2,$G55/$P55,AU55&gt;0,$G55/$P55,TRUE,0)</f>
        <v>0</v>
      </c>
      <c r="AW55" s="490" cm="1">
        <f t="array" ref="AW55">_xlfn.IFS(SUM($R55:AV55)&gt;=$G55,0,$L55=AW$2,$G55/$P55,AV55&gt;0,$G55/$P55,TRUE,0)</f>
        <v>0</v>
      </c>
      <c r="AX55" s="490" cm="1">
        <f t="array" ref="AX55">_xlfn.IFS(SUM($R55:AW55)&gt;=$G55,0,$L55=AX$2,$G55/$P55,AW55&gt;0,$G55/$P55,TRUE,0)</f>
        <v>0</v>
      </c>
      <c r="AY55" s="490" cm="1">
        <f t="array" ref="AY55">_xlfn.IFS(SUM($R55:AX55)&gt;=$G55,0,$L55=AY$2,$G55/$P55,AX55&gt;0,$G55/$P55,TRUE,0)</f>
        <v>0</v>
      </c>
      <c r="AZ55" s="490" cm="1">
        <f t="array" ref="AZ55">_xlfn.IFS(SUM($R55:AY55)&gt;=$G55,0,$L55=AZ$2,$G55/$P55,AY55&gt;0,$G55/$P55,TRUE,0)</f>
        <v>0</v>
      </c>
      <c r="BA55" s="311">
        <f t="shared" si="14"/>
        <v>20732.559711581798</v>
      </c>
      <c r="BB55" s="118"/>
      <c r="BC55" s="118"/>
      <c r="BD55" s="118"/>
      <c r="BF55" s="1065"/>
      <c r="BG55" s="1066"/>
      <c r="BH55" s="1066"/>
      <c r="BI55" s="1066"/>
      <c r="BJ55" s="1067"/>
    </row>
    <row r="56" spans="1:62" s="472" customFormat="1" ht="15" customHeight="1">
      <c r="A56" t="str">
        <f t="shared" si="11"/>
        <v/>
      </c>
      <c r="B56" s="394" t="s">
        <v>526</v>
      </c>
      <c r="C56" s="394" t="s">
        <v>1099</v>
      </c>
      <c r="D56" s="394" t="s">
        <v>1041</v>
      </c>
      <c r="E56" s="141" t="s">
        <v>1156</v>
      </c>
      <c r="F56" s="629">
        <v>2400</v>
      </c>
      <c r="G56" s="397">
        <f t="shared" si="15"/>
        <v>35528.571428571428</v>
      </c>
      <c r="H56" s="624">
        <f>$L$37</f>
        <v>14.803571428571429</v>
      </c>
      <c r="I56" s="394" t="s">
        <v>443</v>
      </c>
      <c r="J56" s="394">
        <f t="shared" si="12"/>
        <v>2027</v>
      </c>
      <c r="K56" s="394"/>
      <c r="L56" s="399" t="s">
        <v>984</v>
      </c>
      <c r="M56" s="399" t="s">
        <v>984</v>
      </c>
      <c r="N56" s="399" t="str">
        <f>LEFT(M56,2)&amp;(4+RIGHT(M56,2))</f>
        <v>2Q33</v>
      </c>
      <c r="O56" s="399"/>
      <c r="P56" s="397">
        <f t="shared" si="13"/>
        <v>17</v>
      </c>
      <c r="Q56" s="630"/>
      <c r="R56" s="630"/>
      <c r="S56" s="489" cm="1">
        <f t="array" ref="S56">_xlfn.IFS(SUM($R56:R56)&gt;=$G56,0,$L56=S$2,$G56/$P56,R56&gt;0,$G56/$P56,TRUE,0)</f>
        <v>0</v>
      </c>
      <c r="T56" s="489" cm="1">
        <f t="array" ref="T56">_xlfn.IFS(SUM($R56:S56)&gt;=$G56,0,$L56=T$2,$G56/$P56,S56&gt;0,$G56/$P56,TRUE,0)</f>
        <v>0</v>
      </c>
      <c r="U56" s="489" cm="1">
        <f t="array" ref="U56">_xlfn.IFS(SUM($R56:T56)&gt;=$G56,0,$L56=U$2,$G56/$P56,T56&gt;0,$G56/$P56,TRUE,0)</f>
        <v>0</v>
      </c>
      <c r="V56" s="489" cm="1">
        <f t="array" ref="V56">_xlfn.IFS(SUM($R56:U56)&gt;=$G56,0,$L56=V$2,$G56/$P56,U56&gt;0,$G56/$P56,TRUE,0)</f>
        <v>0</v>
      </c>
      <c r="W56" s="489" cm="1">
        <f t="array" ref="W56">_xlfn.IFS(SUM($R56:V56)&gt;=$G56,0,$L56=W$2,$G56/$P56,V56&gt;0,$G56/$P56,TRUE,0)</f>
        <v>0</v>
      </c>
      <c r="X56" s="489" cm="1">
        <f t="array" ref="X56">_xlfn.IFS(SUM($R56:W56)&gt;=$G56,0,$L56=X$2,$G56/$P56,W56&gt;0,$G56/$P56,TRUE,0)</f>
        <v>0</v>
      </c>
      <c r="Y56" s="489" cm="1">
        <f t="array" ref="Y56">_xlfn.IFS(SUM($R56:X56)&gt;=$G56,0,$L56=Y$2,$G56/$P56,X56&gt;0,$G56/$P56,TRUE,0)</f>
        <v>0</v>
      </c>
      <c r="Z56" s="489" cm="1">
        <f t="array" ref="Z56">_xlfn.IFS(SUM($R56:Y56)&gt;=$G56,0,$L56=Z$2,$G56/$P56,Y56&gt;0,$G56/$P56,TRUE,0)</f>
        <v>0</v>
      </c>
      <c r="AA56" s="489" cm="1">
        <f t="array" ref="AA56">_xlfn.IFS(SUM($R56:Z56)&gt;=$G56,0,$L56=AA$2,$G56/$P56,Z56&gt;0,$G56/$P56,TRUE,0)</f>
        <v>0</v>
      </c>
      <c r="AB56" s="489" cm="1">
        <f t="array" ref="AB56">_xlfn.IFS(SUM($R56:AA56)&gt;=$G56,0,$L56=AB$2,$G56/$P56,AA56&gt;0,$G56/$P56,TRUE,0)</f>
        <v>0</v>
      </c>
      <c r="AC56" s="489" cm="1">
        <f t="array" ref="AC56">_xlfn.IFS(SUM($R56:AB56)&gt;=$G56,0,$L56=AC$2,$G56/$P56,AB56&gt;0,$G56/$P56,TRUE,0)</f>
        <v>0</v>
      </c>
      <c r="AD56" s="489" cm="1">
        <f t="array" ref="AD56">_xlfn.IFS(SUM($R56:AC56)&gt;=$G56,0,$L56=AD$2,$G56/$P56,AC56&gt;0,$G56/$P56,TRUE,0)</f>
        <v>0</v>
      </c>
      <c r="AE56" s="489" cm="1">
        <f t="array" ref="AE56">_xlfn.IFS(SUM($R56:AD56)&gt;=$G56,0,$L56=AE$2,$G56/$P56,AD56&gt;0,$G56/$P56,TRUE,0)</f>
        <v>0</v>
      </c>
      <c r="AF56" s="489" cm="1">
        <f t="array" ref="AF56">_xlfn.IFS(SUM($R56:AE56)&gt;=$G56,0,$L56=AF$2,$G56/$P56,AE56&gt;0,$G56/$P56,TRUE,0)</f>
        <v>0</v>
      </c>
      <c r="AG56" s="489" cm="1">
        <f t="array" ref="AG56">_xlfn.IFS(SUM($R56:AF56)&gt;=$G56,0,$L56=AG$2,$G56/$P56,AF56&gt;0,$G56/$P56,TRUE,0)</f>
        <v>0</v>
      </c>
      <c r="AH56" s="489" cm="1">
        <f t="array" ref="AH56">_xlfn.IFS(SUM($R56:AG56)&gt;=$G56,0,$L56=AH$2,$G56/$P56,AG56&gt;0,$G56/$P56,TRUE,0)</f>
        <v>2089.9159663865544</v>
      </c>
      <c r="AI56" s="489" cm="1">
        <f t="array" ref="AI56">_xlfn.IFS(SUM($R56:AH56)&gt;=$G56,0,$L56=AI$2,$G56/$P56,AH56&gt;0,$G56/$P56,TRUE,0)</f>
        <v>2089.9159663865544</v>
      </c>
      <c r="AJ56" s="489" cm="1">
        <f t="array" ref="AJ56">_xlfn.IFS(SUM($R56:AI56)&gt;=$G56,0,$L56=AJ$2,$G56/$P56,AI56&gt;0,$G56/$P56,TRUE,0)</f>
        <v>2089.9159663865544</v>
      </c>
      <c r="AK56" s="489" cm="1">
        <f t="array" ref="AK56">_xlfn.IFS(SUM($R56:AJ56)&gt;=$G56,0,$L56=AK$2,$G56/$P56,AJ56&gt;0,$G56/$P56,TRUE,0)</f>
        <v>2089.9159663865544</v>
      </c>
      <c r="AL56" s="489" cm="1">
        <f t="array" ref="AL56">_xlfn.IFS(SUM($R56:AK56)&gt;=$G56,0,$L56=AL$2,$G56/$P56,AK56&gt;0,$G56/$P56,TRUE,0)</f>
        <v>2089.9159663865544</v>
      </c>
      <c r="AM56" s="489" cm="1">
        <f t="array" ref="AM56">_xlfn.IFS(SUM($R56:AL56)&gt;=$G56,0,$L56=AM$2,$G56/$P56,AL56&gt;0,$G56/$P56,TRUE,0)</f>
        <v>2089.9159663865544</v>
      </c>
      <c r="AN56" s="489" cm="1">
        <f t="array" ref="AN56">_xlfn.IFS(SUM($R56:AM56)&gt;=$G56,0,$L56=AN$2,$G56/$P56,AM56&gt;0,$G56/$P56,TRUE,0)</f>
        <v>2089.9159663865544</v>
      </c>
      <c r="AO56" s="489" cm="1">
        <f t="array" ref="AO56">_xlfn.IFS(SUM($R56:AN56)&gt;=$G56,0,$L56=AO$2,$G56/$P56,AN56&gt;0,$G56/$P56,TRUE,0)</f>
        <v>2089.9159663865544</v>
      </c>
      <c r="AP56" s="489" cm="1">
        <f t="array" ref="AP56">_xlfn.IFS(SUM($R56:AO56)&gt;=$G56,0,$L56=AP$2,$G56/$P56,AO56&gt;0,$G56/$P56,TRUE,0)</f>
        <v>2089.9159663865544</v>
      </c>
      <c r="AQ56" s="489" cm="1">
        <f t="array" ref="AQ56">_xlfn.IFS(SUM($R56:AP56)&gt;=$G56,0,$L56=AQ$2,$G56/$P56,AP56&gt;0,$G56/$P56,TRUE,0)</f>
        <v>2089.9159663865544</v>
      </c>
      <c r="AR56" s="489" cm="1">
        <f t="array" ref="AR56">_xlfn.IFS(SUM($R56:AQ56)&gt;=$G56,0,$L56=AR$2,$G56/$P56,AQ56&gt;0,$G56/$P56,TRUE,0)</f>
        <v>2089.9159663865544</v>
      </c>
      <c r="AS56" s="489" cm="1">
        <f t="array" ref="AS56">_xlfn.IFS(SUM($R56:AR56)&gt;=$G56,0,$L56=AS$2,$G56/$P56,AR56&gt;0,$G56/$P56,TRUE,0)</f>
        <v>2089.9159663865544</v>
      </c>
      <c r="AT56" s="489" cm="1">
        <f t="array" ref="AT56">_xlfn.IFS(SUM($R56:AS56)&gt;=$G56,0,$L56=AT$2,$G56/$P56,AS56&gt;0,$G56/$P56,TRUE,0)</f>
        <v>2089.9159663865544</v>
      </c>
      <c r="AU56" s="489" cm="1">
        <f t="array" ref="AU56">_xlfn.IFS(SUM($R56:AT56)&gt;=$G56,0,$L56=AU$2,$G56/$P56,AT56&gt;0,$G56/$P56,TRUE,0)</f>
        <v>2089.9159663865544</v>
      </c>
      <c r="AV56" s="489" cm="1">
        <f t="array" ref="AV56">_xlfn.IFS(SUM($R56:AU56)&gt;=$G56,0,$L56=AV$2,$G56/$P56,AU56&gt;0,$G56/$P56,TRUE,0)</f>
        <v>2089.9159663865544</v>
      </c>
      <c r="AW56" s="489" cm="1">
        <f t="array" ref="AW56">_xlfn.IFS(SUM($R56:AV56)&gt;=$G56,0,$L56=AW$2,$G56/$P56,AV56&gt;0,$G56/$P56,TRUE,0)</f>
        <v>2089.9159663865544</v>
      </c>
      <c r="AX56" s="489" cm="1">
        <f t="array" ref="AX56">_xlfn.IFS(SUM($R56:AW56)&gt;=$G56,0,$L56=AX$2,$G56/$P56,AW56&gt;0,$G56/$P56,TRUE,0)</f>
        <v>2089.9159663865544</v>
      </c>
      <c r="AY56" s="489" cm="1">
        <f t="array" ref="AY56">_xlfn.IFS(SUM($R56:AX56)&gt;=$G56,0,$L56=AY$2,$G56/$P56,AX56&gt;0,$G56/$P56,TRUE,0)</f>
        <v>0</v>
      </c>
      <c r="AZ56" s="489" cm="1">
        <f t="array" ref="AZ56">_xlfn.IFS(SUM($R56:AY56)&gt;=$G56,0,$L56=AZ$2,$G56/$P56,AY56&gt;0,$G56/$P56,TRUE,0)</f>
        <v>0</v>
      </c>
      <c r="BA56" s="311">
        <f t="shared" si="14"/>
        <v>35528.571428571428</v>
      </c>
      <c r="BB56" s="118"/>
      <c r="BC56" s="118"/>
      <c r="BD56" s="118"/>
      <c r="BF56" s="1065"/>
      <c r="BG56" s="1066"/>
      <c r="BH56" s="1066"/>
      <c r="BI56" s="1066"/>
      <c r="BJ56" s="1067"/>
    </row>
    <row r="57" spans="1:62" s="472" customFormat="1" ht="15" customHeight="1">
      <c r="A57" t="str">
        <f t="shared" si="11"/>
        <v/>
      </c>
      <c r="B57" s="79" t="s">
        <v>526</v>
      </c>
      <c r="C57" s="79" t="s">
        <v>1099</v>
      </c>
      <c r="D57" s="79" t="s">
        <v>1041</v>
      </c>
      <c r="E57" s="6" t="s">
        <v>1157</v>
      </c>
      <c r="F57" s="631">
        <v>2400</v>
      </c>
      <c r="G57" s="121">
        <f t="shared" si="15"/>
        <v>50225.999999999993</v>
      </c>
      <c r="H57" s="625">
        <f>$L$36</f>
        <v>20.927499999999998</v>
      </c>
      <c r="I57" s="79" t="s">
        <v>443</v>
      </c>
      <c r="J57" s="79">
        <f t="shared" si="12"/>
        <v>2027</v>
      </c>
      <c r="K57" s="79"/>
      <c r="L57" s="88" t="s">
        <v>984</v>
      </c>
      <c r="M57" s="88" t="s">
        <v>984</v>
      </c>
      <c r="N57" s="88" t="str">
        <f>LEFT(M57,2)&amp;(4+RIGHT(M57,2))</f>
        <v>2Q33</v>
      </c>
      <c r="O57" s="88"/>
      <c r="P57" s="121">
        <f t="shared" si="13"/>
        <v>17</v>
      </c>
      <c r="Q57" s="632"/>
      <c r="R57" s="632"/>
      <c r="S57" s="311" cm="1">
        <f t="array" ref="S57">_xlfn.IFS(SUM($R57:R57)&gt;=$G57,0,$L57=S$2,$G57/$P57,R57&gt;0,$G57/$P57,TRUE,0)</f>
        <v>0</v>
      </c>
      <c r="T57" s="311" cm="1">
        <f t="array" ref="T57">_xlfn.IFS(SUM($R57:S57)&gt;=$G57,0,$L57=T$2,$G57/$P57,S57&gt;0,$G57/$P57,TRUE,0)</f>
        <v>0</v>
      </c>
      <c r="U57" s="311" cm="1">
        <f t="array" ref="U57">_xlfn.IFS(SUM($R57:T57)&gt;=$G57,0,$L57=U$2,$G57/$P57,T57&gt;0,$G57/$P57,TRUE,0)</f>
        <v>0</v>
      </c>
      <c r="V57" s="311" cm="1">
        <f t="array" ref="V57">_xlfn.IFS(SUM($R57:U57)&gt;=$G57,0,$L57=V$2,$G57/$P57,U57&gt;0,$G57/$P57,TRUE,0)</f>
        <v>0</v>
      </c>
      <c r="W57" s="311" cm="1">
        <f t="array" ref="W57">_xlfn.IFS(SUM($R57:V57)&gt;=$G57,0,$L57=W$2,$G57/$P57,V57&gt;0,$G57/$P57,TRUE,0)</f>
        <v>0</v>
      </c>
      <c r="X57" s="311" cm="1">
        <f t="array" ref="X57">_xlfn.IFS(SUM($R57:W57)&gt;=$G57,0,$L57=X$2,$G57/$P57,W57&gt;0,$G57/$P57,TRUE,0)</f>
        <v>0</v>
      </c>
      <c r="Y57" s="311" cm="1">
        <f t="array" ref="Y57">_xlfn.IFS(SUM($R57:X57)&gt;=$G57,0,$L57=Y$2,$G57/$P57,X57&gt;0,$G57/$P57,TRUE,0)</f>
        <v>0</v>
      </c>
      <c r="Z57" s="311" cm="1">
        <f t="array" ref="Z57">_xlfn.IFS(SUM($R57:Y57)&gt;=$G57,0,$L57=Z$2,$G57/$P57,Y57&gt;0,$G57/$P57,TRUE,0)</f>
        <v>0</v>
      </c>
      <c r="AA57" s="311" cm="1">
        <f t="array" ref="AA57">_xlfn.IFS(SUM($R57:Z57)&gt;=$G57,0,$L57=AA$2,$G57/$P57,Z57&gt;0,$G57/$P57,TRUE,0)</f>
        <v>0</v>
      </c>
      <c r="AB57" s="311" cm="1">
        <f t="array" ref="AB57">_xlfn.IFS(SUM($R57:AA57)&gt;=$G57,0,$L57=AB$2,$G57/$P57,AA57&gt;0,$G57/$P57,TRUE,0)</f>
        <v>0</v>
      </c>
      <c r="AC57" s="311" cm="1">
        <f t="array" ref="AC57">_xlfn.IFS(SUM($R57:AB57)&gt;=$G57,0,$L57=AC$2,$G57/$P57,AB57&gt;0,$G57/$P57,TRUE,0)</f>
        <v>0</v>
      </c>
      <c r="AD57" s="311" cm="1">
        <f t="array" ref="AD57">_xlfn.IFS(SUM($R57:AC57)&gt;=$G57,0,$L57=AD$2,$G57/$P57,AC57&gt;0,$G57/$P57,TRUE,0)</f>
        <v>0</v>
      </c>
      <c r="AE57" s="311" cm="1">
        <f t="array" ref="AE57">_xlfn.IFS(SUM($R57:AD57)&gt;=$G57,0,$L57=AE$2,$G57/$P57,AD57&gt;0,$G57/$P57,TRUE,0)</f>
        <v>0</v>
      </c>
      <c r="AF57" s="311" cm="1">
        <f t="array" ref="AF57">_xlfn.IFS(SUM($R57:AE57)&gt;=$G57,0,$L57=AF$2,$G57/$P57,AE57&gt;0,$G57/$P57,TRUE,0)</f>
        <v>0</v>
      </c>
      <c r="AG57" s="311" cm="1">
        <f t="array" ref="AG57">_xlfn.IFS(SUM($R57:AF57)&gt;=$G57,0,$L57=AG$2,$G57/$P57,AF57&gt;0,$G57/$P57,TRUE,0)</f>
        <v>0</v>
      </c>
      <c r="AH57" s="311" cm="1">
        <f t="array" ref="AH57">_xlfn.IFS(SUM($R57:AG57)&gt;=$G57,0,$L57=AH$2,$G57/$P57,AG57&gt;0,$G57/$P57,TRUE,0)</f>
        <v>2954.4705882352937</v>
      </c>
      <c r="AI57" s="311" cm="1">
        <f t="array" ref="AI57">_xlfn.IFS(SUM($R57:AH57)&gt;=$G57,0,$L57=AI$2,$G57/$P57,AH57&gt;0,$G57/$P57,TRUE,0)</f>
        <v>2954.4705882352937</v>
      </c>
      <c r="AJ57" s="311" cm="1">
        <f t="array" ref="AJ57">_xlfn.IFS(SUM($R57:AI57)&gt;=$G57,0,$L57=AJ$2,$G57/$P57,AI57&gt;0,$G57/$P57,TRUE,0)</f>
        <v>2954.4705882352937</v>
      </c>
      <c r="AK57" s="311" cm="1">
        <f t="array" ref="AK57">_xlfn.IFS(SUM($R57:AJ57)&gt;=$G57,0,$L57=AK$2,$G57/$P57,AJ57&gt;0,$G57/$P57,TRUE,0)</f>
        <v>2954.4705882352937</v>
      </c>
      <c r="AL57" s="311" cm="1">
        <f t="array" ref="AL57">_xlfn.IFS(SUM($R57:AK57)&gt;=$G57,0,$L57=AL$2,$G57/$P57,AK57&gt;0,$G57/$P57,TRUE,0)</f>
        <v>2954.4705882352937</v>
      </c>
      <c r="AM57" s="311" cm="1">
        <f t="array" ref="AM57">_xlfn.IFS(SUM($R57:AL57)&gt;=$G57,0,$L57=AM$2,$G57/$P57,AL57&gt;0,$G57/$P57,TRUE,0)</f>
        <v>2954.4705882352937</v>
      </c>
      <c r="AN57" s="311" cm="1">
        <f t="array" ref="AN57">_xlfn.IFS(SUM($R57:AM57)&gt;=$G57,0,$L57=AN$2,$G57/$P57,AM57&gt;0,$G57/$P57,TRUE,0)</f>
        <v>2954.4705882352937</v>
      </c>
      <c r="AO57" s="311" cm="1">
        <f t="array" ref="AO57">_xlfn.IFS(SUM($R57:AN57)&gt;=$G57,0,$L57=AO$2,$G57/$P57,AN57&gt;0,$G57/$P57,TRUE,0)</f>
        <v>2954.4705882352937</v>
      </c>
      <c r="AP57" s="311" cm="1">
        <f t="array" ref="AP57">_xlfn.IFS(SUM($R57:AO57)&gt;=$G57,0,$L57=AP$2,$G57/$P57,AO57&gt;0,$G57/$P57,TRUE,0)</f>
        <v>2954.4705882352937</v>
      </c>
      <c r="AQ57" s="311" cm="1">
        <f t="array" ref="AQ57">_xlfn.IFS(SUM($R57:AP57)&gt;=$G57,0,$L57=AQ$2,$G57/$P57,AP57&gt;0,$G57/$P57,TRUE,0)</f>
        <v>2954.4705882352937</v>
      </c>
      <c r="AR57" s="311" cm="1">
        <f t="array" ref="AR57">_xlfn.IFS(SUM($R57:AQ57)&gt;=$G57,0,$L57=AR$2,$G57/$P57,AQ57&gt;0,$G57/$P57,TRUE,0)</f>
        <v>2954.4705882352937</v>
      </c>
      <c r="AS57" s="311" cm="1">
        <f t="array" ref="AS57">_xlfn.IFS(SUM($R57:AR57)&gt;=$G57,0,$L57=AS$2,$G57/$P57,AR57&gt;0,$G57/$P57,TRUE,0)</f>
        <v>2954.4705882352937</v>
      </c>
      <c r="AT57" s="311" cm="1">
        <f t="array" ref="AT57">_xlfn.IFS(SUM($R57:AS57)&gt;=$G57,0,$L57=AT$2,$G57/$P57,AS57&gt;0,$G57/$P57,TRUE,0)</f>
        <v>2954.4705882352937</v>
      </c>
      <c r="AU57" s="311" cm="1">
        <f t="array" ref="AU57">_xlfn.IFS(SUM($R57:AT57)&gt;=$G57,0,$L57=AU$2,$G57/$P57,AT57&gt;0,$G57/$P57,TRUE,0)</f>
        <v>2954.4705882352937</v>
      </c>
      <c r="AV57" s="311" cm="1">
        <f t="array" ref="AV57">_xlfn.IFS(SUM($R57:AU57)&gt;=$G57,0,$L57=AV$2,$G57/$P57,AU57&gt;0,$G57/$P57,TRUE,0)</f>
        <v>2954.4705882352937</v>
      </c>
      <c r="AW57" s="311" cm="1">
        <f t="array" ref="AW57">_xlfn.IFS(SUM($R57:AV57)&gt;=$G57,0,$L57=AW$2,$G57/$P57,AV57&gt;0,$G57/$P57,TRUE,0)</f>
        <v>2954.4705882352937</v>
      </c>
      <c r="AX57" s="311" cm="1">
        <f t="array" ref="AX57">_xlfn.IFS(SUM($R57:AW57)&gt;=$G57,0,$L57=AX$2,$G57/$P57,AW57&gt;0,$G57/$P57,TRUE,0)</f>
        <v>2954.4705882352937</v>
      </c>
      <c r="AY57" s="311" cm="1">
        <f t="array" ref="AY57">_xlfn.IFS(SUM($R57:AX57)&gt;=$G57,0,$L57=AY$2,$G57/$P57,AX57&gt;0,$G57/$P57,TRUE,0)</f>
        <v>0</v>
      </c>
      <c r="AZ57" s="311" cm="1">
        <f t="array" ref="AZ57">_xlfn.IFS(SUM($R57:AY57)&gt;=$G57,0,$L57=AZ$2,$G57/$P57,AY57&gt;0,$G57/$P57,TRUE,0)</f>
        <v>0</v>
      </c>
      <c r="BA57" s="311">
        <f t="shared" si="14"/>
        <v>50225.999999999993</v>
      </c>
      <c r="BB57" s="118"/>
      <c r="BC57" s="118"/>
      <c r="BD57" s="118"/>
      <c r="BF57" s="1068"/>
      <c r="BG57" s="1069"/>
      <c r="BH57" s="1069"/>
      <c r="BI57" s="1069"/>
      <c r="BJ57" s="1070"/>
    </row>
    <row r="58" spans="1:62" s="472" customFormat="1" ht="15" customHeight="1">
      <c r="A58" t="str">
        <f t="shared" si="11"/>
        <v/>
      </c>
      <c r="B58" s="79" t="s">
        <v>526</v>
      </c>
      <c r="C58" s="79" t="s">
        <v>1099</v>
      </c>
      <c r="D58" s="79" t="s">
        <v>1041</v>
      </c>
      <c r="E58" s="6" t="s">
        <v>1154</v>
      </c>
      <c r="F58" s="631">
        <v>2400</v>
      </c>
      <c r="G58" s="121">
        <f t="shared" si="15"/>
        <v>40140</v>
      </c>
      <c r="H58" s="625">
        <f>$L$34</f>
        <v>16.725000000000001</v>
      </c>
      <c r="I58" s="79" t="s">
        <v>441</v>
      </c>
      <c r="J58" s="79">
        <f t="shared" si="12"/>
        <v>2028</v>
      </c>
      <c r="K58" s="79"/>
      <c r="L58" s="88" t="s">
        <v>984</v>
      </c>
      <c r="M58" s="88" t="s">
        <v>984</v>
      </c>
      <c r="N58" s="88" t="str">
        <f>LEFT(M58,2)&amp;(4+RIGHT(M58,2))</f>
        <v>2Q33</v>
      </c>
      <c r="O58" s="88"/>
      <c r="P58" s="121">
        <f t="shared" si="13"/>
        <v>17</v>
      </c>
      <c r="Q58" s="632"/>
      <c r="R58" s="632"/>
      <c r="S58" s="311" cm="1">
        <f t="array" ref="S58">_xlfn.IFS(SUM($R58:R58)&gt;=$G58,0,$L58=S$2,$G58/$P58,R58&gt;0,$G58/$P58,TRUE,0)</f>
        <v>0</v>
      </c>
      <c r="T58" s="311" cm="1">
        <f t="array" ref="T58">_xlfn.IFS(SUM($R58:S58)&gt;=$G58,0,$L58=T$2,$G58/$P58,S58&gt;0,$G58/$P58,TRUE,0)</f>
        <v>0</v>
      </c>
      <c r="U58" s="311" cm="1">
        <f t="array" ref="U58">_xlfn.IFS(SUM($R58:T58)&gt;=$G58,0,$L58=U$2,$G58/$P58,T58&gt;0,$G58/$P58,TRUE,0)</f>
        <v>0</v>
      </c>
      <c r="V58" s="311" cm="1">
        <f t="array" ref="V58">_xlfn.IFS(SUM($R58:U58)&gt;=$G58,0,$L58=V$2,$G58/$P58,U58&gt;0,$G58/$P58,TRUE,0)</f>
        <v>0</v>
      </c>
      <c r="W58" s="311" cm="1">
        <f t="array" ref="W58">_xlfn.IFS(SUM($R58:V58)&gt;=$G58,0,$L58=W$2,$G58/$P58,V58&gt;0,$G58/$P58,TRUE,0)</f>
        <v>0</v>
      </c>
      <c r="X58" s="311" cm="1">
        <f t="array" ref="X58">_xlfn.IFS(SUM($R58:W58)&gt;=$G58,0,$L58=X$2,$G58/$P58,W58&gt;0,$G58/$P58,TRUE,0)</f>
        <v>0</v>
      </c>
      <c r="Y58" s="311" cm="1">
        <f t="array" ref="Y58">_xlfn.IFS(SUM($R58:X58)&gt;=$G58,0,$L58=Y$2,$G58/$P58,X58&gt;0,$G58/$P58,TRUE,0)</f>
        <v>0</v>
      </c>
      <c r="Z58" s="311" cm="1">
        <f t="array" ref="Z58">_xlfn.IFS(SUM($R58:Y58)&gt;=$G58,0,$L58=Z$2,$G58/$P58,Y58&gt;0,$G58/$P58,TRUE,0)</f>
        <v>0</v>
      </c>
      <c r="AA58" s="311" cm="1">
        <f t="array" ref="AA58">_xlfn.IFS(SUM($R58:Z58)&gt;=$G58,0,$L58=AA$2,$G58/$P58,Z58&gt;0,$G58/$P58,TRUE,0)</f>
        <v>0</v>
      </c>
      <c r="AB58" s="311" cm="1">
        <f t="array" ref="AB58">_xlfn.IFS(SUM($R58:AA58)&gt;=$G58,0,$L58=AB$2,$G58/$P58,AA58&gt;0,$G58/$P58,TRUE,0)</f>
        <v>0</v>
      </c>
      <c r="AC58" s="311" cm="1">
        <f t="array" ref="AC58">_xlfn.IFS(SUM($R58:AB58)&gt;=$G58,0,$L58=AC$2,$G58/$P58,AB58&gt;0,$G58/$P58,TRUE,0)</f>
        <v>0</v>
      </c>
      <c r="AD58" s="311" cm="1">
        <f t="array" ref="AD58">_xlfn.IFS(SUM($R58:AC58)&gt;=$G58,0,$L58=AD$2,$G58/$P58,AC58&gt;0,$G58/$P58,TRUE,0)</f>
        <v>0</v>
      </c>
      <c r="AE58" s="311" cm="1">
        <f t="array" ref="AE58">_xlfn.IFS(SUM($R58:AD58)&gt;=$G58,0,$L58=AE$2,$G58/$P58,AD58&gt;0,$G58/$P58,TRUE,0)</f>
        <v>0</v>
      </c>
      <c r="AF58" s="311" cm="1">
        <f t="array" ref="AF58">_xlfn.IFS(SUM($R58:AE58)&gt;=$G58,0,$L58=AF$2,$G58/$P58,AE58&gt;0,$G58/$P58,TRUE,0)</f>
        <v>0</v>
      </c>
      <c r="AG58" s="311" cm="1">
        <f t="array" ref="AG58">_xlfn.IFS(SUM($R58:AF58)&gt;=$G58,0,$L58=AG$2,$G58/$P58,AF58&gt;0,$G58/$P58,TRUE,0)</f>
        <v>0</v>
      </c>
      <c r="AH58" s="311" cm="1">
        <f t="array" ref="AH58">_xlfn.IFS(SUM($R58:AG58)&gt;=$G58,0,$L58=AH$2,$G58/$P58,AG58&gt;0,$G58/$P58,TRUE,0)</f>
        <v>2361.1764705882351</v>
      </c>
      <c r="AI58" s="311" cm="1">
        <f t="array" ref="AI58">_xlfn.IFS(SUM($R58:AH58)&gt;=$G58,0,$L58=AI$2,$G58/$P58,AH58&gt;0,$G58/$P58,TRUE,0)</f>
        <v>2361.1764705882351</v>
      </c>
      <c r="AJ58" s="311" cm="1">
        <f t="array" ref="AJ58">_xlfn.IFS(SUM($R58:AI58)&gt;=$G58,0,$L58=AJ$2,$G58/$P58,AI58&gt;0,$G58/$P58,TRUE,0)</f>
        <v>2361.1764705882351</v>
      </c>
      <c r="AK58" s="311" cm="1">
        <f t="array" ref="AK58">_xlfn.IFS(SUM($R58:AJ58)&gt;=$G58,0,$L58=AK$2,$G58/$P58,AJ58&gt;0,$G58/$P58,TRUE,0)</f>
        <v>2361.1764705882351</v>
      </c>
      <c r="AL58" s="311" cm="1">
        <f t="array" ref="AL58">_xlfn.IFS(SUM($R58:AK58)&gt;=$G58,0,$L58=AL$2,$G58/$P58,AK58&gt;0,$G58/$P58,TRUE,0)</f>
        <v>2361.1764705882351</v>
      </c>
      <c r="AM58" s="311" cm="1">
        <f t="array" ref="AM58">_xlfn.IFS(SUM($R58:AL58)&gt;=$G58,0,$L58=AM$2,$G58/$P58,AL58&gt;0,$G58/$P58,TRUE,0)</f>
        <v>2361.1764705882351</v>
      </c>
      <c r="AN58" s="311" cm="1">
        <f t="array" ref="AN58">_xlfn.IFS(SUM($R58:AM58)&gt;=$G58,0,$L58=AN$2,$G58/$P58,AM58&gt;0,$G58/$P58,TRUE,0)</f>
        <v>2361.1764705882351</v>
      </c>
      <c r="AO58" s="311" cm="1">
        <f t="array" ref="AO58">_xlfn.IFS(SUM($R58:AN58)&gt;=$G58,0,$L58=AO$2,$G58/$P58,AN58&gt;0,$G58/$P58,TRUE,0)</f>
        <v>2361.1764705882351</v>
      </c>
      <c r="AP58" s="311" cm="1">
        <f t="array" ref="AP58">_xlfn.IFS(SUM($R58:AO58)&gt;=$G58,0,$L58=AP$2,$G58/$P58,AO58&gt;0,$G58/$P58,TRUE,0)</f>
        <v>2361.1764705882351</v>
      </c>
      <c r="AQ58" s="311" cm="1">
        <f t="array" ref="AQ58">_xlfn.IFS(SUM($R58:AP58)&gt;=$G58,0,$L58=AQ$2,$G58/$P58,AP58&gt;0,$G58/$P58,TRUE,0)</f>
        <v>2361.1764705882351</v>
      </c>
      <c r="AR58" s="311" cm="1">
        <f t="array" ref="AR58">_xlfn.IFS(SUM($R58:AQ58)&gt;=$G58,0,$L58=AR$2,$G58/$P58,AQ58&gt;0,$G58/$P58,TRUE,0)</f>
        <v>2361.1764705882351</v>
      </c>
      <c r="AS58" s="311" cm="1">
        <f t="array" ref="AS58">_xlfn.IFS(SUM($R58:AR58)&gt;=$G58,0,$L58=AS$2,$G58/$P58,AR58&gt;0,$G58/$P58,TRUE,0)</f>
        <v>2361.1764705882351</v>
      </c>
      <c r="AT58" s="311" cm="1">
        <f t="array" ref="AT58">_xlfn.IFS(SUM($R58:AS58)&gt;=$G58,0,$L58=AT$2,$G58/$P58,AS58&gt;0,$G58/$P58,TRUE,0)</f>
        <v>2361.1764705882351</v>
      </c>
      <c r="AU58" s="311" cm="1">
        <f t="array" ref="AU58">_xlfn.IFS(SUM($R58:AT58)&gt;=$G58,0,$L58=AU$2,$G58/$P58,AT58&gt;0,$G58/$P58,TRUE,0)</f>
        <v>2361.1764705882351</v>
      </c>
      <c r="AV58" s="311" cm="1">
        <f t="array" ref="AV58">_xlfn.IFS(SUM($R58:AU58)&gt;=$G58,0,$L58=AV$2,$G58/$P58,AU58&gt;0,$G58/$P58,TRUE,0)</f>
        <v>2361.1764705882351</v>
      </c>
      <c r="AW58" s="311" cm="1">
        <f t="array" ref="AW58">_xlfn.IFS(SUM($R58:AV58)&gt;=$G58,0,$L58=AW$2,$G58/$P58,AV58&gt;0,$G58/$P58,TRUE,0)</f>
        <v>2361.1764705882351</v>
      </c>
      <c r="AX58" s="311" cm="1">
        <f t="array" ref="AX58">_xlfn.IFS(SUM($R58:AW58)&gt;=$G58,0,$L58=AX$2,$G58/$P58,AW58&gt;0,$G58/$P58,TRUE,0)</f>
        <v>2361.1764705882351</v>
      </c>
      <c r="AY58" s="311" cm="1">
        <f t="array" ref="AY58">_xlfn.IFS(SUM($R58:AX58)&gt;=$G58,0,$L58=AY$2,$G58/$P58,AX58&gt;0,$G58/$P58,TRUE,0)</f>
        <v>0</v>
      </c>
      <c r="AZ58" s="311" cm="1">
        <f t="array" ref="AZ58">_xlfn.IFS(SUM($R58:AY58)&gt;=$G58,0,$L58=AZ$2,$G58/$P58,AY58&gt;0,$G58/$P58,TRUE,0)</f>
        <v>0</v>
      </c>
      <c r="BA58" s="311">
        <f t="shared" si="14"/>
        <v>40140</v>
      </c>
      <c r="BB58" s="118"/>
      <c r="BC58" s="118"/>
      <c r="BD58" s="118"/>
    </row>
    <row r="59" spans="1:62" s="472" customFormat="1" ht="15" customHeight="1">
      <c r="A59" t="str">
        <f t="shared" si="11"/>
        <v/>
      </c>
      <c r="B59" s="139" t="s">
        <v>526</v>
      </c>
      <c r="C59" s="139" t="s">
        <v>1099</v>
      </c>
      <c r="D59" s="139" t="s">
        <v>1041</v>
      </c>
      <c r="E59" s="59" t="s">
        <v>1155</v>
      </c>
      <c r="F59" s="471">
        <v>2400</v>
      </c>
      <c r="G59" s="140">
        <f t="shared" si="15"/>
        <v>20732.559711581795</v>
      </c>
      <c r="H59" s="626">
        <f>$L$38</f>
        <v>8.6385665464924148</v>
      </c>
      <c r="I59" s="139" t="s">
        <v>440</v>
      </c>
      <c r="J59" s="139">
        <f t="shared" si="12"/>
        <v>2028</v>
      </c>
      <c r="K59" s="139"/>
      <c r="L59" s="138" t="s">
        <v>984</v>
      </c>
      <c r="M59" s="138" t="s">
        <v>984</v>
      </c>
      <c r="N59" s="139" t="s">
        <v>1098</v>
      </c>
      <c r="O59" s="139"/>
      <c r="P59" s="140">
        <f t="shared" si="13"/>
        <v>11</v>
      </c>
      <c r="Q59" s="628"/>
      <c r="R59" s="628"/>
      <c r="S59" s="490" cm="1">
        <f t="array" ref="S59">_xlfn.IFS(SUM($R59:R59)&gt;=$G59,0,$L59=S$2,$G59/$P59,R59&gt;0,$G59/$P59,TRUE,0)</f>
        <v>0</v>
      </c>
      <c r="T59" s="490" cm="1">
        <f t="array" ref="T59">_xlfn.IFS(SUM($R59:S59)&gt;=$G59,0,$L59=T$2,$G59/$P59,S59&gt;0,$G59/$P59,TRUE,0)</f>
        <v>0</v>
      </c>
      <c r="U59" s="490" cm="1">
        <f t="array" ref="U59">_xlfn.IFS(SUM($R59:T59)&gt;=$G59,0,$L59=U$2,$G59/$P59,T59&gt;0,$G59/$P59,TRUE,0)</f>
        <v>0</v>
      </c>
      <c r="V59" s="490" cm="1">
        <f t="array" ref="V59">_xlfn.IFS(SUM($R59:U59)&gt;=$G59,0,$L59=V$2,$G59/$P59,U59&gt;0,$G59/$P59,TRUE,0)</f>
        <v>0</v>
      </c>
      <c r="W59" s="490" cm="1">
        <f t="array" ref="W59">_xlfn.IFS(SUM($R59:V59)&gt;=$G59,0,$L59=W$2,$G59/$P59,V59&gt;0,$G59/$P59,TRUE,0)</f>
        <v>0</v>
      </c>
      <c r="X59" s="490" cm="1">
        <f t="array" ref="X59">_xlfn.IFS(SUM($R59:W59)&gt;=$G59,0,$L59=X$2,$G59/$P59,W59&gt;0,$G59/$P59,TRUE,0)</f>
        <v>0</v>
      </c>
      <c r="Y59" s="490" cm="1">
        <f t="array" ref="Y59">_xlfn.IFS(SUM($R59:X59)&gt;=$G59,0,$L59=Y$2,$G59/$P59,X59&gt;0,$G59/$P59,TRUE,0)</f>
        <v>0</v>
      </c>
      <c r="Z59" s="490" cm="1">
        <f t="array" ref="Z59">_xlfn.IFS(SUM($R59:Y59)&gt;=$G59,0,$L59=Z$2,$G59/$P59,Y59&gt;0,$G59/$P59,TRUE,0)</f>
        <v>0</v>
      </c>
      <c r="AA59" s="490" cm="1">
        <f t="array" ref="AA59">_xlfn.IFS(SUM($R59:Z59)&gt;=$G59,0,$L59=AA$2,$G59/$P59,Z59&gt;0,$G59/$P59,TRUE,0)</f>
        <v>0</v>
      </c>
      <c r="AB59" s="490" cm="1">
        <f t="array" ref="AB59">_xlfn.IFS(SUM($R59:AA59)&gt;=$G59,0,$L59=AB$2,$G59/$P59,AA59&gt;0,$G59/$P59,TRUE,0)</f>
        <v>0</v>
      </c>
      <c r="AC59" s="490" cm="1">
        <f t="array" ref="AC59">_xlfn.IFS(SUM($R59:AB59)&gt;=$G59,0,$L59=AC$2,$G59/$P59,AB59&gt;0,$G59/$P59,TRUE,0)</f>
        <v>0</v>
      </c>
      <c r="AD59" s="490" cm="1">
        <f t="array" ref="AD59">_xlfn.IFS(SUM($R59:AC59)&gt;=$G59,0,$L59=AD$2,$G59/$P59,AC59&gt;0,$G59/$P59,TRUE,0)</f>
        <v>0</v>
      </c>
      <c r="AE59" s="490" cm="1">
        <f t="array" ref="AE59">_xlfn.IFS(SUM($R59:AD59)&gt;=$G59,0,$L59=AE$2,$G59/$P59,AD59&gt;0,$G59/$P59,TRUE,0)</f>
        <v>0</v>
      </c>
      <c r="AF59" s="490" cm="1">
        <f t="array" ref="AF59">_xlfn.IFS(SUM($R59:AE59)&gt;=$G59,0,$L59=AF$2,$G59/$P59,AE59&gt;0,$G59/$P59,TRUE,0)</f>
        <v>0</v>
      </c>
      <c r="AG59" s="490" cm="1">
        <f t="array" ref="AG59">_xlfn.IFS(SUM($R59:AF59)&gt;=$G59,0,$L59=AG$2,$G59/$P59,AF59&gt;0,$G59/$P59,TRUE,0)</f>
        <v>0</v>
      </c>
      <c r="AH59" s="490" cm="1">
        <f t="array" ref="AH59">_xlfn.IFS(SUM($R59:AG59)&gt;=$G59,0,$L59=AH$2,$G59/$P59,AG59&gt;0,$G59/$P59,TRUE,0)</f>
        <v>1884.7781555983449</v>
      </c>
      <c r="AI59" s="490" cm="1">
        <f t="array" ref="AI59">_xlfn.IFS(SUM($R59:AH59)&gt;=$G59,0,$L59=AI$2,$G59/$P59,AH59&gt;0,$G59/$P59,TRUE,0)</f>
        <v>1884.7781555983449</v>
      </c>
      <c r="AJ59" s="490" cm="1">
        <f t="array" ref="AJ59">_xlfn.IFS(SUM($R59:AI59)&gt;=$G59,0,$L59=AJ$2,$G59/$P59,AI59&gt;0,$G59/$P59,TRUE,0)</f>
        <v>1884.7781555983449</v>
      </c>
      <c r="AK59" s="490" cm="1">
        <f t="array" ref="AK59">_xlfn.IFS(SUM($R59:AJ59)&gt;=$G59,0,$L59=AK$2,$G59/$P59,AJ59&gt;0,$G59/$P59,TRUE,0)</f>
        <v>1884.7781555983449</v>
      </c>
      <c r="AL59" s="490" cm="1">
        <f t="array" ref="AL59">_xlfn.IFS(SUM($R59:AK59)&gt;=$G59,0,$L59=AL$2,$G59/$P59,AK59&gt;0,$G59/$P59,TRUE,0)</f>
        <v>1884.7781555983449</v>
      </c>
      <c r="AM59" s="490" cm="1">
        <f t="array" ref="AM59">_xlfn.IFS(SUM($R59:AL59)&gt;=$G59,0,$L59=AM$2,$G59/$P59,AL59&gt;0,$G59/$P59,TRUE,0)</f>
        <v>1884.7781555983449</v>
      </c>
      <c r="AN59" s="490" cm="1">
        <f t="array" ref="AN59">_xlfn.IFS(SUM($R59:AM59)&gt;=$G59,0,$L59=AN$2,$G59/$P59,AM59&gt;0,$G59/$P59,TRUE,0)</f>
        <v>1884.7781555983449</v>
      </c>
      <c r="AO59" s="490" cm="1">
        <f t="array" ref="AO59">_xlfn.IFS(SUM($R59:AN59)&gt;=$G59,0,$L59=AO$2,$G59/$P59,AN59&gt;0,$G59/$P59,TRUE,0)</f>
        <v>1884.7781555983449</v>
      </c>
      <c r="AP59" s="490" cm="1">
        <f t="array" ref="AP59">_xlfn.IFS(SUM($R59:AO59)&gt;=$G59,0,$L59=AP$2,$G59/$P59,AO59&gt;0,$G59/$P59,TRUE,0)</f>
        <v>1884.7781555983449</v>
      </c>
      <c r="AQ59" s="490" cm="1">
        <f t="array" ref="AQ59">_xlfn.IFS(SUM($R59:AP59)&gt;=$G59,0,$L59=AQ$2,$G59/$P59,AP59&gt;0,$G59/$P59,TRUE,0)</f>
        <v>1884.7781555983449</v>
      </c>
      <c r="AR59" s="490" cm="1">
        <f t="array" ref="AR59">_xlfn.IFS(SUM($R59:AQ59)&gt;=$G59,0,$L59=AR$2,$G59/$P59,AQ59&gt;0,$G59/$P59,TRUE,0)</f>
        <v>1884.7781555983449</v>
      </c>
      <c r="AS59" s="490" cm="1">
        <f t="array" ref="AS59">_xlfn.IFS(SUM($R59:AR59)&gt;=$G59,0,$L59=AS$2,$G59/$P59,AR59&gt;0,$G59/$P59,TRUE,0)</f>
        <v>0</v>
      </c>
      <c r="AT59" s="490" cm="1">
        <f t="array" ref="AT59">_xlfn.IFS(SUM($R59:AS59)&gt;=$G59,0,$L59=AT$2,$G59/$P59,AS59&gt;0,$G59/$P59,TRUE,0)</f>
        <v>0</v>
      </c>
      <c r="AU59" s="490" cm="1">
        <f t="array" ref="AU59">_xlfn.IFS(SUM($R59:AT59)&gt;=$G59,0,$L59=AU$2,$G59/$P59,AT59&gt;0,$G59/$P59,TRUE,0)</f>
        <v>0</v>
      </c>
      <c r="AV59" s="490" cm="1">
        <f t="array" ref="AV59">_xlfn.IFS(SUM($R59:AU59)&gt;=$G59,0,$L59=AV$2,$G59/$P59,AU59&gt;0,$G59/$P59,TRUE,0)</f>
        <v>0</v>
      </c>
      <c r="AW59" s="490" cm="1">
        <f t="array" ref="AW59">_xlfn.IFS(SUM($R59:AV59)&gt;=$G59,0,$L59=AW$2,$G59/$P59,AV59&gt;0,$G59/$P59,TRUE,0)</f>
        <v>0</v>
      </c>
      <c r="AX59" s="490" cm="1">
        <f t="array" ref="AX59">_xlfn.IFS(SUM($R59:AW59)&gt;=$G59,0,$L59=AX$2,$G59/$P59,AW59&gt;0,$G59/$P59,TRUE,0)</f>
        <v>0</v>
      </c>
      <c r="AY59" s="490" cm="1">
        <f t="array" ref="AY59">_xlfn.IFS(SUM($R59:AX59)&gt;=$G59,0,$L59=AY$2,$G59/$P59,AX59&gt;0,$G59/$P59,TRUE,0)</f>
        <v>0</v>
      </c>
      <c r="AZ59" s="490" cm="1">
        <f t="array" ref="AZ59">_xlfn.IFS(SUM($R59:AY59)&gt;=$G59,0,$L59=AZ$2,$G59/$P59,AY59&gt;0,$G59/$P59,TRUE,0)</f>
        <v>0</v>
      </c>
      <c r="BA59" s="311">
        <f t="shared" si="14"/>
        <v>20732.559711581798</v>
      </c>
      <c r="BB59" s="118"/>
      <c r="BC59" s="118"/>
      <c r="BD59" s="118"/>
    </row>
    <row r="60" spans="1:62" s="472" customFormat="1" ht="15" customHeight="1">
      <c r="A60" t="str">
        <f t="shared" si="11"/>
        <v/>
      </c>
      <c r="B60" s="394" t="s">
        <v>525</v>
      </c>
      <c r="C60" s="394" t="s">
        <v>1104</v>
      </c>
      <c r="D60" s="394" t="s">
        <v>1075</v>
      </c>
      <c r="E60" s="141" t="s">
        <v>1105</v>
      </c>
      <c r="F60" s="629">
        <v>2000</v>
      </c>
      <c r="G60" s="397">
        <f t="shared" si="15"/>
        <v>122189.27595012767</v>
      </c>
      <c r="H60" s="624">
        <f>SUM(H56,H57,H58,H59)</f>
        <v>61.09463797506384</v>
      </c>
      <c r="I60" s="394" t="s">
        <v>445</v>
      </c>
      <c r="J60" s="394">
        <f t="shared" si="12"/>
        <v>2027</v>
      </c>
      <c r="K60" s="394"/>
      <c r="L60" s="399" t="s">
        <v>440</v>
      </c>
      <c r="M60" s="399" t="s">
        <v>439</v>
      </c>
      <c r="N60" s="399" t="str">
        <f>LEFT(M60,2)&amp;(4+RIGHT(M60,2))</f>
        <v>3Q32</v>
      </c>
      <c r="O60" s="399"/>
      <c r="P60" s="397">
        <f t="shared" si="13"/>
        <v>18</v>
      </c>
      <c r="Q60" s="630"/>
      <c r="R60" s="630"/>
      <c r="S60" s="489" cm="1">
        <f t="array" ref="S60">_xlfn.IFS(SUM($R60:R60)&gt;=$G60,0,$L60=S$2,$G60/$P60,R60&gt;0,$G60/$P60,TRUE,0)</f>
        <v>0</v>
      </c>
      <c r="T60" s="489" cm="1">
        <f t="array" ref="T60">_xlfn.IFS(SUM($R60:S60)&gt;=$G60,0,$L60=T$2,$G60/$P60,S60&gt;0,$G60/$P60,TRUE,0)</f>
        <v>0</v>
      </c>
      <c r="U60" s="489" cm="1">
        <f t="array" ref="U60">_xlfn.IFS(SUM($R60:T60)&gt;=$G60,0,$L60=U$2,$G60/$P60,T60&gt;0,$G60/$P60,TRUE,0)</f>
        <v>0</v>
      </c>
      <c r="V60" s="489" cm="1">
        <f t="array" ref="V60">_xlfn.IFS(SUM($R60:U60)&gt;=$G60,0,$L60=V$2,$G60/$P60,U60&gt;0,$G60/$P60,TRUE,0)</f>
        <v>0</v>
      </c>
      <c r="W60" s="489" cm="1">
        <f t="array" ref="W60">_xlfn.IFS(SUM($R60:V60)&gt;=$G60,0,$L60=W$2,$G60/$P60,V60&gt;0,$G60/$P60,TRUE,0)</f>
        <v>0</v>
      </c>
      <c r="X60" s="489" cm="1">
        <f t="array" ref="X60">_xlfn.IFS(SUM($R60:W60)&gt;=$G60,0,$L60=X$2,$G60/$P60,W60&gt;0,$G60/$P60,TRUE,0)</f>
        <v>0</v>
      </c>
      <c r="Y60" s="489" cm="1">
        <f t="array" ref="Y60">_xlfn.IFS(SUM($R60:X60)&gt;=$G60,0,$L60=Y$2,$G60/$P60,X60&gt;0,$G60/$P60,TRUE,0)</f>
        <v>0</v>
      </c>
      <c r="Z60" s="489" cm="1">
        <f t="array" ref="Z60">_xlfn.IFS(SUM($R60:Y60)&gt;=$G60,0,$L60=Z$2,$G60/$P60,Y60&gt;0,$G60/$P60,TRUE,0)</f>
        <v>0</v>
      </c>
      <c r="AA60" s="489" cm="1">
        <f t="array" ref="AA60">_xlfn.IFS(SUM($R60:Z60)&gt;=$G60,0,$L60=AA$2,$G60/$P60,Z60&gt;0,$G60/$P60,TRUE,0)</f>
        <v>0</v>
      </c>
      <c r="AB60" s="489" cm="1">
        <f t="array" ref="AB60">_xlfn.IFS(SUM($R60:AA60)&gt;=$G60,0,$L60=AB$2,$G60/$P60,AA60&gt;0,$G60/$P60,TRUE,0)</f>
        <v>0</v>
      </c>
      <c r="AC60" s="489" cm="1">
        <f t="array" ref="AC60">_xlfn.IFS(SUM($R60:AB60)&gt;=$G60,0,$L60=AC$2,$G60/$P60,AB60&gt;0,$G60/$P60,TRUE,0)</f>
        <v>0</v>
      </c>
      <c r="AD60" s="489" cm="1">
        <f t="array" ref="AD60">_xlfn.IFS(SUM($R60:AC60)&gt;=$G60,0,$L60=AD$2,$G60/$P60,AC60&gt;0,$G60/$P60,TRUE,0)</f>
        <v>6788.2931083404264</v>
      </c>
      <c r="AE60" s="489" cm="1">
        <f t="array" ref="AE60">_xlfn.IFS(SUM($R60:AD60)&gt;=$G60,0,$L60=AE$2,$G60/$P60,AD60&gt;0,$G60/$P60,TRUE,0)</f>
        <v>6788.2931083404264</v>
      </c>
      <c r="AF60" s="489" cm="1">
        <f t="array" ref="AF60">_xlfn.IFS(SUM($R60:AE60)&gt;=$G60,0,$L60=AF$2,$G60/$P60,AE60&gt;0,$G60/$P60,TRUE,0)</f>
        <v>6788.2931083404264</v>
      </c>
      <c r="AG60" s="489" cm="1">
        <f t="array" ref="AG60">_xlfn.IFS(SUM($R60:AF60)&gt;=$G60,0,$L60=AG$2,$G60/$P60,AF60&gt;0,$G60/$P60,TRUE,0)</f>
        <v>6788.2931083404264</v>
      </c>
      <c r="AH60" s="489" cm="1">
        <f t="array" ref="AH60">_xlfn.IFS(SUM($R60:AG60)&gt;=$G60,0,$L60=AH$2,$G60/$P60,AG60&gt;0,$G60/$P60,TRUE,0)</f>
        <v>6788.2931083404264</v>
      </c>
      <c r="AI60" s="489" cm="1">
        <f t="array" ref="AI60">_xlfn.IFS(SUM($R60:AH60)&gt;=$G60,0,$L60=AI$2,$G60/$P60,AH60&gt;0,$G60/$P60,TRUE,0)</f>
        <v>6788.2931083404264</v>
      </c>
      <c r="AJ60" s="489" cm="1">
        <f t="array" ref="AJ60">_xlfn.IFS(SUM($R60:AI60)&gt;=$G60,0,$L60=AJ$2,$G60/$P60,AI60&gt;0,$G60/$P60,TRUE,0)</f>
        <v>6788.2931083404264</v>
      </c>
      <c r="AK60" s="489" cm="1">
        <f t="array" ref="AK60">_xlfn.IFS(SUM($R60:AJ60)&gt;=$G60,0,$L60=AK$2,$G60/$P60,AJ60&gt;0,$G60/$P60,TRUE,0)</f>
        <v>6788.2931083404264</v>
      </c>
      <c r="AL60" s="489" cm="1">
        <f t="array" ref="AL60">_xlfn.IFS(SUM($R60:AK60)&gt;=$G60,0,$L60=AL$2,$G60/$P60,AK60&gt;0,$G60/$P60,TRUE,0)</f>
        <v>6788.2931083404264</v>
      </c>
      <c r="AM60" s="489" cm="1">
        <f t="array" ref="AM60">_xlfn.IFS(SUM($R60:AL60)&gt;=$G60,0,$L60=AM$2,$G60/$P60,AL60&gt;0,$G60/$P60,TRUE,0)</f>
        <v>6788.2931083404264</v>
      </c>
      <c r="AN60" s="489" cm="1">
        <f t="array" ref="AN60">_xlfn.IFS(SUM($R60:AM60)&gt;=$G60,0,$L60=AN$2,$G60/$P60,AM60&gt;0,$G60/$P60,TRUE,0)</f>
        <v>6788.2931083404264</v>
      </c>
      <c r="AO60" s="489" cm="1">
        <f t="array" ref="AO60">_xlfn.IFS(SUM($R60:AN60)&gt;=$G60,0,$L60=AO$2,$G60/$P60,AN60&gt;0,$G60/$P60,TRUE,0)</f>
        <v>6788.2931083404264</v>
      </c>
      <c r="AP60" s="489" cm="1">
        <f t="array" ref="AP60">_xlfn.IFS(SUM($R60:AO60)&gt;=$G60,0,$L60=AP$2,$G60/$P60,AO60&gt;0,$G60/$P60,TRUE,0)</f>
        <v>6788.2931083404264</v>
      </c>
      <c r="AQ60" s="489" cm="1">
        <f t="array" ref="AQ60">_xlfn.IFS(SUM($R60:AP60)&gt;=$G60,0,$L60=AQ$2,$G60/$P60,AP60&gt;0,$G60/$P60,TRUE,0)</f>
        <v>6788.2931083404264</v>
      </c>
      <c r="AR60" s="489" cm="1">
        <f t="array" ref="AR60">_xlfn.IFS(SUM($R60:AQ60)&gt;=$G60,0,$L60=AR$2,$G60/$P60,AQ60&gt;0,$G60/$P60,TRUE,0)</f>
        <v>6788.2931083404264</v>
      </c>
      <c r="AS60" s="489" cm="1">
        <f t="array" ref="AS60">_xlfn.IFS(SUM($R60:AR60)&gt;=$G60,0,$L60=AS$2,$G60/$P60,AR60&gt;0,$G60/$P60,TRUE,0)</f>
        <v>6788.2931083404264</v>
      </c>
      <c r="AT60" s="489" cm="1">
        <f t="array" ref="AT60">_xlfn.IFS(SUM($R60:AS60)&gt;=$G60,0,$L60=AT$2,$G60/$P60,AS60&gt;0,$G60/$P60,TRUE,0)</f>
        <v>6788.2931083404264</v>
      </c>
      <c r="AU60" s="489" cm="1">
        <f t="array" ref="AU60">_xlfn.IFS(SUM($R60:AT60)&gt;=$G60,0,$L60=AU$2,$G60/$P60,AT60&gt;0,$G60/$P60,TRUE,0)</f>
        <v>6788.2931083404264</v>
      </c>
      <c r="AV60" s="489" cm="1">
        <f t="array" ref="AV60">_xlfn.IFS(SUM($R60:AU60)&gt;=$G60,0,$L60=AV$2,$G60/$P60,AU60&gt;0,$G60/$P60,TRUE,0)</f>
        <v>0</v>
      </c>
      <c r="AW60" s="489" cm="1">
        <f t="array" ref="AW60">_xlfn.IFS(SUM($R60:AV60)&gt;=$G60,0,$L60=AW$2,$G60/$P60,AV60&gt;0,$G60/$P60,TRUE,0)</f>
        <v>0</v>
      </c>
      <c r="AX60" s="489" cm="1">
        <f t="array" ref="AX60">_xlfn.IFS(SUM($R60:AW60)&gt;=$G60,0,$L60=AX$2,$G60/$P60,AW60&gt;0,$G60/$P60,TRUE,0)</f>
        <v>0</v>
      </c>
      <c r="AY60" s="489" cm="1">
        <f t="array" ref="AY60">_xlfn.IFS(SUM($R60:AX60)&gt;=$G60,0,$L60=AY$2,$G60/$P60,AX60&gt;0,$G60/$P60,TRUE,0)</f>
        <v>0</v>
      </c>
      <c r="AZ60" s="489" cm="1">
        <f t="array" ref="AZ60">_xlfn.IFS(SUM($R60:AY60)&gt;=$G60,0,$L60=AZ$2,$G60/$P60,AY60&gt;0,$G60/$P60,TRUE,0)</f>
        <v>0</v>
      </c>
      <c r="BA60" s="311">
        <f t="shared" si="14"/>
        <v>122189.27595012767</v>
      </c>
      <c r="BB60" s="118"/>
      <c r="BC60" s="118"/>
      <c r="BD60" s="118"/>
    </row>
    <row r="61" spans="1:62" s="472" customFormat="1" ht="15" customHeight="1">
      <c r="A61" t="str">
        <f t="shared" si="11"/>
        <v/>
      </c>
      <c r="B61" s="79" t="s">
        <v>525</v>
      </c>
      <c r="C61" s="79" t="s">
        <v>1106</v>
      </c>
      <c r="D61" s="79" t="s">
        <v>1107</v>
      </c>
      <c r="E61" s="6" t="s">
        <v>1108</v>
      </c>
      <c r="F61" s="631">
        <v>2200</v>
      </c>
      <c r="G61" s="121">
        <f t="shared" si="15"/>
        <v>134408.20354514045</v>
      </c>
      <c r="H61" s="625">
        <f>H60</f>
        <v>61.09463797506384</v>
      </c>
      <c r="I61" s="79" t="s">
        <v>445</v>
      </c>
      <c r="J61" s="79">
        <f t="shared" si="12"/>
        <v>2027</v>
      </c>
      <c r="K61" s="79"/>
      <c r="L61" s="88" t="str">
        <f>M61</f>
        <v>3Q28</v>
      </c>
      <c r="M61" s="88" t="s">
        <v>439</v>
      </c>
      <c r="N61" s="88" t="str">
        <f>LEFT(M61,2)&amp;(4+RIGHT(M61,2))</f>
        <v>3Q32</v>
      </c>
      <c r="O61" s="88"/>
      <c r="P61" s="121">
        <f t="shared" si="13"/>
        <v>17</v>
      </c>
      <c r="Q61" s="632"/>
      <c r="R61" s="632"/>
      <c r="S61" s="311" cm="1">
        <f t="array" ref="S61">_xlfn.IFS(SUM($R61:R61)&gt;=$G61,0,$L61=S$2,$G61/$P61,R61&gt;0,$G61/$P61,TRUE,0)</f>
        <v>0</v>
      </c>
      <c r="T61" s="311" cm="1">
        <f t="array" ref="T61">_xlfn.IFS(SUM($R61:S61)&gt;=$G61,0,$L61=T$2,$G61/$P61,S61&gt;0,$G61/$P61,TRUE,0)</f>
        <v>0</v>
      </c>
      <c r="U61" s="311" cm="1">
        <f t="array" ref="U61">_xlfn.IFS(SUM($R61:T61)&gt;=$G61,0,$L61=U$2,$G61/$P61,T61&gt;0,$G61/$P61,TRUE,0)</f>
        <v>0</v>
      </c>
      <c r="V61" s="311" cm="1">
        <f t="array" ref="V61">_xlfn.IFS(SUM($R61:U61)&gt;=$G61,0,$L61=V$2,$G61/$P61,U61&gt;0,$G61/$P61,TRUE,0)</f>
        <v>0</v>
      </c>
      <c r="W61" s="311" cm="1">
        <f t="array" ref="W61">_xlfn.IFS(SUM($R61:V61)&gt;=$G61,0,$L61=W$2,$G61/$P61,V61&gt;0,$G61/$P61,TRUE,0)</f>
        <v>0</v>
      </c>
      <c r="X61" s="311" cm="1">
        <f t="array" ref="X61">_xlfn.IFS(SUM($R61:W61)&gt;=$G61,0,$L61=X$2,$G61/$P61,W61&gt;0,$G61/$P61,TRUE,0)</f>
        <v>0</v>
      </c>
      <c r="Y61" s="311" cm="1">
        <f t="array" ref="Y61">_xlfn.IFS(SUM($R61:X61)&gt;=$G61,0,$L61=Y$2,$G61/$P61,X61&gt;0,$G61/$P61,TRUE,0)</f>
        <v>0</v>
      </c>
      <c r="Z61" s="311" cm="1">
        <f t="array" ref="Z61">_xlfn.IFS(SUM($R61:Y61)&gt;=$G61,0,$L61=Z$2,$G61/$P61,Y61&gt;0,$G61/$P61,TRUE,0)</f>
        <v>0</v>
      </c>
      <c r="AA61" s="311" cm="1">
        <f t="array" ref="AA61">_xlfn.IFS(SUM($R61:Z61)&gt;=$G61,0,$L61=AA$2,$G61/$P61,Z61&gt;0,$G61/$P61,TRUE,0)</f>
        <v>0</v>
      </c>
      <c r="AB61" s="311" cm="1">
        <f t="array" ref="AB61">_xlfn.IFS(SUM($R61:AA61)&gt;=$G61,0,$L61=AB$2,$G61/$P61,AA61&gt;0,$G61/$P61,TRUE,0)</f>
        <v>0</v>
      </c>
      <c r="AC61" s="311" cm="1">
        <f t="array" ref="AC61">_xlfn.IFS(SUM($R61:AB61)&gt;=$G61,0,$L61=AC$2,$G61/$P61,AB61&gt;0,$G61/$P61,TRUE,0)</f>
        <v>0</v>
      </c>
      <c r="AD61" s="311" cm="1">
        <f t="array" ref="AD61">_xlfn.IFS(SUM($R61:AC61)&gt;=$G61,0,$L61=AD$2,$G61/$P61,AC61&gt;0,$G61/$P61,TRUE,0)</f>
        <v>0</v>
      </c>
      <c r="AE61" s="311" cm="1">
        <f t="array" ref="AE61">_xlfn.IFS(SUM($R61:AD61)&gt;=$G61,0,$L61=AE$2,$G61/$P61,AD61&gt;0,$G61/$P61,TRUE,0)</f>
        <v>7906.3649144200263</v>
      </c>
      <c r="AF61" s="311" cm="1">
        <f t="array" ref="AF61">_xlfn.IFS(SUM($R61:AE61)&gt;=$G61,0,$L61=AF$2,$G61/$P61,AE61&gt;0,$G61/$P61,TRUE,0)</f>
        <v>7906.3649144200263</v>
      </c>
      <c r="AG61" s="311" cm="1">
        <f t="array" ref="AG61">_xlfn.IFS(SUM($R61:AF61)&gt;=$G61,0,$L61=AG$2,$G61/$P61,AF61&gt;0,$G61/$P61,TRUE,0)</f>
        <v>7906.3649144200263</v>
      </c>
      <c r="AH61" s="311" cm="1">
        <f t="array" ref="AH61">_xlfn.IFS(SUM($R61:AG61)&gt;=$G61,0,$L61=AH$2,$G61/$P61,AG61&gt;0,$G61/$P61,TRUE,0)</f>
        <v>7906.3649144200263</v>
      </c>
      <c r="AI61" s="311" cm="1">
        <f t="array" ref="AI61">_xlfn.IFS(SUM($R61:AH61)&gt;=$G61,0,$L61=AI$2,$G61/$P61,AH61&gt;0,$G61/$P61,TRUE,0)</f>
        <v>7906.3649144200263</v>
      </c>
      <c r="AJ61" s="311" cm="1">
        <f t="array" ref="AJ61">_xlfn.IFS(SUM($R61:AI61)&gt;=$G61,0,$L61=AJ$2,$G61/$P61,AI61&gt;0,$G61/$P61,TRUE,0)</f>
        <v>7906.3649144200263</v>
      </c>
      <c r="AK61" s="311" cm="1">
        <f t="array" ref="AK61">_xlfn.IFS(SUM($R61:AJ61)&gt;=$G61,0,$L61=AK$2,$G61/$P61,AJ61&gt;0,$G61/$P61,TRUE,0)</f>
        <v>7906.3649144200263</v>
      </c>
      <c r="AL61" s="311" cm="1">
        <f t="array" ref="AL61">_xlfn.IFS(SUM($R61:AK61)&gt;=$G61,0,$L61=AL$2,$G61/$P61,AK61&gt;0,$G61/$P61,TRUE,0)</f>
        <v>7906.3649144200263</v>
      </c>
      <c r="AM61" s="311" cm="1">
        <f t="array" ref="AM61">_xlfn.IFS(SUM($R61:AL61)&gt;=$G61,0,$L61=AM$2,$G61/$P61,AL61&gt;0,$G61/$P61,TRUE,0)</f>
        <v>7906.3649144200263</v>
      </c>
      <c r="AN61" s="311" cm="1">
        <f t="array" ref="AN61">_xlfn.IFS(SUM($R61:AM61)&gt;=$G61,0,$L61=AN$2,$G61/$P61,AM61&gt;0,$G61/$P61,TRUE,0)</f>
        <v>7906.3649144200263</v>
      </c>
      <c r="AO61" s="311" cm="1">
        <f t="array" ref="AO61">_xlfn.IFS(SUM($R61:AN61)&gt;=$G61,0,$L61=AO$2,$G61/$P61,AN61&gt;0,$G61/$P61,TRUE,0)</f>
        <v>7906.3649144200263</v>
      </c>
      <c r="AP61" s="311" cm="1">
        <f t="array" ref="AP61">_xlfn.IFS(SUM($R61:AO61)&gt;=$G61,0,$L61=AP$2,$G61/$P61,AO61&gt;0,$G61/$P61,TRUE,0)</f>
        <v>7906.3649144200263</v>
      </c>
      <c r="AQ61" s="311" cm="1">
        <f t="array" ref="AQ61">_xlfn.IFS(SUM($R61:AP61)&gt;=$G61,0,$L61=AQ$2,$G61/$P61,AP61&gt;0,$G61/$P61,TRUE,0)</f>
        <v>7906.3649144200263</v>
      </c>
      <c r="AR61" s="311" cm="1">
        <f t="array" ref="AR61">_xlfn.IFS(SUM($R61:AQ61)&gt;=$G61,0,$L61=AR$2,$G61/$P61,AQ61&gt;0,$G61/$P61,TRUE,0)</f>
        <v>7906.3649144200263</v>
      </c>
      <c r="AS61" s="311" cm="1">
        <f t="array" ref="AS61">_xlfn.IFS(SUM($R61:AR61)&gt;=$G61,0,$L61=AS$2,$G61/$P61,AR61&gt;0,$G61/$P61,TRUE,0)</f>
        <v>7906.3649144200263</v>
      </c>
      <c r="AT61" s="311" cm="1">
        <f t="array" ref="AT61">_xlfn.IFS(SUM($R61:AS61)&gt;=$G61,0,$L61=AT$2,$G61/$P61,AS61&gt;0,$G61/$P61,TRUE,0)</f>
        <v>7906.3649144200263</v>
      </c>
      <c r="AU61" s="311" cm="1">
        <f t="array" ref="AU61">_xlfn.IFS(SUM($R61:AT61)&gt;=$G61,0,$L61=AU$2,$G61/$P61,AT61&gt;0,$G61/$P61,TRUE,0)</f>
        <v>7906.3649144200263</v>
      </c>
      <c r="AV61" s="311" cm="1">
        <f t="array" ref="AV61">_xlfn.IFS(SUM($R61:AU61)&gt;=$G61,0,$L61=AV$2,$G61/$P61,AU61&gt;0,$G61/$P61,TRUE,0)</f>
        <v>0</v>
      </c>
      <c r="AW61" s="311" cm="1">
        <f t="array" ref="AW61">_xlfn.IFS(SUM($R61:AV61)&gt;=$G61,0,$L61=AW$2,$G61/$P61,AV61&gt;0,$G61/$P61,TRUE,0)</f>
        <v>0</v>
      </c>
      <c r="AX61" s="311" cm="1">
        <f t="array" ref="AX61">_xlfn.IFS(SUM($R61:AW61)&gt;=$G61,0,$L61=AX$2,$G61/$P61,AW61&gt;0,$G61/$P61,TRUE,0)</f>
        <v>0</v>
      </c>
      <c r="AY61" s="311" cm="1">
        <f t="array" ref="AY61">_xlfn.IFS(SUM($R61:AX61)&gt;=$G61,0,$L61=AY$2,$G61/$P61,AX61&gt;0,$G61/$P61,TRUE,0)</f>
        <v>0</v>
      </c>
      <c r="AZ61" s="311" cm="1">
        <f t="array" ref="AZ61">_xlfn.IFS(SUM($R61:AY61)&gt;=$G61,0,$L61=AZ$2,$G61/$P61,AY61&gt;0,$G61/$P61,TRUE,0)</f>
        <v>0</v>
      </c>
      <c r="BA61" s="311">
        <f t="shared" si="14"/>
        <v>134408.20354514048</v>
      </c>
      <c r="BB61" s="118"/>
      <c r="BC61" s="118"/>
      <c r="BD61" s="118"/>
    </row>
    <row r="62" spans="1:62" s="472" customFormat="1" ht="15" customHeight="1">
      <c r="A62"/>
      <c r="B62" s="79" t="s">
        <v>525</v>
      </c>
      <c r="C62" s="79" t="s">
        <v>1109</v>
      </c>
      <c r="D62" s="79" t="s">
        <v>1107</v>
      </c>
      <c r="E62" s="297" t="s">
        <v>1110</v>
      </c>
      <c r="F62" s="413">
        <v>2400</v>
      </c>
      <c r="G62" s="121">
        <f>G61</f>
        <v>134408.20354514045</v>
      </c>
      <c r="H62" s="625">
        <f>G62/F62</f>
        <v>56.003418143808524</v>
      </c>
      <c r="I62" s="79" t="s">
        <v>976</v>
      </c>
      <c r="J62" s="79">
        <f t="shared" si="12"/>
        <v>2029</v>
      </c>
      <c r="K62" s="79"/>
      <c r="L62" s="88" t="str">
        <f>M62</f>
        <v>2Q32</v>
      </c>
      <c r="M62" s="88" t="s">
        <v>1111</v>
      </c>
      <c r="N62" s="88" t="str">
        <f>LEFT(M62,2)&amp;(4+RIGHT(M62,2))</f>
        <v>2Q36</v>
      </c>
      <c r="O62" s="88"/>
      <c r="P62" s="121">
        <f t="shared" si="13"/>
        <v>17</v>
      </c>
      <c r="Q62" s="632"/>
      <c r="R62" s="632"/>
      <c r="S62" s="311" cm="1">
        <f t="array" ref="S62">_xlfn.IFS(SUM($R62:R62)&gt;=$G62,0,$L62=S$2,$G62/$P62,R62&gt;0,$G62/$P62,TRUE,0)</f>
        <v>0</v>
      </c>
      <c r="T62" s="311" cm="1">
        <f t="array" ref="T62">_xlfn.IFS(SUM($R62:S62)&gt;=$G62,0,$L62=T$2,$G62/$P62,S62&gt;0,$G62/$P62,TRUE,0)</f>
        <v>0</v>
      </c>
      <c r="U62" s="311" cm="1">
        <f t="array" ref="U62">_xlfn.IFS(SUM($R62:T62)&gt;=$G62,0,$L62=U$2,$G62/$P62,T62&gt;0,$G62/$P62,TRUE,0)</f>
        <v>0</v>
      </c>
      <c r="V62" s="311" cm="1">
        <f t="array" ref="V62">_xlfn.IFS(SUM($R62:U62)&gt;=$G62,0,$L62=V$2,$G62/$P62,U62&gt;0,$G62/$P62,TRUE,0)</f>
        <v>0</v>
      </c>
      <c r="W62" s="311" cm="1">
        <f t="array" ref="W62">_xlfn.IFS(SUM($R62:V62)&gt;=$G62,0,$L62=W$2,$G62/$P62,V62&gt;0,$G62/$P62,TRUE,0)</f>
        <v>0</v>
      </c>
      <c r="X62" s="311" cm="1">
        <f t="array" ref="X62">_xlfn.IFS(SUM($R62:W62)&gt;=$G62,0,$L62=X$2,$G62/$P62,W62&gt;0,$G62/$P62,TRUE,0)</f>
        <v>0</v>
      </c>
      <c r="Y62" s="311" cm="1">
        <f t="array" ref="Y62">_xlfn.IFS(SUM($R62:X62)&gt;=$G62,0,$L62=Y$2,$G62/$P62,X62&gt;0,$G62/$P62,TRUE,0)</f>
        <v>0</v>
      </c>
      <c r="Z62" s="311" cm="1">
        <f t="array" ref="Z62">_xlfn.IFS(SUM($R62:Y62)&gt;=$G62,0,$L62=Z$2,$G62/$P62,Y62&gt;0,$G62/$P62,TRUE,0)</f>
        <v>0</v>
      </c>
      <c r="AA62" s="311" cm="1">
        <f t="array" ref="AA62">_xlfn.IFS(SUM($R62:Z62)&gt;=$G62,0,$L62=AA$2,$G62/$P62,Z62&gt;0,$G62/$P62,TRUE,0)</f>
        <v>0</v>
      </c>
      <c r="AB62" s="311" cm="1">
        <f t="array" ref="AB62">_xlfn.IFS(SUM($R62:AA62)&gt;=$G62,0,$L62=AB$2,$G62/$P62,AA62&gt;0,$G62/$P62,TRUE,0)</f>
        <v>0</v>
      </c>
      <c r="AC62" s="311" cm="1">
        <f t="array" ref="AC62">_xlfn.IFS(SUM($R62:AB62)&gt;=$G62,0,$L62=AC$2,$G62/$P62,AB62&gt;0,$G62/$P62,TRUE,0)</f>
        <v>0</v>
      </c>
      <c r="AD62" s="311" cm="1">
        <f t="array" ref="AD62">_xlfn.IFS(SUM($R62:AC62)&gt;=$G62,0,$L62=AD$2,$G62/$P62,AC62&gt;0,$G62/$P62,TRUE,0)</f>
        <v>0</v>
      </c>
      <c r="AE62" s="311" cm="1">
        <f t="array" ref="AE62">_xlfn.IFS(SUM($R62:AD62)&gt;=$G62,0,$L62=AE$2,$G62/$P62,AD62&gt;0,$G62/$P62,TRUE,0)</f>
        <v>0</v>
      </c>
      <c r="AF62" s="311" cm="1">
        <f t="array" ref="AF62">_xlfn.IFS(SUM($R62:AE62)&gt;=$G62,0,$L62=AF$2,$G62/$P62,AE62&gt;0,$G62/$P62,TRUE,0)</f>
        <v>0</v>
      </c>
      <c r="AG62" s="311" cm="1">
        <f t="array" ref="AG62">_xlfn.IFS(SUM($R62:AF62)&gt;=$G62,0,$L62=AG$2,$G62/$P62,AF62&gt;0,$G62/$P62,TRUE,0)</f>
        <v>0</v>
      </c>
      <c r="AH62" s="311" cm="1">
        <f t="array" ref="AH62">_xlfn.IFS(SUM($R62:AG62)&gt;=$G62,0,$L62=AH$2,$G62/$P62,AG62&gt;0,$G62/$P62,TRUE,0)</f>
        <v>0</v>
      </c>
      <c r="AI62" s="311" cm="1">
        <f t="array" ref="AI62">_xlfn.IFS(SUM($R62:AH62)&gt;=$G62,0,$L62=AI$2,$G62/$P62,AH62&gt;0,$G62/$P62,TRUE,0)</f>
        <v>0</v>
      </c>
      <c r="AJ62" s="311" cm="1">
        <f t="array" ref="AJ62">_xlfn.IFS(SUM($R62:AI62)&gt;=$G62,0,$L62=AJ$2,$G62/$P62,AI62&gt;0,$G62/$P62,TRUE,0)</f>
        <v>0</v>
      </c>
      <c r="AK62" s="311" cm="1">
        <f t="array" ref="AK62">_xlfn.IFS(SUM($R62:AJ62)&gt;=$G62,0,$L62=AK$2,$G62/$P62,AJ62&gt;0,$G62/$P62,TRUE,0)</f>
        <v>0</v>
      </c>
      <c r="AL62" s="311" cm="1">
        <f t="array" ref="AL62">_xlfn.IFS(SUM($R62:AK62)&gt;=$G62,0,$L62=AL$2,$G62/$P62,AK62&gt;0,$G62/$P62,TRUE,0)</f>
        <v>0</v>
      </c>
      <c r="AM62" s="311" cm="1">
        <f t="array" ref="AM62">_xlfn.IFS(SUM($R62:AL62)&gt;=$G62,0,$L62=AM$2,$G62/$P62,AL62&gt;0,$G62/$P62,TRUE,0)</f>
        <v>0</v>
      </c>
      <c r="AN62" s="311" cm="1">
        <f t="array" ref="AN62">_xlfn.IFS(SUM($R62:AM62)&gt;=$G62,0,$L62=AN$2,$G62/$P62,AM62&gt;0,$G62/$P62,TRUE,0)</f>
        <v>0</v>
      </c>
      <c r="AO62" s="311" cm="1">
        <f t="array" ref="AO62">_xlfn.IFS(SUM($R62:AN62)&gt;=$G62,0,$L62=AO$2,$G62/$P62,AN62&gt;0,$G62/$P62,TRUE,0)</f>
        <v>0</v>
      </c>
      <c r="AP62" s="311" cm="1">
        <f t="array" ref="AP62">_xlfn.IFS(SUM($R62:AO62)&gt;=$G62,0,$L62=AP$2,$G62/$P62,AO62&gt;0,$G62/$P62,TRUE,0)</f>
        <v>0</v>
      </c>
      <c r="AQ62" s="311" cm="1">
        <f t="array" ref="AQ62">_xlfn.IFS(SUM($R62:AP62)&gt;=$G62,0,$L62=AQ$2,$G62/$P62,AP62&gt;0,$G62/$P62,TRUE,0)</f>
        <v>0</v>
      </c>
      <c r="AR62" s="311" cm="1">
        <f t="array" ref="AR62">_xlfn.IFS(SUM($R62:AQ62)&gt;=$G62,0,$L62=AR$2,$G62/$P62,AQ62&gt;0,$G62/$P62,TRUE,0)</f>
        <v>0</v>
      </c>
      <c r="AS62" s="311" cm="1">
        <f t="array" ref="AS62">_xlfn.IFS(SUM($R62:AR62)&gt;=$G62,0,$L62=AS$2,$G62/$P62,AR62&gt;0,$G62/$P62,TRUE,0)</f>
        <v>0</v>
      </c>
      <c r="AT62" s="311" cm="1">
        <f t="array" ref="AT62">_xlfn.IFS(SUM($R62:AS62)&gt;=$G62,0,$L62=AT$2,$G62/$P62,AS62&gt;0,$G62/$P62,TRUE,0)</f>
        <v>7906.3649144200263</v>
      </c>
      <c r="AU62" s="311" cm="1">
        <f t="array" ref="AU62">_xlfn.IFS(SUM($R62:AT62)&gt;=$G62,0,$L62=AU$2,$G62/$P62,AT62&gt;0,$G62/$P62,TRUE,0)</f>
        <v>7906.3649144200263</v>
      </c>
      <c r="AV62" s="311" cm="1">
        <f t="array" ref="AV62">_xlfn.IFS(SUM($R62:AU62)&gt;=$G62,0,$L62=AV$2,$G62/$P62,AU62&gt;0,$G62/$P62,TRUE,0)</f>
        <v>7906.3649144200263</v>
      </c>
      <c r="AW62" s="311" cm="1">
        <f t="array" ref="AW62">_xlfn.IFS(SUM($R62:AV62)&gt;=$G62,0,$L62=AW$2,$G62/$P62,AV62&gt;0,$G62/$P62,TRUE,0)</f>
        <v>7906.3649144200263</v>
      </c>
      <c r="AX62" s="311" cm="1">
        <f t="array" ref="AX62">_xlfn.IFS(SUM($R62:AW62)&gt;=$G62,0,$L62=AX$2,$G62/$P62,AW62&gt;0,$G62/$P62,TRUE,0)</f>
        <v>7906.3649144200263</v>
      </c>
      <c r="AY62" s="311" cm="1">
        <f t="array" ref="AY62">_xlfn.IFS(SUM($R62:AX62)&gt;=$G62,0,$L62=AY$2,$G62/$P62,AX62&gt;0,$G62/$P62,TRUE,0)</f>
        <v>7906.3649144200263</v>
      </c>
      <c r="AZ62" s="311" cm="1">
        <f t="array" ref="AZ62">_xlfn.IFS(SUM($R62:AY62)&gt;=$G62,0,$L62=AZ$2,$G62/$P62,AY62&gt;0,$G62/$P62,TRUE,0)</f>
        <v>7906.3649144200263</v>
      </c>
      <c r="BA62" s="311">
        <f t="shared" si="14"/>
        <v>55344.554400940178</v>
      </c>
      <c r="BB62" s="118"/>
      <c r="BC62" s="118"/>
      <c r="BD62" s="118"/>
    </row>
    <row r="63" spans="1:62" s="472" customFormat="1" ht="15" customHeight="1">
      <c r="A63"/>
      <c r="B63" s="139" t="s">
        <v>525</v>
      </c>
      <c r="C63" s="139" t="s">
        <v>1112</v>
      </c>
      <c r="D63" s="139" t="s">
        <v>1107</v>
      </c>
      <c r="E63" s="633" t="s">
        <v>1113</v>
      </c>
      <c r="F63" s="634">
        <v>2000</v>
      </c>
      <c r="G63" s="140">
        <f>G60</f>
        <v>122189.27595012767</v>
      </c>
      <c r="H63" s="626">
        <f>G63/F63</f>
        <v>61.09463797506384</v>
      </c>
      <c r="I63" s="139" t="s">
        <v>438</v>
      </c>
      <c r="J63" s="139">
        <f t="shared" si="12"/>
        <v>2028</v>
      </c>
      <c r="K63" s="139"/>
      <c r="L63" s="138" t="str">
        <f>M63</f>
        <v>2Q30</v>
      </c>
      <c r="M63" s="138" t="s">
        <v>678</v>
      </c>
      <c r="N63" s="138" t="str">
        <f>LEFT(M63,2)&amp;(4+RIGHT(M63,2))</f>
        <v>2Q34</v>
      </c>
      <c r="O63" s="138"/>
      <c r="P63" s="140">
        <f t="shared" si="13"/>
        <v>17</v>
      </c>
      <c r="Q63" s="628"/>
      <c r="R63" s="628"/>
      <c r="S63" s="490" cm="1">
        <f t="array" ref="S63">_xlfn.IFS(SUM($R63:R63)&gt;=$G63,0,$L63=S$2,$G63/$P63,R63&gt;0,$G63/$P63,TRUE,0)</f>
        <v>0</v>
      </c>
      <c r="T63" s="490" cm="1">
        <f t="array" ref="T63">_xlfn.IFS(SUM($R63:S63)&gt;=$G63,0,$L63=T$2,$G63/$P63,S63&gt;0,$G63/$P63,TRUE,0)</f>
        <v>0</v>
      </c>
      <c r="U63" s="490" cm="1">
        <f t="array" ref="U63">_xlfn.IFS(SUM($R63:T63)&gt;=$G63,0,$L63=U$2,$G63/$P63,T63&gt;0,$G63/$P63,TRUE,0)</f>
        <v>0</v>
      </c>
      <c r="V63" s="490" cm="1">
        <f t="array" ref="V63">_xlfn.IFS(SUM($R63:U63)&gt;=$G63,0,$L63=V$2,$G63/$P63,U63&gt;0,$G63/$P63,TRUE,0)</f>
        <v>0</v>
      </c>
      <c r="W63" s="490" cm="1">
        <f t="array" ref="W63">_xlfn.IFS(SUM($R63:V63)&gt;=$G63,0,$L63=W$2,$G63/$P63,V63&gt;0,$G63/$P63,TRUE,0)</f>
        <v>0</v>
      </c>
      <c r="X63" s="490" cm="1">
        <f t="array" ref="X63">_xlfn.IFS(SUM($R63:W63)&gt;=$G63,0,$L63=X$2,$G63/$P63,W63&gt;0,$G63/$P63,TRUE,0)</f>
        <v>0</v>
      </c>
      <c r="Y63" s="490" cm="1">
        <f t="array" ref="Y63">_xlfn.IFS(SUM($R63:X63)&gt;=$G63,0,$L63=Y$2,$G63/$P63,X63&gt;0,$G63/$P63,TRUE,0)</f>
        <v>0</v>
      </c>
      <c r="Z63" s="490" cm="1">
        <f t="array" ref="Z63">_xlfn.IFS(SUM($R63:Y63)&gt;=$G63,0,$L63=Z$2,$G63/$P63,Y63&gt;0,$G63/$P63,TRUE,0)</f>
        <v>0</v>
      </c>
      <c r="AA63" s="490" cm="1">
        <f t="array" ref="AA63">_xlfn.IFS(SUM($R63:Z63)&gt;=$G63,0,$L63=AA$2,$G63/$P63,Z63&gt;0,$G63/$P63,TRUE,0)</f>
        <v>0</v>
      </c>
      <c r="AB63" s="490" cm="1">
        <f t="array" ref="AB63">_xlfn.IFS(SUM($R63:AA63)&gt;=$G63,0,$L63=AB$2,$G63/$P63,AA63&gt;0,$G63/$P63,TRUE,0)</f>
        <v>0</v>
      </c>
      <c r="AC63" s="490" cm="1">
        <f t="array" ref="AC63">_xlfn.IFS(SUM($R63:AB63)&gt;=$G63,0,$L63=AC$2,$G63/$P63,AB63&gt;0,$G63/$P63,TRUE,0)</f>
        <v>0</v>
      </c>
      <c r="AD63" s="490" cm="1">
        <f t="array" ref="AD63">_xlfn.IFS(SUM($R63:AC63)&gt;=$G63,0,$L63=AD$2,$G63/$P63,AC63&gt;0,$G63/$P63,TRUE,0)</f>
        <v>0</v>
      </c>
      <c r="AE63" s="490" cm="1">
        <f t="array" ref="AE63">_xlfn.IFS(SUM($R63:AD63)&gt;=$G63,0,$L63=AE$2,$G63/$P63,AD63&gt;0,$G63/$P63,TRUE,0)</f>
        <v>0</v>
      </c>
      <c r="AF63" s="490" cm="1">
        <f t="array" ref="AF63">_xlfn.IFS(SUM($R63:AE63)&gt;=$G63,0,$L63=AF$2,$G63/$P63,AE63&gt;0,$G63/$P63,TRUE,0)</f>
        <v>0</v>
      </c>
      <c r="AG63" s="490" cm="1">
        <f t="array" ref="AG63">_xlfn.IFS(SUM($R63:AF63)&gt;=$G63,0,$L63=AG$2,$G63/$P63,AF63&gt;0,$G63/$P63,TRUE,0)</f>
        <v>0</v>
      </c>
      <c r="AH63" s="490" cm="1">
        <f t="array" ref="AH63">_xlfn.IFS(SUM($R63:AG63)&gt;=$G63,0,$L63=AH$2,$G63/$P63,AG63&gt;0,$G63/$P63,TRUE,0)</f>
        <v>0</v>
      </c>
      <c r="AI63" s="490" cm="1">
        <f t="array" ref="AI63">_xlfn.IFS(SUM($R63:AH63)&gt;=$G63,0,$L63=AI$2,$G63/$P63,AH63&gt;0,$G63/$P63,TRUE,0)</f>
        <v>0</v>
      </c>
      <c r="AJ63" s="490" cm="1">
        <f t="array" ref="AJ63">_xlfn.IFS(SUM($R63:AI63)&gt;=$G63,0,$L63=AJ$2,$G63/$P63,AI63&gt;0,$G63/$P63,TRUE,0)</f>
        <v>0</v>
      </c>
      <c r="AK63" s="490" cm="1">
        <f t="array" ref="AK63">_xlfn.IFS(SUM($R63:AJ63)&gt;=$G63,0,$L63=AK$2,$G63/$P63,AJ63&gt;0,$G63/$P63,TRUE,0)</f>
        <v>0</v>
      </c>
      <c r="AL63" s="490" cm="1">
        <f t="array" ref="AL63">_xlfn.IFS(SUM($R63:AK63)&gt;=$G63,0,$L63=AL$2,$G63/$P63,AK63&gt;0,$G63/$P63,TRUE,0)</f>
        <v>7187.6044676545689</v>
      </c>
      <c r="AM63" s="490" cm="1">
        <f t="array" ref="AM63">_xlfn.IFS(SUM($R63:AL63)&gt;=$G63,0,$L63=AM$2,$G63/$P63,AL63&gt;0,$G63/$P63,TRUE,0)</f>
        <v>7187.6044676545689</v>
      </c>
      <c r="AN63" s="490" cm="1">
        <f t="array" ref="AN63">_xlfn.IFS(SUM($R63:AM63)&gt;=$G63,0,$L63=AN$2,$G63/$P63,AM63&gt;0,$G63/$P63,TRUE,0)</f>
        <v>7187.6044676545689</v>
      </c>
      <c r="AO63" s="490" cm="1">
        <f t="array" ref="AO63">_xlfn.IFS(SUM($R63:AN63)&gt;=$G63,0,$L63=AO$2,$G63/$P63,AN63&gt;0,$G63/$P63,TRUE,0)</f>
        <v>7187.6044676545689</v>
      </c>
      <c r="AP63" s="490" cm="1">
        <f t="array" ref="AP63">_xlfn.IFS(SUM($R63:AO63)&gt;=$G63,0,$L63=AP$2,$G63/$P63,AO63&gt;0,$G63/$P63,TRUE,0)</f>
        <v>7187.6044676545689</v>
      </c>
      <c r="AQ63" s="490" cm="1">
        <f t="array" ref="AQ63">_xlfn.IFS(SUM($R63:AP63)&gt;=$G63,0,$L63=AQ$2,$G63/$P63,AP63&gt;0,$G63/$P63,TRUE,0)</f>
        <v>7187.6044676545689</v>
      </c>
      <c r="AR63" s="490" cm="1">
        <f t="array" ref="AR63">_xlfn.IFS(SUM($R63:AQ63)&gt;=$G63,0,$L63=AR$2,$G63/$P63,AQ63&gt;0,$G63/$P63,TRUE,0)</f>
        <v>7187.6044676545689</v>
      </c>
      <c r="AS63" s="490" cm="1">
        <f t="array" ref="AS63">_xlfn.IFS(SUM($R63:AR63)&gt;=$G63,0,$L63=AS$2,$G63/$P63,AR63&gt;0,$G63/$P63,TRUE,0)</f>
        <v>7187.6044676545689</v>
      </c>
      <c r="AT63" s="490" cm="1">
        <f t="array" ref="AT63">_xlfn.IFS(SUM($R63:AS63)&gt;=$G63,0,$L63=AT$2,$G63/$P63,AS63&gt;0,$G63/$P63,TRUE,0)</f>
        <v>7187.6044676545689</v>
      </c>
      <c r="AU63" s="490" cm="1">
        <f t="array" ref="AU63">_xlfn.IFS(SUM($R63:AT63)&gt;=$G63,0,$L63=AU$2,$G63/$P63,AT63&gt;0,$G63/$P63,TRUE,0)</f>
        <v>7187.6044676545689</v>
      </c>
      <c r="AV63" s="490" cm="1">
        <f t="array" ref="AV63">_xlfn.IFS(SUM($R63:AU63)&gt;=$G63,0,$L63=AV$2,$G63/$P63,AU63&gt;0,$G63/$P63,TRUE,0)</f>
        <v>7187.6044676545689</v>
      </c>
      <c r="AW63" s="490" cm="1">
        <f t="array" ref="AW63">_xlfn.IFS(SUM($R63:AV63)&gt;=$G63,0,$L63=AW$2,$G63/$P63,AV63&gt;0,$G63/$P63,TRUE,0)</f>
        <v>7187.6044676545689</v>
      </c>
      <c r="AX63" s="490" cm="1">
        <f t="array" ref="AX63">_xlfn.IFS(SUM($R63:AW63)&gt;=$G63,0,$L63=AX$2,$G63/$P63,AW63&gt;0,$G63/$P63,TRUE,0)</f>
        <v>7187.6044676545689</v>
      </c>
      <c r="AY63" s="490" cm="1">
        <f t="array" ref="AY63">_xlfn.IFS(SUM($R63:AX63)&gt;=$G63,0,$L63=AY$2,$G63/$P63,AX63&gt;0,$G63/$P63,TRUE,0)</f>
        <v>7187.6044676545689</v>
      </c>
      <c r="AZ63" s="490" cm="1">
        <f t="array" ref="AZ63">_xlfn.IFS(SUM($R63:AY63)&gt;=$G63,0,$L63=AZ$2,$G63/$P63,AY63&gt;0,$G63/$P63,TRUE,0)</f>
        <v>7187.6044676545689</v>
      </c>
      <c r="BA63" s="311">
        <f t="shared" si="14"/>
        <v>107814.06701481856</v>
      </c>
      <c r="BB63" s="118"/>
      <c r="BC63" s="118"/>
      <c r="BD63" s="118"/>
    </row>
    <row r="64" spans="1:62" s="465" customFormat="1" ht="15" customHeight="1">
      <c r="A64" s="349"/>
      <c r="B64" s="350"/>
      <c r="C64" s="350"/>
      <c r="D64" s="350"/>
      <c r="E64" s="351" t="s">
        <v>979</v>
      </c>
      <c r="F64" s="349"/>
      <c r="G64" s="349"/>
      <c r="H64" s="352"/>
      <c r="I64" s="359"/>
      <c r="J64" s="359"/>
      <c r="K64" s="349"/>
      <c r="L64" s="356"/>
      <c r="M64" s="356"/>
      <c r="N64" s="357"/>
      <c r="O64" s="357"/>
      <c r="P64" s="352"/>
      <c r="Q64" s="355"/>
      <c r="R64" s="355"/>
      <c r="S64" s="365">
        <f>S65+SUMIF($B40:$B63,"잠재",S40:S63)-SUM(S56:S59)</f>
        <v>0</v>
      </c>
      <c r="T64" s="365">
        <f t="shared" ref="T64:AZ64" si="16">T65+SUMIF($B40:$B63,"잠재",T40:T63)-SUM(T56:T59)</f>
        <v>0</v>
      </c>
      <c r="U64" s="365">
        <f t="shared" si="16"/>
        <v>0</v>
      </c>
      <c r="V64" s="365">
        <f t="shared" si="16"/>
        <v>0</v>
      </c>
      <c r="W64" s="365">
        <f t="shared" si="16"/>
        <v>0</v>
      </c>
      <c r="X64" s="365">
        <f t="shared" si="16"/>
        <v>0</v>
      </c>
      <c r="Y64" s="365">
        <f t="shared" si="16"/>
        <v>0</v>
      </c>
      <c r="Z64" s="365">
        <f t="shared" si="16"/>
        <v>0</v>
      </c>
      <c r="AA64" s="365">
        <f t="shared" si="16"/>
        <v>0</v>
      </c>
      <c r="AB64" s="365">
        <f t="shared" si="16"/>
        <v>0</v>
      </c>
      <c r="AC64" s="365">
        <f t="shared" si="16"/>
        <v>0</v>
      </c>
      <c r="AD64" s="365">
        <f t="shared" si="16"/>
        <v>21304.451203353594</v>
      </c>
      <c r="AE64" s="365">
        <f t="shared" si="16"/>
        <v>36952.76710178065</v>
      </c>
      <c r="AF64" s="365">
        <f t="shared" si="16"/>
        <v>36952.76710178065</v>
      </c>
      <c r="AG64" s="365">
        <f t="shared" si="16"/>
        <v>36952.76710178065</v>
      </c>
      <c r="AH64" s="365">
        <f t="shared" si="16"/>
        <v>55533.449463397505</v>
      </c>
      <c r="AI64" s="365">
        <f t="shared" si="16"/>
        <v>55533.449463397505</v>
      </c>
      <c r="AJ64" s="365">
        <f t="shared" si="16"/>
        <v>55533.449463397505</v>
      </c>
      <c r="AK64" s="365">
        <f t="shared" si="16"/>
        <v>55533.449463397505</v>
      </c>
      <c r="AL64" s="365">
        <f t="shared" si="16"/>
        <v>62721.053931052076</v>
      </c>
      <c r="AM64" s="365">
        <f t="shared" si="16"/>
        <v>62721.053931052076</v>
      </c>
      <c r="AN64" s="365">
        <f t="shared" si="16"/>
        <v>62721.053931052076</v>
      </c>
      <c r="AO64" s="365">
        <f t="shared" si="16"/>
        <v>59776.088062929666</v>
      </c>
      <c r="AP64" s="365">
        <f t="shared" si="16"/>
        <v>58205.439599931044</v>
      </c>
      <c r="AQ64" s="365">
        <f t="shared" si="16"/>
        <v>58205.439599931044</v>
      </c>
      <c r="AR64" s="365">
        <f t="shared" si="16"/>
        <v>58205.439599931044</v>
      </c>
      <c r="AS64" s="365">
        <f t="shared" si="16"/>
        <v>54435.883288734352</v>
      </c>
      <c r="AT64" s="365">
        <f t="shared" si="16"/>
        <v>62342.248203154377</v>
      </c>
      <c r="AU64" s="365">
        <f t="shared" si="16"/>
        <v>50771.055976263626</v>
      </c>
      <c r="AV64" s="365">
        <f t="shared" si="16"/>
        <v>29905.095432494767</v>
      </c>
      <c r="AW64" s="365">
        <f t="shared" si="16"/>
        <v>29905.095432494767</v>
      </c>
      <c r="AX64" s="365">
        <f t="shared" si="16"/>
        <v>29905.095432494767</v>
      </c>
      <c r="AY64" s="365">
        <f t="shared" si="16"/>
        <v>15093.969382074596</v>
      </c>
      <c r="AZ64" s="365">
        <f t="shared" si="16"/>
        <v>15093.969382074596</v>
      </c>
      <c r="BA64" s="367" t="s">
        <v>959</v>
      </c>
      <c r="BB64" s="349"/>
      <c r="BC64" s="349"/>
      <c r="BD64" s="349"/>
    </row>
    <row r="65" spans="1:56" s="466" customFormat="1" ht="15" customHeight="1">
      <c r="A65" s="339"/>
      <c r="B65" s="340"/>
      <c r="C65" s="340"/>
      <c r="D65" s="340"/>
      <c r="E65" s="341" t="s">
        <v>981</v>
      </c>
      <c r="F65" s="339"/>
      <c r="G65" s="339"/>
      <c r="H65" s="342"/>
      <c r="I65" s="346"/>
      <c r="J65" s="346"/>
      <c r="K65" s="339"/>
      <c r="L65" s="347"/>
      <c r="M65" s="347"/>
      <c r="N65" s="348"/>
      <c r="O65" s="348"/>
      <c r="P65" s="342"/>
      <c r="Q65" s="345"/>
      <c r="R65" s="345"/>
      <c r="S65" s="366">
        <f>S66+SUMIF($B40:$B63,"가능",S40:S63)</f>
        <v>0</v>
      </c>
      <c r="T65" s="366">
        <f t="shared" ref="T65:AZ65" si="17">T66+SUMIF($B40:$B63,"가능",T40:T63)</f>
        <v>0</v>
      </c>
      <c r="U65" s="366">
        <f t="shared" si="17"/>
        <v>0</v>
      </c>
      <c r="V65" s="366">
        <f t="shared" si="17"/>
        <v>0</v>
      </c>
      <c r="W65" s="366">
        <f t="shared" si="17"/>
        <v>0</v>
      </c>
      <c r="X65" s="366">
        <f t="shared" si="17"/>
        <v>0</v>
      </c>
      <c r="Y65" s="366">
        <f t="shared" si="17"/>
        <v>0</v>
      </c>
      <c r="Z65" s="366">
        <f t="shared" si="17"/>
        <v>0</v>
      </c>
      <c r="AA65" s="366">
        <f t="shared" si="17"/>
        <v>0</v>
      </c>
      <c r="AB65" s="366">
        <f t="shared" si="17"/>
        <v>0</v>
      </c>
      <c r="AC65" s="366">
        <f t="shared" si="17"/>
        <v>0</v>
      </c>
      <c r="AD65" s="366">
        <f t="shared" si="17"/>
        <v>9899.7978008955233</v>
      </c>
      <c r="AE65" s="366">
        <f t="shared" si="17"/>
        <v>16071.100321903927</v>
      </c>
      <c r="AF65" s="366">
        <f t="shared" si="17"/>
        <v>16071.100321903927</v>
      </c>
      <c r="AG65" s="366">
        <f t="shared" si="17"/>
        <v>16071.100321903927</v>
      </c>
      <c r="AH65" s="366">
        <f t="shared" si="17"/>
        <v>32767.00452792244</v>
      </c>
      <c r="AI65" s="366">
        <f t="shared" si="17"/>
        <v>32767.00452792244</v>
      </c>
      <c r="AJ65" s="366">
        <f t="shared" si="17"/>
        <v>32767.00452792244</v>
      </c>
      <c r="AK65" s="366">
        <f t="shared" si="17"/>
        <v>32767.00452792244</v>
      </c>
      <c r="AL65" s="366">
        <f t="shared" si="17"/>
        <v>32767.00452792244</v>
      </c>
      <c r="AM65" s="366">
        <f t="shared" si="17"/>
        <v>32767.00452792244</v>
      </c>
      <c r="AN65" s="366">
        <f t="shared" si="17"/>
        <v>32767.00452792244</v>
      </c>
      <c r="AO65" s="366">
        <f t="shared" si="17"/>
        <v>29822.038659800026</v>
      </c>
      <c r="AP65" s="366">
        <f t="shared" si="17"/>
        <v>29822.038659800026</v>
      </c>
      <c r="AQ65" s="366">
        <f t="shared" si="17"/>
        <v>29822.038659800026</v>
      </c>
      <c r="AR65" s="366">
        <f t="shared" si="17"/>
        <v>29822.038659800026</v>
      </c>
      <c r="AS65" s="366">
        <f t="shared" si="17"/>
        <v>27937.26050420168</v>
      </c>
      <c r="AT65" s="366">
        <f t="shared" si="17"/>
        <v>27937.26050420168</v>
      </c>
      <c r="AU65" s="366">
        <f t="shared" si="17"/>
        <v>20982.428571428572</v>
      </c>
      <c r="AV65" s="366">
        <f t="shared" si="17"/>
        <v>14811.126050420167</v>
      </c>
      <c r="AW65" s="366">
        <f t="shared" si="17"/>
        <v>14811.126050420167</v>
      </c>
      <c r="AX65" s="366">
        <f t="shared" si="17"/>
        <v>14811.126050420167</v>
      </c>
      <c r="AY65" s="366">
        <f t="shared" si="17"/>
        <v>0</v>
      </c>
      <c r="AZ65" s="366">
        <f t="shared" si="17"/>
        <v>0</v>
      </c>
      <c r="BA65" s="367" t="s">
        <v>959</v>
      </c>
      <c r="BB65" s="339"/>
      <c r="BC65" s="339"/>
      <c r="BD65" s="339"/>
    </row>
    <row r="66" spans="1:56" ht="15" customHeight="1">
      <c r="E66" s="337" t="s">
        <v>980</v>
      </c>
      <c r="H66" s="121"/>
      <c r="I66" s="129"/>
      <c r="J66" s="129"/>
      <c r="L66" s="134"/>
      <c r="M66" s="134"/>
      <c r="N66" s="133"/>
      <c r="O66" s="133"/>
      <c r="P66" s="121"/>
      <c r="Q66" s="283"/>
      <c r="R66" s="283"/>
      <c r="S66" s="312">
        <f t="shared" ref="S66" si="18">SUMIF($B40:$B63,"확실", S40:S63)</f>
        <v>0</v>
      </c>
      <c r="T66" s="312">
        <f t="shared" ref="T66:AZ66" si="19">SUMIF($B40:$B63,"확실", T40:T63)</f>
        <v>0</v>
      </c>
      <c r="U66" s="312">
        <f t="shared" si="19"/>
        <v>0</v>
      </c>
      <c r="V66" s="312">
        <f t="shared" si="19"/>
        <v>0</v>
      </c>
      <c r="W66" s="312">
        <f t="shared" si="19"/>
        <v>0</v>
      </c>
      <c r="X66" s="312">
        <f t="shared" si="19"/>
        <v>0</v>
      </c>
      <c r="Y66" s="312">
        <f t="shared" si="19"/>
        <v>0</v>
      </c>
      <c r="Z66" s="312">
        <f t="shared" si="19"/>
        <v>0</v>
      </c>
      <c r="AA66" s="312">
        <f t="shared" si="19"/>
        <v>0</v>
      </c>
      <c r="AB66" s="312">
        <f t="shared" si="19"/>
        <v>0</v>
      </c>
      <c r="AC66" s="312">
        <f t="shared" si="19"/>
        <v>0</v>
      </c>
      <c r="AD66" s="312">
        <f t="shared" si="19"/>
        <v>9899.7978008955233</v>
      </c>
      <c r="AE66" s="312">
        <f t="shared" si="19"/>
        <v>16071.100321903927</v>
      </c>
      <c r="AF66" s="312">
        <f t="shared" si="19"/>
        <v>16071.100321903927</v>
      </c>
      <c r="AG66" s="312">
        <f t="shared" si="19"/>
        <v>16071.100321903927</v>
      </c>
      <c r="AH66" s="312">
        <f t="shared" si="19"/>
        <v>16071.100321903927</v>
      </c>
      <c r="AI66" s="312">
        <f t="shared" si="19"/>
        <v>16071.100321903927</v>
      </c>
      <c r="AJ66" s="312">
        <f t="shared" si="19"/>
        <v>16071.100321903927</v>
      </c>
      <c r="AK66" s="312">
        <f t="shared" si="19"/>
        <v>16071.100321903927</v>
      </c>
      <c r="AL66" s="312">
        <f t="shared" si="19"/>
        <v>16071.100321903927</v>
      </c>
      <c r="AM66" s="312">
        <f t="shared" si="19"/>
        <v>16071.100321903927</v>
      </c>
      <c r="AN66" s="312">
        <f t="shared" si="19"/>
        <v>16071.100321903927</v>
      </c>
      <c r="AO66" s="312">
        <f t="shared" si="19"/>
        <v>13126.134453781513</v>
      </c>
      <c r="AP66" s="312">
        <f t="shared" si="19"/>
        <v>13126.134453781513</v>
      </c>
      <c r="AQ66" s="312">
        <f t="shared" si="19"/>
        <v>13126.134453781513</v>
      </c>
      <c r="AR66" s="312">
        <f t="shared" si="19"/>
        <v>13126.134453781513</v>
      </c>
      <c r="AS66" s="312">
        <f t="shared" si="19"/>
        <v>13126.134453781513</v>
      </c>
      <c r="AT66" s="312">
        <f t="shared" si="19"/>
        <v>13126.134453781513</v>
      </c>
      <c r="AU66" s="312">
        <f t="shared" si="19"/>
        <v>6171.3025210084033</v>
      </c>
      <c r="AV66" s="312">
        <f t="shared" si="19"/>
        <v>0</v>
      </c>
      <c r="AW66" s="312">
        <f t="shared" si="19"/>
        <v>0</v>
      </c>
      <c r="AX66" s="312">
        <f t="shared" si="19"/>
        <v>0</v>
      </c>
      <c r="AY66" s="312">
        <f t="shared" si="19"/>
        <v>0</v>
      </c>
      <c r="AZ66" s="312">
        <f t="shared" si="19"/>
        <v>0</v>
      </c>
      <c r="BA66" s="367" t="s">
        <v>959</v>
      </c>
    </row>
    <row r="67" spans="1:56" ht="15" customHeight="1">
      <c r="B67" s="129"/>
      <c r="C67" s="6"/>
      <c r="D67" s="6"/>
      <c r="E67" s="134"/>
      <c r="F67" s="133"/>
      <c r="G67" s="121"/>
      <c r="H67" s="121"/>
      <c r="I67" s="79"/>
      <c r="J67" s="79"/>
      <c r="K67" s="79"/>
      <c r="L67" s="88"/>
      <c r="M67" s="88"/>
      <c r="N67" s="79"/>
      <c r="O67" s="79"/>
      <c r="P67" s="121"/>
      <c r="Q67" s="283"/>
      <c r="R67" s="283"/>
      <c r="BA67" s="118" t="s">
        <v>959</v>
      </c>
    </row>
    <row r="68" spans="1:56" s="467" customFormat="1" ht="15" customHeight="1">
      <c r="A68" s="8" t="s">
        <v>423</v>
      </c>
      <c r="B68" s="146" t="s">
        <v>1114</v>
      </c>
      <c r="C68" s="146"/>
      <c r="D68" s="146"/>
      <c r="E68" s="146"/>
      <c r="F68" s="146"/>
      <c r="G68" s="146"/>
      <c r="H68" s="146"/>
      <c r="I68" s="145"/>
      <c r="J68" s="145"/>
      <c r="K68" s="146"/>
      <c r="L68" s="145"/>
      <c r="M68" s="145"/>
      <c r="N68" s="146"/>
      <c r="O68" s="146"/>
      <c r="P68" s="335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282" t="s">
        <v>959</v>
      </c>
      <c r="BB68" s="144"/>
      <c r="BC68" s="144"/>
      <c r="BD68" s="144"/>
    </row>
    <row r="69" spans="1:56" ht="15" customHeight="1">
      <c r="B69" s="129"/>
      <c r="C69" s="129"/>
      <c r="D69" s="297" t="s">
        <v>1115</v>
      </c>
      <c r="E69" s="62"/>
      <c r="F69" s="62"/>
      <c r="G69" s="130"/>
      <c r="H69" s="130"/>
      <c r="I69" s="129"/>
      <c r="J69" s="129"/>
      <c r="K69" s="129"/>
      <c r="L69" s="128"/>
      <c r="M69" s="128"/>
      <c r="N69" s="129"/>
      <c r="O69" s="129"/>
      <c r="P69" s="121"/>
      <c r="BA69" s="118" t="s">
        <v>959</v>
      </c>
    </row>
    <row r="70" spans="1:56" s="467" customFormat="1" ht="15" customHeight="1">
      <c r="A70" t="str">
        <f t="shared" ref="A70:A72" si="20">IF(G70=BA70,"","F")</f>
        <v/>
      </c>
      <c r="B70" s="402" t="s">
        <v>526</v>
      </c>
      <c r="C70" s="402" t="s">
        <v>927</v>
      </c>
      <c r="D70" s="402" t="s">
        <v>1075</v>
      </c>
      <c r="E70" s="402" t="s">
        <v>1116</v>
      </c>
      <c r="F70" s="403">
        <v>1000</v>
      </c>
      <c r="G70" s="403">
        <f>F70*H70</f>
        <v>52456.071428571435</v>
      </c>
      <c r="H70" s="635">
        <f>SUM(L34,L36,L37)</f>
        <v>52.456071428571434</v>
      </c>
      <c r="I70" s="404" t="s">
        <v>449</v>
      </c>
      <c r="J70" s="394">
        <f>2000+RIGHT(I70,2)</f>
        <v>2026</v>
      </c>
      <c r="K70" s="402"/>
      <c r="L70" s="404" t="str">
        <f>M70</f>
        <v>3Q27</v>
      </c>
      <c r="M70" s="404" t="s">
        <v>443</v>
      </c>
      <c r="N70" s="399" t="str">
        <f>LEFT(M70,2)&amp;(4+RIGHT(M70,2))</f>
        <v>3Q31</v>
      </c>
      <c r="O70" s="399"/>
      <c r="P70" s="397">
        <f>LEFT(N70)-LEFT(L70)+(RIGHT(N70,2)-RIGHT(L70,2))*4+1</f>
        <v>17</v>
      </c>
      <c r="Q70" s="405"/>
      <c r="R70" s="405"/>
      <c r="S70" s="489" cm="1">
        <f t="array" ref="S70">_xlfn.IFS(SUM($R70:R70)&gt;=$G70,0,$L70=S$2,$G70/$P70,R70&gt;0,$G70/$P70,TRUE,0)</f>
        <v>0</v>
      </c>
      <c r="T70" s="489" cm="1">
        <f t="array" ref="T70">_xlfn.IFS(SUM($R70:S70)&gt;=$G70,0,$L70=T$2,$G70/$P70,S70&gt;0,$G70/$P70,TRUE,0)</f>
        <v>0</v>
      </c>
      <c r="U70" s="489" cm="1">
        <f t="array" ref="U70">_xlfn.IFS(SUM($R70:T70)&gt;=$G70,0,$L70=U$2,$G70/$P70,T70&gt;0,$G70/$P70,TRUE,0)</f>
        <v>0</v>
      </c>
      <c r="V70" s="489" cm="1">
        <f t="array" ref="V70">_xlfn.IFS(SUM($R70:U70)&gt;=$G70,0,$L70=V$2,$G70/$P70,U70&gt;0,$G70/$P70,TRUE,0)</f>
        <v>0</v>
      </c>
      <c r="W70" s="489" cm="1">
        <f t="array" ref="W70">_xlfn.IFS(SUM($R70:V70)&gt;=$G70,0,$L70=W$2,$G70/$P70,V70&gt;0,$G70/$P70,TRUE,0)</f>
        <v>0</v>
      </c>
      <c r="X70" s="489" cm="1">
        <f t="array" ref="X70">_xlfn.IFS(SUM($R70:W70)&gt;=$G70,0,$L70=X$2,$G70/$P70,W70&gt;0,$G70/$P70,TRUE,0)</f>
        <v>0</v>
      </c>
      <c r="Y70" s="489" cm="1">
        <f t="array" ref="Y70">_xlfn.IFS(SUM($R70:X70)&gt;=$G70,0,$L70=Y$2,$G70/$P70,X70&gt;0,$G70/$P70,TRUE,0)</f>
        <v>0</v>
      </c>
      <c r="Z70" s="489" cm="1">
        <f t="array" ref="Z70">_xlfn.IFS(SUM($R70:Y70)&gt;=$G70,0,$L70=Z$2,$G70/$P70,Y70&gt;0,$G70/$P70,TRUE,0)</f>
        <v>0</v>
      </c>
      <c r="AA70" s="489" cm="1">
        <f t="array" ref="AA70">_xlfn.IFS(SUM($R70:Z70)&gt;=$G70,0,$L70=AA$2,$G70/$P70,Z70&gt;0,$G70/$P70,TRUE,0)</f>
        <v>3085.6512605042021</v>
      </c>
      <c r="AB70" s="489" cm="1">
        <f t="array" ref="AB70">_xlfn.IFS(SUM($R70:AA70)&gt;=$G70,0,$L70=AB$2,$G70/$P70,AA70&gt;0,$G70/$P70,TRUE,0)</f>
        <v>3085.6512605042021</v>
      </c>
      <c r="AC70" s="489" cm="1">
        <f t="array" ref="AC70">_xlfn.IFS(SUM($R70:AB70)&gt;=$G70,0,$L70=AC$2,$G70/$P70,AB70&gt;0,$G70/$P70,TRUE,0)</f>
        <v>3085.6512605042021</v>
      </c>
      <c r="AD70" s="489" cm="1">
        <f t="array" ref="AD70">_xlfn.IFS(SUM($R70:AC70)&gt;=$G70,0,$L70=AD$2,$G70/$P70,AC70&gt;0,$G70/$P70,TRUE,0)</f>
        <v>3085.6512605042021</v>
      </c>
      <c r="AE70" s="489" cm="1">
        <f t="array" ref="AE70">_xlfn.IFS(SUM($R70:AD70)&gt;=$G70,0,$L70=AE$2,$G70/$P70,AD70&gt;0,$G70/$P70,TRUE,0)</f>
        <v>3085.6512605042021</v>
      </c>
      <c r="AF70" s="489" cm="1">
        <f t="array" ref="AF70">_xlfn.IFS(SUM($R70:AE70)&gt;=$G70,0,$L70=AF$2,$G70/$P70,AE70&gt;0,$G70/$P70,TRUE,0)</f>
        <v>3085.6512605042021</v>
      </c>
      <c r="AG70" s="489" cm="1">
        <f t="array" ref="AG70">_xlfn.IFS(SUM($R70:AF70)&gt;=$G70,0,$L70=AG$2,$G70/$P70,AF70&gt;0,$G70/$P70,TRUE,0)</f>
        <v>3085.6512605042021</v>
      </c>
      <c r="AH70" s="489" cm="1">
        <f t="array" ref="AH70">_xlfn.IFS(SUM($R70:AG70)&gt;=$G70,0,$L70=AH$2,$G70/$P70,AG70&gt;0,$G70/$P70,TRUE,0)</f>
        <v>3085.6512605042021</v>
      </c>
      <c r="AI70" s="489" cm="1">
        <f t="array" ref="AI70">_xlfn.IFS(SUM($R70:AH70)&gt;=$G70,0,$L70=AI$2,$G70/$P70,AH70&gt;0,$G70/$P70,TRUE,0)</f>
        <v>3085.6512605042021</v>
      </c>
      <c r="AJ70" s="489" cm="1">
        <f t="array" ref="AJ70">_xlfn.IFS(SUM($R70:AI70)&gt;=$G70,0,$L70=AJ$2,$G70/$P70,AI70&gt;0,$G70/$P70,TRUE,0)</f>
        <v>3085.6512605042021</v>
      </c>
      <c r="AK70" s="489" cm="1">
        <f t="array" ref="AK70">_xlfn.IFS(SUM($R70:AJ70)&gt;=$G70,0,$L70=AK$2,$G70/$P70,AJ70&gt;0,$G70/$P70,TRUE,0)</f>
        <v>3085.6512605042021</v>
      </c>
      <c r="AL70" s="489" cm="1">
        <f t="array" ref="AL70">_xlfn.IFS(SUM($R70:AK70)&gt;=$G70,0,$L70=AL$2,$G70/$P70,AK70&gt;0,$G70/$P70,TRUE,0)</f>
        <v>3085.6512605042021</v>
      </c>
      <c r="AM70" s="489" cm="1">
        <f t="array" ref="AM70">_xlfn.IFS(SUM($R70:AL70)&gt;=$G70,0,$L70=AM$2,$G70/$P70,AL70&gt;0,$G70/$P70,TRUE,0)</f>
        <v>3085.6512605042021</v>
      </c>
      <c r="AN70" s="489" cm="1">
        <f t="array" ref="AN70">_xlfn.IFS(SUM($R70:AM70)&gt;=$G70,0,$L70=AN$2,$G70/$P70,AM70&gt;0,$G70/$P70,TRUE,0)</f>
        <v>3085.6512605042021</v>
      </c>
      <c r="AO70" s="489" cm="1">
        <f t="array" ref="AO70">_xlfn.IFS(SUM($R70:AN70)&gt;=$G70,0,$L70=AO$2,$G70/$P70,AN70&gt;0,$G70/$P70,TRUE,0)</f>
        <v>3085.6512605042021</v>
      </c>
      <c r="AP70" s="489" cm="1">
        <f t="array" ref="AP70">_xlfn.IFS(SUM($R70:AO70)&gt;=$G70,0,$L70=AP$2,$G70/$P70,AO70&gt;0,$G70/$P70,TRUE,0)</f>
        <v>3085.6512605042021</v>
      </c>
      <c r="AQ70" s="489" cm="1">
        <f t="array" ref="AQ70">_xlfn.IFS(SUM($R70:AP70)&gt;=$G70,0,$L70=AQ$2,$G70/$P70,AP70&gt;0,$G70/$P70,TRUE,0)</f>
        <v>3085.6512605042021</v>
      </c>
      <c r="AR70" s="489" cm="1">
        <f t="array" ref="AR70">_xlfn.IFS(SUM($R70:AQ70)&gt;=$G70,0,$L70=AR$2,$G70/$P70,AQ70&gt;0,$G70/$P70,TRUE,0)</f>
        <v>0</v>
      </c>
      <c r="AS70" s="489" cm="1">
        <f t="array" ref="AS70">_xlfn.IFS(SUM($R70:AR70)&gt;=$G70,0,$L70=AS$2,$G70/$P70,AR70&gt;0,$G70/$P70,TRUE,0)</f>
        <v>0</v>
      </c>
      <c r="AT70" s="489" cm="1">
        <f t="array" ref="AT70">_xlfn.IFS(SUM($R70:AS70)&gt;=$G70,0,$L70=AT$2,$G70/$P70,AS70&gt;0,$G70/$P70,TRUE,0)</f>
        <v>0</v>
      </c>
      <c r="AU70" s="489" cm="1">
        <f t="array" ref="AU70">_xlfn.IFS(SUM($R70:AT70)&gt;=$G70,0,$L70=AU$2,$G70/$P70,AT70&gt;0,$G70/$P70,TRUE,0)</f>
        <v>0</v>
      </c>
      <c r="AV70" s="489" cm="1">
        <f t="array" ref="AV70">_xlfn.IFS(SUM($R70:AU70)&gt;=$G70,0,$L70=AV$2,$G70/$P70,AU70&gt;0,$G70/$P70,TRUE,0)</f>
        <v>0</v>
      </c>
      <c r="AW70" s="489" cm="1">
        <f t="array" ref="AW70">_xlfn.IFS(SUM($R70:AV70)&gt;=$G70,0,$L70=AW$2,$G70/$P70,AV70&gt;0,$G70/$P70,TRUE,0)</f>
        <v>0</v>
      </c>
      <c r="AX70" s="489" cm="1">
        <f t="array" ref="AX70">_xlfn.IFS(SUM($R70:AW70)&gt;=$G70,0,$L70=AX$2,$G70/$P70,AW70&gt;0,$G70/$P70,TRUE,0)</f>
        <v>0</v>
      </c>
      <c r="AY70" s="489" cm="1">
        <f t="array" ref="AY70">_xlfn.IFS(SUM($R70:AX70)&gt;=$G70,0,$L70=AY$2,$G70/$P70,AX70&gt;0,$G70/$P70,TRUE,0)</f>
        <v>0</v>
      </c>
      <c r="AZ70" s="489" cm="1">
        <f t="array" ref="AZ70">_xlfn.IFS(SUM($R70:AY70)&gt;=$G70,0,$L70=AZ$2,$G70/$P70,AY70&gt;0,$G70/$P70,TRUE,0)</f>
        <v>0</v>
      </c>
      <c r="BA70" s="311">
        <f t="shared" ref="BA70:BA73" si="21">SUM(S70:AZ70)</f>
        <v>52456.07142857142</v>
      </c>
      <c r="BB70" s="8"/>
      <c r="BC70" s="8"/>
      <c r="BD70" s="8"/>
    </row>
    <row r="71" spans="1:56" s="467" customFormat="1" ht="15" customHeight="1">
      <c r="A71" t="str">
        <f t="shared" si="20"/>
        <v/>
      </c>
      <c r="B71" s="89" t="s">
        <v>526</v>
      </c>
      <c r="C71" s="89" t="s">
        <v>927</v>
      </c>
      <c r="D71" s="89" t="s">
        <v>1075</v>
      </c>
      <c r="E71" s="89" t="s">
        <v>1117</v>
      </c>
      <c r="F71" s="87">
        <v>2000</v>
      </c>
      <c r="G71" s="87">
        <f>F71*H71</f>
        <v>104912.14285714287</v>
      </c>
      <c r="H71" s="636">
        <f>$H$70</f>
        <v>52.456071428571434</v>
      </c>
      <c r="I71" s="90" t="s">
        <v>446</v>
      </c>
      <c r="J71" s="79">
        <f>2000+RIGHT(I71,2)</f>
        <v>2026</v>
      </c>
      <c r="K71" s="89"/>
      <c r="L71" s="90" t="str">
        <f>M71</f>
        <v>2Q28</v>
      </c>
      <c r="M71" s="90" t="s">
        <v>440</v>
      </c>
      <c r="N71" s="88" t="str">
        <f>LEFT(M71,2)&amp;(4+RIGHT(M71,2))</f>
        <v>2Q32</v>
      </c>
      <c r="O71" s="88"/>
      <c r="P71" s="121">
        <f>LEFT(N71)-LEFT(L71)+(RIGHT(N71,2)-RIGHT(L71,2))*4+1</f>
        <v>17</v>
      </c>
      <c r="Q71" s="8"/>
      <c r="R71" s="8"/>
      <c r="S71" s="311" cm="1">
        <f t="array" ref="S71">_xlfn.IFS(SUM($R71:R71)&gt;=$G71,0,$L71=S$2,$G71/$P71,R71&gt;0,$G71/$P71,TRUE,0)</f>
        <v>0</v>
      </c>
      <c r="T71" s="311" cm="1">
        <f t="array" ref="T71">_xlfn.IFS(SUM($R71:S71)&gt;=$G71,0,$L71=T$2,$G71/$P71,S71&gt;0,$G71/$P71,TRUE,0)</f>
        <v>0</v>
      </c>
      <c r="U71" s="311" cm="1">
        <f t="array" ref="U71">_xlfn.IFS(SUM($R71:T71)&gt;=$G71,0,$L71=U$2,$G71/$P71,T71&gt;0,$G71/$P71,TRUE,0)</f>
        <v>0</v>
      </c>
      <c r="V71" s="311" cm="1">
        <f t="array" ref="V71">_xlfn.IFS(SUM($R71:U71)&gt;=$G71,0,$L71=V$2,$G71/$P71,U71&gt;0,$G71/$P71,TRUE,0)</f>
        <v>0</v>
      </c>
      <c r="W71" s="311" cm="1">
        <f t="array" ref="W71">_xlfn.IFS(SUM($R71:V71)&gt;=$G71,0,$L71=W$2,$G71/$P71,V71&gt;0,$G71/$P71,TRUE,0)</f>
        <v>0</v>
      </c>
      <c r="X71" s="311" cm="1">
        <f t="array" ref="X71">_xlfn.IFS(SUM($R71:W71)&gt;=$G71,0,$L71=X$2,$G71/$P71,W71&gt;0,$G71/$P71,TRUE,0)</f>
        <v>0</v>
      </c>
      <c r="Y71" s="311" cm="1">
        <f t="array" ref="Y71">_xlfn.IFS(SUM($R71:X71)&gt;=$G71,0,$L71=Y$2,$G71/$P71,X71&gt;0,$G71/$P71,TRUE,0)</f>
        <v>0</v>
      </c>
      <c r="Z71" s="311" cm="1">
        <f t="array" ref="Z71">_xlfn.IFS(SUM($R71:Y71)&gt;=$G71,0,$L71=Z$2,$G71/$P71,Y71&gt;0,$G71/$P71,TRUE,0)</f>
        <v>0</v>
      </c>
      <c r="AA71" s="311" cm="1">
        <f t="array" ref="AA71">_xlfn.IFS(SUM($R71:Z71)&gt;=$G71,0,$L71=AA$2,$G71/$P71,Z71&gt;0,$G71/$P71,TRUE,0)</f>
        <v>0</v>
      </c>
      <c r="AB71" s="311" cm="1">
        <f t="array" ref="AB71">_xlfn.IFS(SUM($R71:AA71)&gt;=$G71,0,$L71=AB$2,$G71/$P71,AA71&gt;0,$G71/$P71,TRUE,0)</f>
        <v>0</v>
      </c>
      <c r="AC71" s="311" cm="1">
        <f t="array" ref="AC71">_xlfn.IFS(SUM($R71:AB71)&gt;=$G71,0,$L71=AC$2,$G71/$P71,AB71&gt;0,$G71/$P71,TRUE,0)</f>
        <v>0</v>
      </c>
      <c r="AD71" s="311" cm="1">
        <f t="array" ref="AD71">_xlfn.IFS(SUM($R71:AC71)&gt;=$G71,0,$L71=AD$2,$G71/$P71,AC71&gt;0,$G71/$P71,TRUE,0)</f>
        <v>6171.3025210084043</v>
      </c>
      <c r="AE71" s="311" cm="1">
        <f t="array" ref="AE71">_xlfn.IFS(SUM($R71:AD71)&gt;=$G71,0,$L71=AE$2,$G71/$P71,AD71&gt;0,$G71/$P71,TRUE,0)</f>
        <v>6171.3025210084043</v>
      </c>
      <c r="AF71" s="311" cm="1">
        <f t="array" ref="AF71">_xlfn.IFS(SUM($R71:AE71)&gt;=$G71,0,$L71=AF$2,$G71/$P71,AE71&gt;0,$G71/$P71,TRUE,0)</f>
        <v>6171.3025210084043</v>
      </c>
      <c r="AG71" s="311" cm="1">
        <f t="array" ref="AG71">_xlfn.IFS(SUM($R71:AF71)&gt;=$G71,0,$L71=AG$2,$G71/$P71,AF71&gt;0,$G71/$P71,TRUE,0)</f>
        <v>6171.3025210084043</v>
      </c>
      <c r="AH71" s="311" cm="1">
        <f t="array" ref="AH71">_xlfn.IFS(SUM($R71:AG71)&gt;=$G71,0,$L71=AH$2,$G71/$P71,AG71&gt;0,$G71/$P71,TRUE,0)</f>
        <v>6171.3025210084043</v>
      </c>
      <c r="AI71" s="311" cm="1">
        <f t="array" ref="AI71">_xlfn.IFS(SUM($R71:AH71)&gt;=$G71,0,$L71=AI$2,$G71/$P71,AH71&gt;0,$G71/$P71,TRUE,0)</f>
        <v>6171.3025210084043</v>
      </c>
      <c r="AJ71" s="311" cm="1">
        <f t="array" ref="AJ71">_xlfn.IFS(SUM($R71:AI71)&gt;=$G71,0,$L71=AJ$2,$G71/$P71,AI71&gt;0,$G71/$P71,TRUE,0)</f>
        <v>6171.3025210084043</v>
      </c>
      <c r="AK71" s="311" cm="1">
        <f t="array" ref="AK71">_xlfn.IFS(SUM($R71:AJ71)&gt;=$G71,0,$L71=AK$2,$G71/$P71,AJ71&gt;0,$G71/$P71,TRUE,0)</f>
        <v>6171.3025210084043</v>
      </c>
      <c r="AL71" s="311" cm="1">
        <f t="array" ref="AL71">_xlfn.IFS(SUM($R71:AK71)&gt;=$G71,0,$L71=AL$2,$G71/$P71,AK71&gt;0,$G71/$P71,TRUE,0)</f>
        <v>6171.3025210084043</v>
      </c>
      <c r="AM71" s="311" cm="1">
        <f t="array" ref="AM71">_xlfn.IFS(SUM($R71:AL71)&gt;=$G71,0,$L71=AM$2,$G71/$P71,AL71&gt;0,$G71/$P71,TRUE,0)</f>
        <v>6171.3025210084043</v>
      </c>
      <c r="AN71" s="311" cm="1">
        <f t="array" ref="AN71">_xlfn.IFS(SUM($R71:AM71)&gt;=$G71,0,$L71=AN$2,$G71/$P71,AM71&gt;0,$G71/$P71,TRUE,0)</f>
        <v>6171.3025210084043</v>
      </c>
      <c r="AO71" s="311" cm="1">
        <f t="array" ref="AO71">_xlfn.IFS(SUM($R71:AN71)&gt;=$G71,0,$L71=AO$2,$G71/$P71,AN71&gt;0,$G71/$P71,TRUE,0)</f>
        <v>6171.3025210084043</v>
      </c>
      <c r="AP71" s="311" cm="1">
        <f t="array" ref="AP71">_xlfn.IFS(SUM($R71:AO71)&gt;=$G71,0,$L71=AP$2,$G71/$P71,AO71&gt;0,$G71/$P71,TRUE,0)</f>
        <v>6171.3025210084043</v>
      </c>
      <c r="AQ71" s="311" cm="1">
        <f t="array" ref="AQ71">_xlfn.IFS(SUM($R71:AP71)&gt;=$G71,0,$L71=AQ$2,$G71/$P71,AP71&gt;0,$G71/$P71,TRUE,0)</f>
        <v>6171.3025210084043</v>
      </c>
      <c r="AR71" s="311" cm="1">
        <f t="array" ref="AR71">_xlfn.IFS(SUM($R71:AQ71)&gt;=$G71,0,$L71=AR$2,$G71/$P71,AQ71&gt;0,$G71/$P71,TRUE,0)</f>
        <v>6171.3025210084043</v>
      </c>
      <c r="AS71" s="311" cm="1">
        <f t="array" ref="AS71">_xlfn.IFS(SUM($R71:AR71)&gt;=$G71,0,$L71=AS$2,$G71/$P71,AR71&gt;0,$G71/$P71,TRUE,0)</f>
        <v>6171.3025210084043</v>
      </c>
      <c r="AT71" s="311" cm="1">
        <f t="array" ref="AT71">_xlfn.IFS(SUM($R71:AS71)&gt;=$G71,0,$L71=AT$2,$G71/$P71,AS71&gt;0,$G71/$P71,TRUE,0)</f>
        <v>6171.3025210084043</v>
      </c>
      <c r="AU71" s="311" cm="1">
        <f t="array" ref="AU71">_xlfn.IFS(SUM($R71:AT71)&gt;=$G71,0,$L71=AU$2,$G71/$P71,AT71&gt;0,$G71/$P71,TRUE,0)</f>
        <v>0</v>
      </c>
      <c r="AV71" s="311" cm="1">
        <f t="array" ref="AV71">_xlfn.IFS(SUM($R71:AU71)&gt;=$G71,0,$L71=AV$2,$G71/$P71,AU71&gt;0,$G71/$P71,TRUE,0)</f>
        <v>0</v>
      </c>
      <c r="AW71" s="311" cm="1">
        <f t="array" ref="AW71">_xlfn.IFS(SUM($R71:AV71)&gt;=$G71,0,$L71=AW$2,$G71/$P71,AV71&gt;0,$G71/$P71,TRUE,0)</f>
        <v>0</v>
      </c>
      <c r="AX71" s="311" cm="1">
        <f t="array" ref="AX71">_xlfn.IFS(SUM($R71:AW71)&gt;=$G71,0,$L71=AX$2,$G71/$P71,AW71&gt;0,$G71/$P71,TRUE,0)</f>
        <v>0</v>
      </c>
      <c r="AY71" s="311" cm="1">
        <f t="array" ref="AY71">_xlfn.IFS(SUM($R71:AX71)&gt;=$G71,0,$L71=AY$2,$G71/$P71,AX71&gt;0,$G71/$P71,TRUE,0)</f>
        <v>0</v>
      </c>
      <c r="AZ71" s="311" cm="1">
        <f t="array" ref="AZ71">_xlfn.IFS(SUM($R71:AY71)&gt;=$G71,0,$L71=AZ$2,$G71/$P71,AY71&gt;0,$G71/$P71,TRUE,0)</f>
        <v>0</v>
      </c>
      <c r="BA71" s="311">
        <f t="shared" si="21"/>
        <v>104912.14285714284</v>
      </c>
      <c r="BB71" s="8"/>
      <c r="BC71" s="8"/>
      <c r="BD71" s="8"/>
    </row>
    <row r="72" spans="1:56" s="467" customFormat="1" ht="15" customHeight="1">
      <c r="A72" t="str">
        <f t="shared" si="20"/>
        <v/>
      </c>
      <c r="B72" s="89" t="s">
        <v>526</v>
      </c>
      <c r="C72" s="89" t="s">
        <v>927</v>
      </c>
      <c r="D72" s="89" t="s">
        <v>1075</v>
      </c>
      <c r="E72" s="89" t="s">
        <v>1118</v>
      </c>
      <c r="F72" s="87">
        <v>2000</v>
      </c>
      <c r="G72" s="87">
        <f>F72*H72</f>
        <v>104912.14285714287</v>
      </c>
      <c r="H72" s="636">
        <f>$H$70</f>
        <v>52.456071428571434</v>
      </c>
      <c r="I72" s="90" t="s">
        <v>442</v>
      </c>
      <c r="J72" s="79">
        <f>2000+RIGHT(I72,2)</f>
        <v>2027</v>
      </c>
      <c r="K72" s="89"/>
      <c r="L72" s="90" t="str">
        <f>M72</f>
        <v>2Q29</v>
      </c>
      <c r="M72" s="90" t="s">
        <v>984</v>
      </c>
      <c r="N72" s="88" t="str">
        <f>LEFT(M72,2)&amp;(4+RIGHT(M72,2))</f>
        <v>2Q33</v>
      </c>
      <c r="O72" s="88"/>
      <c r="P72" s="121">
        <f>LEFT(N72)-LEFT(L72)+(RIGHT(N72,2)-RIGHT(L72,2))*4+1</f>
        <v>17</v>
      </c>
      <c r="Q72" s="8"/>
      <c r="R72" s="8"/>
      <c r="S72" s="311" cm="1">
        <f t="array" ref="S72">_xlfn.IFS(SUM($R72:R72)&gt;=$G72,0,$L72=S$2,$G72/$P72,R72&gt;0,$G72/$P72,TRUE,0)</f>
        <v>0</v>
      </c>
      <c r="T72" s="311" cm="1">
        <f t="array" ref="T72">_xlfn.IFS(SUM($R72:S72)&gt;=$G72,0,$L72=T$2,$G72/$P72,S72&gt;0,$G72/$P72,TRUE,0)</f>
        <v>0</v>
      </c>
      <c r="U72" s="311" cm="1">
        <f t="array" ref="U72">_xlfn.IFS(SUM($R72:T72)&gt;=$G72,0,$L72=U$2,$G72/$P72,T72&gt;0,$G72/$P72,TRUE,0)</f>
        <v>0</v>
      </c>
      <c r="V72" s="311" cm="1">
        <f t="array" ref="V72">_xlfn.IFS(SUM($R72:U72)&gt;=$G72,0,$L72=V$2,$G72/$P72,U72&gt;0,$G72/$P72,TRUE,0)</f>
        <v>0</v>
      </c>
      <c r="W72" s="311" cm="1">
        <f t="array" ref="W72">_xlfn.IFS(SUM($R72:V72)&gt;=$G72,0,$L72=W$2,$G72/$P72,V72&gt;0,$G72/$P72,TRUE,0)</f>
        <v>0</v>
      </c>
      <c r="X72" s="311" cm="1">
        <f t="array" ref="X72">_xlfn.IFS(SUM($R72:W72)&gt;=$G72,0,$L72=X$2,$G72/$P72,W72&gt;0,$G72/$P72,TRUE,0)</f>
        <v>0</v>
      </c>
      <c r="Y72" s="311" cm="1">
        <f t="array" ref="Y72">_xlfn.IFS(SUM($R72:X72)&gt;=$G72,0,$L72=Y$2,$G72/$P72,X72&gt;0,$G72/$P72,TRUE,0)</f>
        <v>0</v>
      </c>
      <c r="Z72" s="311" cm="1">
        <f t="array" ref="Z72">_xlfn.IFS(SUM($R72:Y72)&gt;=$G72,0,$L72=Z$2,$G72/$P72,Y72&gt;0,$G72/$P72,TRUE,0)</f>
        <v>0</v>
      </c>
      <c r="AA72" s="311" cm="1">
        <f t="array" ref="AA72">_xlfn.IFS(SUM($R72:Z72)&gt;=$G72,0,$L72=AA$2,$G72/$P72,Z72&gt;0,$G72/$P72,TRUE,0)</f>
        <v>0</v>
      </c>
      <c r="AB72" s="311" cm="1">
        <f t="array" ref="AB72">_xlfn.IFS(SUM($R72:AA72)&gt;=$G72,0,$L72=AB$2,$G72/$P72,AA72&gt;0,$G72/$P72,TRUE,0)</f>
        <v>0</v>
      </c>
      <c r="AC72" s="311" cm="1">
        <f t="array" ref="AC72">_xlfn.IFS(SUM($R72:AB72)&gt;=$G72,0,$L72=AC$2,$G72/$P72,AB72&gt;0,$G72/$P72,TRUE,0)</f>
        <v>0</v>
      </c>
      <c r="AD72" s="311" cm="1">
        <f t="array" ref="AD72">_xlfn.IFS(SUM($R72:AC72)&gt;=$G72,0,$L72=AD$2,$G72/$P72,AC72&gt;0,$G72/$P72,TRUE,0)</f>
        <v>0</v>
      </c>
      <c r="AE72" s="311" cm="1">
        <f t="array" ref="AE72">_xlfn.IFS(SUM($R72:AD72)&gt;=$G72,0,$L72=AE$2,$G72/$P72,AD72&gt;0,$G72/$P72,TRUE,0)</f>
        <v>0</v>
      </c>
      <c r="AF72" s="311" cm="1">
        <f t="array" ref="AF72">_xlfn.IFS(SUM($R72:AE72)&gt;=$G72,0,$L72=AF$2,$G72/$P72,AE72&gt;0,$G72/$P72,TRUE,0)</f>
        <v>0</v>
      </c>
      <c r="AG72" s="311" cm="1">
        <f t="array" ref="AG72">_xlfn.IFS(SUM($R72:AF72)&gt;=$G72,0,$L72=AG$2,$G72/$P72,AF72&gt;0,$G72/$P72,TRUE,0)</f>
        <v>0</v>
      </c>
      <c r="AH72" s="311" cm="1">
        <f t="array" ref="AH72">_xlfn.IFS(SUM($R72:AG72)&gt;=$G72,0,$L72=AH$2,$G72/$P72,AG72&gt;0,$G72/$P72,TRUE,0)</f>
        <v>6171.3025210084043</v>
      </c>
      <c r="AI72" s="311" cm="1">
        <f t="array" ref="AI72">_xlfn.IFS(SUM($R72:AH72)&gt;=$G72,0,$L72=AI$2,$G72/$P72,AH72&gt;0,$G72/$P72,TRUE,0)</f>
        <v>6171.3025210084043</v>
      </c>
      <c r="AJ72" s="311" cm="1">
        <f t="array" ref="AJ72">_xlfn.IFS(SUM($R72:AI72)&gt;=$G72,0,$L72=AJ$2,$G72/$P72,AI72&gt;0,$G72/$P72,TRUE,0)</f>
        <v>6171.3025210084043</v>
      </c>
      <c r="AK72" s="311" cm="1">
        <f t="array" ref="AK72">_xlfn.IFS(SUM($R72:AJ72)&gt;=$G72,0,$L72=AK$2,$G72/$P72,AJ72&gt;0,$G72/$P72,TRUE,0)</f>
        <v>6171.3025210084043</v>
      </c>
      <c r="AL72" s="311" cm="1">
        <f t="array" ref="AL72">_xlfn.IFS(SUM($R72:AK72)&gt;=$G72,0,$L72=AL$2,$G72/$P72,AK72&gt;0,$G72/$P72,TRUE,0)</f>
        <v>6171.3025210084043</v>
      </c>
      <c r="AM72" s="311" cm="1">
        <f t="array" ref="AM72">_xlfn.IFS(SUM($R72:AL72)&gt;=$G72,0,$L72=AM$2,$G72/$P72,AL72&gt;0,$G72/$P72,TRUE,0)</f>
        <v>6171.3025210084043</v>
      </c>
      <c r="AN72" s="311" cm="1">
        <f t="array" ref="AN72">_xlfn.IFS(SUM($R72:AM72)&gt;=$G72,0,$L72=AN$2,$G72/$P72,AM72&gt;0,$G72/$P72,TRUE,0)</f>
        <v>6171.3025210084043</v>
      </c>
      <c r="AO72" s="311" cm="1">
        <f t="array" ref="AO72">_xlfn.IFS(SUM($R72:AN72)&gt;=$G72,0,$L72=AO$2,$G72/$P72,AN72&gt;0,$G72/$P72,TRUE,0)</f>
        <v>6171.3025210084043</v>
      </c>
      <c r="AP72" s="311" cm="1">
        <f t="array" ref="AP72">_xlfn.IFS(SUM($R72:AO72)&gt;=$G72,0,$L72=AP$2,$G72/$P72,AO72&gt;0,$G72/$P72,TRUE,0)</f>
        <v>6171.3025210084043</v>
      </c>
      <c r="AQ72" s="311" cm="1">
        <f t="array" ref="AQ72">_xlfn.IFS(SUM($R72:AP72)&gt;=$G72,0,$L72=AQ$2,$G72/$P72,AP72&gt;0,$G72/$P72,TRUE,0)</f>
        <v>6171.3025210084043</v>
      </c>
      <c r="AR72" s="311" cm="1">
        <f t="array" ref="AR72">_xlfn.IFS(SUM($R72:AQ72)&gt;=$G72,0,$L72=AR$2,$G72/$P72,AQ72&gt;0,$G72/$P72,TRUE,0)</f>
        <v>6171.3025210084043</v>
      </c>
      <c r="AS72" s="311" cm="1">
        <f t="array" ref="AS72">_xlfn.IFS(SUM($R72:AR72)&gt;=$G72,0,$L72=AS$2,$G72/$P72,AR72&gt;0,$G72/$P72,TRUE,0)</f>
        <v>6171.3025210084043</v>
      </c>
      <c r="AT72" s="311" cm="1">
        <f t="array" ref="AT72">_xlfn.IFS(SUM($R72:AS72)&gt;=$G72,0,$L72=AT$2,$G72/$P72,AS72&gt;0,$G72/$P72,TRUE,0)</f>
        <v>6171.3025210084043</v>
      </c>
      <c r="AU72" s="311" cm="1">
        <f t="array" ref="AU72">_xlfn.IFS(SUM($R72:AT72)&gt;=$G72,0,$L72=AU$2,$G72/$P72,AT72&gt;0,$G72/$P72,TRUE,0)</f>
        <v>6171.3025210084043</v>
      </c>
      <c r="AV72" s="311" cm="1">
        <f t="array" ref="AV72">_xlfn.IFS(SUM($R72:AU72)&gt;=$G72,0,$L72=AV$2,$G72/$P72,AU72&gt;0,$G72/$P72,TRUE,0)</f>
        <v>6171.3025210084043</v>
      </c>
      <c r="AW72" s="311" cm="1">
        <f t="array" ref="AW72">_xlfn.IFS(SUM($R72:AV72)&gt;=$G72,0,$L72=AW$2,$G72/$P72,AV72&gt;0,$G72/$P72,TRUE,0)</f>
        <v>6171.3025210084043</v>
      </c>
      <c r="AX72" s="311" cm="1">
        <f t="array" ref="AX72">_xlfn.IFS(SUM($R72:AW72)&gt;=$G72,0,$L72=AX$2,$G72/$P72,AW72&gt;0,$G72/$P72,TRUE,0)</f>
        <v>6171.3025210084043</v>
      </c>
      <c r="AY72" s="311" cm="1">
        <f t="array" ref="AY72">_xlfn.IFS(SUM($R72:AX72)&gt;=$G72,0,$L72=AY$2,$G72/$P72,AX72&gt;0,$G72/$P72,TRUE,0)</f>
        <v>0</v>
      </c>
      <c r="AZ72" s="311" cm="1">
        <f t="array" ref="AZ72">_xlfn.IFS(SUM($R72:AY72)&gt;=$G72,0,$L72=AZ$2,$G72/$P72,AY72&gt;0,$G72/$P72,TRUE,0)</f>
        <v>0</v>
      </c>
      <c r="BA72" s="311">
        <f t="shared" si="21"/>
        <v>104912.14285714284</v>
      </c>
      <c r="BB72" s="8"/>
      <c r="BC72" s="8"/>
      <c r="BD72" s="8"/>
    </row>
    <row r="73" spans="1:56" s="467" customFormat="1" ht="15" customHeight="1">
      <c r="A73"/>
      <c r="B73" s="406" t="s">
        <v>526</v>
      </c>
      <c r="C73" s="406" t="s">
        <v>927</v>
      </c>
      <c r="D73" s="406" t="s">
        <v>1075</v>
      </c>
      <c r="E73" s="406" t="s">
        <v>1119</v>
      </c>
      <c r="F73" s="407">
        <v>2000</v>
      </c>
      <c r="G73" s="407">
        <f>F73*H73</f>
        <v>104912.14285714287</v>
      </c>
      <c r="H73" s="637">
        <f>$H$70</f>
        <v>52.456071428571434</v>
      </c>
      <c r="I73" s="408" t="s">
        <v>440</v>
      </c>
      <c r="J73" s="139">
        <f>2000+RIGHT(I73,2)</f>
        <v>2028</v>
      </c>
      <c r="K73" s="406"/>
      <c r="L73" s="408" t="str">
        <f>M73</f>
        <v>2Q30</v>
      </c>
      <c r="M73" s="408" t="s">
        <v>678</v>
      </c>
      <c r="N73" s="138" t="str">
        <f>LEFT(M73,2)&amp;(4+RIGHT(M73,2))</f>
        <v>2Q34</v>
      </c>
      <c r="O73" s="138"/>
      <c r="P73" s="140">
        <f>LEFT(N73)-LEFT(L73)+(RIGHT(N73,2)-RIGHT(L73,2))*4+1</f>
        <v>17</v>
      </c>
      <c r="Q73" s="409"/>
      <c r="R73" s="409"/>
      <c r="S73" s="490" cm="1">
        <f t="array" ref="S73">_xlfn.IFS(SUM($R73:R73)&gt;=$G73,0,$L73=S$2,$G73/$P73,R73&gt;0,$G73/$P73,TRUE,0)</f>
        <v>0</v>
      </c>
      <c r="T73" s="490" cm="1">
        <f t="array" ref="T73">_xlfn.IFS(SUM($R73:S73)&gt;=$G73,0,$L73=T$2,$G73/$P73,S73&gt;0,$G73/$P73,TRUE,0)</f>
        <v>0</v>
      </c>
      <c r="U73" s="490" cm="1">
        <f t="array" ref="U73">_xlfn.IFS(SUM($R73:T73)&gt;=$G73,0,$L73=U$2,$G73/$P73,T73&gt;0,$G73/$P73,TRUE,0)</f>
        <v>0</v>
      </c>
      <c r="V73" s="490" cm="1">
        <f t="array" ref="V73">_xlfn.IFS(SUM($R73:U73)&gt;=$G73,0,$L73=V$2,$G73/$P73,U73&gt;0,$G73/$P73,TRUE,0)</f>
        <v>0</v>
      </c>
      <c r="W73" s="490" cm="1">
        <f t="array" ref="W73">_xlfn.IFS(SUM($R73:V73)&gt;=$G73,0,$L73=W$2,$G73/$P73,V73&gt;0,$G73/$P73,TRUE,0)</f>
        <v>0</v>
      </c>
      <c r="X73" s="490" cm="1">
        <f t="array" ref="X73">_xlfn.IFS(SUM($R73:W73)&gt;=$G73,0,$L73=X$2,$G73/$P73,W73&gt;0,$G73/$P73,TRUE,0)</f>
        <v>0</v>
      </c>
      <c r="Y73" s="490" cm="1">
        <f t="array" ref="Y73">_xlfn.IFS(SUM($R73:X73)&gt;=$G73,0,$L73=Y$2,$G73/$P73,X73&gt;0,$G73/$P73,TRUE,0)</f>
        <v>0</v>
      </c>
      <c r="Z73" s="490" cm="1">
        <f t="array" ref="Z73">_xlfn.IFS(SUM($R73:Y73)&gt;=$G73,0,$L73=Z$2,$G73/$P73,Y73&gt;0,$G73/$P73,TRUE,0)</f>
        <v>0</v>
      </c>
      <c r="AA73" s="490" cm="1">
        <f t="array" ref="AA73">_xlfn.IFS(SUM($R73:Z73)&gt;=$G73,0,$L73=AA$2,$G73/$P73,Z73&gt;0,$G73/$P73,TRUE,0)</f>
        <v>0</v>
      </c>
      <c r="AB73" s="490" cm="1">
        <f t="array" ref="AB73">_xlfn.IFS(SUM($R73:AA73)&gt;=$G73,0,$L73=AB$2,$G73/$P73,AA73&gt;0,$G73/$P73,TRUE,0)</f>
        <v>0</v>
      </c>
      <c r="AC73" s="490" cm="1">
        <f t="array" ref="AC73">_xlfn.IFS(SUM($R73:AB73)&gt;=$G73,0,$L73=AC$2,$G73/$P73,AB73&gt;0,$G73/$P73,TRUE,0)</f>
        <v>0</v>
      </c>
      <c r="AD73" s="490" cm="1">
        <f t="array" ref="AD73">_xlfn.IFS(SUM($R73:AC73)&gt;=$G73,0,$L73=AD$2,$G73/$P73,AC73&gt;0,$G73/$P73,TRUE,0)</f>
        <v>0</v>
      </c>
      <c r="AE73" s="490" cm="1">
        <f t="array" ref="AE73">_xlfn.IFS(SUM($R73:AD73)&gt;=$G73,0,$L73=AE$2,$G73/$P73,AD73&gt;0,$G73/$P73,TRUE,0)</f>
        <v>0</v>
      </c>
      <c r="AF73" s="490" cm="1">
        <f t="array" ref="AF73">_xlfn.IFS(SUM($R73:AE73)&gt;=$G73,0,$L73=AF$2,$G73/$P73,AE73&gt;0,$G73/$P73,TRUE,0)</f>
        <v>0</v>
      </c>
      <c r="AG73" s="490" cm="1">
        <f t="array" ref="AG73">_xlfn.IFS(SUM($R73:AF73)&gt;=$G73,0,$L73=AG$2,$G73/$P73,AF73&gt;0,$G73/$P73,TRUE,0)</f>
        <v>0</v>
      </c>
      <c r="AH73" s="490" cm="1">
        <f t="array" ref="AH73">_xlfn.IFS(SUM($R73:AG73)&gt;=$G73,0,$L73=AH$2,$G73/$P73,AG73&gt;0,$G73/$P73,TRUE,0)</f>
        <v>0</v>
      </c>
      <c r="AI73" s="490" cm="1">
        <f t="array" ref="AI73">_xlfn.IFS(SUM($R73:AH73)&gt;=$G73,0,$L73=AI$2,$G73/$P73,AH73&gt;0,$G73/$P73,TRUE,0)</f>
        <v>0</v>
      </c>
      <c r="AJ73" s="490" cm="1">
        <f t="array" ref="AJ73">_xlfn.IFS(SUM($R73:AI73)&gt;=$G73,0,$L73=AJ$2,$G73/$P73,AI73&gt;0,$G73/$P73,TRUE,0)</f>
        <v>0</v>
      </c>
      <c r="AK73" s="490" cm="1">
        <f t="array" ref="AK73">_xlfn.IFS(SUM($R73:AJ73)&gt;=$G73,0,$L73=AK$2,$G73/$P73,AJ73&gt;0,$G73/$P73,TRUE,0)</f>
        <v>0</v>
      </c>
      <c r="AL73" s="490" cm="1">
        <f t="array" ref="AL73">_xlfn.IFS(SUM($R73:AK73)&gt;=$G73,0,$L73=AL$2,$G73/$P73,AK73&gt;0,$G73/$P73,TRUE,0)</f>
        <v>6171.3025210084043</v>
      </c>
      <c r="AM73" s="490" cm="1">
        <f t="array" ref="AM73">_xlfn.IFS(SUM($R73:AL73)&gt;=$G73,0,$L73=AM$2,$G73/$P73,AL73&gt;0,$G73/$P73,TRUE,0)</f>
        <v>6171.3025210084043</v>
      </c>
      <c r="AN73" s="490" cm="1">
        <f t="array" ref="AN73">_xlfn.IFS(SUM($R73:AM73)&gt;=$G73,0,$L73=AN$2,$G73/$P73,AM73&gt;0,$G73/$P73,TRUE,0)</f>
        <v>6171.3025210084043</v>
      </c>
      <c r="AO73" s="490" cm="1">
        <f t="array" ref="AO73">_xlfn.IFS(SUM($R73:AN73)&gt;=$G73,0,$L73=AO$2,$G73/$P73,AN73&gt;0,$G73/$P73,TRUE,0)</f>
        <v>6171.3025210084043</v>
      </c>
      <c r="AP73" s="490" cm="1">
        <f t="array" ref="AP73">_xlfn.IFS(SUM($R73:AO73)&gt;=$G73,0,$L73=AP$2,$G73/$P73,AO73&gt;0,$G73/$P73,TRUE,0)</f>
        <v>6171.3025210084043</v>
      </c>
      <c r="AQ73" s="490" cm="1">
        <f t="array" ref="AQ73">_xlfn.IFS(SUM($R73:AP73)&gt;=$G73,0,$L73=AQ$2,$G73/$P73,AP73&gt;0,$G73/$P73,TRUE,0)</f>
        <v>6171.3025210084043</v>
      </c>
      <c r="AR73" s="490" cm="1">
        <f t="array" ref="AR73">_xlfn.IFS(SUM($R73:AQ73)&gt;=$G73,0,$L73=AR$2,$G73/$P73,AQ73&gt;0,$G73/$P73,TRUE,0)</f>
        <v>6171.3025210084043</v>
      </c>
      <c r="AS73" s="490" cm="1">
        <f t="array" ref="AS73">_xlfn.IFS(SUM($R73:AR73)&gt;=$G73,0,$L73=AS$2,$G73/$P73,AR73&gt;0,$G73/$P73,TRUE,0)</f>
        <v>6171.3025210084043</v>
      </c>
      <c r="AT73" s="490" cm="1">
        <f t="array" ref="AT73">_xlfn.IFS(SUM($R73:AS73)&gt;=$G73,0,$L73=AT$2,$G73/$P73,AS73&gt;0,$G73/$P73,TRUE,0)</f>
        <v>6171.3025210084043</v>
      </c>
      <c r="AU73" s="490" cm="1">
        <f t="array" ref="AU73">_xlfn.IFS(SUM($R73:AT73)&gt;=$G73,0,$L73=AU$2,$G73/$P73,AT73&gt;0,$G73/$P73,TRUE,0)</f>
        <v>6171.3025210084043</v>
      </c>
      <c r="AV73" s="490" cm="1">
        <f t="array" ref="AV73">_xlfn.IFS(SUM($R73:AU73)&gt;=$G73,0,$L73=AV$2,$G73/$P73,AU73&gt;0,$G73/$P73,TRUE,0)</f>
        <v>6171.3025210084043</v>
      </c>
      <c r="AW73" s="490" cm="1">
        <f t="array" ref="AW73">_xlfn.IFS(SUM($R73:AV73)&gt;=$G73,0,$L73=AW$2,$G73/$P73,AV73&gt;0,$G73/$P73,TRUE,0)</f>
        <v>6171.3025210084043</v>
      </c>
      <c r="AX73" s="490" cm="1">
        <f t="array" ref="AX73">_xlfn.IFS(SUM($R73:AW73)&gt;=$G73,0,$L73=AX$2,$G73/$P73,AW73&gt;0,$G73/$P73,TRUE,0)</f>
        <v>6171.3025210084043</v>
      </c>
      <c r="AY73" s="490" cm="1">
        <f t="array" ref="AY73">_xlfn.IFS(SUM($R73:AX73)&gt;=$G73,0,$L73=AY$2,$G73/$P73,AX73&gt;0,$G73/$P73,TRUE,0)</f>
        <v>6171.3025210084043</v>
      </c>
      <c r="AZ73" s="490" cm="1">
        <f t="array" ref="AZ73">_xlfn.IFS(SUM($R73:AY73)&gt;=$G73,0,$L73=AZ$2,$G73/$P73,AY73&gt;0,$G73/$P73,TRUE,0)</f>
        <v>6171.3025210084043</v>
      </c>
      <c r="BA73" s="311">
        <f t="shared" si="21"/>
        <v>92569.537815126037</v>
      </c>
      <c r="BB73" s="8"/>
      <c r="BC73" s="8"/>
      <c r="BD73" s="8"/>
    </row>
    <row r="74" spans="1:56" s="467" customFormat="1" ht="15" customHeight="1">
      <c r="A74" s="8"/>
      <c r="B74" s="89"/>
      <c r="C74" s="89"/>
      <c r="D74" s="89"/>
      <c r="E74" s="89"/>
      <c r="F74" s="89"/>
      <c r="G74" s="89"/>
      <c r="H74" s="89"/>
      <c r="I74" s="90"/>
      <c r="J74" s="90"/>
      <c r="K74" s="89"/>
      <c r="L74" s="90"/>
      <c r="M74" s="90"/>
      <c r="N74" s="89"/>
      <c r="O74" s="89"/>
      <c r="P74" s="87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18" t="s">
        <v>959</v>
      </c>
      <c r="BB74" s="8"/>
      <c r="BC74" s="8"/>
      <c r="BD74" s="8"/>
    </row>
    <row r="75" spans="1:56" s="465" customFormat="1" ht="15" customHeight="1">
      <c r="A75" s="349"/>
      <c r="B75" s="350"/>
      <c r="C75" s="350"/>
      <c r="D75" s="350"/>
      <c r="E75" s="351" t="s">
        <v>979</v>
      </c>
      <c r="F75" s="349"/>
      <c r="G75" s="349"/>
      <c r="H75" s="352"/>
      <c r="I75" s="359"/>
      <c r="J75" s="359"/>
      <c r="K75" s="349"/>
      <c r="L75" s="356"/>
      <c r="M75" s="356"/>
      <c r="N75" s="357"/>
      <c r="O75" s="357"/>
      <c r="P75" s="352"/>
      <c r="Q75" s="355"/>
      <c r="R75" s="355"/>
      <c r="S75" s="365">
        <f>S76+SUMIF($B70:$B73,"잠재",S70:S73)</f>
        <v>0</v>
      </c>
      <c r="T75" s="365">
        <f t="shared" ref="T75:AZ75" si="22">T76+SUMIF($B70:$B73,"잠재",T70:T73)</f>
        <v>0</v>
      </c>
      <c r="U75" s="365">
        <f t="shared" si="22"/>
        <v>0</v>
      </c>
      <c r="V75" s="365">
        <f t="shared" si="22"/>
        <v>0</v>
      </c>
      <c r="W75" s="365">
        <f t="shared" si="22"/>
        <v>0</v>
      </c>
      <c r="X75" s="365">
        <f t="shared" si="22"/>
        <v>0</v>
      </c>
      <c r="Y75" s="365">
        <f t="shared" si="22"/>
        <v>0</v>
      </c>
      <c r="Z75" s="365">
        <f t="shared" si="22"/>
        <v>0</v>
      </c>
      <c r="AA75" s="365">
        <f t="shared" si="22"/>
        <v>3085.6512605042021</v>
      </c>
      <c r="AB75" s="365">
        <f t="shared" si="22"/>
        <v>3085.6512605042021</v>
      </c>
      <c r="AC75" s="365">
        <f t="shared" si="22"/>
        <v>3085.6512605042021</v>
      </c>
      <c r="AD75" s="365">
        <f t="shared" si="22"/>
        <v>9256.9537815126059</v>
      </c>
      <c r="AE75" s="365">
        <f t="shared" si="22"/>
        <v>9256.9537815126059</v>
      </c>
      <c r="AF75" s="365">
        <f t="shared" si="22"/>
        <v>9256.9537815126059</v>
      </c>
      <c r="AG75" s="365">
        <f t="shared" si="22"/>
        <v>9256.9537815126059</v>
      </c>
      <c r="AH75" s="365">
        <f t="shared" si="22"/>
        <v>15428.256302521011</v>
      </c>
      <c r="AI75" s="365">
        <f t="shared" si="22"/>
        <v>15428.256302521011</v>
      </c>
      <c r="AJ75" s="365">
        <f t="shared" si="22"/>
        <v>15428.256302521011</v>
      </c>
      <c r="AK75" s="365">
        <f t="shared" si="22"/>
        <v>15428.256302521011</v>
      </c>
      <c r="AL75" s="365">
        <f t="shared" si="22"/>
        <v>21599.558823529416</v>
      </c>
      <c r="AM75" s="365">
        <f t="shared" si="22"/>
        <v>21599.558823529416</v>
      </c>
      <c r="AN75" s="365">
        <f t="shared" si="22"/>
        <v>21599.558823529416</v>
      </c>
      <c r="AO75" s="365">
        <f t="shared" si="22"/>
        <v>21599.558823529416</v>
      </c>
      <c r="AP75" s="365">
        <f t="shared" si="22"/>
        <v>21599.558823529416</v>
      </c>
      <c r="AQ75" s="365">
        <f t="shared" si="22"/>
        <v>21599.558823529416</v>
      </c>
      <c r="AR75" s="365">
        <f t="shared" si="22"/>
        <v>18513.907563025212</v>
      </c>
      <c r="AS75" s="365">
        <f t="shared" si="22"/>
        <v>18513.907563025212</v>
      </c>
      <c r="AT75" s="365">
        <f t="shared" si="22"/>
        <v>18513.907563025212</v>
      </c>
      <c r="AU75" s="365">
        <f t="shared" si="22"/>
        <v>12342.605042016809</v>
      </c>
      <c r="AV75" s="365">
        <f t="shared" si="22"/>
        <v>12342.605042016809</v>
      </c>
      <c r="AW75" s="365">
        <f t="shared" si="22"/>
        <v>12342.605042016809</v>
      </c>
      <c r="AX75" s="365">
        <f t="shared" si="22"/>
        <v>12342.605042016809</v>
      </c>
      <c r="AY75" s="365">
        <f t="shared" si="22"/>
        <v>6171.3025210084043</v>
      </c>
      <c r="AZ75" s="365">
        <f t="shared" si="22"/>
        <v>6171.3025210084043</v>
      </c>
      <c r="BA75" s="367" t="s">
        <v>959</v>
      </c>
      <c r="BB75" s="349"/>
      <c r="BC75" s="349"/>
      <c r="BD75" s="349"/>
    </row>
    <row r="76" spans="1:56" s="466" customFormat="1" ht="15" customHeight="1">
      <c r="A76" s="339"/>
      <c r="B76" s="340"/>
      <c r="C76" s="340"/>
      <c r="D76" s="340"/>
      <c r="E76" s="341" t="s">
        <v>981</v>
      </c>
      <c r="F76" s="339"/>
      <c r="G76" s="339"/>
      <c r="H76" s="342"/>
      <c r="I76" s="346"/>
      <c r="J76" s="346"/>
      <c r="K76" s="339"/>
      <c r="L76" s="347"/>
      <c r="M76" s="347"/>
      <c r="N76" s="348"/>
      <c r="O76" s="348"/>
      <c r="P76" s="342"/>
      <c r="Q76" s="345"/>
      <c r="R76" s="345"/>
      <c r="S76" s="366">
        <f>S77+SUMIF($B70:$B73,"가능",S70:S73)</f>
        <v>0</v>
      </c>
      <c r="T76" s="366">
        <f t="shared" ref="T76:AZ76" si="23">T77+SUMIF($B70:$B73,"가능",T70:T73)</f>
        <v>0</v>
      </c>
      <c r="U76" s="366">
        <f t="shared" si="23"/>
        <v>0</v>
      </c>
      <c r="V76" s="366">
        <f t="shared" si="23"/>
        <v>0</v>
      </c>
      <c r="W76" s="366">
        <f t="shared" si="23"/>
        <v>0</v>
      </c>
      <c r="X76" s="366">
        <f t="shared" si="23"/>
        <v>0</v>
      </c>
      <c r="Y76" s="366">
        <f t="shared" si="23"/>
        <v>0</v>
      </c>
      <c r="Z76" s="366">
        <f t="shared" si="23"/>
        <v>0</v>
      </c>
      <c r="AA76" s="366">
        <f t="shared" si="23"/>
        <v>3085.6512605042021</v>
      </c>
      <c r="AB76" s="366">
        <f t="shared" si="23"/>
        <v>3085.6512605042021</v>
      </c>
      <c r="AC76" s="366">
        <f t="shared" si="23"/>
        <v>3085.6512605042021</v>
      </c>
      <c r="AD76" s="366">
        <f t="shared" si="23"/>
        <v>9256.9537815126059</v>
      </c>
      <c r="AE76" s="366">
        <f t="shared" si="23"/>
        <v>9256.9537815126059</v>
      </c>
      <c r="AF76" s="366">
        <f t="shared" si="23"/>
        <v>9256.9537815126059</v>
      </c>
      <c r="AG76" s="366">
        <f t="shared" si="23"/>
        <v>9256.9537815126059</v>
      </c>
      <c r="AH76" s="366">
        <f t="shared" si="23"/>
        <v>15428.256302521011</v>
      </c>
      <c r="AI76" s="366">
        <f t="shared" si="23"/>
        <v>15428.256302521011</v>
      </c>
      <c r="AJ76" s="366">
        <f t="shared" si="23"/>
        <v>15428.256302521011</v>
      </c>
      <c r="AK76" s="366">
        <f t="shared" si="23"/>
        <v>15428.256302521011</v>
      </c>
      <c r="AL76" s="366">
        <f t="shared" si="23"/>
        <v>21599.558823529416</v>
      </c>
      <c r="AM76" s="366">
        <f t="shared" si="23"/>
        <v>21599.558823529416</v>
      </c>
      <c r="AN76" s="366">
        <f t="shared" si="23"/>
        <v>21599.558823529416</v>
      </c>
      <c r="AO76" s="366">
        <f t="shared" si="23"/>
        <v>21599.558823529416</v>
      </c>
      <c r="AP76" s="366">
        <f t="shared" si="23"/>
        <v>21599.558823529416</v>
      </c>
      <c r="AQ76" s="366">
        <f t="shared" si="23"/>
        <v>21599.558823529416</v>
      </c>
      <c r="AR76" s="366">
        <f t="shared" si="23"/>
        <v>18513.907563025212</v>
      </c>
      <c r="AS76" s="366">
        <f t="shared" si="23"/>
        <v>18513.907563025212</v>
      </c>
      <c r="AT76" s="366">
        <f t="shared" si="23"/>
        <v>18513.907563025212</v>
      </c>
      <c r="AU76" s="366">
        <f t="shared" si="23"/>
        <v>12342.605042016809</v>
      </c>
      <c r="AV76" s="366">
        <f t="shared" si="23"/>
        <v>12342.605042016809</v>
      </c>
      <c r="AW76" s="366">
        <f t="shared" si="23"/>
        <v>12342.605042016809</v>
      </c>
      <c r="AX76" s="366">
        <f t="shared" si="23"/>
        <v>12342.605042016809</v>
      </c>
      <c r="AY76" s="366">
        <f t="shared" si="23"/>
        <v>6171.3025210084043</v>
      </c>
      <c r="AZ76" s="366">
        <f t="shared" si="23"/>
        <v>6171.3025210084043</v>
      </c>
      <c r="BA76" s="367" t="s">
        <v>959</v>
      </c>
      <c r="BB76" s="339"/>
      <c r="BC76" s="339"/>
      <c r="BD76" s="339"/>
    </row>
    <row r="77" spans="1:56" ht="15" customHeight="1">
      <c r="E77" s="337" t="s">
        <v>980</v>
      </c>
      <c r="H77" s="121"/>
      <c r="I77" s="129"/>
      <c r="J77" s="129"/>
      <c r="L77" s="134"/>
      <c r="M77" s="134"/>
      <c r="N77" s="133"/>
      <c r="O77" s="133"/>
      <c r="P77" s="121"/>
      <c r="Q77" s="283"/>
      <c r="R77" s="283"/>
      <c r="S77" s="312">
        <f>SUMIF($B70:$B73,"확실", S70:S73)</f>
        <v>0</v>
      </c>
      <c r="T77" s="312">
        <f t="shared" ref="T77:AZ77" si="24">SUMIF($B70:$B73,"확실", T70:T73)</f>
        <v>0</v>
      </c>
      <c r="U77" s="312">
        <f t="shared" si="24"/>
        <v>0</v>
      </c>
      <c r="V77" s="312">
        <f t="shared" si="24"/>
        <v>0</v>
      </c>
      <c r="W77" s="312">
        <f t="shared" si="24"/>
        <v>0</v>
      </c>
      <c r="X77" s="312">
        <f t="shared" si="24"/>
        <v>0</v>
      </c>
      <c r="Y77" s="312">
        <f t="shared" si="24"/>
        <v>0</v>
      </c>
      <c r="Z77" s="312">
        <f t="shared" si="24"/>
        <v>0</v>
      </c>
      <c r="AA77" s="312">
        <f t="shared" si="24"/>
        <v>0</v>
      </c>
      <c r="AB77" s="312">
        <f t="shared" si="24"/>
        <v>0</v>
      </c>
      <c r="AC77" s="312">
        <f t="shared" si="24"/>
        <v>0</v>
      </c>
      <c r="AD77" s="312">
        <f t="shared" si="24"/>
        <v>0</v>
      </c>
      <c r="AE77" s="312">
        <f t="shared" si="24"/>
        <v>0</v>
      </c>
      <c r="AF77" s="312">
        <f t="shared" si="24"/>
        <v>0</v>
      </c>
      <c r="AG77" s="312">
        <f t="shared" si="24"/>
        <v>0</v>
      </c>
      <c r="AH77" s="312">
        <f t="shared" si="24"/>
        <v>0</v>
      </c>
      <c r="AI77" s="312">
        <f t="shared" si="24"/>
        <v>0</v>
      </c>
      <c r="AJ77" s="312">
        <f t="shared" si="24"/>
        <v>0</v>
      </c>
      <c r="AK77" s="312">
        <f t="shared" si="24"/>
        <v>0</v>
      </c>
      <c r="AL77" s="312">
        <f t="shared" si="24"/>
        <v>0</v>
      </c>
      <c r="AM77" s="312">
        <f t="shared" si="24"/>
        <v>0</v>
      </c>
      <c r="AN77" s="312">
        <f t="shared" si="24"/>
        <v>0</v>
      </c>
      <c r="AO77" s="312">
        <f t="shared" si="24"/>
        <v>0</v>
      </c>
      <c r="AP77" s="312">
        <f t="shared" si="24"/>
        <v>0</v>
      </c>
      <c r="AQ77" s="312">
        <f t="shared" si="24"/>
        <v>0</v>
      </c>
      <c r="AR77" s="312">
        <f t="shared" si="24"/>
        <v>0</v>
      </c>
      <c r="AS77" s="312">
        <f t="shared" si="24"/>
        <v>0</v>
      </c>
      <c r="AT77" s="312">
        <f t="shared" si="24"/>
        <v>0</v>
      </c>
      <c r="AU77" s="312">
        <f t="shared" si="24"/>
        <v>0</v>
      </c>
      <c r="AV77" s="312">
        <f t="shared" si="24"/>
        <v>0</v>
      </c>
      <c r="AW77" s="312">
        <f t="shared" si="24"/>
        <v>0</v>
      </c>
      <c r="AX77" s="312">
        <f t="shared" si="24"/>
        <v>0</v>
      </c>
      <c r="AY77" s="312">
        <f t="shared" si="24"/>
        <v>0</v>
      </c>
      <c r="AZ77" s="312">
        <f t="shared" si="24"/>
        <v>0</v>
      </c>
      <c r="BA77" s="367" t="s">
        <v>959</v>
      </c>
    </row>
    <row r="78" spans="1:56" ht="15" customHeight="1">
      <c r="E78" s="337"/>
      <c r="H78" s="121"/>
      <c r="I78" s="129"/>
      <c r="J78" s="129"/>
      <c r="L78" s="134"/>
      <c r="M78" s="134"/>
      <c r="N78" s="133"/>
      <c r="O78" s="133"/>
      <c r="P78" s="121"/>
      <c r="Q78" s="283"/>
      <c r="R78" s="283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</row>
    <row r="79" spans="1:56" s="467" customFormat="1" ht="15" customHeight="1">
      <c r="A79" s="8" t="s">
        <v>423</v>
      </c>
      <c r="B79" s="146" t="s">
        <v>427</v>
      </c>
      <c r="C79" s="146"/>
      <c r="D79" s="146"/>
      <c r="E79" s="146"/>
      <c r="F79" s="146"/>
      <c r="G79" s="146"/>
      <c r="H79" s="146"/>
      <c r="I79" s="145"/>
      <c r="J79" s="145"/>
      <c r="K79" s="146"/>
      <c r="L79" s="145"/>
      <c r="M79" s="145"/>
      <c r="N79" s="146"/>
      <c r="O79" s="146"/>
      <c r="P79" s="335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282" t="s">
        <v>959</v>
      </c>
      <c r="BB79" s="144"/>
      <c r="BC79" s="144"/>
      <c r="BD79" s="144"/>
    </row>
    <row r="80" spans="1:56" ht="15" customHeight="1">
      <c r="B80" s="129"/>
      <c r="E80" s="297" t="s">
        <v>1120</v>
      </c>
      <c r="F80" s="62"/>
      <c r="G80" s="130"/>
      <c r="H80" s="130"/>
      <c r="I80" s="129"/>
      <c r="J80" s="129"/>
      <c r="K80" s="129"/>
      <c r="L80" s="128"/>
      <c r="M80" s="128"/>
      <c r="N80" s="129"/>
      <c r="O80" s="129"/>
      <c r="P80" s="121"/>
      <c r="BA80" s="118" t="s">
        <v>959</v>
      </c>
    </row>
    <row r="81" spans="1:56" ht="15" customHeight="1">
      <c r="A81" t="str">
        <f t="shared" ref="A81:A82" si="25">IF(G81=BA81,"","F")</f>
        <v/>
      </c>
      <c r="B81" s="394" t="s">
        <v>525</v>
      </c>
      <c r="C81" s="394" t="s">
        <v>1121</v>
      </c>
      <c r="D81" s="394"/>
      <c r="E81" s="141" t="s">
        <v>1122</v>
      </c>
      <c r="F81" s="398">
        <f>1100*4</f>
        <v>4400</v>
      </c>
      <c r="G81" s="403">
        <f>F81*H81</f>
        <v>195226.4070902809</v>
      </c>
      <c r="H81" s="397">
        <f>SUM(L36+L37+L38)</f>
        <v>44.369637975063839</v>
      </c>
      <c r="I81" s="394" t="s">
        <v>446</v>
      </c>
      <c r="J81" s="394">
        <f>2000+RIGHT(I81,2)</f>
        <v>2026</v>
      </c>
      <c r="K81" s="394"/>
      <c r="L81" s="399" t="str">
        <f>M81</f>
        <v>2Q28</v>
      </c>
      <c r="M81" s="394" t="s">
        <v>440</v>
      </c>
      <c r="N81" s="399" t="str">
        <f>LEFT(M81,2)&amp;(4+RIGHT(M81,2))</f>
        <v>2Q32</v>
      </c>
      <c r="O81" s="394">
        <v>2035</v>
      </c>
      <c r="P81" s="397">
        <f>LEFT(N81)-LEFT(L81)+(RIGHT(N81,2)-RIGHT(L81,2))*4+1</f>
        <v>17</v>
      </c>
      <c r="Q81" s="400"/>
      <c r="R81" s="400"/>
      <c r="S81" s="489" cm="1">
        <f t="array" ref="S81">_xlfn.IFS(SUM($R81:R81)&gt;=$G81,0,$L81=S$2,$G81/$P81,R81&gt;0,$G81/$P81,TRUE,0)</f>
        <v>0</v>
      </c>
      <c r="T81" s="489" cm="1">
        <f t="array" ref="T81">_xlfn.IFS(SUM($R81:S81)&gt;=$G81,0,$L81=T$2,$G81/$P81,S81&gt;0,$G81/$P81,TRUE,0)</f>
        <v>0</v>
      </c>
      <c r="U81" s="489" cm="1">
        <f t="array" ref="U81">_xlfn.IFS(SUM($R81:T81)&gt;=$G81,0,$L81=U$2,$G81/$P81,T81&gt;0,$G81/$P81,TRUE,0)</f>
        <v>0</v>
      </c>
      <c r="V81" s="489" cm="1">
        <f t="array" ref="V81">_xlfn.IFS(SUM($R81:U81)&gt;=$G81,0,$L81=V$2,$G81/$P81,U81&gt;0,$G81/$P81,TRUE,0)</f>
        <v>0</v>
      </c>
      <c r="W81" s="489" cm="1">
        <f t="array" ref="W81">_xlfn.IFS(SUM($R81:V81)&gt;=$G81,0,$L81=W$2,$G81/$P81,V81&gt;0,$G81/$P81,TRUE,0)</f>
        <v>0</v>
      </c>
      <c r="X81" s="489" cm="1">
        <f t="array" ref="X81">_xlfn.IFS(SUM($R81:W81)&gt;=$G81,0,$L81=X$2,$G81/$P81,W81&gt;0,$G81/$P81,TRUE,0)</f>
        <v>0</v>
      </c>
      <c r="Y81" s="489" cm="1">
        <f t="array" ref="Y81">_xlfn.IFS(SUM($R81:X81)&gt;=$G81,0,$L81=Y$2,$G81/$P81,X81&gt;0,$G81/$P81,TRUE,0)</f>
        <v>0</v>
      </c>
      <c r="Z81" s="489" cm="1">
        <f t="array" ref="Z81">_xlfn.IFS(SUM($R81:Y81)&gt;=$G81,0,$L81=Z$2,$G81/$P81,Y81&gt;0,$G81/$P81,TRUE,0)</f>
        <v>0</v>
      </c>
      <c r="AA81" s="489" cm="1">
        <f t="array" ref="AA81">_xlfn.IFS(SUM($R81:Z81)&gt;=$G81,0,$L81=AA$2,$G81/$P81,Z81&gt;0,$G81/$P81,TRUE,0)</f>
        <v>0</v>
      </c>
      <c r="AB81" s="489" cm="1">
        <f t="array" ref="AB81">_xlfn.IFS(SUM($R81:AA81)&gt;=$G81,0,$L81=AB$2,$G81/$P81,AA81&gt;0,$G81/$P81,TRUE,0)</f>
        <v>0</v>
      </c>
      <c r="AC81" s="489" cm="1">
        <f t="array" ref="AC81">_xlfn.IFS(SUM($R81:AB81)&gt;=$G81,0,$L81=AC$2,$G81/$P81,AB81&gt;0,$G81/$P81,TRUE,0)</f>
        <v>0</v>
      </c>
      <c r="AD81" s="489" cm="1">
        <f t="array" ref="AD81">_xlfn.IFS(SUM($R81:AC81)&gt;=$G81,0,$L81=AD$2,$G81/$P81,AC81&gt;0,$G81/$P81,TRUE,0)</f>
        <v>11483.906299428289</v>
      </c>
      <c r="AE81" s="489" cm="1">
        <f t="array" ref="AE81">_xlfn.IFS(SUM($R81:AD81)&gt;=$G81,0,$L81=AE$2,$G81/$P81,AD81&gt;0,$G81/$P81,TRUE,0)</f>
        <v>11483.906299428289</v>
      </c>
      <c r="AF81" s="489" cm="1">
        <f t="array" ref="AF81">_xlfn.IFS(SUM($R81:AE81)&gt;=$G81,0,$L81=AF$2,$G81/$P81,AE81&gt;0,$G81/$P81,TRUE,0)</f>
        <v>11483.906299428289</v>
      </c>
      <c r="AG81" s="489" cm="1">
        <f t="array" ref="AG81">_xlfn.IFS(SUM($R81:AF81)&gt;=$G81,0,$L81=AG$2,$G81/$P81,AF81&gt;0,$G81/$P81,TRUE,0)</f>
        <v>11483.906299428289</v>
      </c>
      <c r="AH81" s="489" cm="1">
        <f t="array" ref="AH81">_xlfn.IFS(SUM($R81:AG81)&gt;=$G81,0,$L81=AH$2,$G81/$P81,AG81&gt;0,$G81/$P81,TRUE,0)</f>
        <v>11483.906299428289</v>
      </c>
      <c r="AI81" s="489" cm="1">
        <f t="array" ref="AI81">_xlfn.IFS(SUM($R81:AH81)&gt;=$G81,0,$L81=AI$2,$G81/$P81,AH81&gt;0,$G81/$P81,TRUE,0)</f>
        <v>11483.906299428289</v>
      </c>
      <c r="AJ81" s="489" cm="1">
        <f t="array" ref="AJ81">_xlfn.IFS(SUM($R81:AI81)&gt;=$G81,0,$L81=AJ$2,$G81/$P81,AI81&gt;0,$G81/$P81,TRUE,0)</f>
        <v>11483.906299428289</v>
      </c>
      <c r="AK81" s="489" cm="1">
        <f t="array" ref="AK81">_xlfn.IFS(SUM($R81:AJ81)&gt;=$G81,0,$L81=AK$2,$G81/$P81,AJ81&gt;0,$G81/$P81,TRUE,0)</f>
        <v>11483.906299428289</v>
      </c>
      <c r="AL81" s="489" cm="1">
        <f t="array" ref="AL81">_xlfn.IFS(SUM($R81:AK81)&gt;=$G81,0,$L81=AL$2,$G81/$P81,AK81&gt;0,$G81/$P81,TRUE,0)</f>
        <v>11483.906299428289</v>
      </c>
      <c r="AM81" s="489" cm="1">
        <f t="array" ref="AM81">_xlfn.IFS(SUM($R81:AL81)&gt;=$G81,0,$L81=AM$2,$G81/$P81,AL81&gt;0,$G81/$P81,TRUE,0)</f>
        <v>11483.906299428289</v>
      </c>
      <c r="AN81" s="489" cm="1">
        <f t="array" ref="AN81">_xlfn.IFS(SUM($R81:AM81)&gt;=$G81,0,$L81=AN$2,$G81/$P81,AM81&gt;0,$G81/$P81,TRUE,0)</f>
        <v>11483.906299428289</v>
      </c>
      <c r="AO81" s="489" cm="1">
        <f t="array" ref="AO81">_xlfn.IFS(SUM($R81:AN81)&gt;=$G81,0,$L81=AO$2,$G81/$P81,AN81&gt;0,$G81/$P81,TRUE,0)</f>
        <v>11483.906299428289</v>
      </c>
      <c r="AP81" s="489" cm="1">
        <f t="array" ref="AP81">_xlfn.IFS(SUM($R81:AO81)&gt;=$G81,0,$L81=AP$2,$G81/$P81,AO81&gt;0,$G81/$P81,TRUE,0)</f>
        <v>11483.906299428289</v>
      </c>
      <c r="AQ81" s="489" cm="1">
        <f t="array" ref="AQ81">_xlfn.IFS(SUM($R81:AP81)&gt;=$G81,0,$L81=AQ$2,$G81/$P81,AP81&gt;0,$G81/$P81,TRUE,0)</f>
        <v>11483.906299428289</v>
      </c>
      <c r="AR81" s="489" cm="1">
        <f t="array" ref="AR81">_xlfn.IFS(SUM($R81:AQ81)&gt;=$G81,0,$L81=AR$2,$G81/$P81,AQ81&gt;0,$G81/$P81,TRUE,0)</f>
        <v>11483.906299428289</v>
      </c>
      <c r="AS81" s="489" cm="1">
        <f t="array" ref="AS81">_xlfn.IFS(SUM($R81:AR81)&gt;=$G81,0,$L81=AS$2,$G81/$P81,AR81&gt;0,$G81/$P81,TRUE,0)</f>
        <v>11483.906299428289</v>
      </c>
      <c r="AT81" s="489" cm="1">
        <f t="array" ref="AT81">_xlfn.IFS(SUM($R81:AS81)&gt;=$G81,0,$L81=AT$2,$G81/$P81,AS81&gt;0,$G81/$P81,TRUE,0)</f>
        <v>11483.906299428289</v>
      </c>
      <c r="AU81" s="489" cm="1">
        <f t="array" ref="AU81">_xlfn.IFS(SUM($R81:AT81)&gt;=$G81,0,$L81=AU$2,$G81/$P81,AT81&gt;0,$G81/$P81,TRUE,0)</f>
        <v>0</v>
      </c>
      <c r="AV81" s="489" cm="1">
        <f t="array" ref="AV81">_xlfn.IFS(SUM($R81:AU81)&gt;=$G81,0,$L81=AV$2,$G81/$P81,AU81&gt;0,$G81/$P81,TRUE,0)</f>
        <v>0</v>
      </c>
      <c r="AW81" s="489" cm="1">
        <f t="array" ref="AW81">_xlfn.IFS(SUM($R81:AV81)&gt;=$G81,0,$L81=AW$2,$G81/$P81,AV81&gt;0,$G81/$P81,TRUE,0)</f>
        <v>0</v>
      </c>
      <c r="AX81" s="489" cm="1">
        <f t="array" ref="AX81">_xlfn.IFS(SUM($R81:AW81)&gt;=$G81,0,$L81=AX$2,$G81/$P81,AW81&gt;0,$G81/$P81,TRUE,0)</f>
        <v>0</v>
      </c>
      <c r="AY81" s="489" cm="1">
        <f t="array" ref="AY81">_xlfn.IFS(SUM($R81:AX81)&gt;=$G81,0,$L81=AY$2,$G81/$P81,AX81&gt;0,$G81/$P81,TRUE,0)</f>
        <v>0</v>
      </c>
      <c r="AZ81" s="489" cm="1">
        <f t="array" ref="AZ81">_xlfn.IFS(SUM($R81:AY81)&gt;=$G81,0,$L81=AZ$2,$G81/$P81,AY81&gt;0,$G81/$P81,TRUE,0)</f>
        <v>0</v>
      </c>
      <c r="BA81" s="311">
        <f t="shared" ref="BA81:BA83" si="26">SUM(S81:AZ81)</f>
        <v>195226.4070902809</v>
      </c>
    </row>
    <row r="82" spans="1:56" ht="15" customHeight="1">
      <c r="A82" t="str">
        <f t="shared" si="25"/>
        <v/>
      </c>
      <c r="B82" s="79" t="s">
        <v>525</v>
      </c>
      <c r="C82" s="79" t="s">
        <v>1123</v>
      </c>
      <c r="E82" s="6" t="s">
        <v>1124</v>
      </c>
      <c r="F82" s="147">
        <f>1400*2</f>
        <v>2800</v>
      </c>
      <c r="G82" s="87">
        <f>F82*H82</f>
        <v>124234.98633017874</v>
      </c>
      <c r="H82" s="121">
        <f>H81</f>
        <v>44.369637975063839</v>
      </c>
      <c r="I82" s="79" t="s">
        <v>449</v>
      </c>
      <c r="J82" s="79">
        <f>2000+RIGHT(I82,2)</f>
        <v>2026</v>
      </c>
      <c r="K82" s="79"/>
      <c r="L82" s="88" t="str">
        <f>M82</f>
        <v>3Q27</v>
      </c>
      <c r="M82" s="88" t="s">
        <v>443</v>
      </c>
      <c r="N82" s="88" t="str">
        <f>LEFT(M82,2)&amp;(4+RIGHT(M82,2))</f>
        <v>3Q31</v>
      </c>
      <c r="O82" s="79">
        <v>2032</v>
      </c>
      <c r="P82" s="121">
        <f>LEFT(N82)-LEFT(L82)+(RIGHT(N82,2)-RIGHT(L82,2))*4+1</f>
        <v>17</v>
      </c>
      <c r="S82" s="311" cm="1">
        <f t="array" ref="S82">_xlfn.IFS(SUM($R82:R82)&gt;=$G82,0,$L82=S$2,$G82/$P82,R82&gt;0,$G82/$P82,TRUE,0)</f>
        <v>0</v>
      </c>
      <c r="T82" s="311" cm="1">
        <f t="array" ref="T82">_xlfn.IFS(SUM($R82:S82)&gt;=$G82,0,$L82=T$2,$G82/$P82,S82&gt;0,$G82/$P82,TRUE,0)</f>
        <v>0</v>
      </c>
      <c r="U82" s="311" cm="1">
        <f t="array" ref="U82">_xlfn.IFS(SUM($R82:T82)&gt;=$G82,0,$L82=U$2,$G82/$P82,T82&gt;0,$G82/$P82,TRUE,0)</f>
        <v>0</v>
      </c>
      <c r="V82" s="311" cm="1">
        <f t="array" ref="V82">_xlfn.IFS(SUM($R82:U82)&gt;=$G82,0,$L82=V$2,$G82/$P82,U82&gt;0,$G82/$P82,TRUE,0)</f>
        <v>0</v>
      </c>
      <c r="W82" s="311" cm="1">
        <f t="array" ref="W82">_xlfn.IFS(SUM($R82:V82)&gt;=$G82,0,$L82=W$2,$G82/$P82,V82&gt;0,$G82/$P82,TRUE,0)</f>
        <v>0</v>
      </c>
      <c r="X82" s="311" cm="1">
        <f t="array" ref="X82">_xlfn.IFS(SUM($R82:W82)&gt;=$G82,0,$L82=X$2,$G82/$P82,W82&gt;0,$G82/$P82,TRUE,0)</f>
        <v>0</v>
      </c>
      <c r="Y82" s="311" cm="1">
        <f t="array" ref="Y82">_xlfn.IFS(SUM($R82:X82)&gt;=$G82,0,$L82=Y$2,$G82/$P82,X82&gt;0,$G82/$P82,TRUE,0)</f>
        <v>0</v>
      </c>
      <c r="Z82" s="311" cm="1">
        <f t="array" ref="Z82">_xlfn.IFS(SUM($R82:Y82)&gt;=$G82,0,$L82=Z$2,$G82/$P82,Y82&gt;0,$G82/$P82,TRUE,0)</f>
        <v>0</v>
      </c>
      <c r="AA82" s="311" cm="1">
        <f t="array" ref="AA82">_xlfn.IFS(SUM($R82:Z82)&gt;=$G82,0,$L82=AA$2,$G82/$P82,Z82&gt;0,$G82/$P82,TRUE,0)</f>
        <v>7307.940372363455</v>
      </c>
      <c r="AB82" s="311" cm="1">
        <f t="array" ref="AB82">_xlfn.IFS(SUM($R82:AA82)&gt;=$G82,0,$L82=AB$2,$G82/$P82,AA82&gt;0,$G82/$P82,TRUE,0)</f>
        <v>7307.940372363455</v>
      </c>
      <c r="AC82" s="311" cm="1">
        <f t="array" ref="AC82">_xlfn.IFS(SUM($R82:AB82)&gt;=$G82,0,$L82=AC$2,$G82/$P82,AB82&gt;0,$G82/$P82,TRUE,0)</f>
        <v>7307.940372363455</v>
      </c>
      <c r="AD82" s="311" cm="1">
        <f t="array" ref="AD82">_xlfn.IFS(SUM($R82:AC82)&gt;=$G82,0,$L82=AD$2,$G82/$P82,AC82&gt;0,$G82/$P82,TRUE,0)</f>
        <v>7307.940372363455</v>
      </c>
      <c r="AE82" s="311" cm="1">
        <f t="array" ref="AE82">_xlfn.IFS(SUM($R82:AD82)&gt;=$G82,0,$L82=AE$2,$G82/$P82,AD82&gt;0,$G82/$P82,TRUE,0)</f>
        <v>7307.940372363455</v>
      </c>
      <c r="AF82" s="311" cm="1">
        <f t="array" ref="AF82">_xlfn.IFS(SUM($R82:AE82)&gt;=$G82,0,$L82=AF$2,$G82/$P82,AE82&gt;0,$G82/$P82,TRUE,0)</f>
        <v>7307.940372363455</v>
      </c>
      <c r="AG82" s="311" cm="1">
        <f t="array" ref="AG82">_xlfn.IFS(SUM($R82:AF82)&gt;=$G82,0,$L82=AG$2,$G82/$P82,AF82&gt;0,$G82/$P82,TRUE,0)</f>
        <v>7307.940372363455</v>
      </c>
      <c r="AH82" s="311" cm="1">
        <f t="array" ref="AH82">_xlfn.IFS(SUM($R82:AG82)&gt;=$G82,0,$L82=AH$2,$G82/$P82,AG82&gt;0,$G82/$P82,TRUE,0)</f>
        <v>7307.940372363455</v>
      </c>
      <c r="AI82" s="311" cm="1">
        <f t="array" ref="AI82">_xlfn.IFS(SUM($R82:AH82)&gt;=$G82,0,$L82=AI$2,$G82/$P82,AH82&gt;0,$G82/$P82,TRUE,0)</f>
        <v>7307.940372363455</v>
      </c>
      <c r="AJ82" s="311" cm="1">
        <f t="array" ref="AJ82">_xlfn.IFS(SUM($R82:AI82)&gt;=$G82,0,$L82=AJ$2,$G82/$P82,AI82&gt;0,$G82/$P82,TRUE,0)</f>
        <v>7307.940372363455</v>
      </c>
      <c r="AK82" s="311" cm="1">
        <f t="array" ref="AK82">_xlfn.IFS(SUM($R82:AJ82)&gt;=$G82,0,$L82=AK$2,$G82/$P82,AJ82&gt;0,$G82/$P82,TRUE,0)</f>
        <v>7307.940372363455</v>
      </c>
      <c r="AL82" s="311" cm="1">
        <f t="array" ref="AL82">_xlfn.IFS(SUM($R82:AK82)&gt;=$G82,0,$L82=AL$2,$G82/$P82,AK82&gt;0,$G82/$P82,TRUE,0)</f>
        <v>7307.940372363455</v>
      </c>
      <c r="AM82" s="311" cm="1">
        <f t="array" ref="AM82">_xlfn.IFS(SUM($R82:AL82)&gt;=$G82,0,$L82=AM$2,$G82/$P82,AL82&gt;0,$G82/$P82,TRUE,0)</f>
        <v>7307.940372363455</v>
      </c>
      <c r="AN82" s="311" cm="1">
        <f t="array" ref="AN82">_xlfn.IFS(SUM($R82:AM82)&gt;=$G82,0,$L82=AN$2,$G82/$P82,AM82&gt;0,$G82/$P82,TRUE,0)</f>
        <v>7307.940372363455</v>
      </c>
      <c r="AO82" s="311" cm="1">
        <f t="array" ref="AO82">_xlfn.IFS(SUM($R82:AN82)&gt;=$G82,0,$L82=AO$2,$G82/$P82,AN82&gt;0,$G82/$P82,TRUE,0)</f>
        <v>7307.940372363455</v>
      </c>
      <c r="AP82" s="311" cm="1">
        <f t="array" ref="AP82">_xlfn.IFS(SUM($R82:AO82)&gt;=$G82,0,$L82=AP$2,$G82/$P82,AO82&gt;0,$G82/$P82,TRUE,0)</f>
        <v>7307.940372363455</v>
      </c>
      <c r="AQ82" s="311" cm="1">
        <f t="array" ref="AQ82">_xlfn.IFS(SUM($R82:AP82)&gt;=$G82,0,$L82=AQ$2,$G82/$P82,AP82&gt;0,$G82/$P82,TRUE,0)</f>
        <v>7307.940372363455</v>
      </c>
      <c r="AR82" s="311" cm="1">
        <f t="array" ref="AR82">_xlfn.IFS(SUM($R82:AQ82)&gt;=$G82,0,$L82=AR$2,$G82/$P82,AQ82&gt;0,$G82/$P82,TRUE,0)</f>
        <v>0</v>
      </c>
      <c r="AS82" s="311" cm="1">
        <f t="array" ref="AS82">_xlfn.IFS(SUM($R82:AR82)&gt;=$G82,0,$L82=AS$2,$G82/$P82,AR82&gt;0,$G82/$P82,TRUE,0)</f>
        <v>0</v>
      </c>
      <c r="AT82" s="311" cm="1">
        <f t="array" ref="AT82">_xlfn.IFS(SUM($R82:AS82)&gt;=$G82,0,$L82=AT$2,$G82/$P82,AS82&gt;0,$G82/$P82,TRUE,0)</f>
        <v>0</v>
      </c>
      <c r="AU82" s="311" cm="1">
        <f t="array" ref="AU82">_xlfn.IFS(SUM($R82:AT82)&gt;=$G82,0,$L82=AU$2,$G82/$P82,AT82&gt;0,$G82/$P82,TRUE,0)</f>
        <v>0</v>
      </c>
      <c r="AV82" s="311" cm="1">
        <f t="array" ref="AV82">_xlfn.IFS(SUM($R82:AU82)&gt;=$G82,0,$L82=AV$2,$G82/$P82,AU82&gt;0,$G82/$P82,TRUE,0)</f>
        <v>0</v>
      </c>
      <c r="AW82" s="311" cm="1">
        <f t="array" ref="AW82">_xlfn.IFS(SUM($R82:AV82)&gt;=$G82,0,$L82=AW$2,$G82/$P82,AV82&gt;0,$G82/$P82,TRUE,0)</f>
        <v>0</v>
      </c>
      <c r="AX82" s="311" cm="1">
        <f t="array" ref="AX82">_xlfn.IFS(SUM($R82:AW82)&gt;=$G82,0,$L82=AX$2,$G82/$P82,AW82&gt;0,$G82/$P82,TRUE,0)</f>
        <v>0</v>
      </c>
      <c r="AY82" s="311" cm="1">
        <f t="array" ref="AY82">_xlfn.IFS(SUM($R82:AX82)&gt;=$G82,0,$L82=AY$2,$G82/$P82,AX82&gt;0,$G82/$P82,TRUE,0)</f>
        <v>0</v>
      </c>
      <c r="AZ82" s="311" cm="1">
        <f t="array" ref="AZ82">_xlfn.IFS(SUM($R82:AY82)&gt;=$G82,0,$L82=AZ$2,$G82/$P82,AY82&gt;0,$G82/$P82,TRUE,0)</f>
        <v>0</v>
      </c>
      <c r="BA82" s="311">
        <f t="shared" si="26"/>
        <v>124234.98633017877</v>
      </c>
    </row>
    <row r="83" spans="1:56" ht="15" customHeight="1">
      <c r="A83"/>
      <c r="B83" s="139" t="s">
        <v>525</v>
      </c>
      <c r="C83" s="139" t="s">
        <v>1125</v>
      </c>
      <c r="D83" s="139"/>
      <c r="E83" s="59" t="s">
        <v>1126</v>
      </c>
      <c r="F83" s="143">
        <v>2800</v>
      </c>
      <c r="G83" s="407">
        <f>F83*H83</f>
        <v>124234.98633017874</v>
      </c>
      <c r="H83" s="140">
        <f>H81</f>
        <v>44.369637975063839</v>
      </c>
      <c r="I83" s="139" t="s">
        <v>438</v>
      </c>
      <c r="J83" s="139">
        <f>2000+RIGHT(I83,2)</f>
        <v>2028</v>
      </c>
      <c r="K83" s="139"/>
      <c r="L83" s="138" t="str">
        <f>M83</f>
        <v>2Q30</v>
      </c>
      <c r="M83" s="138" t="s">
        <v>678</v>
      </c>
      <c r="N83" s="138" t="str">
        <f>LEFT(M83,2)&amp;(4+RIGHT(M83,2))</f>
        <v>2Q34</v>
      </c>
      <c r="O83" s="139">
        <v>2036</v>
      </c>
      <c r="P83" s="140">
        <f>LEFT(N83)-LEFT(L83)+(RIGHT(N83,2)-RIGHT(L83,2))*4+1</f>
        <v>17</v>
      </c>
      <c r="Q83" s="279"/>
      <c r="R83" s="279"/>
      <c r="S83" s="490" cm="1">
        <f t="array" ref="S83">_xlfn.IFS(SUM($R83:R83)&gt;=$G83,0,$L83=S$2,$G83/$P83,R83&gt;0,$G83/$P83,TRUE,0)</f>
        <v>0</v>
      </c>
      <c r="T83" s="490" cm="1">
        <f t="array" ref="T83">_xlfn.IFS(SUM($R83:S83)&gt;=$G83,0,$L83=T$2,$G83/$P83,S83&gt;0,$G83/$P83,TRUE,0)</f>
        <v>0</v>
      </c>
      <c r="U83" s="490" cm="1">
        <f t="array" ref="U83">_xlfn.IFS(SUM($R83:T83)&gt;=$G83,0,$L83=U$2,$G83/$P83,T83&gt;0,$G83/$P83,TRUE,0)</f>
        <v>0</v>
      </c>
      <c r="V83" s="490" cm="1">
        <f t="array" ref="V83">_xlfn.IFS(SUM($R83:U83)&gt;=$G83,0,$L83=V$2,$G83/$P83,U83&gt;0,$G83/$P83,TRUE,0)</f>
        <v>0</v>
      </c>
      <c r="W83" s="490" cm="1">
        <f t="array" ref="W83">_xlfn.IFS(SUM($R83:V83)&gt;=$G83,0,$L83=W$2,$G83/$P83,V83&gt;0,$G83/$P83,TRUE,0)</f>
        <v>0</v>
      </c>
      <c r="X83" s="490" cm="1">
        <f t="array" ref="X83">_xlfn.IFS(SUM($R83:W83)&gt;=$G83,0,$L83=X$2,$G83/$P83,W83&gt;0,$G83/$P83,TRUE,0)</f>
        <v>0</v>
      </c>
      <c r="Y83" s="490" cm="1">
        <f t="array" ref="Y83">_xlfn.IFS(SUM($R83:X83)&gt;=$G83,0,$L83=Y$2,$G83/$P83,X83&gt;0,$G83/$P83,TRUE,0)</f>
        <v>0</v>
      </c>
      <c r="Z83" s="490" cm="1">
        <f t="array" ref="Z83">_xlfn.IFS(SUM($R83:Y83)&gt;=$G83,0,$L83=Z$2,$G83/$P83,Y83&gt;0,$G83/$P83,TRUE,0)</f>
        <v>0</v>
      </c>
      <c r="AA83" s="490" cm="1">
        <f t="array" ref="AA83">_xlfn.IFS(SUM($R83:Z83)&gt;=$G83,0,$L83=AA$2,$G83/$P83,Z83&gt;0,$G83/$P83,TRUE,0)</f>
        <v>0</v>
      </c>
      <c r="AB83" s="490" cm="1">
        <f t="array" ref="AB83">_xlfn.IFS(SUM($R83:AA83)&gt;=$G83,0,$L83=AB$2,$G83/$P83,AA83&gt;0,$G83/$P83,TRUE,0)</f>
        <v>0</v>
      </c>
      <c r="AC83" s="490" cm="1">
        <f t="array" ref="AC83">_xlfn.IFS(SUM($R83:AB83)&gt;=$G83,0,$L83=AC$2,$G83/$P83,AB83&gt;0,$G83/$P83,TRUE,0)</f>
        <v>0</v>
      </c>
      <c r="AD83" s="490" cm="1">
        <f t="array" ref="AD83">_xlfn.IFS(SUM($R83:AC83)&gt;=$G83,0,$L83=AD$2,$G83/$P83,AC83&gt;0,$G83/$P83,TRUE,0)</f>
        <v>0</v>
      </c>
      <c r="AE83" s="490" cm="1">
        <f t="array" ref="AE83">_xlfn.IFS(SUM($R83:AD83)&gt;=$G83,0,$L83=AE$2,$G83/$P83,AD83&gt;0,$G83/$P83,TRUE,0)</f>
        <v>0</v>
      </c>
      <c r="AF83" s="490" cm="1">
        <f t="array" ref="AF83">_xlfn.IFS(SUM($R83:AE83)&gt;=$G83,0,$L83=AF$2,$G83/$P83,AE83&gt;0,$G83/$P83,TRUE,0)</f>
        <v>0</v>
      </c>
      <c r="AG83" s="490" cm="1">
        <f t="array" ref="AG83">_xlfn.IFS(SUM($R83:AF83)&gt;=$G83,0,$L83=AG$2,$G83/$P83,AF83&gt;0,$G83/$P83,TRUE,0)</f>
        <v>0</v>
      </c>
      <c r="AH83" s="490" cm="1">
        <f t="array" ref="AH83">_xlfn.IFS(SUM($R83:AG83)&gt;=$G83,0,$L83=AH$2,$G83/$P83,AG83&gt;0,$G83/$P83,TRUE,0)</f>
        <v>0</v>
      </c>
      <c r="AI83" s="490" cm="1">
        <f t="array" ref="AI83">_xlfn.IFS(SUM($R83:AH83)&gt;=$G83,0,$L83=AI$2,$G83/$P83,AH83&gt;0,$G83/$P83,TRUE,0)</f>
        <v>0</v>
      </c>
      <c r="AJ83" s="490" cm="1">
        <f t="array" ref="AJ83">_xlfn.IFS(SUM($R83:AI83)&gt;=$G83,0,$L83=AJ$2,$G83/$P83,AI83&gt;0,$G83/$P83,TRUE,0)</f>
        <v>0</v>
      </c>
      <c r="AK83" s="490" cm="1">
        <f t="array" ref="AK83">_xlfn.IFS(SUM($R83:AJ83)&gt;=$G83,0,$L83=AK$2,$G83/$P83,AJ83&gt;0,$G83/$P83,TRUE,0)</f>
        <v>0</v>
      </c>
      <c r="AL83" s="490" cm="1">
        <f t="array" ref="AL83">_xlfn.IFS(SUM($R83:AK83)&gt;=$G83,0,$L83=AL$2,$G83/$P83,AK83&gt;0,$G83/$P83,TRUE,0)</f>
        <v>7307.940372363455</v>
      </c>
      <c r="AM83" s="490" cm="1">
        <f t="array" ref="AM83">_xlfn.IFS(SUM($R83:AL83)&gt;=$G83,0,$L83=AM$2,$G83/$P83,AL83&gt;0,$G83/$P83,TRUE,0)</f>
        <v>7307.940372363455</v>
      </c>
      <c r="AN83" s="490" cm="1">
        <f t="array" ref="AN83">_xlfn.IFS(SUM($R83:AM83)&gt;=$G83,0,$L83=AN$2,$G83/$P83,AM83&gt;0,$G83/$P83,TRUE,0)</f>
        <v>7307.940372363455</v>
      </c>
      <c r="AO83" s="490" cm="1">
        <f t="array" ref="AO83">_xlfn.IFS(SUM($R83:AN83)&gt;=$G83,0,$L83=AO$2,$G83/$P83,AN83&gt;0,$G83/$P83,TRUE,0)</f>
        <v>7307.940372363455</v>
      </c>
      <c r="AP83" s="490" cm="1">
        <f t="array" ref="AP83">_xlfn.IFS(SUM($R83:AO83)&gt;=$G83,0,$L83=AP$2,$G83/$P83,AO83&gt;0,$G83/$P83,TRUE,0)</f>
        <v>7307.940372363455</v>
      </c>
      <c r="AQ83" s="490" cm="1">
        <f t="array" ref="AQ83">_xlfn.IFS(SUM($R83:AP83)&gt;=$G83,0,$L83=AQ$2,$G83/$P83,AP83&gt;0,$G83/$P83,TRUE,0)</f>
        <v>7307.940372363455</v>
      </c>
      <c r="AR83" s="490" cm="1">
        <f t="array" ref="AR83">_xlfn.IFS(SUM($R83:AQ83)&gt;=$G83,0,$L83=AR$2,$G83/$P83,AQ83&gt;0,$G83/$P83,TRUE,0)</f>
        <v>7307.940372363455</v>
      </c>
      <c r="AS83" s="490" cm="1">
        <f t="array" ref="AS83">_xlfn.IFS(SUM($R83:AR83)&gt;=$G83,0,$L83=AS$2,$G83/$P83,AR83&gt;0,$G83/$P83,TRUE,0)</f>
        <v>7307.940372363455</v>
      </c>
      <c r="AT83" s="490" cm="1">
        <f t="array" ref="AT83">_xlfn.IFS(SUM($R83:AS83)&gt;=$G83,0,$L83=AT$2,$G83/$P83,AS83&gt;0,$G83/$P83,TRUE,0)</f>
        <v>7307.940372363455</v>
      </c>
      <c r="AU83" s="490" cm="1">
        <f t="array" ref="AU83">_xlfn.IFS(SUM($R83:AT83)&gt;=$G83,0,$L83=AU$2,$G83/$P83,AT83&gt;0,$G83/$P83,TRUE,0)</f>
        <v>7307.940372363455</v>
      </c>
      <c r="AV83" s="490" cm="1">
        <f t="array" ref="AV83">_xlfn.IFS(SUM($R83:AU83)&gt;=$G83,0,$L83=AV$2,$G83/$P83,AU83&gt;0,$G83/$P83,TRUE,0)</f>
        <v>7307.940372363455</v>
      </c>
      <c r="AW83" s="490" cm="1">
        <f t="array" ref="AW83">_xlfn.IFS(SUM($R83:AV83)&gt;=$G83,0,$L83=AW$2,$G83/$P83,AV83&gt;0,$G83/$P83,TRUE,0)</f>
        <v>7307.940372363455</v>
      </c>
      <c r="AX83" s="490" cm="1">
        <f t="array" ref="AX83">_xlfn.IFS(SUM($R83:AW83)&gt;=$G83,0,$L83=AX$2,$G83/$P83,AW83&gt;0,$G83/$P83,TRUE,0)</f>
        <v>7307.940372363455</v>
      </c>
      <c r="AY83" s="490" cm="1">
        <f t="array" ref="AY83">_xlfn.IFS(SUM($R83:AX83)&gt;=$G83,0,$L83=AY$2,$G83/$P83,AX83&gt;0,$G83/$P83,TRUE,0)</f>
        <v>7307.940372363455</v>
      </c>
      <c r="AZ83" s="490" cm="1">
        <f t="array" ref="AZ83">_xlfn.IFS(SUM($R83:AY83)&gt;=$G83,0,$L83=AZ$2,$G83/$P83,AY83&gt;0,$G83/$P83,TRUE,0)</f>
        <v>7307.940372363455</v>
      </c>
      <c r="BA83" s="311">
        <f t="shared" si="26"/>
        <v>109619.10558545185</v>
      </c>
    </row>
    <row r="84" spans="1:56" s="465" customFormat="1" ht="15" customHeight="1">
      <c r="A84" s="349"/>
      <c r="B84" s="350"/>
      <c r="C84" s="350"/>
      <c r="D84" s="350"/>
      <c r="E84" s="349"/>
      <c r="F84" s="349"/>
      <c r="G84" s="349"/>
      <c r="H84" s="352"/>
      <c r="I84" s="359"/>
      <c r="J84" s="359"/>
      <c r="K84" s="349"/>
      <c r="L84" s="356"/>
      <c r="M84" s="356"/>
      <c r="N84" s="357"/>
      <c r="O84" s="357"/>
      <c r="P84" s="352"/>
      <c r="Q84" s="355"/>
      <c r="R84" s="355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118" t="s">
        <v>959</v>
      </c>
      <c r="BB84" s="349"/>
      <c r="BC84" s="349"/>
      <c r="BD84" s="349"/>
    </row>
    <row r="85" spans="1:56" s="466" customFormat="1" ht="15" customHeight="1">
      <c r="A85" s="339"/>
      <c r="B85" s="340"/>
      <c r="C85" s="340"/>
      <c r="D85" s="340"/>
      <c r="E85" s="351" t="s">
        <v>979</v>
      </c>
      <c r="F85" s="339"/>
      <c r="G85" s="339"/>
      <c r="H85" s="342"/>
      <c r="I85" s="346"/>
      <c r="J85" s="346"/>
      <c r="K85" s="339"/>
      <c r="L85" s="347"/>
      <c r="M85" s="347"/>
      <c r="N85" s="348"/>
      <c r="O85" s="348"/>
      <c r="P85" s="342"/>
      <c r="Q85" s="345"/>
      <c r="R85" s="345"/>
      <c r="S85" s="365">
        <f t="shared" ref="S85:AZ85" si="27">S86+SUMIF($B80:$B83,"잠재",S80:S83)</f>
        <v>0</v>
      </c>
      <c r="T85" s="365">
        <f t="shared" si="27"/>
        <v>0</v>
      </c>
      <c r="U85" s="365">
        <f t="shared" si="27"/>
        <v>0</v>
      </c>
      <c r="V85" s="365">
        <f t="shared" si="27"/>
        <v>0</v>
      </c>
      <c r="W85" s="365">
        <f t="shared" si="27"/>
        <v>0</v>
      </c>
      <c r="X85" s="365">
        <f t="shared" si="27"/>
        <v>0</v>
      </c>
      <c r="Y85" s="365">
        <f t="shared" si="27"/>
        <v>0</v>
      </c>
      <c r="Z85" s="365">
        <f t="shared" si="27"/>
        <v>0</v>
      </c>
      <c r="AA85" s="365">
        <f t="shared" si="27"/>
        <v>7307.940372363455</v>
      </c>
      <c r="AB85" s="365">
        <f t="shared" si="27"/>
        <v>7307.940372363455</v>
      </c>
      <c r="AC85" s="365">
        <f t="shared" si="27"/>
        <v>7307.940372363455</v>
      </c>
      <c r="AD85" s="365">
        <f t="shared" si="27"/>
        <v>18791.846671791744</v>
      </c>
      <c r="AE85" s="365">
        <f t="shared" si="27"/>
        <v>18791.846671791744</v>
      </c>
      <c r="AF85" s="365">
        <f t="shared" si="27"/>
        <v>18791.846671791744</v>
      </c>
      <c r="AG85" s="365">
        <f t="shared" si="27"/>
        <v>18791.846671791744</v>
      </c>
      <c r="AH85" s="365">
        <f t="shared" si="27"/>
        <v>18791.846671791744</v>
      </c>
      <c r="AI85" s="365">
        <f t="shared" si="27"/>
        <v>18791.846671791744</v>
      </c>
      <c r="AJ85" s="365">
        <f t="shared" si="27"/>
        <v>18791.846671791744</v>
      </c>
      <c r="AK85" s="365">
        <f t="shared" si="27"/>
        <v>18791.846671791744</v>
      </c>
      <c r="AL85" s="365">
        <f t="shared" si="27"/>
        <v>26099.7870441552</v>
      </c>
      <c r="AM85" s="365">
        <f t="shared" si="27"/>
        <v>26099.7870441552</v>
      </c>
      <c r="AN85" s="365">
        <f t="shared" si="27"/>
        <v>26099.7870441552</v>
      </c>
      <c r="AO85" s="365">
        <f t="shared" si="27"/>
        <v>26099.7870441552</v>
      </c>
      <c r="AP85" s="365">
        <f t="shared" si="27"/>
        <v>26099.7870441552</v>
      </c>
      <c r="AQ85" s="365">
        <f t="shared" si="27"/>
        <v>26099.7870441552</v>
      </c>
      <c r="AR85" s="365">
        <f t="shared" si="27"/>
        <v>18791.846671791744</v>
      </c>
      <c r="AS85" s="365">
        <f t="shared" si="27"/>
        <v>18791.846671791744</v>
      </c>
      <c r="AT85" s="365">
        <f t="shared" si="27"/>
        <v>18791.846671791744</v>
      </c>
      <c r="AU85" s="365">
        <f t="shared" si="27"/>
        <v>7307.940372363455</v>
      </c>
      <c r="AV85" s="365">
        <f t="shared" si="27"/>
        <v>7307.940372363455</v>
      </c>
      <c r="AW85" s="365">
        <f t="shared" si="27"/>
        <v>7307.940372363455</v>
      </c>
      <c r="AX85" s="365">
        <f t="shared" si="27"/>
        <v>7307.940372363455</v>
      </c>
      <c r="AY85" s="365">
        <f t="shared" si="27"/>
        <v>7307.940372363455</v>
      </c>
      <c r="AZ85" s="365">
        <f t="shared" si="27"/>
        <v>7307.940372363455</v>
      </c>
      <c r="BA85" s="367" t="s">
        <v>959</v>
      </c>
      <c r="BB85" s="339"/>
      <c r="BC85" s="339"/>
      <c r="BD85" s="339"/>
    </row>
    <row r="86" spans="1:56" ht="15" customHeight="1">
      <c r="E86" s="341" t="s">
        <v>981</v>
      </c>
      <c r="H86" s="121"/>
      <c r="I86" s="129"/>
      <c r="J86" s="129"/>
      <c r="L86" s="134"/>
      <c r="M86" s="134"/>
      <c r="N86" s="133"/>
      <c r="O86" s="133"/>
      <c r="P86" s="121"/>
      <c r="Q86" s="283"/>
      <c r="R86" s="283"/>
      <c r="S86" s="366">
        <f t="shared" ref="S86:AZ86" si="28">S87+SUMIF($B80:$B83,"가능",S80:S83)</f>
        <v>0</v>
      </c>
      <c r="T86" s="366">
        <f t="shared" si="28"/>
        <v>0</v>
      </c>
      <c r="U86" s="366">
        <f t="shared" si="28"/>
        <v>0</v>
      </c>
      <c r="V86" s="366">
        <f t="shared" si="28"/>
        <v>0</v>
      </c>
      <c r="W86" s="366">
        <f t="shared" si="28"/>
        <v>0</v>
      </c>
      <c r="X86" s="366">
        <f t="shared" si="28"/>
        <v>0</v>
      </c>
      <c r="Y86" s="366">
        <f t="shared" si="28"/>
        <v>0</v>
      </c>
      <c r="Z86" s="366">
        <f t="shared" si="28"/>
        <v>0</v>
      </c>
      <c r="AA86" s="366">
        <f t="shared" si="28"/>
        <v>0</v>
      </c>
      <c r="AB86" s="366">
        <f t="shared" si="28"/>
        <v>0</v>
      </c>
      <c r="AC86" s="366">
        <f t="shared" si="28"/>
        <v>0</v>
      </c>
      <c r="AD86" s="366">
        <f t="shared" si="28"/>
        <v>0</v>
      </c>
      <c r="AE86" s="366">
        <f t="shared" si="28"/>
        <v>0</v>
      </c>
      <c r="AF86" s="366">
        <f t="shared" si="28"/>
        <v>0</v>
      </c>
      <c r="AG86" s="366">
        <f t="shared" si="28"/>
        <v>0</v>
      </c>
      <c r="AH86" s="366">
        <f t="shared" si="28"/>
        <v>0</v>
      </c>
      <c r="AI86" s="366">
        <f t="shared" si="28"/>
        <v>0</v>
      </c>
      <c r="AJ86" s="366">
        <f t="shared" si="28"/>
        <v>0</v>
      </c>
      <c r="AK86" s="366">
        <f t="shared" si="28"/>
        <v>0</v>
      </c>
      <c r="AL86" s="366">
        <f t="shared" si="28"/>
        <v>0</v>
      </c>
      <c r="AM86" s="366">
        <f t="shared" si="28"/>
        <v>0</v>
      </c>
      <c r="AN86" s="366">
        <f t="shared" si="28"/>
        <v>0</v>
      </c>
      <c r="AO86" s="366">
        <f t="shared" si="28"/>
        <v>0</v>
      </c>
      <c r="AP86" s="366">
        <f t="shared" si="28"/>
        <v>0</v>
      </c>
      <c r="AQ86" s="366">
        <f t="shared" si="28"/>
        <v>0</v>
      </c>
      <c r="AR86" s="366">
        <f t="shared" si="28"/>
        <v>0</v>
      </c>
      <c r="AS86" s="366">
        <f t="shared" si="28"/>
        <v>0</v>
      </c>
      <c r="AT86" s="366">
        <f t="shared" si="28"/>
        <v>0</v>
      </c>
      <c r="AU86" s="366">
        <f t="shared" si="28"/>
        <v>0</v>
      </c>
      <c r="AV86" s="366">
        <f t="shared" si="28"/>
        <v>0</v>
      </c>
      <c r="AW86" s="366">
        <f t="shared" si="28"/>
        <v>0</v>
      </c>
      <c r="AX86" s="366">
        <f t="shared" si="28"/>
        <v>0</v>
      </c>
      <c r="AY86" s="366">
        <f t="shared" si="28"/>
        <v>0</v>
      </c>
      <c r="AZ86" s="366">
        <f t="shared" si="28"/>
        <v>0</v>
      </c>
      <c r="BA86" s="367" t="s">
        <v>959</v>
      </c>
    </row>
    <row r="87" spans="1:56" s="475" customFormat="1" ht="15" customHeight="1">
      <c r="A87" s="59"/>
      <c r="B87" s="139"/>
      <c r="C87" s="139"/>
      <c r="D87" s="139"/>
      <c r="E87" s="473" t="s">
        <v>980</v>
      </c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71"/>
      <c r="Q87" s="279"/>
      <c r="R87" s="279"/>
      <c r="S87" s="321">
        <f t="shared" ref="S87:AZ87" si="29">SUMIF($B80:$B83,"확실", S80:S83)</f>
        <v>0</v>
      </c>
      <c r="T87" s="321">
        <f t="shared" si="29"/>
        <v>0</v>
      </c>
      <c r="U87" s="321">
        <f t="shared" si="29"/>
        <v>0</v>
      </c>
      <c r="V87" s="321">
        <f t="shared" si="29"/>
        <v>0</v>
      </c>
      <c r="W87" s="321">
        <f t="shared" si="29"/>
        <v>0</v>
      </c>
      <c r="X87" s="321">
        <f t="shared" si="29"/>
        <v>0</v>
      </c>
      <c r="Y87" s="321">
        <f t="shared" si="29"/>
        <v>0</v>
      </c>
      <c r="Z87" s="321">
        <f t="shared" si="29"/>
        <v>0</v>
      </c>
      <c r="AA87" s="321">
        <f t="shared" si="29"/>
        <v>0</v>
      </c>
      <c r="AB87" s="321">
        <f t="shared" si="29"/>
        <v>0</v>
      </c>
      <c r="AC87" s="321">
        <f t="shared" si="29"/>
        <v>0</v>
      </c>
      <c r="AD87" s="321">
        <f t="shared" si="29"/>
        <v>0</v>
      </c>
      <c r="AE87" s="321">
        <f t="shared" si="29"/>
        <v>0</v>
      </c>
      <c r="AF87" s="321">
        <f t="shared" si="29"/>
        <v>0</v>
      </c>
      <c r="AG87" s="321">
        <f t="shared" si="29"/>
        <v>0</v>
      </c>
      <c r="AH87" s="321">
        <f t="shared" si="29"/>
        <v>0</v>
      </c>
      <c r="AI87" s="321">
        <f t="shared" si="29"/>
        <v>0</v>
      </c>
      <c r="AJ87" s="321">
        <f t="shared" si="29"/>
        <v>0</v>
      </c>
      <c r="AK87" s="321">
        <f t="shared" si="29"/>
        <v>0</v>
      </c>
      <c r="AL87" s="321">
        <f t="shared" si="29"/>
        <v>0</v>
      </c>
      <c r="AM87" s="321">
        <f t="shared" si="29"/>
        <v>0</v>
      </c>
      <c r="AN87" s="321">
        <f t="shared" si="29"/>
        <v>0</v>
      </c>
      <c r="AO87" s="321">
        <f t="shared" si="29"/>
        <v>0</v>
      </c>
      <c r="AP87" s="321">
        <f t="shared" si="29"/>
        <v>0</v>
      </c>
      <c r="AQ87" s="321">
        <f t="shared" si="29"/>
        <v>0</v>
      </c>
      <c r="AR87" s="321">
        <f t="shared" si="29"/>
        <v>0</v>
      </c>
      <c r="AS87" s="321">
        <f t="shared" si="29"/>
        <v>0</v>
      </c>
      <c r="AT87" s="321">
        <f t="shared" si="29"/>
        <v>0</v>
      </c>
      <c r="AU87" s="321">
        <f t="shared" si="29"/>
        <v>0</v>
      </c>
      <c r="AV87" s="321">
        <f t="shared" si="29"/>
        <v>0</v>
      </c>
      <c r="AW87" s="321">
        <f t="shared" si="29"/>
        <v>0</v>
      </c>
      <c r="AX87" s="321">
        <f t="shared" si="29"/>
        <v>0</v>
      </c>
      <c r="AY87" s="321">
        <f t="shared" si="29"/>
        <v>0</v>
      </c>
      <c r="AZ87" s="321">
        <f t="shared" si="29"/>
        <v>0</v>
      </c>
      <c r="BA87" s="474" t="s">
        <v>959</v>
      </c>
      <c r="BB87" s="59"/>
      <c r="BC87" s="59"/>
      <c r="BD87" s="59"/>
    </row>
  </sheetData>
  <mergeCells count="9">
    <mergeCell ref="BO10:BO11"/>
    <mergeCell ref="BP10:BP11"/>
    <mergeCell ref="BF12:BJ35"/>
    <mergeCell ref="BF38:BJ39"/>
    <mergeCell ref="BF40:BJ57"/>
    <mergeCell ref="BF10:BJ11"/>
    <mergeCell ref="BL10:BL11"/>
    <mergeCell ref="BM10:BM11"/>
    <mergeCell ref="BN10:BN11"/>
  </mergeCells>
  <phoneticPr fontId="2" type="noConversion"/>
  <conditionalFormatting sqref="B19:D38">
    <cfRule type="expression" dxfId="69" priority="41">
      <formula>$B19="가능"</formula>
    </cfRule>
    <cfRule type="expression" dxfId="68" priority="40">
      <formula>$B19="잠재"</formula>
    </cfRule>
  </conditionalFormatting>
  <conditionalFormatting sqref="B40:D61">
    <cfRule type="expression" dxfId="67" priority="26">
      <formula>$B40="잠재"</formula>
    </cfRule>
    <cfRule type="expression" dxfId="66" priority="27">
      <formula>$B40="가능"</formula>
    </cfRule>
  </conditionalFormatting>
  <conditionalFormatting sqref="B3:P4 E5:E7 B9:P10 B11:H11 K11:M11 P11 B12:P12 B13:G16 J16:O16 C17:D17 F17 I17:M18 H19:P32 E19:G35 H33:I33 L33:P34 H34:H37 N35:P37 F36:G38 G40:P40 G41:M41 N41:P63 F42:G63 I42:M63 H44:H45 H48:H49 E52:E53 H52:H53 H56:H57 E56:E58 H60:H86 B62:E63 B64:G79 I64:P86 B80 E80:G80 B81:F81 B82:B83 D82:F83 B84:D86 F84:G86">
    <cfRule type="expression" dxfId="65" priority="45">
      <formula>$B3="가능"</formula>
    </cfRule>
  </conditionalFormatting>
  <conditionalFormatting sqref="B20:P87">
    <cfRule type="expression" dxfId="64" priority="28">
      <formula>$B20="잠재"</formula>
    </cfRule>
    <cfRule type="expression" dxfId="63" priority="29">
      <formula>$B20="가능"</formula>
    </cfRule>
  </conditionalFormatting>
  <conditionalFormatting sqref="E19 E37">
    <cfRule type="expression" dxfId="62" priority="52">
      <formula>$B17="잠재"</formula>
    </cfRule>
    <cfRule type="expression" dxfId="61" priority="53">
      <formula>$B17="가능"</formula>
    </cfRule>
  </conditionalFormatting>
  <conditionalFormatting sqref="E36">
    <cfRule type="expression" dxfId="60" priority="35">
      <formula>$B36="가능"</formula>
    </cfRule>
    <cfRule type="expression" dxfId="59" priority="34">
      <formula>$B36="잠재"</formula>
    </cfRule>
  </conditionalFormatting>
  <conditionalFormatting sqref="E38">
    <cfRule type="expression" dxfId="58" priority="33">
      <formula>$B38="가능"</formula>
    </cfRule>
    <cfRule type="expression" dxfId="57" priority="32">
      <formula>$B38="잠재"</formula>
    </cfRule>
  </conditionalFormatting>
  <conditionalFormatting sqref="E59:E60">
    <cfRule type="expression" dxfId="56" priority="62">
      <formula>$B57="잠재"</formula>
    </cfRule>
    <cfRule type="expression" dxfId="55" priority="63">
      <formula>$B57="가능"</formula>
    </cfRule>
  </conditionalFormatting>
  <conditionalFormatting sqref="E61:E63">
    <cfRule type="expression" dxfId="54" priority="60">
      <formula>$B58="잠재"</formula>
    </cfRule>
    <cfRule type="expression" dxfId="53" priority="61">
      <formula>$B58="가능"</formula>
    </cfRule>
  </conditionalFormatting>
  <conditionalFormatting sqref="F40:F42">
    <cfRule type="expression" dxfId="52" priority="25">
      <formula>$B40="가능"</formula>
    </cfRule>
    <cfRule type="expression" dxfId="51" priority="24">
      <formula>$B40="잠재"</formula>
    </cfRule>
  </conditionalFormatting>
  <conditionalFormatting sqref="G81:G83">
    <cfRule type="expression" dxfId="50" priority="6">
      <formula>$B81="잠재"</formula>
    </cfRule>
    <cfRule type="expression" dxfId="49" priority="7">
      <formula>$B81="가능"</formula>
    </cfRule>
  </conditionalFormatting>
  <conditionalFormatting sqref="H46">
    <cfRule type="expression" dxfId="48" priority="21">
      <formula>$B47="가능"</formula>
    </cfRule>
    <cfRule type="expression" dxfId="47" priority="20">
      <formula>$B47="잠재"</formula>
    </cfRule>
  </conditionalFormatting>
  <conditionalFormatting sqref="H47">
    <cfRule type="expression" dxfId="46" priority="23">
      <formula>$B46="가능"</formula>
    </cfRule>
    <cfRule type="expression" dxfId="45" priority="22">
      <formula>$B46="잠재"</formula>
    </cfRule>
  </conditionalFormatting>
  <conditionalFormatting sqref="H50">
    <cfRule type="expression" dxfId="44" priority="17">
      <formula>$B51="가능"</formula>
    </cfRule>
    <cfRule type="expression" dxfId="43" priority="16">
      <formula>$B51="잠재"</formula>
    </cfRule>
  </conditionalFormatting>
  <conditionalFormatting sqref="H51">
    <cfRule type="expression" dxfId="42" priority="19">
      <formula>$B50="가능"</formula>
    </cfRule>
    <cfRule type="expression" dxfId="41" priority="18">
      <formula>$B50="잠재"</formula>
    </cfRule>
  </conditionalFormatting>
  <conditionalFormatting sqref="H54">
    <cfRule type="expression" dxfId="40" priority="13">
      <formula>$B55="가능"</formula>
    </cfRule>
    <cfRule type="expression" dxfId="39" priority="12">
      <formula>$B55="잠재"</formula>
    </cfRule>
  </conditionalFormatting>
  <conditionalFormatting sqref="H55">
    <cfRule type="expression" dxfId="38" priority="15">
      <formula>$B54="가능"</formula>
    </cfRule>
    <cfRule type="expression" dxfId="37" priority="14">
      <formula>$B54="잠재"</formula>
    </cfRule>
  </conditionalFormatting>
  <conditionalFormatting sqref="H58">
    <cfRule type="expression" dxfId="36" priority="8">
      <formula>$B59="잠재"</formula>
    </cfRule>
    <cfRule type="expression" dxfId="35" priority="9">
      <formula>$B59="가능"</formula>
    </cfRule>
  </conditionalFormatting>
  <conditionalFormatting sqref="H59">
    <cfRule type="expression" dxfId="34" priority="11">
      <formula>$B58="가능"</formula>
    </cfRule>
    <cfRule type="expression" dxfId="33" priority="10">
      <formula>$B58="잠재"</formula>
    </cfRule>
  </conditionalFormatting>
  <conditionalFormatting sqref="H13:M13 P13 I16 E17 G17:H17 P17 N37:P37 H38 L38:M38">
    <cfRule type="expression" dxfId="32" priority="51">
      <formula>#REF!="가능"</formula>
    </cfRule>
  </conditionalFormatting>
  <conditionalFormatting sqref="H14:M14 P14:P16 H15:H16 P34 H42 C82">
    <cfRule type="expression" dxfId="31" priority="55">
      <formula>$B15="가능"</formula>
    </cfRule>
  </conditionalFormatting>
  <conditionalFormatting sqref="H18:M18 M19:M28 P18">
    <cfRule type="expression" dxfId="30" priority="56">
      <formula>$B13="잠재"</formula>
    </cfRule>
  </conditionalFormatting>
  <conditionalFormatting sqref="H18:M18 P18 M19:M28">
    <cfRule type="expression" dxfId="29" priority="57">
      <formula>$B13="가능"</formula>
    </cfRule>
  </conditionalFormatting>
  <conditionalFormatting sqref="H19:P32 E19:G35 H33:I33 L33:P34 H34:H37 N35:P37 F36:G38 G40:P40 G41:M41 N41:P63 F42:G63 I42:M63 H44:H45 H48:H49 E52:E53 H52:H53 H56:H57 E56:E58 H60:H86 B62:E63 B64:G79 I64:P86 B80 E80:G80 B81:F81 B82:B83 D82:F83 B84:D86 F84:G86 B3:P4 E5:E7 B9:P10 B11:H11 K11:M11 P11 B12:P12 B13:G16 J16:O16 C17:D17 F17 I17:M18">
    <cfRule type="expression" dxfId="28" priority="44">
      <formula>$B3="잠재"</formula>
    </cfRule>
  </conditionalFormatting>
  <conditionalFormatting sqref="N35:P37 H39:P39 H43 E50:E51 E54:E55 E85:E87">
    <cfRule type="expression" dxfId="27" priority="58">
      <formula>$B34="잠재"</formula>
    </cfRule>
    <cfRule type="expression" dxfId="26" priority="59">
      <formula>$B34="가능"</formula>
    </cfRule>
  </conditionalFormatting>
  <conditionalFormatting sqref="N37:P37 H38 L38:M38 H13:M13 P13 I16 E17 G17:H17 P17">
    <cfRule type="expression" dxfId="25" priority="50">
      <formula>#REF!="잠재"</formula>
    </cfRule>
  </conditionalFormatting>
  <conditionalFormatting sqref="P34 H42 C82 H14:M14 P14:P16 H15:H16">
    <cfRule type="expression" dxfId="24" priority="54">
      <formula>$B15="잠재"</formula>
    </cfRule>
  </conditionalFormatting>
  <conditionalFormatting sqref="Q28:Q30 Q31:T31">
    <cfRule type="expression" dxfId="23" priority="46">
      <formula>"$B3!=$C3"</formula>
    </cfRule>
  </conditionalFormatting>
  <conditionalFormatting sqref="Q31:R31 Q28:Q30">
    <cfRule type="colorScale" priority="47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Q48:R66 Q67:T67">
    <cfRule type="expression" dxfId="22" priority="48">
      <formula>"$B3!=$C3"</formula>
    </cfRule>
  </conditionalFormatting>
  <conditionalFormatting sqref="Q48:R67">
    <cfRule type="colorScale" priority="49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Q75:R77 Q78:T78">
    <cfRule type="expression" dxfId="21" priority="42">
      <formula>"$B3!=$C3"</formula>
    </cfRule>
  </conditionalFormatting>
  <conditionalFormatting sqref="Q75:R78">
    <cfRule type="colorScale" priority="43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Q84:R86">
    <cfRule type="expression" dxfId="20" priority="38">
      <formula>"$B3!=$C3"</formula>
    </cfRule>
    <cfRule type="colorScale" priority="39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R20:AZ22 S23:AZ23 R23:R27">
    <cfRule type="colorScale" priority="2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S24:AZ27">
    <cfRule type="colorScale" priority="37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S40:AZ63">
    <cfRule type="colorScale" priority="4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S70:AZ73">
    <cfRule type="colorScale" priority="3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S81:AZ83">
    <cfRule type="colorScale" priority="1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BC18:BC27">
    <cfRule type="expression" dxfId="19" priority="31">
      <formula>$B18="가능"</formula>
    </cfRule>
    <cfRule type="expression" dxfId="18" priority="30">
      <formula>$B18="잠재"</formula>
    </cfRule>
  </conditionalFormatting>
  <dataValidations disablePrompts="1" count="1">
    <dataValidation type="list" allowBlank="1" showInputMessage="1" showErrorMessage="1" sqref="K75:K78 K64:K66 K28:K31 K84:K86" xr:uid="{A2BA04D7-ACBC-4D41-95BE-07BC1F857CF7}">
      <formula1>"중동, 미국, 일본, 동남아, 국내"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3791-A214-4CFA-B178-090BA041FCC7}">
  <dimension ref="A1:BN130"/>
  <sheetViews>
    <sheetView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14" sqref="B14:H14"/>
    </sheetView>
  </sheetViews>
  <sheetFormatPr defaultRowHeight="15"/>
  <cols>
    <col min="1" max="1" width="1.69921875" style="118" customWidth="1"/>
    <col min="2" max="2" width="50" style="6" customWidth="1"/>
    <col min="3" max="3" width="7.19921875" style="79" customWidth="1"/>
    <col min="4" max="4" width="10" style="79" bestFit="1" customWidth="1"/>
    <col min="5" max="5" width="13.296875" style="121" bestFit="1" customWidth="1"/>
    <col min="6" max="6" width="13.59765625" style="79" bestFit="1" customWidth="1"/>
    <col min="7" max="7" width="8.69921875" style="79" bestFit="1" customWidth="1"/>
    <col min="8" max="8" width="13.5" style="79" customWidth="1"/>
    <col min="9" max="9" width="40.69921875" style="120" customWidth="1"/>
    <col min="10" max="12" width="8.8984375" style="7" customWidth="1"/>
    <col min="13" max="21" width="8.8984375" style="315" customWidth="1"/>
    <col min="22" max="22" width="8.796875" style="312"/>
    <col min="23" max="23" width="50" style="312" bestFit="1" customWidth="1"/>
    <col min="24" max="24" width="21.59765625" style="312" bestFit="1" customWidth="1"/>
    <col min="25" max="27" width="8.796875" style="312"/>
    <col min="28" max="28" width="11.69921875" style="312" bestFit="1" customWidth="1"/>
    <col min="29" max="29" width="14" style="312" bestFit="1" customWidth="1"/>
    <col min="30" max="44" width="8.796875" style="312"/>
    <col min="45" max="16384" width="8.796875" style="6"/>
  </cols>
  <sheetData>
    <row r="1" spans="1:66" s="122" customFormat="1">
      <c r="A1" s="123"/>
      <c r="B1" s="126"/>
      <c r="C1" s="126"/>
      <c r="D1" s="248"/>
      <c r="E1" s="249"/>
      <c r="F1" s="248"/>
      <c r="G1" s="248"/>
      <c r="H1" s="248"/>
      <c r="I1" s="250"/>
      <c r="M1" s="314" cm="1">
        <f t="array" ref="M1">_xlfn.IFS(SUM($L1:L1)&gt;=$E1,0,M$70=$G1,$E1*10%,L1&gt;0,$E1*0.9/5, TRUE, 0)</f>
        <v>0</v>
      </c>
      <c r="N1" s="314" cm="1">
        <f t="array" ref="N1">_xlfn.IFS(SUM($L1:M1)&gt;=$E1,0,N$70=$G1,$E1*10%,M1&gt;0,$E1*0.9/5, TRUE, 0)</f>
        <v>0</v>
      </c>
      <c r="O1" s="314" cm="1">
        <f t="array" ref="O1">_xlfn.IFS(SUM($L1:N1)&gt;=$E1,0,O$70=$G1,$E1*10%,N1&gt;0,$E1*0.9/5, TRUE, 0)</f>
        <v>0</v>
      </c>
      <c r="P1" s="314" cm="1">
        <f t="array" ref="P1">_xlfn.IFS(SUM($L1:O1)&gt;=$E1,0,P$70=$G1,$E1*10%,O1&gt;0,$E1*0.9/5, TRUE, 0)</f>
        <v>0</v>
      </c>
      <c r="Q1" s="314" cm="1">
        <f t="array" ref="Q1">_xlfn.IFS(SUM($L1:P1)&gt;=$E1,0,Q$70=$G1,$E1*10%,P1&gt;0,$E1*0.9/5, TRUE, 0)</f>
        <v>0</v>
      </c>
      <c r="R1" s="314" cm="1">
        <f t="array" ref="R1">_xlfn.IFS(SUM($L1:Q1)&gt;=$E1,0,R$70=$G1,$E1*10%,Q1&gt;0,$E1*0.9/5, TRUE, 0)</f>
        <v>0</v>
      </c>
      <c r="S1" s="314" cm="1">
        <f t="array" ref="S1">_xlfn.IFS(SUM($L1:R1)&gt;=$E1,0,S$70=$G1,$E1*10%,R1&gt;0,$E1*0.9/5, TRUE, 0)</f>
        <v>0</v>
      </c>
      <c r="T1" s="314" cm="1">
        <f t="array" ref="T1">_xlfn.IFS(SUM($L1:S1)&gt;=$E1,0,T$70=$G1,$E1*10%,S1&gt;0,$E1*0.9/5, TRUE, 0)</f>
        <v>0</v>
      </c>
      <c r="U1" s="314" cm="1">
        <f t="array" ref="U1">_xlfn.IFS(SUM($L1:T1)&gt;=$E1,0,U$70=$G1,$E1*10%,T1&gt;0,$E1*0.9/5, TRUE, 0)</f>
        <v>0</v>
      </c>
      <c r="V1" s="314" cm="1">
        <f t="array" ref="V1">_xlfn.IFS(SUM($L1:U1)&gt;=$E1,0,V$70=$G1,$E1*10%,U1&gt;0,$E1*0.9/5, TRUE, 0)</f>
        <v>0</v>
      </c>
      <c r="W1" s="314" cm="1">
        <f t="array" ref="W1">_xlfn.IFS(SUM($L1:V1)&gt;=$E1,0,W$70=$G1,$E1*10%,V1&gt;0,$E1*0.9/5, TRUE, 0)</f>
        <v>0</v>
      </c>
      <c r="X1" s="314" cm="1">
        <f t="array" ref="X1">_xlfn.IFS(SUM($L1:W1)&gt;=$E1,0,X$70=$G1,$E1*10%,W1&gt;0,$E1*0.9/5, TRUE, 0)</f>
        <v>0</v>
      </c>
      <c r="Y1" s="314" cm="1">
        <f t="array" ref="Y1">_xlfn.IFS(SUM($L1:X1)&gt;=$E1,0,Y$70=$G1,$E1*10%,X1&gt;0,$E1*0.9/5, TRUE, 0)</f>
        <v>0</v>
      </c>
      <c r="Z1" s="314" cm="1">
        <f t="array" ref="Z1">_xlfn.IFS(SUM($L1:Y1)&gt;=$E1,0,Z$70=$G1,$E1*10%,Y1&gt;0,$E1*0.9/5, TRUE, 0)</f>
        <v>0</v>
      </c>
      <c r="AA1" s="314" cm="1">
        <f t="array" ref="AA1">_xlfn.IFS(SUM($L1:Z1)&gt;=$E1,0,AA$70=$G1,$E1*10%,Z1&gt;0,$E1*0.9/5, TRUE, 0)</f>
        <v>0</v>
      </c>
      <c r="AB1" s="314" cm="1">
        <f t="array" ref="AB1">_xlfn.IFS(SUM($L1:AA1)&gt;=$E1,0,AB$70=$G1,$E1*10%,AA1&gt;0,$E1*0.9/5, TRUE, 0)</f>
        <v>0</v>
      </c>
      <c r="AC1" s="314" cm="1">
        <f t="array" ref="AC1">_xlfn.IFS(SUM($L1:AB1)&gt;=$E1,0,AC$70=$G1,$E1*10%,AB1&gt;0,$E1*0.9/5, TRUE, 0)</f>
        <v>0</v>
      </c>
      <c r="AD1" s="314" cm="1">
        <f t="array" ref="AD1">_xlfn.IFS(SUM($L1:AC1)&gt;=$E1,0,AD$70=$G1,$E1*10%,AC1&gt;0,$E1*0.9/5, TRUE, 0)</f>
        <v>0</v>
      </c>
      <c r="AE1" s="314" cm="1">
        <f t="array" ref="AE1">_xlfn.IFS(SUM($L1:AD1)&gt;=$E1,0,AE$70=$G1,$E1*10%,AD1&gt;0,$E1*0.9/5, TRUE, 0)</f>
        <v>0</v>
      </c>
      <c r="AF1" s="314" cm="1">
        <f t="array" ref="AF1">_xlfn.IFS(SUM($L1:AE1)&gt;=$E1,0,AF$70=$G1,$E1*10%,AE1&gt;0,$E1*0.9/5, TRUE, 0)</f>
        <v>0</v>
      </c>
      <c r="AG1" s="314" cm="1">
        <f t="array" ref="AG1">_xlfn.IFS(SUM($L1:AF1)&gt;=$E1,0,AG$70=$G1,$E1*10%,AF1&gt;0,$E1*0.9/5, TRUE, 0)</f>
        <v>0</v>
      </c>
      <c r="AH1" s="314" cm="1">
        <f t="array" ref="AH1">_xlfn.IFS(SUM($L1:AG1)&gt;=$E1,0,AH$70=$G1,$E1*10%,AG1&gt;0,$E1*0.9/5, TRUE, 0)</f>
        <v>0</v>
      </c>
      <c r="AI1" s="314" cm="1">
        <f t="array" ref="AI1">_xlfn.IFS(SUM($L1:AH1)&gt;=$E1,0,AI$70=$G1,$E1*10%,AH1&gt;0,$E1*0.9/5, TRUE, 0)</f>
        <v>0</v>
      </c>
      <c r="AJ1" s="314" cm="1">
        <f t="array" ref="AJ1">_xlfn.IFS(SUM($L1:AI1)&gt;=$E1,0,AJ$70=$G1,$E1*10%,AI1&gt;0,$E1*0.9/5, TRUE, 0)</f>
        <v>0</v>
      </c>
      <c r="AK1" s="314" cm="1">
        <f t="array" ref="AK1">_xlfn.IFS(SUM($L1:AJ1)&gt;=$E1,0,AK$70=$G1,$E1*10%,AJ1&gt;0,$E1*0.9/5, TRUE, 0)</f>
        <v>0</v>
      </c>
      <c r="AL1" s="314" cm="1">
        <f t="array" ref="AL1">_xlfn.IFS(SUM($L1:AK1)&gt;=$E1,0,AL$70=$G1,$E1*10%,AK1&gt;0,$E1*0.9/5, TRUE, 0)</f>
        <v>0</v>
      </c>
      <c r="AM1" s="314" cm="1">
        <f t="array" ref="AM1">_xlfn.IFS(SUM($L1:AL1)&gt;=$E1,0,AM$70=$G1,$E1*10%,AL1&gt;0,$E1*0.9/5, TRUE, 0)</f>
        <v>0</v>
      </c>
      <c r="AN1" s="314" cm="1">
        <f t="array" ref="AN1">_xlfn.IFS(SUM($L1:AM1)&gt;=$E1,0,AN$70=$G1,$E1*10%,AM1&gt;0,$E1*0.9/5, TRUE, 0)</f>
        <v>0</v>
      </c>
      <c r="AO1" s="314" cm="1">
        <f t="array" ref="AO1">_xlfn.IFS(SUM($L1:AN1)&gt;=$E1,0,AO$70=$G1,$E1*10%,AN1&gt;0,$E1*0.9/5, TRUE, 0)</f>
        <v>0</v>
      </c>
      <c r="AP1" s="314" cm="1">
        <f t="array" ref="AP1">_xlfn.IFS(SUM($L1:AO1)&gt;=$E1,0,AP$70=$G1,$E1*10%,AO1&gt;0,$E1*0.9/5, TRUE, 0)</f>
        <v>0</v>
      </c>
      <c r="AQ1" s="314" cm="1">
        <f t="array" ref="AQ1">_xlfn.IFS(SUM($L1:AP1)&gt;=$E1,0,AQ$70=$G1,$E1*10%,AP1&gt;0,$E1*0.9/5, TRUE, 0)</f>
        <v>0</v>
      </c>
      <c r="AR1" s="314" cm="1">
        <f t="array" ref="AR1">_xlfn.IFS(SUM($L1:AQ1)&gt;=$E1,0,AR$70=$G1,$E1*10%,AQ1&gt;0,$E1*0.9/5, TRUE, 0)</f>
        <v>0</v>
      </c>
    </row>
    <row r="2" spans="1:66" s="259" customFormat="1">
      <c r="A2" s="259" t="s">
        <v>423</v>
      </c>
      <c r="B2" s="259" t="s">
        <v>522</v>
      </c>
      <c r="C2" s="259" t="s">
        <v>453</v>
      </c>
      <c r="D2" s="259" t="s">
        <v>521</v>
      </c>
      <c r="E2" s="260" t="s">
        <v>520</v>
      </c>
      <c r="F2" s="261" t="s">
        <v>519</v>
      </c>
      <c r="G2" s="261" t="s">
        <v>518</v>
      </c>
      <c r="H2" s="261" t="s">
        <v>517</v>
      </c>
      <c r="I2" s="262" t="s">
        <v>516</v>
      </c>
      <c r="J2" s="265" t="s">
        <v>515</v>
      </c>
      <c r="K2" s="265" t="s">
        <v>514</v>
      </c>
      <c r="L2" s="265" t="s">
        <v>513</v>
      </c>
      <c r="M2" s="316" t="s">
        <v>35</v>
      </c>
      <c r="N2" s="316" t="s">
        <v>36</v>
      </c>
      <c r="O2" s="316" t="s">
        <v>37</v>
      </c>
      <c r="P2" s="316" t="s">
        <v>38</v>
      </c>
      <c r="Q2" s="316" t="s">
        <v>39</v>
      </c>
      <c r="R2" s="316" t="s">
        <v>40</v>
      </c>
      <c r="S2" s="316" t="s">
        <v>41</v>
      </c>
      <c r="T2" s="316" t="s">
        <v>42</v>
      </c>
      <c r="U2" s="316" t="s">
        <v>57</v>
      </c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BN2" s="259" t="s">
        <v>512</v>
      </c>
    </row>
    <row r="3" spans="1:66" s="165" customFormat="1" hidden="1">
      <c r="A3" s="266"/>
      <c r="B3" s="266"/>
      <c r="C3" s="266"/>
      <c r="D3" s="266"/>
      <c r="E3" s="267"/>
      <c r="F3" s="268"/>
      <c r="G3" s="268"/>
      <c r="H3" s="268"/>
      <c r="I3" s="269"/>
      <c r="J3" s="270"/>
      <c r="K3" s="270"/>
      <c r="L3" s="270"/>
      <c r="M3" s="318"/>
      <c r="N3" s="318"/>
      <c r="O3" s="318"/>
      <c r="P3" s="318"/>
      <c r="Q3" s="318"/>
      <c r="R3" s="318"/>
      <c r="S3" s="318"/>
      <c r="T3" s="318"/>
      <c r="U3" s="318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  <c r="AJ3" s="319"/>
      <c r="AK3" s="319"/>
      <c r="AL3" s="319"/>
      <c r="AM3" s="319"/>
      <c r="AN3" s="319"/>
      <c r="AO3" s="319"/>
      <c r="AP3" s="319"/>
      <c r="AQ3" s="319"/>
      <c r="AR3" s="319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  <c r="BD3" s="266"/>
      <c r="BE3" s="266"/>
      <c r="BF3" s="266"/>
      <c r="BG3" s="266"/>
      <c r="BH3" s="266"/>
      <c r="BI3" s="266"/>
      <c r="BJ3" s="266"/>
      <c r="BK3" s="266"/>
      <c r="BL3" s="266"/>
      <c r="BM3" s="266"/>
    </row>
    <row r="4" spans="1:66" s="8" customFormat="1" ht="17.399999999999999">
      <c r="A4" s="118" t="s">
        <v>492</v>
      </c>
      <c r="B4" s="8" t="str">
        <f>A4&amp;IF(COUNTIF($A$4:A4,A4)&gt;1,"("&amp;COUNTIF($A$4:A4,A4)&amp;")","")</f>
        <v>삼성물산</v>
      </c>
      <c r="C4" s="89" t="s">
        <v>54</v>
      </c>
      <c r="D4" s="89" t="s">
        <v>427</v>
      </c>
      <c r="E4" s="87">
        <v>145773.29999999999</v>
      </c>
      <c r="F4" s="272">
        <v>45864</v>
      </c>
      <c r="G4" s="271">
        <f>YEAR(F4)</f>
        <v>2025</v>
      </c>
      <c r="H4" s="272">
        <v>46631</v>
      </c>
      <c r="I4" s="142" t="s">
        <v>687</v>
      </c>
      <c r="J4" s="323"/>
      <c r="K4" s="323"/>
      <c r="L4" s="323"/>
      <c r="M4" s="324" t="s">
        <v>29</v>
      </c>
      <c r="N4" s="324" t="s">
        <v>29</v>
      </c>
      <c r="O4" s="324" t="s">
        <v>29</v>
      </c>
      <c r="P4" s="324" t="s">
        <v>29</v>
      </c>
      <c r="Q4" s="324" t="s">
        <v>29</v>
      </c>
      <c r="R4" s="324" t="s">
        <v>29</v>
      </c>
      <c r="S4" s="323" t="s">
        <v>29</v>
      </c>
      <c r="T4" s="323" t="s">
        <v>29</v>
      </c>
      <c r="U4" s="324">
        <v>0</v>
      </c>
      <c r="V4" s="311"/>
      <c r="W4" s="410" t="s">
        <v>1010</v>
      </c>
      <c r="X4" t="s">
        <v>1011</v>
      </c>
      <c r="Y4"/>
      <c r="Z4" s="311">
        <f>(YEAR(H4)*4+INT((MONTH(H4)-1)/3))-(YEAR(F4)*4+INT((MONTH(F4)-1)/3))</f>
        <v>8</v>
      </c>
      <c r="AA4" s="311"/>
      <c r="AB4"/>
      <c r="AC4"/>
      <c r="AD4"/>
      <c r="AE4" s="311"/>
      <c r="AF4" s="311"/>
      <c r="AG4" s="311"/>
      <c r="AH4" s="311"/>
      <c r="AI4" s="311"/>
      <c r="AJ4" s="311"/>
      <c r="AK4" s="311"/>
      <c r="AL4" s="311"/>
      <c r="AM4" s="311"/>
      <c r="AN4" s="311"/>
      <c r="AO4" s="311"/>
      <c r="AP4" s="311"/>
      <c r="AQ4" s="311"/>
      <c r="AR4" s="311"/>
    </row>
    <row r="5" spans="1:66" ht="17.399999999999999">
      <c r="A5" s="118" t="s">
        <v>497</v>
      </c>
      <c r="B5" s="6" t="str">
        <f>A5&amp;IF(COUNTIF($A$4:A5,A5)&gt;1,"("&amp;COUNTIF($A$4:A5,A5)&amp;")","")</f>
        <v>한국수력원자력</v>
      </c>
      <c r="C5" s="79" t="s">
        <v>56</v>
      </c>
      <c r="D5" s="79" t="s">
        <v>430</v>
      </c>
      <c r="E5" s="121">
        <v>46830</v>
      </c>
      <c r="F5" s="88">
        <v>45813</v>
      </c>
      <c r="G5" s="273">
        <f t="shared" ref="G5:G68" si="0">YEAR(F5)</f>
        <v>2025</v>
      </c>
      <c r="H5" s="88">
        <v>47330</v>
      </c>
      <c r="J5" s="325"/>
      <c r="K5" s="325"/>
      <c r="L5" s="325"/>
      <c r="M5" s="326" t="s">
        <v>29</v>
      </c>
      <c r="N5" s="326" t="s">
        <v>29</v>
      </c>
      <c r="O5" s="326" t="s">
        <v>29</v>
      </c>
      <c r="P5" s="326" t="s">
        <v>29</v>
      </c>
      <c r="Q5" s="326" t="s">
        <v>29</v>
      </c>
      <c r="R5" s="326" t="s">
        <v>29</v>
      </c>
      <c r="S5" s="327" t="s">
        <v>29</v>
      </c>
      <c r="T5" s="328" t="s">
        <v>29</v>
      </c>
      <c r="U5" s="326">
        <v>0</v>
      </c>
      <c r="W5" s="411" t="s">
        <v>1016</v>
      </c>
      <c r="X5" s="110">
        <v>517732.4</v>
      </c>
      <c r="Y5"/>
      <c r="Z5" s="311">
        <f t="shared" ref="Z5:Z68" si="1">(YEAR(H5)*4+INT((MONTH(H5)-1)/3))-(YEAR(F5)*4+INT((MONTH(F5)-1)/3))</f>
        <v>17</v>
      </c>
      <c r="AB5"/>
      <c r="AC5"/>
      <c r="AD5"/>
    </row>
    <row r="6" spans="1:66" ht="17.399999999999999">
      <c r="A6" s="118" t="s">
        <v>511</v>
      </c>
      <c r="B6" s="6" t="str">
        <f>A6&amp;IF(COUNTIF($A$4:A6,A6)&gt;1,"("&amp;COUNTIF($A$4:A6,A6)&amp;")","")</f>
        <v>San Miguel Global Power Holdings(SMCGP)</v>
      </c>
      <c r="C6" s="79" t="s">
        <v>425</v>
      </c>
      <c r="D6" s="79" t="s">
        <v>426</v>
      </c>
      <c r="E6" s="121">
        <v>517732.4</v>
      </c>
      <c r="F6" s="88">
        <v>45772</v>
      </c>
      <c r="G6" s="273">
        <f t="shared" si="0"/>
        <v>2025</v>
      </c>
      <c r="H6" s="88">
        <v>47026</v>
      </c>
      <c r="J6" s="328"/>
      <c r="K6" s="328"/>
      <c r="L6" s="328"/>
      <c r="M6" s="326" t="s">
        <v>29</v>
      </c>
      <c r="N6" s="326" t="s">
        <v>29</v>
      </c>
      <c r="O6" s="326" t="s">
        <v>29</v>
      </c>
      <c r="P6" s="326" t="s">
        <v>29</v>
      </c>
      <c r="Q6" s="326" t="s">
        <v>29</v>
      </c>
      <c r="R6" s="326" t="s">
        <v>29</v>
      </c>
      <c r="S6" s="328" t="s">
        <v>29</v>
      </c>
      <c r="T6" s="328" t="s">
        <v>29</v>
      </c>
      <c r="U6" s="326">
        <v>0</v>
      </c>
      <c r="W6" s="411" t="s">
        <v>457</v>
      </c>
      <c r="X6" s="110">
        <v>441577.85145100002</v>
      </c>
      <c r="Y6"/>
      <c r="Z6" s="311">
        <f t="shared" si="1"/>
        <v>13</v>
      </c>
      <c r="AB6"/>
      <c r="AC6"/>
      <c r="AD6"/>
    </row>
    <row r="7" spans="1:66" ht="17.399999999999999">
      <c r="A7" s="118" t="s">
        <v>510</v>
      </c>
      <c r="B7" s="6" t="str">
        <f>A7&amp;IF(COUNTIF($A$4:A7,A7)&gt;1,"("&amp;COUNTIF($A$4:A7,A7)&amp;")","")</f>
        <v>JV of PSP, PCI, PC</v>
      </c>
      <c r="C7" s="276" t="s">
        <v>54</v>
      </c>
      <c r="D7" s="79" t="s">
        <v>427</v>
      </c>
      <c r="E7" s="121">
        <v>163173.5</v>
      </c>
      <c r="F7" s="88">
        <v>45769</v>
      </c>
      <c r="G7" s="273">
        <f t="shared" si="0"/>
        <v>2025</v>
      </c>
      <c r="H7" s="88">
        <v>46436</v>
      </c>
      <c r="I7" s="120" t="s">
        <v>509</v>
      </c>
      <c r="J7" s="326"/>
      <c r="K7" s="326"/>
      <c r="L7" s="326"/>
      <c r="M7" s="326" t="s">
        <v>29</v>
      </c>
      <c r="N7" s="326" t="s">
        <v>29</v>
      </c>
      <c r="O7" s="326" t="s">
        <v>29</v>
      </c>
      <c r="P7" s="326" t="s">
        <v>29</v>
      </c>
      <c r="Q7" s="326" t="s">
        <v>29</v>
      </c>
      <c r="R7" s="326" t="s">
        <v>29</v>
      </c>
      <c r="S7" s="329" t="s">
        <v>29</v>
      </c>
      <c r="T7" s="326" t="s">
        <v>29</v>
      </c>
      <c r="U7" s="326">
        <v>0</v>
      </c>
      <c r="W7" s="411" t="s">
        <v>486</v>
      </c>
      <c r="X7" s="110">
        <v>406738.18407899997</v>
      </c>
      <c r="Y7"/>
      <c r="Z7" s="311">
        <f t="shared" si="1"/>
        <v>7</v>
      </c>
      <c r="AB7"/>
      <c r="AC7"/>
      <c r="AD7"/>
    </row>
    <row r="8" spans="1:66" ht="17.399999999999999">
      <c r="A8" s="118" t="s">
        <v>508</v>
      </c>
      <c r="B8" s="6" t="str">
        <f>A8&amp;IF(COUNTIF($A$4:A8,A8)&gt;1,"("&amp;COUNTIF($A$4:A8,A8)&amp;")","")</f>
        <v>FuJi Electric</v>
      </c>
      <c r="C8" s="276" t="s">
        <v>54</v>
      </c>
      <c r="D8" s="79" t="s">
        <v>428</v>
      </c>
      <c r="E8" s="274">
        <v>66187.838111999998</v>
      </c>
      <c r="F8" s="88">
        <v>45747</v>
      </c>
      <c r="G8" s="273">
        <f t="shared" si="0"/>
        <v>2025</v>
      </c>
      <c r="H8" s="88">
        <v>47618</v>
      </c>
      <c r="I8" s="120" t="s">
        <v>507</v>
      </c>
      <c r="J8" s="326"/>
      <c r="K8" s="326"/>
      <c r="L8" s="326"/>
      <c r="M8" s="326" t="s">
        <v>29</v>
      </c>
      <c r="N8" s="326" t="s">
        <v>29</v>
      </c>
      <c r="O8" s="326" t="s">
        <v>29</v>
      </c>
      <c r="P8" s="326" t="s">
        <v>29</v>
      </c>
      <c r="Q8" s="326" t="s">
        <v>29</v>
      </c>
      <c r="R8" s="326" t="s">
        <v>29</v>
      </c>
      <c r="S8" s="326" t="s">
        <v>29</v>
      </c>
      <c r="T8" s="326" t="s">
        <v>29</v>
      </c>
      <c r="U8" s="326">
        <v>0</v>
      </c>
      <c r="W8" s="411" t="s">
        <v>506</v>
      </c>
      <c r="X8" s="110">
        <v>292919.2916</v>
      </c>
      <c r="Y8"/>
      <c r="Z8" s="311">
        <f t="shared" si="1"/>
        <v>21</v>
      </c>
      <c r="AB8"/>
      <c r="AC8"/>
      <c r="AD8"/>
    </row>
    <row r="9" spans="1:66" ht="17.399999999999999">
      <c r="A9" s="118" t="s">
        <v>497</v>
      </c>
      <c r="B9" s="6" t="str">
        <f>A9&amp;IF(COUNTIF($A$4:A9,A9)&gt;1,"("&amp;COUNTIF($A$4:A9,A9)&amp;")","")</f>
        <v>한국수력원자력(2)</v>
      </c>
      <c r="C9" s="79" t="s">
        <v>56</v>
      </c>
      <c r="D9" s="79" t="s">
        <v>430</v>
      </c>
      <c r="E9" s="121">
        <v>58597.3</v>
      </c>
      <c r="F9" s="88">
        <v>45699</v>
      </c>
      <c r="G9" s="273">
        <f t="shared" si="0"/>
        <v>2025</v>
      </c>
      <c r="H9" s="88">
        <v>47299</v>
      </c>
      <c r="J9" s="326"/>
      <c r="K9" s="326"/>
      <c r="L9" s="326"/>
      <c r="M9" s="326" t="s">
        <v>29</v>
      </c>
      <c r="N9" s="326" t="s">
        <v>29</v>
      </c>
      <c r="O9" s="326" t="s">
        <v>29</v>
      </c>
      <c r="P9" s="326" t="s">
        <v>29</v>
      </c>
      <c r="Q9" s="326" t="s">
        <v>29</v>
      </c>
      <c r="R9" s="326" t="s">
        <v>29</v>
      </c>
      <c r="S9" s="326" t="s">
        <v>29</v>
      </c>
      <c r="T9" s="326" t="s">
        <v>29</v>
      </c>
      <c r="U9" s="326">
        <v>0</v>
      </c>
      <c r="W9" s="411" t="s">
        <v>471</v>
      </c>
      <c r="X9" s="110">
        <v>270367.16798800003</v>
      </c>
      <c r="Y9"/>
      <c r="Z9" s="311">
        <f t="shared" si="1"/>
        <v>17</v>
      </c>
      <c r="AB9"/>
      <c r="AC9"/>
      <c r="AD9"/>
    </row>
    <row r="10" spans="1:66" ht="17.399999999999999">
      <c r="A10" s="118" t="s">
        <v>497</v>
      </c>
      <c r="B10" s="6" t="str">
        <f>A10&amp;IF(COUNTIF($A$4:A10,A10)&gt;1,"("&amp;COUNTIF($A$4:A10,A10)&amp;")","")</f>
        <v>한국수력원자력(3)</v>
      </c>
      <c r="C10" s="79" t="s">
        <v>56</v>
      </c>
      <c r="D10" s="79" t="s">
        <v>430</v>
      </c>
      <c r="E10" s="121">
        <v>41540</v>
      </c>
      <c r="F10" s="88">
        <v>45699</v>
      </c>
      <c r="G10" s="273">
        <f t="shared" si="0"/>
        <v>2025</v>
      </c>
      <c r="H10" s="88">
        <v>47330</v>
      </c>
      <c r="J10" s="326"/>
      <c r="K10" s="326"/>
      <c r="L10" s="326"/>
      <c r="M10" s="326" t="s">
        <v>29</v>
      </c>
      <c r="N10" s="326" t="s">
        <v>29</v>
      </c>
      <c r="O10" s="326" t="s">
        <v>29</v>
      </c>
      <c r="P10" s="326" t="s">
        <v>29</v>
      </c>
      <c r="Q10" s="326" t="s">
        <v>29</v>
      </c>
      <c r="R10" s="326" t="s">
        <v>29</v>
      </c>
      <c r="S10" s="326" t="s">
        <v>29</v>
      </c>
      <c r="T10" s="326" t="s">
        <v>29</v>
      </c>
      <c r="U10" s="326">
        <v>0</v>
      </c>
      <c r="W10" s="411" t="s">
        <v>484</v>
      </c>
      <c r="X10" s="110">
        <v>255917.96364500001</v>
      </c>
      <c r="Y10"/>
      <c r="Z10" s="311">
        <f t="shared" si="1"/>
        <v>18</v>
      </c>
      <c r="AB10"/>
      <c r="AC10"/>
      <c r="AD10"/>
    </row>
    <row r="11" spans="1:66" ht="17.399999999999999">
      <c r="A11" s="118" t="s">
        <v>506</v>
      </c>
      <c r="B11" s="6" t="str">
        <f>A11&amp;IF(COUNTIF($A$4:A11,A11)&gt;1,"("&amp;COUNTIF($A$4:A11,A11)&amp;")","")</f>
        <v>하얼빈일렉트릭(HEI)</v>
      </c>
      <c r="C11" s="79" t="s">
        <v>54</v>
      </c>
      <c r="D11" s="79" t="s">
        <v>427</v>
      </c>
      <c r="E11" s="121">
        <v>148525.80976199999</v>
      </c>
      <c r="F11" s="275">
        <v>45689</v>
      </c>
      <c r="G11" s="273">
        <f t="shared" si="0"/>
        <v>2025</v>
      </c>
      <c r="H11" s="275">
        <v>46264</v>
      </c>
      <c r="I11" s="120" t="s">
        <v>505</v>
      </c>
      <c r="J11" s="326"/>
      <c r="K11" s="326"/>
      <c r="L11" s="326"/>
      <c r="M11" s="326" t="s">
        <v>29</v>
      </c>
      <c r="N11" s="326" t="s">
        <v>29</v>
      </c>
      <c r="O11" s="326" t="s">
        <v>29</v>
      </c>
      <c r="P11" s="326" t="s">
        <v>29</v>
      </c>
      <c r="Q11" s="326" t="s">
        <v>29</v>
      </c>
      <c r="R11" s="326" t="s">
        <v>29</v>
      </c>
      <c r="S11" s="326" t="s">
        <v>29</v>
      </c>
      <c r="T11" s="326" t="s">
        <v>29</v>
      </c>
      <c r="U11" s="326">
        <v>1E-3</v>
      </c>
      <c r="W11" s="411" t="s">
        <v>463</v>
      </c>
      <c r="X11" s="110">
        <v>228054.80886700001</v>
      </c>
      <c r="Y11"/>
      <c r="Z11" s="311">
        <f t="shared" si="1"/>
        <v>6</v>
      </c>
      <c r="AB11"/>
      <c r="AC11"/>
      <c r="AD11"/>
    </row>
    <row r="12" spans="1:66" ht="17.399999999999999">
      <c r="A12" s="118" t="s">
        <v>504</v>
      </c>
      <c r="B12" s="6" t="str">
        <f>A12&amp;IF(COUNTIF($A$4:A12,A12)&gt;1,"("&amp;COUNTIF($A$4:A12,A12)&amp;")","")</f>
        <v>하얼빈일렉트릭(HEI)(2)</v>
      </c>
      <c r="C12" s="79" t="s">
        <v>54</v>
      </c>
      <c r="D12" s="79" t="s">
        <v>427</v>
      </c>
      <c r="E12" s="274">
        <v>144393.48183800001</v>
      </c>
      <c r="F12" s="275">
        <v>45689</v>
      </c>
      <c r="G12" s="273">
        <f t="shared" si="0"/>
        <v>2025</v>
      </c>
      <c r="H12" s="275">
        <v>46264</v>
      </c>
      <c r="I12" s="120" t="s">
        <v>503</v>
      </c>
      <c r="J12" s="326"/>
      <c r="K12" s="326"/>
      <c r="L12" s="326"/>
      <c r="M12" s="326" t="s">
        <v>29</v>
      </c>
      <c r="N12" s="326" t="s">
        <v>29</v>
      </c>
      <c r="O12" s="326" t="s">
        <v>29</v>
      </c>
      <c r="P12" s="326" t="s">
        <v>29</v>
      </c>
      <c r="Q12" s="326" t="s">
        <v>29</v>
      </c>
      <c r="R12" s="326" t="s">
        <v>29</v>
      </c>
      <c r="S12" s="326" t="s">
        <v>29</v>
      </c>
      <c r="T12" s="326" t="s">
        <v>29</v>
      </c>
      <c r="U12" s="326">
        <v>1E-3</v>
      </c>
      <c r="W12" s="411" t="s">
        <v>574</v>
      </c>
      <c r="X12" s="110">
        <v>205564.59999999998</v>
      </c>
      <c r="Y12"/>
      <c r="Z12" s="311">
        <f t="shared" si="1"/>
        <v>6</v>
      </c>
      <c r="AB12"/>
      <c r="AC12"/>
      <c r="AD12"/>
    </row>
    <row r="13" spans="1:66" ht="17.399999999999999">
      <c r="A13" s="118" t="s">
        <v>502</v>
      </c>
      <c r="B13" s="6" t="str">
        <f>A13&amp;IF(COUNTIF($A$4:A13,A13)&gt;1,"("&amp;COUNTIF($A$4:A13,A13)&amp;")","")</f>
        <v>한국남동발전</v>
      </c>
      <c r="C13" s="79" t="s">
        <v>54</v>
      </c>
      <c r="D13" s="79" t="s">
        <v>430</v>
      </c>
      <c r="E13" s="121">
        <v>136900</v>
      </c>
      <c r="F13" s="88">
        <v>45618</v>
      </c>
      <c r="G13" s="273">
        <f t="shared" si="0"/>
        <v>2024</v>
      </c>
      <c r="H13" s="88">
        <v>46568</v>
      </c>
      <c r="J13" s="326"/>
      <c r="K13" s="326"/>
      <c r="L13" s="326"/>
      <c r="M13" s="326" t="s">
        <v>29</v>
      </c>
      <c r="N13" s="326" t="s">
        <v>29</v>
      </c>
      <c r="O13" s="326" t="s">
        <v>29</v>
      </c>
      <c r="P13" s="326" t="s">
        <v>29</v>
      </c>
      <c r="Q13" s="326" t="s">
        <v>29</v>
      </c>
      <c r="R13" s="326" t="s">
        <v>29</v>
      </c>
      <c r="S13" s="326" t="s">
        <v>29</v>
      </c>
      <c r="T13" s="326">
        <v>5.8999999999999997E-2</v>
      </c>
      <c r="U13" s="326">
        <v>6.7000000000000004E-2</v>
      </c>
      <c r="W13" s="411" t="s">
        <v>455</v>
      </c>
      <c r="X13" s="110">
        <v>190064.906544</v>
      </c>
      <c r="Y13"/>
      <c r="Z13" s="311">
        <f t="shared" si="1"/>
        <v>10</v>
      </c>
      <c r="AB13"/>
      <c r="AC13"/>
      <c r="AD13"/>
    </row>
    <row r="14" spans="1:66" ht="17.399999999999999">
      <c r="A14" s="118" t="s">
        <v>490</v>
      </c>
      <c r="B14" s="6" t="str">
        <f>A14&amp;IF(COUNTIF($A$4:A14,A14)&gt;1,"("&amp;COUNTIF($A$4:A14,A14)&amp;")","")</f>
        <v>두산에너빌리티</v>
      </c>
      <c r="C14" s="79" t="s">
        <v>54</v>
      </c>
      <c r="D14" s="79" t="s">
        <v>427</v>
      </c>
      <c r="E14" s="274">
        <v>127090.973539</v>
      </c>
      <c r="F14" s="88">
        <v>45608</v>
      </c>
      <c r="G14" s="273">
        <f t="shared" si="0"/>
        <v>2024</v>
      </c>
      <c r="H14" s="88" t="s">
        <v>1779</v>
      </c>
      <c r="I14" s="120" t="s">
        <v>501</v>
      </c>
      <c r="J14" s="326"/>
      <c r="K14" s="326"/>
      <c r="L14" s="326"/>
      <c r="M14" s="326" t="s">
        <v>29</v>
      </c>
      <c r="N14" s="326" t="s">
        <v>29</v>
      </c>
      <c r="O14" s="326" t="s">
        <v>29</v>
      </c>
      <c r="P14" s="326" t="s">
        <v>29</v>
      </c>
      <c r="Q14" s="326" t="s">
        <v>29</v>
      </c>
      <c r="R14" s="326" t="s">
        <v>29</v>
      </c>
      <c r="S14" s="326" t="s">
        <v>29</v>
      </c>
      <c r="T14" s="326">
        <v>0</v>
      </c>
      <c r="U14" s="326">
        <v>0.01</v>
      </c>
      <c r="W14" s="411" t="s">
        <v>1021</v>
      </c>
      <c r="X14" s="110">
        <v>180993.99600000001</v>
      </c>
      <c r="Y14"/>
      <c r="Z14" s="311" t="e">
        <f t="shared" si="1"/>
        <v>#VALUE!</v>
      </c>
      <c r="AB14"/>
      <c r="AC14"/>
      <c r="AD14"/>
    </row>
    <row r="15" spans="1:66" ht="17.399999999999999">
      <c r="A15" s="118" t="s">
        <v>500</v>
      </c>
      <c r="B15" s="6" t="str">
        <f>A15&amp;IF(COUNTIF($A$4:A15,A15)&gt;1,"("&amp;COUNTIF($A$4:A15,A15)&amp;")","")</f>
        <v>Alghanim International General Trading &amp; Construction</v>
      </c>
      <c r="C15" s="79" t="s">
        <v>54</v>
      </c>
      <c r="D15" s="79" t="s">
        <v>427</v>
      </c>
      <c r="E15" s="274">
        <v>51972.886413</v>
      </c>
      <c r="F15" s="275">
        <v>45590</v>
      </c>
      <c r="G15" s="273">
        <f t="shared" si="0"/>
        <v>2024</v>
      </c>
      <c r="H15" s="275">
        <v>46102</v>
      </c>
      <c r="I15" s="120" t="s">
        <v>499</v>
      </c>
      <c r="J15" s="326"/>
      <c r="K15" s="326"/>
      <c r="L15" s="326"/>
      <c r="M15" s="326" t="s">
        <v>29</v>
      </c>
      <c r="N15" s="326" t="s">
        <v>29</v>
      </c>
      <c r="O15" s="326" t="s">
        <v>29</v>
      </c>
      <c r="P15" s="326" t="s">
        <v>29</v>
      </c>
      <c r="Q15" s="326" t="s">
        <v>29</v>
      </c>
      <c r="R15" s="326" t="s">
        <v>29</v>
      </c>
      <c r="S15" s="326" t="s">
        <v>29</v>
      </c>
      <c r="T15" s="326">
        <v>0</v>
      </c>
      <c r="U15" s="326">
        <v>7.0000000000000001E-3</v>
      </c>
      <c r="W15" s="411" t="s">
        <v>510</v>
      </c>
      <c r="X15" s="110">
        <v>163173.5</v>
      </c>
      <c r="Y15"/>
      <c r="Z15" s="311">
        <f t="shared" si="1"/>
        <v>5</v>
      </c>
      <c r="AB15"/>
      <c r="AC15"/>
      <c r="AD15"/>
    </row>
    <row r="16" spans="1:66" ht="17.399999999999999">
      <c r="A16" s="118" t="s">
        <v>498</v>
      </c>
      <c r="B16" s="6" t="str">
        <f>A16&amp;IF(COUNTIF($A$4:A16,A16)&gt;1,"("&amp;COUNTIF($A$4:A16,A16)&amp;")","")</f>
        <v>포스코</v>
      </c>
      <c r="C16" s="79" t="s">
        <v>54</v>
      </c>
      <c r="D16" s="79" t="s">
        <v>430</v>
      </c>
      <c r="E16" s="121">
        <v>21900</v>
      </c>
      <c r="F16" s="88">
        <v>45589</v>
      </c>
      <c r="G16" s="273">
        <f t="shared" si="0"/>
        <v>2024</v>
      </c>
      <c r="H16" s="88">
        <v>46203</v>
      </c>
      <c r="J16" s="326"/>
      <c r="K16" s="326"/>
      <c r="L16" s="326"/>
      <c r="M16" s="326" t="s">
        <v>29</v>
      </c>
      <c r="N16" s="326" t="s">
        <v>29</v>
      </c>
      <c r="O16" s="326" t="s">
        <v>29</v>
      </c>
      <c r="P16" s="326" t="s">
        <v>29</v>
      </c>
      <c r="Q16" s="326" t="s">
        <v>29</v>
      </c>
      <c r="R16" s="326" t="s">
        <v>29</v>
      </c>
      <c r="S16" s="326" t="s">
        <v>29</v>
      </c>
      <c r="T16" s="326">
        <v>0</v>
      </c>
      <c r="U16" s="326">
        <v>0.02</v>
      </c>
      <c r="W16" s="411" t="s">
        <v>547</v>
      </c>
      <c r="X16" s="110">
        <v>136900</v>
      </c>
      <c r="Y16"/>
      <c r="Z16" s="311">
        <f t="shared" si="1"/>
        <v>6</v>
      </c>
      <c r="AB16"/>
      <c r="AC16"/>
      <c r="AD16"/>
    </row>
    <row r="17" spans="1:30" ht="17.399999999999999">
      <c r="A17" s="118" t="s">
        <v>497</v>
      </c>
      <c r="B17" s="6" t="str">
        <f>A17&amp;IF(COUNTIF($A$4:A17,A17)&gt;1,"("&amp;COUNTIF($A$4:A17,A17)&amp;")","")</f>
        <v>한국수력원자력(4)</v>
      </c>
      <c r="C17" s="79" t="s">
        <v>56</v>
      </c>
      <c r="D17" s="79" t="s">
        <v>430</v>
      </c>
      <c r="E17" s="121">
        <v>58597.3</v>
      </c>
      <c r="F17" s="88">
        <v>45526</v>
      </c>
      <c r="G17" s="273">
        <f t="shared" si="0"/>
        <v>2024</v>
      </c>
      <c r="H17" s="88">
        <v>45796</v>
      </c>
      <c r="J17" s="326"/>
      <c r="K17" s="326"/>
      <c r="L17" s="326"/>
      <c r="M17" s="326" t="s">
        <v>29</v>
      </c>
      <c r="N17" s="326" t="s">
        <v>29</v>
      </c>
      <c r="O17" s="326" t="s">
        <v>29</v>
      </c>
      <c r="P17" s="326" t="s">
        <v>29</v>
      </c>
      <c r="Q17" s="326" t="s">
        <v>29</v>
      </c>
      <c r="R17" s="326" t="s">
        <v>29</v>
      </c>
      <c r="S17" s="326" t="s">
        <v>29</v>
      </c>
      <c r="T17" s="326">
        <v>1E-3</v>
      </c>
      <c r="U17" s="326">
        <v>5.2999999999999999E-2</v>
      </c>
      <c r="W17" s="411" t="s">
        <v>460</v>
      </c>
      <c r="X17" s="110">
        <v>113969.995</v>
      </c>
      <c r="Y17"/>
      <c r="Z17" s="311">
        <f t="shared" si="1"/>
        <v>3</v>
      </c>
      <c r="AB17"/>
      <c r="AC17"/>
      <c r="AD17"/>
    </row>
    <row r="18" spans="1:30" ht="17.399999999999999">
      <c r="A18" s="118" t="s">
        <v>496</v>
      </c>
      <c r="B18" s="6" t="str">
        <f>A18&amp;IF(COUNTIF($A$4:A18,A18)&gt;1,"("&amp;COUNTIF($A$4:A18,A18)&amp;")","")</f>
        <v>한국지역난방 수원지사</v>
      </c>
      <c r="C18" s="79" t="s">
        <v>424</v>
      </c>
      <c r="D18" s="79" t="s">
        <v>430</v>
      </c>
      <c r="E18" s="274">
        <v>180993.99600000001</v>
      </c>
      <c r="F18" s="88">
        <v>45525</v>
      </c>
      <c r="G18" s="273">
        <f t="shared" si="0"/>
        <v>2024</v>
      </c>
      <c r="H18" s="88">
        <v>47088</v>
      </c>
      <c r="J18" s="326"/>
      <c r="K18" s="326"/>
      <c r="L18" s="326"/>
      <c r="M18" s="326" t="s">
        <v>29</v>
      </c>
      <c r="N18" s="326" t="s">
        <v>29</v>
      </c>
      <c r="O18" s="326" t="s">
        <v>29</v>
      </c>
      <c r="P18" s="326" t="s">
        <v>29</v>
      </c>
      <c r="Q18" s="326" t="s">
        <v>29</v>
      </c>
      <c r="R18" s="326" t="s">
        <v>29</v>
      </c>
      <c r="S18" s="326" t="s">
        <v>29</v>
      </c>
      <c r="T18" s="326">
        <v>0</v>
      </c>
      <c r="U18" s="326" t="s">
        <v>495</v>
      </c>
      <c r="W18" s="411" t="s">
        <v>470</v>
      </c>
      <c r="X18" s="110">
        <v>93962.996539</v>
      </c>
      <c r="Y18"/>
      <c r="Z18" s="311">
        <f t="shared" si="1"/>
        <v>17</v>
      </c>
      <c r="AB18"/>
      <c r="AC18"/>
      <c r="AD18"/>
    </row>
    <row r="19" spans="1:30" ht="17.399999999999999">
      <c r="A19" s="118" t="s">
        <v>494</v>
      </c>
      <c r="B19" s="6" t="str">
        <f>A19&amp;IF(COUNTIF($A$4:A19,A19)&gt;1,"("&amp;COUNTIF($A$4:A19,A19)&amp;")","")</f>
        <v xml:space="preserve">삼성C&amp;T </v>
      </c>
      <c r="C19" s="276" t="s">
        <v>54</v>
      </c>
      <c r="D19" s="276" t="s">
        <v>427</v>
      </c>
      <c r="E19" s="274">
        <v>25123.609799999998</v>
      </c>
      <c r="F19" s="275">
        <v>45511</v>
      </c>
      <c r="G19" s="273">
        <f t="shared" si="0"/>
        <v>2024</v>
      </c>
      <c r="H19" s="275">
        <v>45978</v>
      </c>
      <c r="J19" s="330"/>
      <c r="K19" s="330"/>
      <c r="L19" s="330"/>
      <c r="M19" s="326" t="s">
        <v>29</v>
      </c>
      <c r="N19" s="326" t="s">
        <v>29</v>
      </c>
      <c r="O19" s="326" t="s">
        <v>29</v>
      </c>
      <c r="P19" s="326" t="s">
        <v>29</v>
      </c>
      <c r="Q19" s="326" t="s">
        <v>29</v>
      </c>
      <c r="R19" s="330" t="s">
        <v>29</v>
      </c>
      <c r="S19" s="330" t="s">
        <v>29</v>
      </c>
      <c r="T19" s="330" t="s">
        <v>29</v>
      </c>
      <c r="U19" s="330" t="s">
        <v>29</v>
      </c>
      <c r="W19" s="411" t="s">
        <v>468</v>
      </c>
      <c r="X19" s="110">
        <v>91392.262373000005</v>
      </c>
      <c r="Y19"/>
      <c r="Z19" s="311">
        <f t="shared" si="1"/>
        <v>5</v>
      </c>
      <c r="AB19"/>
      <c r="AC19"/>
      <c r="AD19"/>
    </row>
    <row r="20" spans="1:30" ht="17.399999999999999">
      <c r="A20" s="118" t="s">
        <v>493</v>
      </c>
      <c r="B20" s="6" t="str">
        <f>A20&amp;IF(COUNTIF($A$4:A20,A20)&gt;1,"("&amp;COUNTIF($A$4:A20,A20)&amp;")","")</f>
        <v>Toshiba-TPSC</v>
      </c>
      <c r="C20" s="79" t="s">
        <v>54</v>
      </c>
      <c r="D20" s="79" t="s">
        <v>428</v>
      </c>
      <c r="E20" s="274">
        <v>270519.44924599997</v>
      </c>
      <c r="F20" s="88">
        <v>45503</v>
      </c>
      <c r="G20" s="273">
        <f t="shared" si="0"/>
        <v>2024</v>
      </c>
      <c r="H20" s="88">
        <v>47812</v>
      </c>
      <c r="I20" s="120" t="s">
        <v>491</v>
      </c>
      <c r="J20" s="326"/>
      <c r="K20" s="326"/>
      <c r="L20" s="326"/>
      <c r="M20" s="326" t="s">
        <v>29</v>
      </c>
      <c r="N20" s="326" t="s">
        <v>29</v>
      </c>
      <c r="O20" s="326" t="s">
        <v>29</v>
      </c>
      <c r="P20" s="326" t="s">
        <v>29</v>
      </c>
      <c r="Q20" s="326" t="s">
        <v>29</v>
      </c>
      <c r="R20" s="326" t="s">
        <v>29</v>
      </c>
      <c r="S20" s="326">
        <v>0</v>
      </c>
      <c r="T20" s="326">
        <v>1E-3</v>
      </c>
      <c r="U20" s="326">
        <v>8.0000000000000002E-3</v>
      </c>
      <c r="W20" s="411" t="s">
        <v>465</v>
      </c>
      <c r="X20" s="110">
        <v>76431.825129000004</v>
      </c>
      <c r="Y20"/>
      <c r="Z20" s="311">
        <f t="shared" si="1"/>
        <v>25</v>
      </c>
      <c r="AB20"/>
      <c r="AC20"/>
      <c r="AD20"/>
    </row>
    <row r="21" spans="1:30" ht="17.399999999999999">
      <c r="A21" s="118" t="s">
        <v>492</v>
      </c>
      <c r="B21" s="6" t="str">
        <f>A21&amp;IF(COUNTIF($A$4:A21,A21)&gt;1,"("&amp;COUNTIF($A$4:A21,A21)&amp;")","")</f>
        <v>삼성물산(2)</v>
      </c>
      <c r="C21" s="79" t="s">
        <v>54</v>
      </c>
      <c r="D21" s="79" t="s">
        <v>430</v>
      </c>
      <c r="E21" s="121">
        <v>24766.214240000001</v>
      </c>
      <c r="F21" s="88">
        <v>45460</v>
      </c>
      <c r="G21" s="273">
        <f t="shared" si="0"/>
        <v>2024</v>
      </c>
      <c r="H21" s="88">
        <v>45991</v>
      </c>
      <c r="J21" s="326"/>
      <c r="K21" s="326"/>
      <c r="L21" s="326"/>
      <c r="M21" s="326" t="s">
        <v>29</v>
      </c>
      <c r="N21" s="326" t="s">
        <v>29</v>
      </c>
      <c r="O21" s="326" t="s">
        <v>29</v>
      </c>
      <c r="P21" s="326" t="s">
        <v>29</v>
      </c>
      <c r="Q21" s="326" t="s">
        <v>29</v>
      </c>
      <c r="R21" s="326" t="s">
        <v>29</v>
      </c>
      <c r="S21" s="326">
        <v>7.0000000000000001E-3</v>
      </c>
      <c r="T21" s="326">
        <v>9.6000000000000002E-2</v>
      </c>
      <c r="U21" s="326">
        <v>0.45400000000000001</v>
      </c>
      <c r="W21" s="411" t="s">
        <v>1020</v>
      </c>
      <c r="X21" s="110">
        <v>75692.754235999993</v>
      </c>
      <c r="Y21"/>
      <c r="Z21" s="311">
        <f t="shared" si="1"/>
        <v>6</v>
      </c>
      <c r="AB21"/>
      <c r="AC21"/>
      <c r="AD21"/>
    </row>
    <row r="22" spans="1:30" ht="17.399999999999999">
      <c r="A22" s="118" t="s">
        <v>486</v>
      </c>
      <c r="B22" s="6" t="str">
        <f>A22&amp;IF(COUNTIF($A$4:A22,A22)&gt;1,"("&amp;COUNTIF($A$4:A22,A22)&amp;")","")</f>
        <v>Toshiba-TPSC(2)</v>
      </c>
      <c r="C22" s="79" t="s">
        <v>54</v>
      </c>
      <c r="D22" s="79" t="s">
        <v>428</v>
      </c>
      <c r="E22" s="274">
        <v>119377.084388</v>
      </c>
      <c r="F22" s="88">
        <v>45436</v>
      </c>
      <c r="G22" s="273">
        <f t="shared" si="0"/>
        <v>2024</v>
      </c>
      <c r="H22" s="88">
        <v>47526</v>
      </c>
      <c r="I22" s="120" t="s">
        <v>491</v>
      </c>
      <c r="J22" s="326"/>
      <c r="K22" s="326"/>
      <c r="L22" s="326"/>
      <c r="M22" s="326" t="s">
        <v>29</v>
      </c>
      <c r="N22" s="326" t="s">
        <v>29</v>
      </c>
      <c r="O22" s="326" t="s">
        <v>29</v>
      </c>
      <c r="P22" s="326" t="s">
        <v>29</v>
      </c>
      <c r="Q22" s="326" t="s">
        <v>29</v>
      </c>
      <c r="R22" s="326" t="s">
        <v>29</v>
      </c>
      <c r="S22" s="326">
        <v>0</v>
      </c>
      <c r="T22" s="326">
        <v>4.0000000000000001E-3</v>
      </c>
      <c r="U22" s="326">
        <v>1.4999999999999999E-2</v>
      </c>
      <c r="W22" s="411" t="s">
        <v>456</v>
      </c>
      <c r="X22" s="110">
        <v>66208.149097999994</v>
      </c>
      <c r="Z22" s="311">
        <f t="shared" si="1"/>
        <v>23</v>
      </c>
    </row>
    <row r="23" spans="1:30" ht="17.399999999999999">
      <c r="A23" s="118" t="s">
        <v>490</v>
      </c>
      <c r="B23" s="6" t="str">
        <f>A23&amp;IF(COUNTIF($A$4:A23,A23)&gt;1,"("&amp;COUNTIF($A$4:A23,A23)&amp;")","")</f>
        <v>두산에너빌리티(2)</v>
      </c>
      <c r="C23" s="79" t="s">
        <v>54</v>
      </c>
      <c r="D23" s="79" t="s">
        <v>430</v>
      </c>
      <c r="E23" s="121">
        <v>41200</v>
      </c>
      <c r="F23" s="88">
        <v>45384</v>
      </c>
      <c r="G23" s="273">
        <f t="shared" si="0"/>
        <v>2024</v>
      </c>
      <c r="H23" s="88">
        <v>46387</v>
      </c>
      <c r="J23" s="326"/>
      <c r="K23" s="326"/>
      <c r="L23" s="326"/>
      <c r="M23" s="326" t="s">
        <v>29</v>
      </c>
      <c r="N23" s="326" t="s">
        <v>29</v>
      </c>
      <c r="O23" s="326" t="s">
        <v>29</v>
      </c>
      <c r="P23" s="326" t="s">
        <v>29</v>
      </c>
      <c r="Q23" s="326" t="s">
        <v>29</v>
      </c>
      <c r="R23" s="326" t="s">
        <v>29</v>
      </c>
      <c r="S23" s="326">
        <v>0.16</v>
      </c>
      <c r="T23" s="326">
        <v>0.49399999999999999</v>
      </c>
      <c r="U23" s="326">
        <v>0.67300000000000004</v>
      </c>
      <c r="W23" s="411" t="s">
        <v>1015</v>
      </c>
      <c r="X23" s="110">
        <v>66187.838111999998</v>
      </c>
      <c r="Z23" s="311">
        <f t="shared" si="1"/>
        <v>10</v>
      </c>
    </row>
    <row r="24" spans="1:30" ht="17.399999999999999">
      <c r="A24" s="118" t="s">
        <v>489</v>
      </c>
      <c r="B24" s="6" t="str">
        <f>A24&amp;IF(COUNTIF($A$4:A24,A24)&gt;1,"("&amp;COUNTIF($A$4:A24,A24)&amp;")","")</f>
        <v>한화에너지</v>
      </c>
      <c r="C24" s="79" t="s">
        <v>55</v>
      </c>
      <c r="D24" s="79" t="s">
        <v>430</v>
      </c>
      <c r="E24" s="121">
        <v>32941</v>
      </c>
      <c r="F24" s="88">
        <v>45376</v>
      </c>
      <c r="G24" s="273">
        <f t="shared" si="0"/>
        <v>2024</v>
      </c>
      <c r="H24" s="88">
        <v>45930</v>
      </c>
      <c r="J24" s="326"/>
      <c r="K24" s="326"/>
      <c r="L24" s="326"/>
      <c r="M24" s="326" t="s">
        <v>29</v>
      </c>
      <c r="N24" s="326" t="s">
        <v>29</v>
      </c>
      <c r="O24" s="326" t="s">
        <v>29</v>
      </c>
      <c r="P24" s="326" t="s">
        <v>29</v>
      </c>
      <c r="Q24" s="326" t="s">
        <v>29</v>
      </c>
      <c r="R24" s="326">
        <v>5.5E-2</v>
      </c>
      <c r="S24" s="326">
        <v>0.189</v>
      </c>
      <c r="T24" s="326">
        <v>0.40200000000000002</v>
      </c>
      <c r="U24" s="326">
        <v>0.64800000000000002</v>
      </c>
      <c r="W24" s="411" t="s">
        <v>476</v>
      </c>
      <c r="X24" s="110">
        <v>60905.091458000003</v>
      </c>
      <c r="Z24" s="311">
        <f t="shared" si="1"/>
        <v>6</v>
      </c>
    </row>
    <row r="25" spans="1:30" ht="17.399999999999999">
      <c r="A25" s="118" t="s">
        <v>455</v>
      </c>
      <c r="B25" s="6" t="str">
        <f>A25&amp;IF(COUNTIF($A$4:A25,A25)&gt;1,"("&amp;COUNTIF($A$4:A25,A25)&amp;")","")</f>
        <v>대우건설</v>
      </c>
      <c r="C25" s="79" t="s">
        <v>53</v>
      </c>
      <c r="D25" s="79" t="s">
        <v>430</v>
      </c>
      <c r="E25" s="121">
        <v>47500</v>
      </c>
      <c r="F25" s="88">
        <v>45355</v>
      </c>
      <c r="G25" s="273">
        <f t="shared" si="0"/>
        <v>2024</v>
      </c>
      <c r="H25" s="88">
        <v>46296</v>
      </c>
      <c r="J25" s="326"/>
      <c r="K25" s="326"/>
      <c r="L25" s="326"/>
      <c r="M25" s="326" t="s">
        <v>29</v>
      </c>
      <c r="N25" s="326" t="s">
        <v>29</v>
      </c>
      <c r="O25" s="326" t="s">
        <v>29</v>
      </c>
      <c r="P25" s="326" t="s">
        <v>29</v>
      </c>
      <c r="Q25" s="326">
        <v>2.3E-2</v>
      </c>
      <c r="R25" s="326">
        <v>2.5999999999999999E-2</v>
      </c>
      <c r="S25" s="326">
        <v>3.5999999999999997E-2</v>
      </c>
      <c r="T25" s="326">
        <v>0.29099999999999998</v>
      </c>
      <c r="U25" s="326">
        <v>0.67300000000000004</v>
      </c>
      <c r="W25" s="411" t="s">
        <v>467</v>
      </c>
      <c r="X25" s="110">
        <v>57152.290687000001</v>
      </c>
      <c r="Z25" s="311">
        <f t="shared" si="1"/>
        <v>11</v>
      </c>
    </row>
    <row r="26" spans="1:30" ht="17.399999999999999">
      <c r="A26" s="277" t="s">
        <v>463</v>
      </c>
      <c r="B26" s="62" t="str">
        <f>A26&amp;IF(COUNTIF($A$4:A26,A26)&gt;1,"("&amp;COUNTIF($A$4:A26,A26)&amp;")","")</f>
        <v>SEPCO3</v>
      </c>
      <c r="C26" s="129" t="s">
        <v>53</v>
      </c>
      <c r="D26" s="129" t="s">
        <v>427</v>
      </c>
      <c r="E26" s="130">
        <v>106211.19070200001</v>
      </c>
      <c r="F26" s="128">
        <v>45352</v>
      </c>
      <c r="G26" s="273">
        <f t="shared" si="0"/>
        <v>2024</v>
      </c>
      <c r="H26" s="128">
        <v>45920</v>
      </c>
      <c r="I26" s="127" t="s">
        <v>488</v>
      </c>
      <c r="J26" s="331"/>
      <c r="K26" s="331"/>
      <c r="L26" s="331"/>
      <c r="M26" s="331" t="s">
        <v>29</v>
      </c>
      <c r="N26" s="331" t="s">
        <v>29</v>
      </c>
      <c r="O26" s="331" t="s">
        <v>29</v>
      </c>
      <c r="P26" s="331" t="s">
        <v>29</v>
      </c>
      <c r="Q26" s="331">
        <v>1.4E-2</v>
      </c>
      <c r="R26" s="331">
        <v>4.2000000000000003E-2</v>
      </c>
      <c r="S26" s="331">
        <v>0.26800000000000002</v>
      </c>
      <c r="T26" s="331">
        <v>0.496</v>
      </c>
      <c r="U26" s="331">
        <v>0.44500000000000001</v>
      </c>
      <c r="W26" s="411" t="s">
        <v>482</v>
      </c>
      <c r="X26" s="110">
        <v>51320</v>
      </c>
      <c r="Z26" s="311">
        <f t="shared" si="1"/>
        <v>6</v>
      </c>
    </row>
    <row r="27" spans="1:30" ht="17.399999999999999">
      <c r="A27" s="277" t="s">
        <v>463</v>
      </c>
      <c r="B27" s="62" t="str">
        <f>A27&amp;IF(COUNTIF($A$4:A27,A27)&gt;1,"("&amp;COUNTIF($A$4:A27,A27)&amp;")","")</f>
        <v>SEPCO3(2)</v>
      </c>
      <c r="C27" s="129" t="s">
        <v>53</v>
      </c>
      <c r="D27" s="129" t="s">
        <v>427</v>
      </c>
      <c r="E27" s="130">
        <v>99077.869154</v>
      </c>
      <c r="F27" s="128">
        <v>45352</v>
      </c>
      <c r="G27" s="273">
        <f t="shared" si="0"/>
        <v>2024</v>
      </c>
      <c r="H27" s="128">
        <v>45920</v>
      </c>
      <c r="I27" s="127" t="s">
        <v>487</v>
      </c>
      <c r="J27" s="331"/>
      <c r="K27" s="331"/>
      <c r="L27" s="331"/>
      <c r="M27" s="331" t="s">
        <v>29</v>
      </c>
      <c r="N27" s="331" t="s">
        <v>29</v>
      </c>
      <c r="O27" s="331" t="s">
        <v>29</v>
      </c>
      <c r="P27" s="331" t="s">
        <v>29</v>
      </c>
      <c r="Q27" s="331">
        <v>1.4E-2</v>
      </c>
      <c r="R27" s="331">
        <v>3.7999999999999999E-2</v>
      </c>
      <c r="S27" s="331">
        <v>0.19800000000000001</v>
      </c>
      <c r="T27" s="331">
        <v>0.44</v>
      </c>
      <c r="U27" s="331">
        <v>0.64800000000000002</v>
      </c>
      <c r="W27" s="411" t="s">
        <v>466</v>
      </c>
      <c r="X27" s="110">
        <v>50863.127189999999</v>
      </c>
      <c r="Z27" s="311">
        <f t="shared" si="1"/>
        <v>6</v>
      </c>
    </row>
    <row r="28" spans="1:30" ht="17.399999999999999">
      <c r="A28" s="118" t="s">
        <v>486</v>
      </c>
      <c r="B28" s="6" t="str">
        <f>A28&amp;IF(COUNTIF($A$4:A28,A28)&gt;1,"("&amp;COUNTIF($A$4:A28,A28)&amp;")","")</f>
        <v>Toshiba-TPSC(3)</v>
      </c>
      <c r="C28" s="79" t="s">
        <v>53</v>
      </c>
      <c r="D28" s="79" t="s">
        <v>428</v>
      </c>
      <c r="E28" s="274">
        <v>16841.650444999999</v>
      </c>
      <c r="F28" s="88">
        <v>45244</v>
      </c>
      <c r="G28" s="273">
        <f t="shared" si="0"/>
        <v>2023</v>
      </c>
      <c r="H28" s="88">
        <v>46387</v>
      </c>
      <c r="J28" s="326"/>
      <c r="K28" s="326"/>
      <c r="L28" s="326"/>
      <c r="M28" s="326" t="s">
        <v>29</v>
      </c>
      <c r="N28" s="326" t="s">
        <v>29</v>
      </c>
      <c r="O28" s="326" t="s">
        <v>29</v>
      </c>
      <c r="P28" s="326">
        <v>5.0000000000000001E-3</v>
      </c>
      <c r="Q28" s="326" t="s">
        <v>29</v>
      </c>
      <c r="R28" s="326" t="s">
        <v>29</v>
      </c>
      <c r="S28" s="326" t="s">
        <v>29</v>
      </c>
      <c r="T28" s="326">
        <v>0.13900000000000001</v>
      </c>
      <c r="U28" s="326">
        <v>0.67200000000000004</v>
      </c>
      <c r="W28" s="411" t="s">
        <v>472</v>
      </c>
      <c r="X28" s="110">
        <v>45092.158260999997</v>
      </c>
      <c r="Z28" s="311">
        <f t="shared" si="1"/>
        <v>12</v>
      </c>
    </row>
    <row r="29" spans="1:30" ht="17.399999999999999">
      <c r="A29" s="118" t="s">
        <v>471</v>
      </c>
      <c r="B29" s="6" t="str">
        <f>A29&amp;IF(COUNTIF($A$4:A29,A29)&gt;1,"("&amp;COUNTIF($A$4:A29,A29)&amp;")","")</f>
        <v>두산에너빌리티(3)</v>
      </c>
      <c r="C29" s="79" t="s">
        <v>53</v>
      </c>
      <c r="D29" s="79" t="s">
        <v>430</v>
      </c>
      <c r="E29" s="121">
        <v>44850</v>
      </c>
      <c r="F29" s="88">
        <v>45203</v>
      </c>
      <c r="G29" s="273">
        <f t="shared" si="0"/>
        <v>2023</v>
      </c>
      <c r="H29" s="88">
        <v>46203</v>
      </c>
      <c r="J29" s="326"/>
      <c r="K29" s="326"/>
      <c r="L29" s="326"/>
      <c r="M29" s="326" t="s">
        <v>29</v>
      </c>
      <c r="N29" s="326" t="s">
        <v>29</v>
      </c>
      <c r="O29" s="326">
        <v>2.5999999999999999E-2</v>
      </c>
      <c r="P29" s="326">
        <v>0.14399999999999999</v>
      </c>
      <c r="Q29" s="326">
        <v>0.36299999999999999</v>
      </c>
      <c r="R29" s="326">
        <v>0.55200000000000005</v>
      </c>
      <c r="S29" s="326">
        <v>0.72299999999999998</v>
      </c>
      <c r="T29" s="326">
        <v>0.83</v>
      </c>
      <c r="U29" s="326">
        <v>0.73699999999999999</v>
      </c>
      <c r="W29" s="411" t="s">
        <v>1017</v>
      </c>
      <c r="X29" s="110">
        <v>42650</v>
      </c>
      <c r="Z29" s="311">
        <f t="shared" si="1"/>
        <v>10</v>
      </c>
    </row>
    <row r="30" spans="1:30" ht="17.399999999999999">
      <c r="A30" s="277" t="s">
        <v>485</v>
      </c>
      <c r="B30" s="62" t="str">
        <f>A30&amp;IF(COUNTIF($A$4:A30,A30)&gt;1,"("&amp;COUNTIF($A$4:A30,A30)&amp;")","")</f>
        <v>씨지앤대산전력</v>
      </c>
      <c r="C30" s="129" t="s">
        <v>53</v>
      </c>
      <c r="D30" s="129" t="s">
        <v>430</v>
      </c>
      <c r="E30" s="130">
        <v>42650</v>
      </c>
      <c r="F30" s="128">
        <v>45065</v>
      </c>
      <c r="G30" s="273">
        <f t="shared" si="0"/>
        <v>2023</v>
      </c>
      <c r="H30" s="128">
        <v>45065</v>
      </c>
      <c r="I30" s="127"/>
      <c r="J30" s="331"/>
      <c r="K30" s="331"/>
      <c r="L30" s="331"/>
      <c r="M30" s="331" t="s">
        <v>29</v>
      </c>
      <c r="N30" s="331" t="s">
        <v>29</v>
      </c>
      <c r="O30" s="331">
        <v>2E-3</v>
      </c>
      <c r="P30" s="331">
        <v>2.4E-2</v>
      </c>
      <c r="Q30" s="331">
        <v>0.28999999999999998</v>
      </c>
      <c r="R30" s="331">
        <v>0.55000000000000004</v>
      </c>
      <c r="S30" s="331">
        <v>0.74299999999999999</v>
      </c>
      <c r="T30" s="331">
        <v>0.91800000000000004</v>
      </c>
      <c r="U30" s="331">
        <v>0.94599999999999995</v>
      </c>
      <c r="W30" s="411" t="s">
        <v>1014</v>
      </c>
      <c r="X30" s="110">
        <v>36451.800000000003</v>
      </c>
      <c r="Z30" s="899">
        <f>(YEAR(H30)*4+INT((MONTH(H30)-1)/3))-(YEAR(F30)*4+INT((MONTH(F30)-1)/3))</f>
        <v>0</v>
      </c>
    </row>
    <row r="31" spans="1:30" ht="17.399999999999999">
      <c r="A31" s="118" t="s">
        <v>484</v>
      </c>
      <c r="B31" s="6" t="str">
        <f>A31&amp;IF(COUNTIF($A$4:A31,A31)&gt;1,"("&amp;COUNTIF($A$4:A31,A31)&amp;")","")</f>
        <v>FORMOSA HEAVY INDUSTRIES CORP.</v>
      </c>
      <c r="C31" s="79" t="s">
        <v>459</v>
      </c>
      <c r="D31" s="79" t="s">
        <v>429</v>
      </c>
      <c r="E31" s="274">
        <v>255917.96364500001</v>
      </c>
      <c r="F31" s="88">
        <v>45001</v>
      </c>
      <c r="G31" s="273">
        <f t="shared" si="0"/>
        <v>2023</v>
      </c>
      <c r="H31" s="88"/>
      <c r="I31" s="120" t="s">
        <v>483</v>
      </c>
      <c r="J31" s="326"/>
      <c r="K31" s="326" t="s">
        <v>29</v>
      </c>
      <c r="L31" s="326" t="s">
        <v>29</v>
      </c>
      <c r="M31" s="326">
        <v>0</v>
      </c>
      <c r="N31" s="326">
        <v>0.03</v>
      </c>
      <c r="O31" s="326">
        <v>3.1E-2</v>
      </c>
      <c r="P31" s="326">
        <v>4.9000000000000002E-2</v>
      </c>
      <c r="Q31" s="326">
        <v>6.9000000000000006E-2</v>
      </c>
      <c r="R31" s="326">
        <v>0.153</v>
      </c>
      <c r="S31" s="326">
        <v>0.153</v>
      </c>
      <c r="T31" s="326">
        <v>0.153</v>
      </c>
      <c r="U31" s="326">
        <v>0.153</v>
      </c>
      <c r="W31" s="411" t="s">
        <v>462</v>
      </c>
      <c r="X31" s="110">
        <v>35444.492044999999</v>
      </c>
      <c r="Z31" s="311">
        <f t="shared" si="1"/>
        <v>-492</v>
      </c>
    </row>
    <row r="32" spans="1:30" ht="17.399999999999999">
      <c r="A32" s="118" t="s">
        <v>455</v>
      </c>
      <c r="B32" s="6" t="str">
        <f>A32&amp;IF(COUNTIF($A$4:A32,A32)&gt;1,"("&amp;COUNTIF($A$4:A32,A32)&amp;")","")</f>
        <v>대우건설(2)</v>
      </c>
      <c r="C32" s="79" t="s">
        <v>53</v>
      </c>
      <c r="D32" s="79" t="s">
        <v>430</v>
      </c>
      <c r="E32" s="121">
        <v>90192</v>
      </c>
      <c r="F32" s="88">
        <v>44831</v>
      </c>
      <c r="G32" s="273">
        <f t="shared" si="0"/>
        <v>2022</v>
      </c>
      <c r="H32" s="88">
        <v>46777</v>
      </c>
      <c r="J32" s="326"/>
      <c r="K32" s="326" t="s">
        <v>29</v>
      </c>
      <c r="L32" s="326">
        <v>1E-3</v>
      </c>
      <c r="M32" s="326">
        <v>2.3E-2</v>
      </c>
      <c r="N32" s="326">
        <v>7.5999999999999998E-2</v>
      </c>
      <c r="O32" s="326">
        <v>0.126</v>
      </c>
      <c r="P32" s="326">
        <v>0.152</v>
      </c>
      <c r="Q32" s="326">
        <v>0.23</v>
      </c>
      <c r="R32" s="326">
        <v>0.28199999999999997</v>
      </c>
      <c r="S32" s="326">
        <v>0.36199999999999999</v>
      </c>
      <c r="T32" s="326">
        <v>0.42699999999999999</v>
      </c>
      <c r="U32" s="326">
        <v>0.501</v>
      </c>
      <c r="W32" s="411" t="s">
        <v>477</v>
      </c>
      <c r="X32" s="110">
        <v>34495.685631</v>
      </c>
      <c r="Z32" s="311">
        <f t="shared" si="1"/>
        <v>22</v>
      </c>
    </row>
    <row r="33" spans="1:44" ht="17.399999999999999">
      <c r="A33" s="118" t="s">
        <v>482</v>
      </c>
      <c r="B33" s="6" t="str">
        <f>A33&amp;IF(COUNTIF($A$4:A33,A33)&gt;1,"("&amp;COUNTIF($A$4:A33,A33)&amp;")","")</f>
        <v>MC-HDEC-CC1 Consortium</v>
      </c>
      <c r="C33" s="276" t="s">
        <v>459</v>
      </c>
      <c r="D33" s="276" t="s">
        <v>426</v>
      </c>
      <c r="E33" s="274">
        <v>51320</v>
      </c>
      <c r="F33" s="275">
        <v>44790</v>
      </c>
      <c r="G33" s="273">
        <f t="shared" si="0"/>
        <v>2022</v>
      </c>
      <c r="H33" s="275">
        <v>45763</v>
      </c>
      <c r="J33" s="330"/>
      <c r="K33" s="330" t="s">
        <v>29</v>
      </c>
      <c r="L33" s="330">
        <v>4.7E-2</v>
      </c>
      <c r="M33" s="330">
        <v>4.8000000000000001E-2</v>
      </c>
      <c r="N33" s="330">
        <v>0.29699999999999999</v>
      </c>
      <c r="O33" s="330">
        <v>0.499</v>
      </c>
      <c r="P33" s="330">
        <v>0.64500000000000002</v>
      </c>
      <c r="Q33" s="330">
        <v>0.70599999999999996</v>
      </c>
      <c r="R33" s="330">
        <v>0.72199999999999998</v>
      </c>
      <c r="S33" s="330">
        <v>0.75600000000000001</v>
      </c>
      <c r="T33" s="330">
        <v>0.79700000000000004</v>
      </c>
      <c r="U33" s="330" t="s">
        <v>29</v>
      </c>
      <c r="W33" s="411" t="s">
        <v>489</v>
      </c>
      <c r="X33" s="110">
        <v>32941</v>
      </c>
      <c r="Z33" s="311">
        <f t="shared" si="1"/>
        <v>11</v>
      </c>
    </row>
    <row r="34" spans="1:44" s="62" customFormat="1" ht="17.399999999999999">
      <c r="A34" s="277" t="s">
        <v>481</v>
      </c>
      <c r="B34" s="62" t="str">
        <f>A34&amp;IF(COUNTIF($A$4:A34,A34)&gt;1,"("&amp;COUNTIF($A$4:A34,A34)&amp;")","")</f>
        <v>에스케이에코엔지니어링㈜</v>
      </c>
      <c r="C34" s="129" t="s">
        <v>53</v>
      </c>
      <c r="D34" s="129" t="s">
        <v>430</v>
      </c>
      <c r="E34" s="278">
        <v>27194.8894</v>
      </c>
      <c r="F34" s="128">
        <v>44742</v>
      </c>
      <c r="G34" s="273">
        <f t="shared" si="0"/>
        <v>2022</v>
      </c>
      <c r="H34" s="128">
        <v>45291</v>
      </c>
      <c r="I34" s="127"/>
      <c r="J34" s="331"/>
      <c r="K34" s="331">
        <v>0.01</v>
      </c>
      <c r="L34" s="331">
        <v>8.8999999999999996E-2</v>
      </c>
      <c r="M34" s="331">
        <v>0.317</v>
      </c>
      <c r="N34" s="331">
        <v>0.58199999999999996</v>
      </c>
      <c r="O34" s="331">
        <v>0.73499999999999999</v>
      </c>
      <c r="P34" s="331">
        <v>0.84499999999999997</v>
      </c>
      <c r="Q34" s="331">
        <v>0.99299999999999999</v>
      </c>
      <c r="R34" s="331">
        <v>0.999</v>
      </c>
      <c r="S34" s="331">
        <v>1</v>
      </c>
      <c r="T34" s="331">
        <v>1</v>
      </c>
      <c r="U34" s="331">
        <v>1</v>
      </c>
      <c r="V34" s="320"/>
      <c r="W34" s="411" t="s">
        <v>1023</v>
      </c>
      <c r="X34" s="110">
        <v>32781.004774000001</v>
      </c>
      <c r="Y34" s="320"/>
      <c r="Z34" s="311">
        <f t="shared" si="1"/>
        <v>6</v>
      </c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K34" s="320"/>
      <c r="AL34" s="320"/>
      <c r="AM34" s="320"/>
      <c r="AN34" s="320"/>
      <c r="AO34" s="320"/>
      <c r="AP34" s="320"/>
      <c r="AQ34" s="320"/>
      <c r="AR34" s="320"/>
    </row>
    <row r="35" spans="1:44" ht="17.399999999999999">
      <c r="A35" s="118" t="s">
        <v>480</v>
      </c>
      <c r="B35" s="6" t="str">
        <f>A35&amp;IF(COUNTIF($A$4:A35,A35)&gt;1,"("&amp;COUNTIF($A$4:A35,A35)&amp;")","")</f>
        <v>(주)포스코이앤씨</v>
      </c>
      <c r="C35" s="79" t="s">
        <v>53</v>
      </c>
      <c r="D35" s="79" t="s">
        <v>430</v>
      </c>
      <c r="E35" s="121">
        <v>36451.800000000003</v>
      </c>
      <c r="F35" s="88">
        <v>44722</v>
      </c>
      <c r="G35" s="273">
        <f t="shared" si="0"/>
        <v>2022</v>
      </c>
      <c r="H35" s="88">
        <v>45838</v>
      </c>
      <c r="J35" s="326"/>
      <c r="K35" s="326"/>
      <c r="L35" s="326" t="s">
        <v>29</v>
      </c>
      <c r="M35" s="326" t="s">
        <v>29</v>
      </c>
      <c r="N35" s="326">
        <v>0.47799999999999998</v>
      </c>
      <c r="O35" s="326">
        <v>0.67900000000000005</v>
      </c>
      <c r="P35" s="326">
        <v>0.80800000000000005</v>
      </c>
      <c r="Q35" s="326">
        <v>0.92100000000000004</v>
      </c>
      <c r="R35" s="326">
        <v>0.97499999999999998</v>
      </c>
      <c r="S35" s="326">
        <v>0.97899999999999998</v>
      </c>
      <c r="T35" s="326">
        <v>0.97399999999999998</v>
      </c>
      <c r="U35" s="326">
        <v>0.98099999999999998</v>
      </c>
      <c r="W35" s="411" t="s">
        <v>469</v>
      </c>
      <c r="X35" s="110">
        <v>32268.740677000002</v>
      </c>
      <c r="Z35" s="311">
        <f t="shared" si="1"/>
        <v>12</v>
      </c>
    </row>
    <row r="36" spans="1:44" ht="17.399999999999999">
      <c r="A36" s="118" t="s">
        <v>479</v>
      </c>
      <c r="B36" s="6" t="str">
        <f>A36&amp;IF(COUNTIF($A$4:A36,A36)&gt;1,"("&amp;COUNTIF($A$4:A36,A36)&amp;")","")</f>
        <v>현대엔지니어링</v>
      </c>
      <c r="C36" s="79" t="s">
        <v>459</v>
      </c>
      <c r="D36" s="79" t="s">
        <v>429</v>
      </c>
      <c r="E36" s="274">
        <v>32781.004774000001</v>
      </c>
      <c r="F36" s="88">
        <v>44671</v>
      </c>
      <c r="G36" s="273">
        <f t="shared" si="0"/>
        <v>2022</v>
      </c>
      <c r="H36" s="88">
        <v>45291</v>
      </c>
      <c r="J36" s="326"/>
      <c r="K36" s="326">
        <v>0.03</v>
      </c>
      <c r="L36" s="326">
        <v>0.13300000000000001</v>
      </c>
      <c r="M36" s="326">
        <v>0.34499999999999997</v>
      </c>
      <c r="N36" s="326">
        <v>0.64900000000000002</v>
      </c>
      <c r="O36" s="326">
        <v>0.92100000000000004</v>
      </c>
      <c r="P36" s="326">
        <v>0.98</v>
      </c>
      <c r="Q36" s="326">
        <v>0.97099999999999997</v>
      </c>
      <c r="R36" s="326">
        <v>0.97899999999999998</v>
      </c>
      <c r="S36" s="326">
        <v>0.996</v>
      </c>
      <c r="T36" s="326">
        <v>1</v>
      </c>
      <c r="U36" s="326">
        <v>1</v>
      </c>
      <c r="W36" s="411" t="s">
        <v>458</v>
      </c>
      <c r="X36" s="110">
        <v>30414.466466999998</v>
      </c>
      <c r="Z36" s="311">
        <f t="shared" si="1"/>
        <v>6</v>
      </c>
    </row>
    <row r="37" spans="1:44" ht="17.399999999999999">
      <c r="A37" s="118" t="s">
        <v>478</v>
      </c>
      <c r="B37" s="6" t="str">
        <f>A37&amp;IF(COUNTIF($A$4:A37,A37)&gt;1,"("&amp;COUNTIF($A$4:A37,A37)&amp;")","")</f>
        <v>현대제철</v>
      </c>
      <c r="C37" s="79" t="s">
        <v>459</v>
      </c>
      <c r="D37" s="79" t="s">
        <v>430</v>
      </c>
      <c r="E37" s="274">
        <v>22930</v>
      </c>
      <c r="F37" s="88">
        <v>44571</v>
      </c>
      <c r="G37" s="273">
        <f t="shared" si="0"/>
        <v>2022</v>
      </c>
      <c r="H37" s="88">
        <v>46492</v>
      </c>
      <c r="J37" s="326"/>
      <c r="K37" s="326">
        <v>0.13</v>
      </c>
      <c r="L37" s="326">
        <v>0.27</v>
      </c>
      <c r="M37" s="326">
        <v>0.35099999999999998</v>
      </c>
      <c r="N37" s="326">
        <v>0.48399999999999999</v>
      </c>
      <c r="O37" s="326">
        <v>0.50800000000000001</v>
      </c>
      <c r="P37" s="326">
        <v>0.52700000000000002</v>
      </c>
      <c r="Q37" s="326">
        <v>0.58599999999999997</v>
      </c>
      <c r="R37" s="326">
        <v>0.65700000000000003</v>
      </c>
      <c r="S37" s="326">
        <v>0.73899999999999999</v>
      </c>
      <c r="T37" s="326">
        <v>0.76200000000000001</v>
      </c>
      <c r="U37" s="326">
        <v>0.82899999999999996</v>
      </c>
      <c r="W37" s="411" t="s">
        <v>1018</v>
      </c>
      <c r="X37" s="110">
        <v>27194.8894</v>
      </c>
      <c r="Z37" s="311">
        <f t="shared" si="1"/>
        <v>21</v>
      </c>
    </row>
    <row r="38" spans="1:44" s="62" customFormat="1" ht="17.399999999999999">
      <c r="A38" s="277" t="s">
        <v>457</v>
      </c>
      <c r="B38" s="62" t="str">
        <f>A38&amp;IF(COUNTIF($A$4:A38,A38)&gt;1,"("&amp;COUNTIF($A$4:A38,A38)&amp;")","")</f>
        <v>삼성물산(3)</v>
      </c>
      <c r="C38" s="129" t="s">
        <v>53</v>
      </c>
      <c r="D38" s="129" t="s">
        <v>429</v>
      </c>
      <c r="E38" s="278">
        <v>53105.933490000003</v>
      </c>
      <c r="F38" s="128">
        <v>44568</v>
      </c>
      <c r="G38" s="273">
        <f t="shared" si="0"/>
        <v>2022</v>
      </c>
      <c r="H38" s="128">
        <v>45870</v>
      </c>
      <c r="I38" s="127"/>
      <c r="J38" s="331">
        <v>0.11</v>
      </c>
      <c r="K38" s="331">
        <v>0.34</v>
      </c>
      <c r="L38" s="331">
        <v>0.59299999999999997</v>
      </c>
      <c r="M38" s="331">
        <v>0.80900000000000005</v>
      </c>
      <c r="N38" s="331">
        <v>0.90200000000000002</v>
      </c>
      <c r="O38" s="331">
        <v>0.98099999999999998</v>
      </c>
      <c r="P38" s="331">
        <v>0.98299999999999998</v>
      </c>
      <c r="Q38" s="331">
        <v>0.98599999999999999</v>
      </c>
      <c r="R38" s="331">
        <v>0.99</v>
      </c>
      <c r="S38" s="331">
        <v>0.99099999999999999</v>
      </c>
      <c r="T38" s="331">
        <v>0.995</v>
      </c>
      <c r="U38" s="331">
        <v>1</v>
      </c>
      <c r="V38" s="320"/>
      <c r="W38" s="411" t="s">
        <v>494</v>
      </c>
      <c r="X38" s="110">
        <v>25123.609799999998</v>
      </c>
      <c r="Y38" s="320"/>
      <c r="Z38" s="311">
        <f t="shared" si="1"/>
        <v>14</v>
      </c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</row>
    <row r="39" spans="1:44" ht="17.399999999999999">
      <c r="A39" s="118" t="s">
        <v>477</v>
      </c>
      <c r="B39" s="6" t="str">
        <f>A39&amp;IF(COUNTIF($A$4:A39,A39)&gt;1,"("&amp;COUNTIF($A$4:A39,A39)&amp;")","")</f>
        <v>(주)포스코</v>
      </c>
      <c r="C39" s="79" t="s">
        <v>459</v>
      </c>
      <c r="D39" s="79" t="s">
        <v>430</v>
      </c>
      <c r="E39" s="121">
        <v>34495.685631</v>
      </c>
      <c r="F39" s="88">
        <v>44539</v>
      </c>
      <c r="G39" s="273">
        <f t="shared" si="0"/>
        <v>2021</v>
      </c>
      <c r="H39" s="88">
        <v>45107</v>
      </c>
      <c r="J39" s="326"/>
      <c r="K39" s="326">
        <v>0.26</v>
      </c>
      <c r="L39" s="326">
        <v>0.45900000000000002</v>
      </c>
      <c r="M39" s="326">
        <v>0.70799999999999996</v>
      </c>
      <c r="N39" s="326">
        <v>0.90800000000000003</v>
      </c>
      <c r="O39" s="326">
        <v>0.97799999999999998</v>
      </c>
      <c r="P39" s="326">
        <v>0.97799999999999998</v>
      </c>
      <c r="Q39" s="326">
        <v>0.98</v>
      </c>
      <c r="R39" s="326">
        <v>0.98</v>
      </c>
      <c r="S39" s="326">
        <v>1</v>
      </c>
      <c r="T39" s="326">
        <v>1</v>
      </c>
      <c r="U39" s="326">
        <v>1</v>
      </c>
      <c r="W39" s="411" t="s">
        <v>478</v>
      </c>
      <c r="X39" s="110">
        <v>22930</v>
      </c>
      <c r="Z39" s="311">
        <f t="shared" si="1"/>
        <v>6</v>
      </c>
    </row>
    <row r="40" spans="1:44" ht="17.399999999999999">
      <c r="A40" s="118" t="s">
        <v>476</v>
      </c>
      <c r="B40" s="6" t="str">
        <f>A40&amp;IF(COUNTIF($A$4:A40,A40)&gt;1,"("&amp;COUNTIF($A$4:A40,A40)&amp;")","")</f>
        <v>MHPS-TAKASAGO</v>
      </c>
      <c r="C40" s="79" t="s">
        <v>53</v>
      </c>
      <c r="D40" s="79" t="s">
        <v>429</v>
      </c>
      <c r="E40" s="274">
        <v>60905.091458000003</v>
      </c>
      <c r="F40" s="88">
        <v>44489</v>
      </c>
      <c r="G40" s="273">
        <f t="shared" si="0"/>
        <v>2021</v>
      </c>
      <c r="H40" s="88">
        <v>45504</v>
      </c>
      <c r="J40" s="326"/>
      <c r="K40" s="326">
        <v>0.77</v>
      </c>
      <c r="L40" s="326">
        <v>0.95699999999999996</v>
      </c>
      <c r="M40" s="326">
        <v>0.998</v>
      </c>
      <c r="N40" s="326">
        <v>1</v>
      </c>
      <c r="O40" s="326">
        <v>0.998</v>
      </c>
      <c r="P40" s="326">
        <v>0.98499999999999999</v>
      </c>
      <c r="Q40" s="326">
        <v>0.996</v>
      </c>
      <c r="R40" s="326">
        <v>1</v>
      </c>
      <c r="S40" s="326">
        <v>1</v>
      </c>
      <c r="T40" s="326">
        <v>1</v>
      </c>
      <c r="U40" s="326">
        <v>1</v>
      </c>
      <c r="W40" s="411" t="s">
        <v>1019</v>
      </c>
      <c r="X40" s="110">
        <v>21900</v>
      </c>
      <c r="Z40" s="311">
        <f t="shared" si="1"/>
        <v>11</v>
      </c>
    </row>
    <row r="41" spans="1:44" ht="17.399999999999999">
      <c r="A41" s="118" t="s">
        <v>475</v>
      </c>
      <c r="B41" s="6" t="str">
        <f>A41&amp;IF(COUNTIF($A$4:A41,A41)&gt;1,"("&amp;COUNTIF($A$4:A41,A41)&amp;")","")</f>
        <v>OPC Sorek 2 Ltd (OPC)</v>
      </c>
      <c r="C41" s="79" t="s">
        <v>55</v>
      </c>
      <c r="D41" s="79" t="s">
        <v>429</v>
      </c>
      <c r="E41" s="274">
        <v>11665.001182</v>
      </c>
      <c r="F41" s="88">
        <v>44469</v>
      </c>
      <c r="G41" s="273">
        <f t="shared" si="0"/>
        <v>2021</v>
      </c>
      <c r="H41" s="88">
        <v>45626</v>
      </c>
      <c r="J41" s="326"/>
      <c r="K41" s="326">
        <v>0.44</v>
      </c>
      <c r="L41" s="326">
        <v>0.627</v>
      </c>
      <c r="M41" s="326">
        <v>0.66600000000000004</v>
      </c>
      <c r="N41" s="326">
        <v>0.86099999999999999</v>
      </c>
      <c r="O41" s="326">
        <v>0.84599999999999997</v>
      </c>
      <c r="P41" s="326">
        <v>0.88100000000000001</v>
      </c>
      <c r="Q41" s="326">
        <v>0.88800000000000001</v>
      </c>
      <c r="R41" s="326">
        <v>0.89400000000000002</v>
      </c>
      <c r="S41" s="326">
        <v>0.94499999999999995</v>
      </c>
      <c r="T41" s="326">
        <v>0.96099999999999997</v>
      </c>
      <c r="U41" s="326">
        <v>0.93799999999999994</v>
      </c>
      <c r="W41" s="411" t="s">
        <v>1022</v>
      </c>
      <c r="X41" s="110">
        <v>17640</v>
      </c>
      <c r="Z41" s="311">
        <f t="shared" si="1"/>
        <v>13</v>
      </c>
    </row>
    <row r="42" spans="1:44" s="62" customFormat="1" ht="17.399999999999999">
      <c r="A42" s="118" t="s">
        <v>470</v>
      </c>
      <c r="B42" s="6" t="str">
        <f>A42&amp;IF(COUNTIF($A$4:A42,A42)&gt;1,"("&amp;COUNTIF($A$4:A42,A42)&amp;")","")</f>
        <v>현대건설</v>
      </c>
      <c r="C42" s="79" t="s">
        <v>459</v>
      </c>
      <c r="D42" s="79" t="s">
        <v>429</v>
      </c>
      <c r="E42" s="274">
        <v>42931.996539</v>
      </c>
      <c r="F42" s="88">
        <v>44449</v>
      </c>
      <c r="G42" s="273">
        <f t="shared" si="0"/>
        <v>2021</v>
      </c>
      <c r="H42" s="88">
        <v>45018</v>
      </c>
      <c r="I42" s="120"/>
      <c r="J42" s="326"/>
      <c r="K42" s="326">
        <v>7.0000000000000007E-2</v>
      </c>
      <c r="L42" s="326">
        <v>4.7E-2</v>
      </c>
      <c r="M42" s="326">
        <v>4.8000000000000001E-2</v>
      </c>
      <c r="N42" s="326">
        <v>0.29699999999999999</v>
      </c>
      <c r="O42" s="326">
        <v>0.499</v>
      </c>
      <c r="P42" s="326">
        <v>0.64500000000000002</v>
      </c>
      <c r="Q42" s="326">
        <v>0.70599999999999996</v>
      </c>
      <c r="R42" s="326">
        <v>0.72199999999999998</v>
      </c>
      <c r="S42" s="326">
        <v>0.75600000000000001</v>
      </c>
      <c r="T42" s="326">
        <v>0.79700000000000004</v>
      </c>
      <c r="U42" s="326">
        <v>0.93</v>
      </c>
      <c r="V42" s="320"/>
      <c r="W42" s="411" t="s">
        <v>473</v>
      </c>
      <c r="X42" s="110">
        <v>16540</v>
      </c>
      <c r="Y42" s="320"/>
      <c r="Z42" s="311">
        <f t="shared" si="1"/>
        <v>7</v>
      </c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20"/>
      <c r="AR42" s="320"/>
    </row>
    <row r="43" spans="1:44" ht="17.399999999999999">
      <c r="A43" s="118" t="s">
        <v>468</v>
      </c>
      <c r="B43" s="6" t="str">
        <f>A43&amp;IF(COUNTIF($A$4:A43,A43)&gt;1,"("&amp;COUNTIF($A$4:A43,A43)&amp;")","")</f>
        <v>KC코트렐</v>
      </c>
      <c r="C43" s="79" t="s">
        <v>55</v>
      </c>
      <c r="D43" s="79" t="s">
        <v>430</v>
      </c>
      <c r="E43" s="274">
        <v>62692.262372999998</v>
      </c>
      <c r="F43" s="88">
        <v>44435</v>
      </c>
      <c r="G43" s="273">
        <f t="shared" si="0"/>
        <v>2021</v>
      </c>
      <c r="H43" s="88">
        <v>44806</v>
      </c>
      <c r="J43" s="326"/>
      <c r="K43" s="326">
        <v>0.33</v>
      </c>
      <c r="L43" s="326">
        <v>0.33300000000000002</v>
      </c>
      <c r="M43" s="326">
        <v>0.45100000000000001</v>
      </c>
      <c r="N43" s="326">
        <v>0.67100000000000004</v>
      </c>
      <c r="O43" s="326">
        <v>0.77600000000000002</v>
      </c>
      <c r="P43" s="326">
        <v>0.94</v>
      </c>
      <c r="Q43" s="326">
        <v>0.97199999999999998</v>
      </c>
      <c r="R43" s="326">
        <v>0.99299999999999999</v>
      </c>
      <c r="S43" s="326">
        <v>0.996</v>
      </c>
      <c r="T43" s="326">
        <v>0.995</v>
      </c>
      <c r="U43" s="326">
        <v>0.996</v>
      </c>
      <c r="W43" s="411" t="s">
        <v>475</v>
      </c>
      <c r="X43" s="110">
        <v>11665.001182</v>
      </c>
      <c r="Z43" s="311">
        <f t="shared" si="1"/>
        <v>4</v>
      </c>
    </row>
    <row r="44" spans="1:44" ht="17.399999999999999">
      <c r="A44" s="118" t="s">
        <v>474</v>
      </c>
      <c r="B44" s="6" t="str">
        <f>A44&amp;IF(COUNTIF($A$4:A44,A44)&gt;1,"("&amp;COUNTIF($A$4:A44,A44)&amp;")","")</f>
        <v>한화건설</v>
      </c>
      <c r="C44" s="276" t="s">
        <v>53</v>
      </c>
      <c r="D44" s="276" t="s">
        <v>430</v>
      </c>
      <c r="E44" s="274">
        <v>17640</v>
      </c>
      <c r="F44" s="275">
        <v>44407</v>
      </c>
      <c r="G44" s="273">
        <f t="shared" si="0"/>
        <v>2021</v>
      </c>
      <c r="H44" s="275">
        <v>44925</v>
      </c>
      <c r="J44" s="330">
        <v>0.12</v>
      </c>
      <c r="K44" s="330">
        <v>0.71</v>
      </c>
      <c r="L44" s="330">
        <v>0.92300000000000004</v>
      </c>
      <c r="M44" s="330">
        <v>0.96599999999999997</v>
      </c>
      <c r="N44" s="330">
        <v>0.98</v>
      </c>
      <c r="O44" s="330">
        <v>0.995</v>
      </c>
      <c r="P44" s="330">
        <v>1</v>
      </c>
      <c r="Q44" s="330">
        <v>1</v>
      </c>
      <c r="R44" s="330">
        <v>1</v>
      </c>
      <c r="S44" s="330">
        <v>1</v>
      </c>
      <c r="T44" s="330">
        <v>1</v>
      </c>
      <c r="U44" s="330">
        <v>1</v>
      </c>
      <c r="W44" s="411" t="s">
        <v>1012</v>
      </c>
      <c r="X44"/>
      <c r="Z44" s="311">
        <f t="shared" si="1"/>
        <v>5</v>
      </c>
    </row>
    <row r="45" spans="1:44" s="62" customFormat="1" ht="17.399999999999999">
      <c r="A45" s="118" t="s">
        <v>471</v>
      </c>
      <c r="B45" s="6" t="str">
        <f>A45&amp;IF(COUNTIF($A$4:A45,A45)&gt;1,"("&amp;COUNTIF($A$4:A45,A45)&amp;")","")</f>
        <v>두산에너빌리티(4)</v>
      </c>
      <c r="C45" s="79" t="s">
        <v>53</v>
      </c>
      <c r="D45" s="79" t="s">
        <v>429</v>
      </c>
      <c r="E45" s="274">
        <v>33539.642448999999</v>
      </c>
      <c r="F45" s="88">
        <v>44349</v>
      </c>
      <c r="G45" s="273">
        <f t="shared" si="0"/>
        <v>2021</v>
      </c>
      <c r="H45" s="88">
        <v>44834</v>
      </c>
      <c r="I45" s="120"/>
      <c r="J45" s="326">
        <v>0.46</v>
      </c>
      <c r="K45" s="326">
        <v>0.72</v>
      </c>
      <c r="L45" s="326">
        <v>0.91400000000000003</v>
      </c>
      <c r="M45" s="326">
        <v>0.94899999999999995</v>
      </c>
      <c r="N45" s="326">
        <v>0.95199999999999996</v>
      </c>
      <c r="O45" s="326">
        <v>0.95699999999999996</v>
      </c>
      <c r="P45" s="326">
        <v>0.95399999999999996</v>
      </c>
      <c r="Q45" s="326">
        <v>0.97199999999999998</v>
      </c>
      <c r="R45" s="326">
        <v>0.97199999999999998</v>
      </c>
      <c r="S45" s="326">
        <v>0.97299999999999998</v>
      </c>
      <c r="T45" s="326">
        <v>0.97599999999999998</v>
      </c>
      <c r="U45" s="326">
        <v>0.98199999999999998</v>
      </c>
      <c r="V45" s="320"/>
      <c r="W45" s="411" t="s">
        <v>1013</v>
      </c>
      <c r="X45" s="110">
        <v>4559623.8482330013</v>
      </c>
      <c r="Y45" s="320"/>
      <c r="Z45" s="311">
        <f t="shared" si="1"/>
        <v>5</v>
      </c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</row>
    <row r="46" spans="1:44" s="62" customFormat="1">
      <c r="A46" s="118" t="s">
        <v>473</v>
      </c>
      <c r="B46" s="6" t="str">
        <f>A46&amp;IF(COUNTIF($A$4:A46,A46)&gt;1,"("&amp;COUNTIF($A$4:A46,A46)&amp;")","")</f>
        <v>세아STX엔테크</v>
      </c>
      <c r="C46" s="276" t="s">
        <v>55</v>
      </c>
      <c r="D46" s="276" t="s">
        <v>430</v>
      </c>
      <c r="E46" s="274">
        <v>16540</v>
      </c>
      <c r="F46" s="275">
        <v>44263</v>
      </c>
      <c r="G46" s="273">
        <f t="shared" si="0"/>
        <v>2021</v>
      </c>
      <c r="H46" s="275">
        <v>44680</v>
      </c>
      <c r="I46" s="120"/>
      <c r="J46" s="330">
        <v>0.28000000000000003</v>
      </c>
      <c r="K46" s="330">
        <v>1</v>
      </c>
      <c r="L46" s="330">
        <v>0.999</v>
      </c>
      <c r="M46" s="330">
        <v>0.999</v>
      </c>
      <c r="N46" s="330">
        <v>1</v>
      </c>
      <c r="O46" s="330">
        <v>1</v>
      </c>
      <c r="P46" s="330">
        <v>1</v>
      </c>
      <c r="Q46" s="330">
        <v>1</v>
      </c>
      <c r="R46" s="330">
        <v>1</v>
      </c>
      <c r="S46" s="330">
        <v>1</v>
      </c>
      <c r="T46" s="330">
        <v>1</v>
      </c>
      <c r="U46" s="330">
        <v>1</v>
      </c>
      <c r="V46" s="320"/>
      <c r="W46" s="320"/>
      <c r="X46" s="320"/>
      <c r="Y46" s="320"/>
      <c r="Z46" s="311">
        <f t="shared" si="1"/>
        <v>5</v>
      </c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</row>
    <row r="47" spans="1:44">
      <c r="A47" s="118" t="s">
        <v>472</v>
      </c>
      <c r="B47" s="6" t="str">
        <f>A47&amp;IF(COUNTIF($A$4:A47,A47)&gt;1,"("&amp;COUNTIF($A$4:A47,A47)&amp;")","")</f>
        <v>Siemens</v>
      </c>
      <c r="C47" s="79" t="s">
        <v>53</v>
      </c>
      <c r="D47" s="79" t="s">
        <v>429</v>
      </c>
      <c r="E47" s="121">
        <v>45092.158260999997</v>
      </c>
      <c r="F47" s="88">
        <v>44237</v>
      </c>
      <c r="G47" s="273">
        <f t="shared" si="0"/>
        <v>2021</v>
      </c>
      <c r="H47" s="88">
        <v>45022</v>
      </c>
      <c r="J47" s="326">
        <v>0.46</v>
      </c>
      <c r="K47" s="326">
        <v>0.81</v>
      </c>
      <c r="L47" s="326">
        <v>0.86199999999999999</v>
      </c>
      <c r="M47" s="326">
        <v>0.94</v>
      </c>
      <c r="N47" s="326">
        <v>0.94799999999999995</v>
      </c>
      <c r="O47" s="326">
        <v>0.97099999999999997</v>
      </c>
      <c r="P47" s="326">
        <v>0.97</v>
      </c>
      <c r="Q47" s="326">
        <v>0.98099999999999998</v>
      </c>
      <c r="R47" s="326">
        <v>0.98499999999999999</v>
      </c>
      <c r="S47" s="326">
        <v>0.94299999999999995</v>
      </c>
      <c r="T47" s="326">
        <v>0.95699999999999996</v>
      </c>
      <c r="U47" s="326">
        <v>0.96199999999999997</v>
      </c>
      <c r="Z47" s="311">
        <f t="shared" si="1"/>
        <v>9</v>
      </c>
    </row>
    <row r="48" spans="1:44">
      <c r="A48" s="118" t="s">
        <v>471</v>
      </c>
      <c r="B48" s="6" t="str">
        <f>A48&amp;IF(COUNTIF($A$4:A48,A48)&gt;1,"("&amp;COUNTIF($A$4:A48,A48)&amp;")","")</f>
        <v>두산에너빌리티(5)</v>
      </c>
      <c r="C48" s="79" t="s">
        <v>53</v>
      </c>
      <c r="D48" s="79" t="s">
        <v>430</v>
      </c>
      <c r="E48" s="121">
        <v>23686.552</v>
      </c>
      <c r="F48" s="88">
        <v>44210</v>
      </c>
      <c r="G48" s="273">
        <f t="shared" si="0"/>
        <v>2021</v>
      </c>
      <c r="H48" s="88">
        <v>44635</v>
      </c>
      <c r="J48" s="326"/>
      <c r="K48" s="326">
        <v>0.96</v>
      </c>
      <c r="L48" s="326">
        <v>0.99299999999999999</v>
      </c>
      <c r="M48" s="326">
        <v>0.996</v>
      </c>
      <c r="N48" s="326">
        <v>0.90700000000000003</v>
      </c>
      <c r="O48" s="326">
        <v>1</v>
      </c>
      <c r="P48" s="326">
        <v>1</v>
      </c>
      <c r="Q48" s="326">
        <v>1</v>
      </c>
      <c r="R48" s="326">
        <v>1</v>
      </c>
      <c r="S48" s="326">
        <v>1</v>
      </c>
      <c r="T48" s="326">
        <v>1</v>
      </c>
      <c r="U48" s="326">
        <v>1</v>
      </c>
      <c r="Z48" s="311">
        <f t="shared" si="1"/>
        <v>4</v>
      </c>
    </row>
    <row r="49" spans="1:66">
      <c r="A49" s="118" t="s">
        <v>470</v>
      </c>
      <c r="B49" s="6" t="str">
        <f>A49&amp;IF(COUNTIF($A$4:A49,A49)&gt;1,"("&amp;COUNTIF($A$4:A49,A49)&amp;")","")</f>
        <v>현대건설(2)</v>
      </c>
      <c r="C49" s="79" t="s">
        <v>53</v>
      </c>
      <c r="D49" s="79" t="s">
        <v>429</v>
      </c>
      <c r="E49" s="121">
        <v>51031</v>
      </c>
      <c r="F49" s="88">
        <v>44035</v>
      </c>
      <c r="G49" s="273">
        <f t="shared" si="0"/>
        <v>2020</v>
      </c>
      <c r="H49" s="88">
        <v>46233</v>
      </c>
      <c r="J49" s="326">
        <v>0.33</v>
      </c>
      <c r="K49" s="326">
        <v>0.83</v>
      </c>
      <c r="L49" s="326">
        <v>0.88500000000000001</v>
      </c>
      <c r="M49" s="326">
        <v>0.90500000000000003</v>
      </c>
      <c r="N49" s="326">
        <v>1</v>
      </c>
      <c r="O49" s="326">
        <v>0.91500000000000004</v>
      </c>
      <c r="P49" s="326">
        <v>0.93700000000000006</v>
      </c>
      <c r="Q49" s="326">
        <v>0.94</v>
      </c>
      <c r="R49" s="326">
        <v>0.94399999999999995</v>
      </c>
      <c r="S49" s="326">
        <v>0.94499999999999995</v>
      </c>
      <c r="T49" s="326">
        <v>0.96599999999999997</v>
      </c>
      <c r="U49" s="326">
        <v>0.97299999999999998</v>
      </c>
      <c r="Z49" s="311">
        <f t="shared" si="1"/>
        <v>24</v>
      </c>
    </row>
    <row r="50" spans="1:66">
      <c r="A50" s="118" t="s">
        <v>457</v>
      </c>
      <c r="B50" s="6" t="str">
        <f>A50&amp;IF(COUNTIF($A$4:A50,A50)&gt;1,"("&amp;COUNTIF($A$4:A50,A50)&amp;")","")</f>
        <v>삼성물산(4)</v>
      </c>
      <c r="C50" s="79" t="s">
        <v>53</v>
      </c>
      <c r="D50" s="79" t="s">
        <v>430</v>
      </c>
      <c r="E50" s="121">
        <v>70024.979296999998</v>
      </c>
      <c r="F50" s="88">
        <v>44012</v>
      </c>
      <c r="G50" s="273">
        <f t="shared" si="0"/>
        <v>2020</v>
      </c>
      <c r="H50" s="88">
        <v>44494</v>
      </c>
      <c r="J50" s="326"/>
      <c r="K50" s="326">
        <v>1</v>
      </c>
      <c r="L50" s="326">
        <v>1</v>
      </c>
      <c r="M50" s="326">
        <v>1</v>
      </c>
      <c r="N50" s="326">
        <v>1</v>
      </c>
      <c r="O50" s="326">
        <v>0.998</v>
      </c>
      <c r="P50" s="326">
        <v>1</v>
      </c>
      <c r="Q50" s="326">
        <v>1</v>
      </c>
      <c r="R50" s="326">
        <v>1</v>
      </c>
      <c r="S50" s="326">
        <v>1</v>
      </c>
      <c r="T50" s="326">
        <v>1</v>
      </c>
      <c r="U50" s="326">
        <v>1</v>
      </c>
      <c r="Z50" s="311">
        <f t="shared" si="1"/>
        <v>6</v>
      </c>
    </row>
    <row r="51" spans="1:66">
      <c r="A51" s="118" t="s">
        <v>457</v>
      </c>
      <c r="B51" s="6" t="str">
        <f>A51&amp;IF(COUNTIF($A$4:A51,A51)&gt;1,"("&amp;COUNTIF($A$4:A51,A51)&amp;")","")</f>
        <v>삼성물산(5)</v>
      </c>
      <c r="C51" s="79" t="s">
        <v>53</v>
      </c>
      <c r="D51" s="79" t="s">
        <v>430</v>
      </c>
      <c r="E51" s="121">
        <v>22522.238686000001</v>
      </c>
      <c r="F51" s="88">
        <v>43915</v>
      </c>
      <c r="G51" s="273">
        <f t="shared" si="0"/>
        <v>2020</v>
      </c>
      <c r="H51" s="88">
        <v>44372</v>
      </c>
      <c r="J51" s="326">
        <v>0.99</v>
      </c>
      <c r="K51" s="326">
        <v>1</v>
      </c>
      <c r="L51" s="326">
        <v>1</v>
      </c>
      <c r="M51" s="326">
        <v>1</v>
      </c>
      <c r="N51" s="326">
        <v>1</v>
      </c>
      <c r="O51" s="326">
        <v>1</v>
      </c>
      <c r="P51" s="326">
        <v>1</v>
      </c>
      <c r="Q51" s="326">
        <v>1</v>
      </c>
      <c r="R51" s="326">
        <v>1</v>
      </c>
      <c r="S51" s="326">
        <v>1</v>
      </c>
      <c r="T51" s="326">
        <v>1</v>
      </c>
      <c r="U51" s="326">
        <v>1</v>
      </c>
      <c r="Z51" s="311">
        <f t="shared" si="1"/>
        <v>5</v>
      </c>
    </row>
    <row r="52" spans="1:66" s="79" customFormat="1">
      <c r="A52" s="118" t="s">
        <v>469</v>
      </c>
      <c r="B52" s="6" t="str">
        <f>A52&amp;IF(COUNTIF($A$4:A52,A52)&gt;1,"("&amp;COUNTIF($A$4:A52,A52)&amp;")","")</f>
        <v>JO SKE AND CO LTD</v>
      </c>
      <c r="C52" s="79" t="s">
        <v>459</v>
      </c>
      <c r="D52" s="79" t="s">
        <v>429</v>
      </c>
      <c r="E52" s="121">
        <v>32268.740677000002</v>
      </c>
      <c r="F52" s="88">
        <v>43640</v>
      </c>
      <c r="G52" s="273">
        <f t="shared" si="0"/>
        <v>2019</v>
      </c>
      <c r="H52" s="88">
        <v>44159</v>
      </c>
      <c r="I52" s="120"/>
      <c r="J52" s="326">
        <v>0.99</v>
      </c>
      <c r="K52" s="326">
        <v>0.99</v>
      </c>
      <c r="L52" s="326">
        <v>0.997</v>
      </c>
      <c r="M52" s="326">
        <v>0.997</v>
      </c>
      <c r="N52" s="326">
        <v>1</v>
      </c>
      <c r="O52" s="326">
        <v>1</v>
      </c>
      <c r="P52" s="326">
        <v>1</v>
      </c>
      <c r="Q52" s="326">
        <v>1</v>
      </c>
      <c r="R52" s="326">
        <v>1</v>
      </c>
      <c r="S52" s="326">
        <v>1</v>
      </c>
      <c r="T52" s="326">
        <v>1</v>
      </c>
      <c r="U52" s="326">
        <v>1</v>
      </c>
      <c r="V52" s="312"/>
      <c r="W52" s="312"/>
      <c r="X52" s="312"/>
      <c r="Y52" s="312"/>
      <c r="Z52" s="311">
        <f t="shared" si="1"/>
        <v>6</v>
      </c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  <c r="AK52" s="312"/>
      <c r="AL52" s="312"/>
      <c r="AM52" s="312"/>
      <c r="AN52" s="312"/>
      <c r="AO52" s="312"/>
      <c r="AP52" s="312"/>
      <c r="AQ52" s="312"/>
      <c r="AR52" s="312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</row>
    <row r="53" spans="1:66" s="79" customFormat="1">
      <c r="A53" s="118" t="s">
        <v>468</v>
      </c>
      <c r="B53" s="6" t="str">
        <f>A53&amp;IF(COUNTIF($A$4:A53,A53)&gt;1,"("&amp;COUNTIF($A$4:A53,A53)&amp;")","")</f>
        <v>KC코트렐(2)</v>
      </c>
      <c r="C53" s="79" t="s">
        <v>4</v>
      </c>
      <c r="D53" s="79" t="s">
        <v>430</v>
      </c>
      <c r="E53" s="121">
        <v>28700</v>
      </c>
      <c r="F53" s="88">
        <v>43631</v>
      </c>
      <c r="G53" s="273">
        <f t="shared" si="0"/>
        <v>2019</v>
      </c>
      <c r="H53" s="88">
        <v>44228</v>
      </c>
      <c r="I53" s="120"/>
      <c r="J53" s="326">
        <v>1</v>
      </c>
      <c r="K53" s="326">
        <v>0.96</v>
      </c>
      <c r="L53" s="326">
        <v>1</v>
      </c>
      <c r="M53" s="326">
        <v>1</v>
      </c>
      <c r="N53" s="326">
        <v>1</v>
      </c>
      <c r="O53" s="326">
        <v>1</v>
      </c>
      <c r="P53" s="326">
        <v>1</v>
      </c>
      <c r="Q53" s="326">
        <v>0.97199999999999998</v>
      </c>
      <c r="R53" s="326">
        <v>1</v>
      </c>
      <c r="S53" s="326">
        <v>1</v>
      </c>
      <c r="T53" s="326">
        <v>1</v>
      </c>
      <c r="U53" s="326">
        <v>1</v>
      </c>
      <c r="V53" s="312"/>
      <c r="W53" s="312"/>
      <c r="X53" s="312"/>
      <c r="Y53" s="312"/>
      <c r="Z53" s="311">
        <f t="shared" si="1"/>
        <v>7</v>
      </c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</row>
    <row r="54" spans="1:66" s="79" customFormat="1">
      <c r="A54" s="118" t="s">
        <v>467</v>
      </c>
      <c r="B54" s="6" t="str">
        <f>A54&amp;IF(COUNTIF($A$4:A54,A54)&gt;1,"("&amp;COUNTIF($A$4:A54,A54)&amp;")","")</f>
        <v>TIE JUN INTERNATIONAL (HK) LTD</v>
      </c>
      <c r="C54" s="79" t="s">
        <v>53</v>
      </c>
      <c r="D54" s="79" t="s">
        <v>429</v>
      </c>
      <c r="E54" s="121">
        <v>57152.290687000001</v>
      </c>
      <c r="F54" s="88">
        <v>43558</v>
      </c>
      <c r="G54" s="273">
        <f t="shared" si="0"/>
        <v>2019</v>
      </c>
      <c r="H54" s="88">
        <v>44076</v>
      </c>
      <c r="I54" s="120"/>
      <c r="J54" s="326">
        <v>1</v>
      </c>
      <c r="K54" s="326">
        <v>1</v>
      </c>
      <c r="L54" s="326">
        <v>1</v>
      </c>
      <c r="M54" s="326">
        <v>1</v>
      </c>
      <c r="N54" s="326">
        <v>1</v>
      </c>
      <c r="O54" s="326">
        <v>1</v>
      </c>
      <c r="P54" s="326">
        <v>1</v>
      </c>
      <c r="Q54" s="326">
        <v>1</v>
      </c>
      <c r="R54" s="326">
        <v>1</v>
      </c>
      <c r="S54" s="326">
        <v>1</v>
      </c>
      <c r="T54" s="326">
        <v>1</v>
      </c>
      <c r="U54" s="326">
        <v>1</v>
      </c>
      <c r="V54" s="312"/>
      <c r="W54" s="312"/>
      <c r="X54" s="312"/>
      <c r="Y54" s="312"/>
      <c r="Z54" s="311">
        <f t="shared" si="1"/>
        <v>5</v>
      </c>
      <c r="AA54" s="312"/>
      <c r="AB54" s="312"/>
      <c r="AC54" s="312"/>
      <c r="AD54" s="312"/>
      <c r="AE54" s="312"/>
      <c r="AF54" s="312"/>
      <c r="AG54" s="312"/>
      <c r="AH54" s="312"/>
      <c r="AI54" s="312"/>
      <c r="AJ54" s="312"/>
      <c r="AK54" s="312"/>
      <c r="AL54" s="312"/>
      <c r="AM54" s="312"/>
      <c r="AN54" s="312"/>
      <c r="AO54" s="312"/>
      <c r="AP54" s="312"/>
      <c r="AQ54" s="312"/>
      <c r="AR54" s="312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</row>
    <row r="55" spans="1:66" s="79" customFormat="1">
      <c r="A55" s="118" t="s">
        <v>466</v>
      </c>
      <c r="B55" s="6" t="str">
        <f>A55&amp;IF(COUNTIF($A$4:A55,A55)&gt;1,"("&amp;COUNTIF($A$4:A55,A55)&amp;")","")</f>
        <v>TOSHIBA</v>
      </c>
      <c r="C55" s="79" t="s">
        <v>459</v>
      </c>
      <c r="D55" s="79" t="s">
        <v>428</v>
      </c>
      <c r="E55" s="121">
        <v>50863.127189999999</v>
      </c>
      <c r="F55" s="88">
        <v>43210</v>
      </c>
      <c r="G55" s="273">
        <f t="shared" si="0"/>
        <v>2018</v>
      </c>
      <c r="H55" s="88">
        <v>43789</v>
      </c>
      <c r="I55" s="120"/>
      <c r="J55" s="326">
        <v>1</v>
      </c>
      <c r="K55" s="326">
        <v>1</v>
      </c>
      <c r="L55" s="326">
        <v>1</v>
      </c>
      <c r="M55" s="326">
        <v>1</v>
      </c>
      <c r="N55" s="326">
        <v>1</v>
      </c>
      <c r="O55" s="326">
        <v>1</v>
      </c>
      <c r="P55" s="326">
        <v>1</v>
      </c>
      <c r="Q55" s="326">
        <v>1</v>
      </c>
      <c r="R55" s="326">
        <v>1</v>
      </c>
      <c r="S55" s="326">
        <v>1</v>
      </c>
      <c r="T55" s="326">
        <v>1</v>
      </c>
      <c r="U55" s="326">
        <v>1</v>
      </c>
      <c r="V55" s="312"/>
      <c r="W55" s="312"/>
      <c r="X55" s="312"/>
      <c r="Y55" s="312"/>
      <c r="Z55" s="311">
        <f t="shared" si="1"/>
        <v>6</v>
      </c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</row>
    <row r="56" spans="1:66" s="79" customFormat="1">
      <c r="A56" s="118" t="s">
        <v>465</v>
      </c>
      <c r="B56" s="6" t="str">
        <f>A56&amp;IF(COUNTIF($A$4:A56,A56)&gt;1,"("&amp;COUNTIF($A$4:A56,A56)&amp;")","")</f>
        <v>Alghanim International General Trading &amp; Construction(2)</v>
      </c>
      <c r="C56" s="79" t="s">
        <v>53</v>
      </c>
      <c r="D56" s="79" t="s">
        <v>427</v>
      </c>
      <c r="E56" s="121">
        <v>24458.938716000001</v>
      </c>
      <c r="F56" s="88">
        <v>42997</v>
      </c>
      <c r="G56" s="273">
        <f t="shared" si="0"/>
        <v>2017</v>
      </c>
      <c r="H56" s="88">
        <v>43392</v>
      </c>
      <c r="I56" s="120" t="s">
        <v>464</v>
      </c>
      <c r="J56" s="326">
        <v>1</v>
      </c>
      <c r="K56" s="326">
        <v>1</v>
      </c>
      <c r="L56" s="326">
        <v>1</v>
      </c>
      <c r="M56" s="326">
        <v>1</v>
      </c>
      <c r="N56" s="326">
        <v>1</v>
      </c>
      <c r="O56" s="326">
        <v>1</v>
      </c>
      <c r="P56" s="326">
        <v>0.999</v>
      </c>
      <c r="Q56" s="326">
        <v>1</v>
      </c>
      <c r="R56" s="326">
        <v>1</v>
      </c>
      <c r="S56" s="326">
        <v>1</v>
      </c>
      <c r="T56" s="326">
        <v>1</v>
      </c>
      <c r="U56" s="326">
        <v>1</v>
      </c>
      <c r="V56" s="312"/>
      <c r="W56" s="312"/>
      <c r="X56" s="312"/>
      <c r="Y56" s="312"/>
      <c r="Z56" s="311">
        <f t="shared" si="1"/>
        <v>5</v>
      </c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</row>
    <row r="57" spans="1:66" s="79" customFormat="1">
      <c r="A57" s="118" t="s">
        <v>463</v>
      </c>
      <c r="B57" s="6" t="str">
        <f>A57&amp;IF(COUNTIF($A$4:A57,A57)&gt;1,"("&amp;COUNTIF($A$4:A57,A57)&amp;")","")</f>
        <v>SEPCO3(3)</v>
      </c>
      <c r="C57" s="79" t="s">
        <v>53</v>
      </c>
      <c r="D57" s="79" t="s">
        <v>427</v>
      </c>
      <c r="E57" s="121">
        <v>22765.749011</v>
      </c>
      <c r="F57" s="88">
        <v>42779</v>
      </c>
      <c r="G57" s="273">
        <f t="shared" si="0"/>
        <v>2017</v>
      </c>
      <c r="H57" s="88">
        <v>43232</v>
      </c>
      <c r="I57" s="120"/>
      <c r="J57" s="326">
        <v>1</v>
      </c>
      <c r="K57" s="326">
        <v>1</v>
      </c>
      <c r="L57" s="326">
        <v>1</v>
      </c>
      <c r="M57" s="326">
        <v>1</v>
      </c>
      <c r="N57" s="326">
        <v>1</v>
      </c>
      <c r="O57" s="326">
        <v>1</v>
      </c>
      <c r="P57" s="326">
        <v>1</v>
      </c>
      <c r="Q57" s="326">
        <v>1</v>
      </c>
      <c r="R57" s="326">
        <v>1</v>
      </c>
      <c r="S57" s="326">
        <v>1</v>
      </c>
      <c r="T57" s="326">
        <v>1</v>
      </c>
      <c r="U57" s="326">
        <v>1</v>
      </c>
      <c r="V57" s="312"/>
      <c r="W57" s="312"/>
      <c r="X57" s="312"/>
      <c r="Y57" s="312"/>
      <c r="Z57" s="311">
        <f t="shared" si="1"/>
        <v>5</v>
      </c>
      <c r="AA57" s="312"/>
      <c r="AB57" s="312"/>
      <c r="AC57" s="312"/>
      <c r="AD57" s="312"/>
      <c r="AE57" s="312"/>
      <c r="AF57" s="312"/>
      <c r="AG57" s="312"/>
      <c r="AH57" s="312"/>
      <c r="AI57" s="312"/>
      <c r="AJ57" s="312"/>
      <c r="AK57" s="312"/>
      <c r="AL57" s="312"/>
      <c r="AM57" s="312"/>
      <c r="AN57" s="312"/>
      <c r="AO57" s="312"/>
      <c r="AP57" s="312"/>
      <c r="AQ57" s="312"/>
      <c r="AR57" s="312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</row>
    <row r="58" spans="1:66" s="79" customFormat="1">
      <c r="A58" s="118" t="s">
        <v>461</v>
      </c>
      <c r="B58" s="6" t="str">
        <f>A58&amp;IF(COUNTIF($A$4:A58,A58)&gt;1,"("&amp;COUNTIF($A$4:A58,A58)&amp;")","")</f>
        <v>한국수력원자력㈜ 새울원자력본부</v>
      </c>
      <c r="C58" s="79" t="s">
        <v>56</v>
      </c>
      <c r="D58" s="79" t="s">
        <v>430</v>
      </c>
      <c r="E58" s="121">
        <v>19198.138160999999</v>
      </c>
      <c r="F58" s="88">
        <v>42734</v>
      </c>
      <c r="G58" s="273">
        <f t="shared" si="0"/>
        <v>2016</v>
      </c>
      <c r="H58" s="88">
        <v>43646</v>
      </c>
      <c r="I58" s="120"/>
      <c r="J58" s="326">
        <v>1</v>
      </c>
      <c r="K58" s="326">
        <v>1</v>
      </c>
      <c r="L58" s="326"/>
      <c r="M58" s="326">
        <v>0.749</v>
      </c>
      <c r="N58" s="326"/>
      <c r="O58" s="326"/>
      <c r="P58" s="326"/>
      <c r="Q58" s="326"/>
      <c r="R58" s="326"/>
      <c r="S58" s="326"/>
      <c r="T58" s="326"/>
      <c r="U58" s="326"/>
      <c r="V58" s="312"/>
      <c r="W58" s="312"/>
      <c r="X58" s="312"/>
      <c r="Y58" s="312"/>
      <c r="Z58" s="311">
        <f t="shared" si="1"/>
        <v>10</v>
      </c>
      <c r="AA58" s="312"/>
      <c r="AB58" s="312"/>
      <c r="AC58" s="312"/>
      <c r="AD58" s="312"/>
      <c r="AE58" s="312"/>
      <c r="AF58" s="312"/>
      <c r="AG58" s="312"/>
      <c r="AH58" s="312"/>
      <c r="AI58" s="312"/>
      <c r="AJ58" s="312"/>
      <c r="AK58" s="312"/>
      <c r="AL58" s="312"/>
      <c r="AM58" s="312"/>
      <c r="AN58" s="312"/>
      <c r="AO58" s="312"/>
      <c r="AP58" s="312"/>
      <c r="AQ58" s="312"/>
      <c r="AR58" s="312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</row>
    <row r="59" spans="1:66" s="79" customFormat="1">
      <c r="A59" s="118" t="s">
        <v>462</v>
      </c>
      <c r="B59" s="6" t="str">
        <f>A59&amp;IF(COUNTIF($A$4:A59,A59)&gt;1,"("&amp;COUNTIF($A$4:A59,A59)&amp;")","")</f>
        <v>FARAB INTERNATIONAL FZE</v>
      </c>
      <c r="C59" s="79" t="s">
        <v>53</v>
      </c>
      <c r="D59" s="79" t="s">
        <v>429</v>
      </c>
      <c r="E59" s="121">
        <v>35444.492044999999</v>
      </c>
      <c r="F59" s="88">
        <v>42694</v>
      </c>
      <c r="G59" s="273">
        <f t="shared" si="0"/>
        <v>2016</v>
      </c>
      <c r="H59" s="88">
        <v>43473</v>
      </c>
      <c r="I59" s="120"/>
      <c r="J59" s="326">
        <v>0.97</v>
      </c>
      <c r="K59" s="326">
        <v>0.99</v>
      </c>
      <c r="L59" s="326">
        <v>0.99099999999999999</v>
      </c>
      <c r="M59" s="326">
        <v>0.99199999999999999</v>
      </c>
      <c r="N59" s="326">
        <v>0.99199999999999999</v>
      </c>
      <c r="O59" s="326">
        <v>0.99199999999999999</v>
      </c>
      <c r="P59" s="326">
        <v>0.99199999999999999</v>
      </c>
      <c r="Q59" s="326">
        <v>0.99399999999999999</v>
      </c>
      <c r="R59" s="326">
        <v>0.995</v>
      </c>
      <c r="S59" s="326">
        <v>0.995</v>
      </c>
      <c r="T59" s="326">
        <v>0.995</v>
      </c>
      <c r="U59" s="326">
        <v>0.995</v>
      </c>
      <c r="V59" s="312"/>
      <c r="W59" s="312"/>
      <c r="X59" s="312"/>
      <c r="Y59" s="312"/>
      <c r="Z59" s="311">
        <f t="shared" si="1"/>
        <v>9</v>
      </c>
      <c r="AA59" s="312"/>
      <c r="AB59" s="312"/>
      <c r="AC59" s="312"/>
      <c r="AD59" s="312"/>
      <c r="AE59" s="312"/>
      <c r="AF59" s="312"/>
      <c r="AG59" s="312"/>
      <c r="AH59" s="312"/>
      <c r="AI59" s="312"/>
      <c r="AJ59" s="312"/>
      <c r="AK59" s="312"/>
      <c r="AL59" s="312"/>
      <c r="AM59" s="312"/>
      <c r="AN59" s="312"/>
      <c r="AO59" s="312"/>
      <c r="AP59" s="312"/>
      <c r="AQ59" s="312"/>
      <c r="AR59" s="312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</row>
    <row r="60" spans="1:66" s="79" customFormat="1">
      <c r="A60" s="118" t="s">
        <v>461</v>
      </c>
      <c r="B60" s="6" t="str">
        <f>A60&amp;IF(COUNTIF($A$4:A60,A60)&gt;1,"("&amp;COUNTIF($A$4:A60,A60)&amp;")","")</f>
        <v>한국수력원자력㈜ 새울원자력본부(2)</v>
      </c>
      <c r="C60" s="79" t="s">
        <v>55</v>
      </c>
      <c r="D60" s="79" t="s">
        <v>430</v>
      </c>
      <c r="E60" s="121">
        <v>35020.679462</v>
      </c>
      <c r="F60" s="88">
        <v>42551</v>
      </c>
      <c r="G60" s="273">
        <f t="shared" si="0"/>
        <v>2016</v>
      </c>
      <c r="H60" s="88">
        <v>44440</v>
      </c>
      <c r="I60" s="120"/>
      <c r="J60" s="326">
        <v>1</v>
      </c>
      <c r="K60" s="326">
        <v>0.97</v>
      </c>
      <c r="L60" s="326">
        <v>1</v>
      </c>
      <c r="M60" s="326">
        <v>1</v>
      </c>
      <c r="N60" s="326">
        <v>1</v>
      </c>
      <c r="O60" s="326">
        <v>1</v>
      </c>
      <c r="P60" s="326">
        <v>1</v>
      </c>
      <c r="Q60" s="326">
        <v>1</v>
      </c>
      <c r="R60" s="326">
        <v>0.997</v>
      </c>
      <c r="S60" s="326">
        <v>0.998</v>
      </c>
      <c r="T60" s="326">
        <v>1</v>
      </c>
      <c r="U60" s="326">
        <v>1</v>
      </c>
      <c r="V60" s="312"/>
      <c r="W60" s="312"/>
      <c r="X60" s="312"/>
      <c r="Y60" s="312"/>
      <c r="Z60" s="311">
        <f t="shared" si="1"/>
        <v>21</v>
      </c>
      <c r="AA60" s="312"/>
      <c r="AB60" s="312"/>
      <c r="AC60" s="312"/>
      <c r="AD60" s="312"/>
      <c r="AE60" s="312"/>
      <c r="AF60" s="312"/>
      <c r="AG60" s="312"/>
      <c r="AH60" s="312"/>
      <c r="AI60" s="312"/>
      <c r="AJ60" s="312"/>
      <c r="AK60" s="312"/>
      <c r="AL60" s="312"/>
      <c r="AM60" s="312"/>
      <c r="AN60" s="312"/>
      <c r="AO60" s="312"/>
      <c r="AP60" s="312"/>
      <c r="AQ60" s="312"/>
      <c r="AR60" s="312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</row>
    <row r="61" spans="1:66" s="79" customFormat="1">
      <c r="A61" s="118" t="s">
        <v>461</v>
      </c>
      <c r="B61" s="6" t="str">
        <f>A61&amp;IF(COUNTIF($A$4:A61,A61)&gt;1,"("&amp;COUNTIF($A$4:A61,A61)&amp;")","")</f>
        <v>한국수력원자력㈜ 새울원자력본부(3)</v>
      </c>
      <c r="C61" s="79" t="s">
        <v>55</v>
      </c>
      <c r="D61" s="79" t="s">
        <v>430</v>
      </c>
      <c r="E61" s="121">
        <v>21473.936613000002</v>
      </c>
      <c r="F61" s="88">
        <v>42480</v>
      </c>
      <c r="G61" s="273">
        <f t="shared" si="0"/>
        <v>2016</v>
      </c>
      <c r="H61" s="88">
        <v>43951</v>
      </c>
      <c r="I61" s="120"/>
      <c r="J61" s="326">
        <v>1</v>
      </c>
      <c r="K61" s="326">
        <v>0.99</v>
      </c>
      <c r="L61" s="326">
        <v>0.999</v>
      </c>
      <c r="M61" s="326">
        <v>0.98499999999999999</v>
      </c>
      <c r="N61" s="326">
        <v>0.98499999999999999</v>
      </c>
      <c r="O61" s="326">
        <v>0.98599999999999999</v>
      </c>
      <c r="P61" s="326">
        <v>0.98599999999999999</v>
      </c>
      <c r="Q61" s="326">
        <v>0.98699999999999999</v>
      </c>
      <c r="R61" s="326">
        <v>0.98799999999999999</v>
      </c>
      <c r="S61" s="326">
        <v>0.98799999999999999</v>
      </c>
      <c r="T61" s="326">
        <v>0.98799999999999999</v>
      </c>
      <c r="U61" s="326">
        <v>0.98599999999999999</v>
      </c>
      <c r="V61" s="312"/>
      <c r="W61" s="312"/>
      <c r="X61" s="312"/>
      <c r="Y61" s="312"/>
      <c r="Z61" s="311">
        <f t="shared" si="1"/>
        <v>16</v>
      </c>
      <c r="AA61" s="312"/>
      <c r="AB61" s="312"/>
      <c r="AC61" s="312"/>
      <c r="AD61" s="312"/>
      <c r="AE61" s="312"/>
      <c r="AF61" s="312"/>
      <c r="AG61" s="312"/>
      <c r="AH61" s="312"/>
      <c r="AI61" s="312"/>
      <c r="AJ61" s="312"/>
      <c r="AK61" s="312"/>
      <c r="AL61" s="312"/>
      <c r="AM61" s="312"/>
      <c r="AN61" s="312"/>
      <c r="AO61" s="312"/>
      <c r="AP61" s="312"/>
      <c r="AQ61" s="312"/>
      <c r="AR61" s="312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</row>
    <row r="62" spans="1:66" s="79" customFormat="1">
      <c r="A62" s="118" t="s">
        <v>460</v>
      </c>
      <c r="B62" s="6" t="str">
        <f>A62&amp;IF(COUNTIF($A$4:A62,A62)&gt;1,"("&amp;COUNTIF($A$4:A62,A62)&amp;")","")</f>
        <v>(주)포스코건설</v>
      </c>
      <c r="C62" s="79" t="s">
        <v>459</v>
      </c>
      <c r="D62" s="79" t="s">
        <v>430</v>
      </c>
      <c r="E62" s="121">
        <v>113969.995</v>
      </c>
      <c r="F62" s="88">
        <v>42444</v>
      </c>
      <c r="G62" s="273">
        <f t="shared" si="0"/>
        <v>2016</v>
      </c>
      <c r="H62" s="88">
        <v>43982</v>
      </c>
      <c r="I62" s="120"/>
      <c r="J62" s="326">
        <v>0.99</v>
      </c>
      <c r="K62" s="326">
        <v>1</v>
      </c>
      <c r="L62" s="326">
        <v>0.999</v>
      </c>
      <c r="M62" s="326">
        <v>1</v>
      </c>
      <c r="N62" s="326">
        <v>1</v>
      </c>
      <c r="O62" s="326">
        <v>1</v>
      </c>
      <c r="P62" s="326">
        <v>1</v>
      </c>
      <c r="Q62" s="326">
        <v>1</v>
      </c>
      <c r="R62" s="326">
        <v>1</v>
      </c>
      <c r="S62" s="326">
        <v>1</v>
      </c>
      <c r="T62" s="326">
        <v>1</v>
      </c>
      <c r="U62" s="326">
        <v>1</v>
      </c>
      <c r="V62" s="312"/>
      <c r="W62" s="312"/>
      <c r="X62" s="312"/>
      <c r="Y62" s="312"/>
      <c r="Z62" s="311">
        <f t="shared" si="1"/>
        <v>17</v>
      </c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2"/>
      <c r="AN62" s="312"/>
      <c r="AO62" s="312"/>
      <c r="AP62" s="312"/>
      <c r="AQ62" s="312"/>
      <c r="AR62" s="312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</row>
    <row r="63" spans="1:66" s="79" customFormat="1">
      <c r="A63" s="118" t="s">
        <v>458</v>
      </c>
      <c r="B63" s="6" t="str">
        <f>A63&amp;IF(COUNTIF($A$4:A63,A63)&gt;1,"("&amp;COUNTIF($A$4:A63,A63)&amp;")","")</f>
        <v>Amal Industrial Plant</v>
      </c>
      <c r="C63" s="79" t="s">
        <v>53</v>
      </c>
      <c r="D63" s="79" t="s">
        <v>429</v>
      </c>
      <c r="E63" s="121">
        <v>30414.466466999998</v>
      </c>
      <c r="F63" s="88">
        <v>42422</v>
      </c>
      <c r="G63" s="273">
        <f t="shared" si="0"/>
        <v>2016</v>
      </c>
      <c r="H63" s="88">
        <v>43190</v>
      </c>
      <c r="I63" s="120"/>
      <c r="J63" s="326">
        <v>1</v>
      </c>
      <c r="K63" s="326">
        <v>1</v>
      </c>
      <c r="L63" s="326">
        <v>1</v>
      </c>
      <c r="M63" s="326">
        <v>0.999</v>
      </c>
      <c r="N63" s="326">
        <v>0.999</v>
      </c>
      <c r="O63" s="326">
        <v>0.999</v>
      </c>
      <c r="P63" s="326">
        <v>0.999</v>
      </c>
      <c r="Q63" s="326">
        <v>0.999</v>
      </c>
      <c r="R63" s="326">
        <v>0.999</v>
      </c>
      <c r="S63" s="326">
        <v>0.999</v>
      </c>
      <c r="T63" s="326">
        <v>0.999</v>
      </c>
      <c r="U63" s="326">
        <v>0.999</v>
      </c>
      <c r="V63" s="312"/>
      <c r="W63" s="312"/>
      <c r="X63" s="312"/>
      <c r="Y63" s="312"/>
      <c r="Z63" s="311">
        <f t="shared" si="1"/>
        <v>8</v>
      </c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2"/>
      <c r="AN63" s="312"/>
      <c r="AO63" s="312"/>
      <c r="AP63" s="312"/>
      <c r="AQ63" s="312"/>
      <c r="AR63" s="312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</row>
    <row r="64" spans="1:66" s="79" customFormat="1">
      <c r="A64" s="118" t="s">
        <v>457</v>
      </c>
      <c r="B64" s="6" t="str">
        <f>A64&amp;IF(COUNTIF($A$4:A64,A64)&gt;1,"("&amp;COUNTIF($A$4:A64,A64)&amp;")","")</f>
        <v>삼성물산(6)</v>
      </c>
      <c r="C64" s="79" t="s">
        <v>53</v>
      </c>
      <c r="D64" s="79" t="s">
        <v>430</v>
      </c>
      <c r="E64" s="121">
        <v>60955.637494000002</v>
      </c>
      <c r="F64" s="88">
        <v>41919</v>
      </c>
      <c r="G64" s="273">
        <f t="shared" si="0"/>
        <v>2014</v>
      </c>
      <c r="H64" s="88">
        <v>43281</v>
      </c>
      <c r="I64" s="120"/>
      <c r="J64" s="326">
        <v>1</v>
      </c>
      <c r="K64" s="326">
        <v>1</v>
      </c>
      <c r="L64" s="326">
        <v>1</v>
      </c>
      <c r="M64" s="326">
        <v>1</v>
      </c>
      <c r="N64" s="326">
        <v>1</v>
      </c>
      <c r="O64" s="326">
        <v>1</v>
      </c>
      <c r="P64" s="326">
        <v>1</v>
      </c>
      <c r="Q64" s="326">
        <v>1</v>
      </c>
      <c r="R64" s="326">
        <v>1</v>
      </c>
      <c r="S64" s="326">
        <v>1</v>
      </c>
      <c r="T64" s="326">
        <v>1</v>
      </c>
      <c r="U64" s="326">
        <v>1</v>
      </c>
      <c r="V64" s="312"/>
      <c r="W64" s="312"/>
      <c r="X64" s="312"/>
      <c r="Y64" s="312"/>
      <c r="Z64" s="311">
        <f t="shared" si="1"/>
        <v>14</v>
      </c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2"/>
      <c r="AN64" s="312"/>
      <c r="AO64" s="312"/>
      <c r="AP64" s="312"/>
      <c r="AQ64" s="312"/>
      <c r="AR64" s="312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</row>
    <row r="65" spans="1:66" s="79" customFormat="1">
      <c r="A65" s="118" t="s">
        <v>457</v>
      </c>
      <c r="B65" s="6" t="str">
        <f>A65&amp;IF(COUNTIF($A$4:A65,A65)&gt;1,"("&amp;COUNTIF($A$4:A65,A65)&amp;")","")</f>
        <v>삼성물산(7)</v>
      </c>
      <c r="C65" s="79" t="s">
        <v>53</v>
      </c>
      <c r="D65" s="79" t="s">
        <v>430</v>
      </c>
      <c r="E65" s="121">
        <v>64429.548243999998</v>
      </c>
      <c r="F65" s="88">
        <v>41919</v>
      </c>
      <c r="G65" s="273">
        <f t="shared" si="0"/>
        <v>2014</v>
      </c>
      <c r="H65" s="88">
        <v>43020</v>
      </c>
      <c r="I65" s="120"/>
      <c r="J65" s="326">
        <v>1</v>
      </c>
      <c r="K65" s="326">
        <v>0.99</v>
      </c>
      <c r="L65" s="326">
        <v>0.99</v>
      </c>
      <c r="M65" s="326">
        <v>0.99099999999999999</v>
      </c>
      <c r="N65" s="326">
        <v>0.99099999999999999</v>
      </c>
      <c r="O65" s="326">
        <v>0.99099999999999999</v>
      </c>
      <c r="P65" s="326">
        <v>0.99099999999999999</v>
      </c>
      <c r="Q65" s="326">
        <v>0.99099999999999999</v>
      </c>
      <c r="R65" s="326">
        <v>1</v>
      </c>
      <c r="S65" s="326">
        <v>1</v>
      </c>
      <c r="T65" s="326">
        <v>1</v>
      </c>
      <c r="U65" s="326">
        <v>1</v>
      </c>
      <c r="V65" s="312"/>
      <c r="W65" s="312"/>
      <c r="X65" s="312"/>
      <c r="Y65" s="312"/>
      <c r="Z65" s="311">
        <f t="shared" si="1"/>
        <v>12</v>
      </c>
      <c r="AA65" s="312"/>
      <c r="AB65" s="312"/>
      <c r="AC65" s="312"/>
      <c r="AD65" s="312"/>
      <c r="AE65" s="312"/>
      <c r="AF65" s="312"/>
      <c r="AG65" s="312"/>
      <c r="AH65" s="312"/>
      <c r="AI65" s="312"/>
      <c r="AJ65" s="312"/>
      <c r="AK65" s="312"/>
      <c r="AL65" s="312"/>
      <c r="AM65" s="312"/>
      <c r="AN65" s="312"/>
      <c r="AO65" s="312"/>
      <c r="AP65" s="312"/>
      <c r="AQ65" s="312"/>
      <c r="AR65" s="312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</row>
    <row r="66" spans="1:66" s="79" customFormat="1">
      <c r="A66" s="118" t="s">
        <v>456</v>
      </c>
      <c r="B66" s="6" t="str">
        <f>A66&amp;IF(COUNTIF($A$4:A66,A66)&gt;1,"("&amp;COUNTIF($A$4:A66,A66)&amp;")","")</f>
        <v>한국전력공사</v>
      </c>
      <c r="C66" s="79" t="s">
        <v>55</v>
      </c>
      <c r="D66" s="79" t="s">
        <v>430</v>
      </c>
      <c r="E66" s="121">
        <v>24364.561830999999</v>
      </c>
      <c r="F66" s="88">
        <v>40892</v>
      </c>
      <c r="G66" s="273">
        <f t="shared" si="0"/>
        <v>2011</v>
      </c>
      <c r="H66" s="88">
        <v>42993</v>
      </c>
      <c r="I66" s="120"/>
      <c r="J66" s="326">
        <v>1</v>
      </c>
      <c r="K66" s="326">
        <v>1</v>
      </c>
      <c r="L66" s="326">
        <v>1</v>
      </c>
      <c r="M66" s="326">
        <v>1</v>
      </c>
      <c r="N66" s="326">
        <v>1</v>
      </c>
      <c r="O66" s="326">
        <v>1</v>
      </c>
      <c r="P66" s="326">
        <v>1</v>
      </c>
      <c r="Q66" s="326">
        <v>1</v>
      </c>
      <c r="R66" s="326">
        <v>1</v>
      </c>
      <c r="S66" s="326">
        <v>1</v>
      </c>
      <c r="T66" s="326">
        <v>1</v>
      </c>
      <c r="U66" s="326">
        <v>1</v>
      </c>
      <c r="V66" s="312"/>
      <c r="W66" s="312"/>
      <c r="X66" s="312"/>
      <c r="Y66" s="312"/>
      <c r="Z66" s="311">
        <f t="shared" si="1"/>
        <v>23</v>
      </c>
      <c r="AA66" s="312"/>
      <c r="AB66" s="312"/>
      <c r="AC66" s="312"/>
      <c r="AD66" s="312"/>
      <c r="AE66" s="312"/>
      <c r="AF66" s="312"/>
      <c r="AG66" s="312"/>
      <c r="AH66" s="312"/>
      <c r="AI66" s="312"/>
      <c r="AJ66" s="312"/>
      <c r="AK66" s="312"/>
      <c r="AL66" s="312"/>
      <c r="AM66" s="312"/>
      <c r="AN66" s="312"/>
      <c r="AO66" s="312"/>
      <c r="AP66" s="312"/>
      <c r="AQ66" s="312"/>
      <c r="AR66" s="312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</row>
    <row r="67" spans="1:66" s="79" customFormat="1">
      <c r="A67" s="118" t="s">
        <v>456</v>
      </c>
      <c r="B67" s="6" t="str">
        <f>A67&amp;IF(COUNTIF($A$4:A67,A67)&gt;1,"("&amp;COUNTIF($A$4:A67,A67)&amp;")","")</f>
        <v>한국전력공사(2)</v>
      </c>
      <c r="C67" s="276" t="s">
        <v>55</v>
      </c>
      <c r="D67" s="276" t="s">
        <v>430</v>
      </c>
      <c r="E67" s="274">
        <v>41843.587267000003</v>
      </c>
      <c r="F67" s="275">
        <v>40722</v>
      </c>
      <c r="G67" s="273">
        <f t="shared" si="0"/>
        <v>2011</v>
      </c>
      <c r="H67" s="275">
        <v>43235</v>
      </c>
      <c r="I67" s="120"/>
      <c r="J67" s="330">
        <v>1</v>
      </c>
      <c r="K67" s="330">
        <v>1</v>
      </c>
      <c r="L67" s="330">
        <v>1</v>
      </c>
      <c r="M67" s="330">
        <v>1</v>
      </c>
      <c r="N67" s="330">
        <v>1</v>
      </c>
      <c r="O67" s="330">
        <v>1</v>
      </c>
      <c r="P67" s="330">
        <v>1</v>
      </c>
      <c r="Q67" s="330">
        <v>1</v>
      </c>
      <c r="R67" s="330">
        <v>1</v>
      </c>
      <c r="S67" s="330">
        <v>1</v>
      </c>
      <c r="T67" s="330">
        <v>1</v>
      </c>
      <c r="U67" s="330">
        <v>1</v>
      </c>
      <c r="V67" s="312"/>
      <c r="W67" s="312"/>
      <c r="X67" s="312"/>
      <c r="Y67" s="312"/>
      <c r="Z67" s="311">
        <f t="shared" si="1"/>
        <v>28</v>
      </c>
      <c r="AA67" s="312"/>
      <c r="AB67" s="312"/>
      <c r="AC67" s="312"/>
      <c r="AD67" s="312"/>
      <c r="AE67" s="312"/>
      <c r="AF67" s="312"/>
      <c r="AG67" s="312"/>
      <c r="AH67" s="312"/>
      <c r="AI67" s="312"/>
      <c r="AJ67" s="312"/>
      <c r="AK67" s="312"/>
      <c r="AL67" s="312"/>
      <c r="AM67" s="312"/>
      <c r="AN67" s="312"/>
      <c r="AO67" s="312"/>
      <c r="AP67" s="312"/>
      <c r="AQ67" s="312"/>
      <c r="AR67" s="312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</row>
    <row r="68" spans="1:66" s="139" customFormat="1">
      <c r="A68" s="279" t="s">
        <v>455</v>
      </c>
      <c r="B68" s="59" t="str">
        <f>A68&amp;IF(COUNTIF($A$4:A68,A68)&gt;1,"("&amp;COUNTIF($A$4:A68,A68)&amp;")","")</f>
        <v>대우건설(3)</v>
      </c>
      <c r="C68" s="139" t="s">
        <v>53</v>
      </c>
      <c r="D68" s="139" t="s">
        <v>430</v>
      </c>
      <c r="E68" s="140">
        <v>52372.906543999998</v>
      </c>
      <c r="F68" s="138">
        <v>39665</v>
      </c>
      <c r="G68" s="280">
        <f t="shared" si="0"/>
        <v>2008</v>
      </c>
      <c r="H68" s="138">
        <v>40148</v>
      </c>
      <c r="I68" s="137"/>
      <c r="J68" s="332">
        <v>1</v>
      </c>
      <c r="K68" s="332">
        <v>1</v>
      </c>
      <c r="L68" s="332">
        <v>1</v>
      </c>
      <c r="M68" s="332">
        <v>1</v>
      </c>
      <c r="N68" s="332">
        <v>1</v>
      </c>
      <c r="O68" s="332">
        <v>1</v>
      </c>
      <c r="P68" s="332">
        <v>1</v>
      </c>
      <c r="Q68" s="332">
        <v>1</v>
      </c>
      <c r="R68" s="332">
        <v>1</v>
      </c>
      <c r="S68" s="332">
        <v>1</v>
      </c>
      <c r="T68" s="332">
        <v>1</v>
      </c>
      <c r="U68" s="332">
        <v>1</v>
      </c>
      <c r="V68" s="321"/>
      <c r="W68" s="321"/>
      <c r="X68" s="321"/>
      <c r="Y68" s="321"/>
      <c r="Z68" s="311">
        <f t="shared" si="1"/>
        <v>5</v>
      </c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  <c r="AN68" s="321"/>
      <c r="AO68" s="321"/>
      <c r="AP68" s="321"/>
      <c r="AQ68" s="321"/>
      <c r="AR68" s="321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</row>
    <row r="70" spans="1:66" s="122" customFormat="1">
      <c r="A70" s="123"/>
      <c r="C70" s="252" t="s">
        <v>453</v>
      </c>
      <c r="D70" s="253" t="s">
        <v>53</v>
      </c>
      <c r="E70" s="254" t="s">
        <v>521</v>
      </c>
      <c r="F70" s="253" t="s">
        <v>524</v>
      </c>
      <c r="G70" s="255"/>
      <c r="H70" s="256"/>
      <c r="I70" s="257"/>
      <c r="J70" s="251"/>
      <c r="M70" s="314"/>
      <c r="N70" s="314"/>
      <c r="O70" s="314"/>
      <c r="P70" s="313"/>
      <c r="Q70" s="313"/>
      <c r="R70" s="313"/>
      <c r="S70" s="313"/>
      <c r="T70" s="313"/>
      <c r="U70" s="313"/>
      <c r="V70" s="314"/>
      <c r="W70" s="314"/>
      <c r="X70" s="314"/>
      <c r="Y70" s="314"/>
      <c r="Z70" s="314"/>
      <c r="AA70" s="314"/>
      <c r="AB70" s="314"/>
      <c r="AC70" s="314"/>
      <c r="AD70" s="314"/>
      <c r="AE70" s="314"/>
      <c r="AF70" s="314"/>
      <c r="AG70" s="314"/>
      <c r="AH70" s="314"/>
      <c r="AI70" s="314"/>
      <c r="AJ70" s="314"/>
      <c r="AK70" s="314"/>
      <c r="AL70" s="314"/>
      <c r="AM70" s="314"/>
      <c r="AN70" s="314"/>
      <c r="AO70" s="314"/>
      <c r="AP70" s="314"/>
      <c r="AQ70" s="314"/>
      <c r="AR70" s="314"/>
    </row>
    <row r="71" spans="1:66" s="263" customFormat="1">
      <c r="A71" s="258" t="s">
        <v>423</v>
      </c>
      <c r="B71" s="259" t="s">
        <v>522</v>
      </c>
      <c r="C71" s="259" t="s">
        <v>453</v>
      </c>
      <c r="D71" s="259" t="s">
        <v>521</v>
      </c>
      <c r="E71" s="260" t="s">
        <v>520</v>
      </c>
      <c r="F71" s="261" t="s">
        <v>523</v>
      </c>
      <c r="G71" s="261" t="s">
        <v>518</v>
      </c>
      <c r="H71" s="261" t="s">
        <v>517</v>
      </c>
      <c r="I71" s="262" t="s">
        <v>516</v>
      </c>
      <c r="M71" s="415" cm="1">
        <f t="array" ref="M71">_xlfn.IFS(SUM($L71:L71)&gt;=$E71,0,M$70=$G71,$E71*10%,L71&gt;0,$E71*0.9/5, TRUE, 0)</f>
        <v>0</v>
      </c>
      <c r="N71" s="415" cm="1">
        <f t="array" ref="N71">_xlfn.IFS(SUM($L71:M71)&gt;=$E71,0,N$70=$G71,$E71*10%,M71&gt;0,$E71*0.9/5, TRUE, 0)</f>
        <v>0</v>
      </c>
      <c r="O71" s="415" cm="1">
        <f t="array" ref="O71">_xlfn.IFS(SUM($L71:N71)&gt;=$E71,0,O$70=$G71,$E71*10%,N71&gt;0,$E71*0.9/5, TRUE, 0)</f>
        <v>0</v>
      </c>
      <c r="P71" s="415" cm="1">
        <f t="array" ref="P71">_xlfn.IFS(SUM($L71:O71)&gt;=$E71,0,P$70=$G71,$E71*10%,O71&gt;0,$E71*0.9/5, TRUE, 0)</f>
        <v>0</v>
      </c>
      <c r="Q71" s="415" cm="1">
        <f t="array" ref="Q71">_xlfn.IFS(SUM($L71:P71)&gt;=$E71,0,Q$70=$G71,$E71*10%,P71&gt;0,$E71*0.9/5, TRUE, 0)</f>
        <v>0</v>
      </c>
      <c r="R71" s="415" cm="1">
        <f t="array" ref="R71">_xlfn.IFS(SUM($L71:Q71)&gt;=$E71,0,R$70=$G71,$E71*10%,Q71&gt;0,$E71*0.9/5, TRUE, 0)</f>
        <v>0</v>
      </c>
      <c r="S71" s="415" cm="1">
        <f t="array" ref="S71">_xlfn.IFS(SUM($L71:R71)&gt;=$E71,0,S$70=$G71,$E71*10%,R71&gt;0,$E71*0.9/5, TRUE, 0)</f>
        <v>0</v>
      </c>
      <c r="T71" s="415" cm="1">
        <f t="array" ref="T71">_xlfn.IFS(SUM($L71:S71)&gt;=$E71,0,T$70=$G71,$E71*10%,S71&gt;0,$E71*0.9/5, TRUE, 0)</f>
        <v>0</v>
      </c>
      <c r="U71" s="415" cm="1">
        <f t="array" ref="U71">_xlfn.IFS(SUM($L71:T71)&gt;=$E71,0,U$70=$G71,$E71*10%,T71&gt;0,$E71*0.9/5, TRUE, 0)</f>
        <v>0</v>
      </c>
      <c r="V71" s="415" cm="1">
        <f t="array" ref="V71">_xlfn.IFS(SUM($L71:U71)&gt;=$E71,0,V$70=$G71,$E71*10%,U71&gt;0,$E71*0.9/5, TRUE, 0)</f>
        <v>0</v>
      </c>
      <c r="W71" s="415" cm="1">
        <f t="array" ref="W71">_xlfn.IFS(SUM($L71:V71)&gt;=$E71,0,W$70=$G71,$E71*10%,V71&gt;0,$E71*0.9/5, TRUE, 0)</f>
        <v>0</v>
      </c>
      <c r="X71" s="415" cm="1">
        <f t="array" ref="X71">_xlfn.IFS(SUM($L71:W71)&gt;=$E71,0,X$70=$G71,$E71*10%,W71&gt;0,$E71*0.9/5, TRUE, 0)</f>
        <v>0</v>
      </c>
      <c r="Y71" s="415" cm="1">
        <f t="array" ref="Y71">_xlfn.IFS(SUM($L71:X71)&gt;=$E71,0,Y$70=$G71,$E71*10%,X71&gt;0,$E71*0.9/5, TRUE, 0)</f>
        <v>0</v>
      </c>
      <c r="Z71" s="415" cm="1">
        <f t="array" ref="Z71">_xlfn.IFS(SUM($L71:Y71)&gt;=$E71,0,Z$70=$G71,$E71*10%,Y71&gt;0,$E71*0.9/5, TRUE, 0)</f>
        <v>0</v>
      </c>
      <c r="AA71" s="415" cm="1">
        <f t="array" ref="AA71">_xlfn.IFS(SUM($L71:Z71)&gt;=$E71,0,AA$70=$G71,$E71*10%,Z71&gt;0,$E71*0.9/5, TRUE, 0)</f>
        <v>0</v>
      </c>
      <c r="AB71" s="415" cm="1">
        <f t="array" ref="AB71">_xlfn.IFS(SUM($L71:AA71)&gt;=$E71,0,AB$70=$G71,$E71*10%,AA71&gt;0,$E71*0.9/5, TRUE, 0)</f>
        <v>0</v>
      </c>
      <c r="AC71" s="415" cm="1">
        <f t="array" ref="AC71">_xlfn.IFS(SUM($L71:AB71)&gt;=$E71,0,AC$70=$G71,$E71*10%,AB71&gt;0,$E71*0.9/5, TRUE, 0)</f>
        <v>0</v>
      </c>
      <c r="AD71" s="415" cm="1">
        <f t="array" ref="AD71">_xlfn.IFS(SUM($L71:AC71)&gt;=$E71,0,AD$70=$G71,$E71*10%,AC71&gt;0,$E71*0.9/5, TRUE, 0)</f>
        <v>0</v>
      </c>
      <c r="AE71" s="415" cm="1">
        <f t="array" ref="AE71">_xlfn.IFS(SUM($L71:AD71)&gt;=$E71,0,AE$70=$G71,$E71*10%,AD71&gt;0,$E71*0.9/5, TRUE, 0)</f>
        <v>0</v>
      </c>
      <c r="AF71" s="415" cm="1">
        <f t="array" ref="AF71">_xlfn.IFS(SUM($L71:AE71)&gt;=$E71,0,AF$70=$G71,$E71*10%,AE71&gt;0,$E71*0.9/5, TRUE, 0)</f>
        <v>0</v>
      </c>
      <c r="AG71" s="415" cm="1">
        <f t="array" ref="AG71">_xlfn.IFS(SUM($L71:AF71)&gt;=$E71,0,AG$70=$G71,$E71*10%,AF71&gt;0,$E71*0.9/5, TRUE, 0)</f>
        <v>0</v>
      </c>
      <c r="AH71" s="415" cm="1">
        <f t="array" ref="AH71">_xlfn.IFS(SUM($L71:AG71)&gt;=$E71,0,AH$70=$G71,$E71*10%,AG71&gt;0,$E71*0.9/5, TRUE, 0)</f>
        <v>0</v>
      </c>
      <c r="AI71" s="415" cm="1">
        <f t="array" ref="AI71">_xlfn.IFS(SUM($L71:AH71)&gt;=$E71,0,AI$70=$G71,$E71*10%,AH71&gt;0,$E71*0.9/5, TRUE, 0)</f>
        <v>0</v>
      </c>
      <c r="AJ71" s="415" cm="1">
        <f t="array" ref="AJ71">_xlfn.IFS(SUM($L71:AI71)&gt;=$E71,0,AJ$70=$G71,$E71*10%,AI71&gt;0,$E71*0.9/5, TRUE, 0)</f>
        <v>0</v>
      </c>
      <c r="AK71" s="415" cm="1">
        <f t="array" ref="AK71">_xlfn.IFS(SUM($L71:AJ71)&gt;=$E71,0,AK$70=$G71,$E71*10%,AJ71&gt;0,$E71*0.9/5, TRUE, 0)</f>
        <v>0</v>
      </c>
      <c r="AL71" s="415" cm="1">
        <f t="array" ref="AL71">_xlfn.IFS(SUM($L71:AK71)&gt;=$E71,0,AL$70=$G71,$E71*10%,AK71&gt;0,$E71*0.9/5, TRUE, 0)</f>
        <v>0</v>
      </c>
      <c r="AM71" s="415" cm="1">
        <f t="array" ref="AM71">_xlfn.IFS(SUM($L71:AL71)&gt;=$E71,0,AM$70=$G71,$E71*10%,AL71&gt;0,$E71*0.9/5, TRUE, 0)</f>
        <v>0</v>
      </c>
      <c r="AN71" s="415" cm="1">
        <f t="array" ref="AN71">_xlfn.IFS(SUM($L71:AM71)&gt;=$E71,0,AN$70=$G71,$E71*10%,AM71&gt;0,$E71*0.9/5, TRUE, 0)</f>
        <v>0</v>
      </c>
      <c r="AO71" s="415" cm="1">
        <f t="array" ref="AO71">_xlfn.IFS(SUM($L71:AN71)&gt;=$E71,0,AO$70=$G71,$E71*10%,AN71&gt;0,$E71*0.9/5, TRUE, 0)</f>
        <v>0</v>
      </c>
      <c r="AP71" s="415" cm="1">
        <f t="array" ref="AP71">_xlfn.IFS(SUM($L71:AO71)&gt;=$E71,0,AP$70=$G71,$E71*10%,AO71&gt;0,$E71*0.9/5, TRUE, 0)</f>
        <v>0</v>
      </c>
      <c r="AQ71" s="415" cm="1">
        <f t="array" ref="AQ71">_xlfn.IFS(SUM($L71:AP71)&gt;=$E71,0,AQ$70=$G71,$E71*10%,AP71&gt;0,$E71*0.9/5, TRUE, 0)</f>
        <v>0</v>
      </c>
      <c r="AR71" s="415" cm="1">
        <f t="array" ref="AR71">_xlfn.IFS(SUM($L71:AQ71)&gt;=$E71,0,AR$70=$G71,$E71*10%,AQ71&gt;0,$E71*0.9/5, TRUE, 0)</f>
        <v>0</v>
      </c>
    </row>
    <row r="72" spans="1:66">
      <c r="B72" s="6" t="e" cm="1">
        <f t="array" aca="1" ref="B72:I88" ca="1">IF(F70="전체",_xlfn._xlws.FILTER(B4:I68,(C4:C68=D70)),_xlfn._xlws.FILTER(B4:I68,(C4:C68=D70)*(D4:D68=F70)))</f>
        <v>#NAME?</v>
      </c>
      <c r="C72" s="79" t="e">
        <f ca="1"/>
        <v>#NAME?</v>
      </c>
      <c r="D72" s="79" t="e">
        <f ca="1"/>
        <v>#NAME?</v>
      </c>
      <c r="E72" s="121" t="e">
        <f ca="1"/>
        <v>#NAME?</v>
      </c>
      <c r="F72" s="88" t="e">
        <f ca="1"/>
        <v>#NAME?</v>
      </c>
      <c r="G72" s="79" t="e">
        <f ca="1"/>
        <v>#NAME?</v>
      </c>
      <c r="H72" s="88" t="e">
        <f ca="1"/>
        <v>#NAME?</v>
      </c>
      <c r="I72" s="120" t="e">
        <f ca="1"/>
        <v>#NAME?</v>
      </c>
      <c r="J72" s="264" t="e">
        <f ca="1">VLOOKUP(B72,$B$4:$Z$68,COLUMN($Z$1)-1,FALSE)</f>
        <v>#NAME?</v>
      </c>
      <c r="M72" s="312" t="e" cm="1">
        <f t="array" aca="1" ref="M72" ca="1">_xlfn.IFS(SUM($L72:L72)&gt;=$E72,0,M$70=$G72,$E72*10%,L72&gt;0,$E72*0.9/5, TRUE, 0)</f>
        <v>#NAME?</v>
      </c>
      <c r="N72" s="312" t="e" cm="1">
        <f t="array" aca="1" ref="N72" ca="1">_xlfn.IFS(SUM($L72:M72)&gt;=$E72,0,N$70=$G72,$E72*10%,M72&gt;0,$E72*0.9/5, TRUE, 0)</f>
        <v>#NAME?</v>
      </c>
      <c r="O72" s="312" t="e" cm="1">
        <f t="array" aca="1" ref="O72" ca="1">_xlfn.IFS(SUM($L72:N72)&gt;=$E72,0,O$70=$G72,$E72*10%,N72&gt;0,$E72*0.9/5, TRUE, 0)</f>
        <v>#NAME?</v>
      </c>
      <c r="P72" s="312" t="e" cm="1">
        <f t="array" aca="1" ref="P72" ca="1">_xlfn.IFS(SUM($L72:O72)&gt;=$E72,0,P$70=$G72,$E72*10%,O72&gt;0,$E72*0.9/5, TRUE, 0)</f>
        <v>#NAME?</v>
      </c>
      <c r="Q72" s="312" t="e" cm="1">
        <f t="array" aca="1" ref="Q72" ca="1">_xlfn.IFS(SUM($L72:P72)&gt;=$E72,0,Q$70=$G72,$E72*10%,P72&gt;0,$E72*0.9/5, TRUE, 0)</f>
        <v>#NAME?</v>
      </c>
      <c r="R72" s="312" t="e" cm="1">
        <f t="array" aca="1" ref="R72" ca="1">_xlfn.IFS(SUM($L72:Q72)&gt;=$E72,0,R$70=$G72,$E72*10%,Q72&gt;0,$E72*0.9/5, TRUE, 0)</f>
        <v>#NAME?</v>
      </c>
      <c r="S72" s="312" t="e" cm="1">
        <f t="array" aca="1" ref="S72" ca="1">_xlfn.IFS(SUM($L72:R72)&gt;=$E72,0,S$70=$G72,$E72*10%,R72&gt;0,$E72*0.9/5, TRUE, 0)</f>
        <v>#NAME?</v>
      </c>
      <c r="T72" s="312" t="e" cm="1">
        <f t="array" aca="1" ref="T72" ca="1">_xlfn.IFS(SUM($L72:S72)&gt;=$E72,0,T$70=$G72,$E72*10%,S72&gt;0,$E72*0.9/5, TRUE, 0)</f>
        <v>#NAME?</v>
      </c>
      <c r="U72" s="312" t="e" cm="1">
        <f t="array" aca="1" ref="U72" ca="1">_xlfn.IFS(SUM($L72:T72)&gt;=$E72,0,U$70=$G72,$E72*10%,T72&gt;0,$E72*0.9/5, TRUE, 0)</f>
        <v>#NAME?</v>
      </c>
      <c r="V72" s="312" t="e" cm="1">
        <f t="array" aca="1" ref="V72" ca="1">_xlfn.IFS(SUM($L72:U72)&gt;=$E72,0,V$70=$G72,$E72*10%,U72&gt;0,$E72*0.9/5, TRUE, 0)</f>
        <v>#NAME?</v>
      </c>
      <c r="W72" s="312" t="e" cm="1">
        <f t="array" aca="1" ref="W72" ca="1">_xlfn.IFS(SUM($L72:V72)&gt;=$E72,0,W$70=$G72,$E72*10%,V72&gt;0,$E72*0.9/5, TRUE, 0)</f>
        <v>#NAME?</v>
      </c>
      <c r="X72" s="312" t="e" cm="1">
        <f t="array" aca="1" ref="X72" ca="1">_xlfn.IFS(SUM($L72:W72)&gt;=$E72,0,X$70=$G72,$E72*10%,W72&gt;0,$E72*0.9/5, TRUE, 0)</f>
        <v>#NAME?</v>
      </c>
      <c r="Y72" s="312" t="e" cm="1">
        <f t="array" aca="1" ref="Y72" ca="1">_xlfn.IFS(SUM($L72:X72)&gt;=$E72,0,Y$70=$G72,$E72*10%,X72&gt;0,$E72*0.9/5, TRUE, 0)</f>
        <v>#NAME?</v>
      </c>
      <c r="Z72" s="312" t="e" cm="1">
        <f t="array" aca="1" ref="Z72" ca="1">_xlfn.IFS(SUM($L72:Y72)&gt;=$E72,0,Z$70=$G72,$E72*10%,Y72&gt;0,$E72*0.9/5, TRUE, 0)</f>
        <v>#NAME?</v>
      </c>
      <c r="AA72" s="312" t="e" cm="1">
        <f t="array" aca="1" ref="AA72" ca="1">_xlfn.IFS(SUM($L72:Z72)&gt;=$E72,0,AA$70=$G72,$E72*10%,Z72&gt;0,$E72*0.9/5, TRUE, 0)</f>
        <v>#NAME?</v>
      </c>
      <c r="AB72" s="312" t="e" cm="1">
        <f t="array" aca="1" ref="AB72" ca="1">_xlfn.IFS(SUM($L72:AA72)&gt;=$E72,0,AB$70=$G72,$E72*10%,AA72&gt;0,$E72*0.9/5, TRUE, 0)</f>
        <v>#NAME?</v>
      </c>
      <c r="AC72" s="312" t="e" cm="1">
        <f t="array" aca="1" ref="AC72" ca="1">_xlfn.IFS(SUM($L72:AB72)&gt;=$E72,0,AC$70=$G72,$E72*10%,AB72&gt;0,$E72*0.9/5, TRUE, 0)</f>
        <v>#NAME?</v>
      </c>
      <c r="AD72" s="312" t="e" cm="1">
        <f t="array" aca="1" ref="AD72" ca="1">_xlfn.IFS(SUM($L72:AC72)&gt;=$E72,0,AD$70=$G72,$E72*10%,AC72&gt;0,$E72*0.9/5, TRUE, 0)</f>
        <v>#NAME?</v>
      </c>
      <c r="AE72" s="312" t="e" cm="1">
        <f t="array" aca="1" ref="AE72" ca="1">_xlfn.IFS(SUM($L72:AD72)&gt;=$E72,0,AE$70=$G72,$E72*10%,AD72&gt;0,$E72*0.9/5, TRUE, 0)</f>
        <v>#NAME?</v>
      </c>
      <c r="AF72" s="312" t="e" cm="1">
        <f t="array" aca="1" ref="AF72" ca="1">_xlfn.IFS(SUM($L72:AE72)&gt;=$E72,0,AF$70=$G72,$E72*10%,AE72&gt;0,$E72*0.9/5, TRUE, 0)</f>
        <v>#NAME?</v>
      </c>
      <c r="AG72" s="312" t="e" cm="1">
        <f t="array" aca="1" ref="AG72" ca="1">_xlfn.IFS(SUM($L72:AF72)&gt;=$E72,0,AG$70=$G72,$E72*10%,AF72&gt;0,$E72*0.9/5, TRUE, 0)</f>
        <v>#NAME?</v>
      </c>
      <c r="AH72" s="312" t="e" cm="1">
        <f t="array" aca="1" ref="AH72" ca="1">_xlfn.IFS(SUM($L72:AG72)&gt;=$E72,0,AH$70=$G72,$E72*10%,AG72&gt;0,$E72*0.9/5, TRUE, 0)</f>
        <v>#NAME?</v>
      </c>
      <c r="AI72" s="312" t="e" cm="1">
        <f t="array" aca="1" ref="AI72" ca="1">_xlfn.IFS(SUM($L72:AH72)&gt;=$E72,0,AI$70=$G72,$E72*10%,AH72&gt;0,$E72*0.9/5, TRUE, 0)</f>
        <v>#NAME?</v>
      </c>
      <c r="AJ72" s="312" t="e" cm="1">
        <f t="array" aca="1" ref="AJ72" ca="1">_xlfn.IFS(SUM($L72:AI72)&gt;=$E72,0,AJ$70=$G72,$E72*10%,AI72&gt;0,$E72*0.9/5, TRUE, 0)</f>
        <v>#NAME?</v>
      </c>
      <c r="AK72" s="312" t="e" cm="1">
        <f t="array" aca="1" ref="AK72" ca="1">_xlfn.IFS(SUM($L72:AJ72)&gt;=$E72,0,AK$70=$G72,$E72*10%,AJ72&gt;0,$E72*0.9/5, TRUE, 0)</f>
        <v>#NAME?</v>
      </c>
      <c r="AL72" s="312" t="e" cm="1">
        <f t="array" aca="1" ref="AL72" ca="1">_xlfn.IFS(SUM($L72:AK72)&gt;=$E72,0,AL$70=$G72,$E72*10%,AK72&gt;0,$E72*0.9/5, TRUE, 0)</f>
        <v>#NAME?</v>
      </c>
      <c r="AM72" s="312" t="e" cm="1">
        <f t="array" aca="1" ref="AM72" ca="1">_xlfn.IFS(SUM($L72:AL72)&gt;=$E72,0,AM$70=$G72,$E72*10%,AL72&gt;0,$E72*0.9/5, TRUE, 0)</f>
        <v>#NAME?</v>
      </c>
      <c r="AN72" s="312" t="e" cm="1">
        <f t="array" aca="1" ref="AN72" ca="1">_xlfn.IFS(SUM($L72:AM72)&gt;=$E72,0,AN$70=$G72,$E72*10%,AM72&gt;0,$E72*0.9/5, TRUE, 0)</f>
        <v>#NAME?</v>
      </c>
      <c r="AO72" s="312" t="e" cm="1">
        <f t="array" aca="1" ref="AO72" ca="1">_xlfn.IFS(SUM($L72:AN72)&gt;=$E72,0,AO$70=$G72,$E72*10%,AN72&gt;0,$E72*0.9/5, TRUE, 0)</f>
        <v>#NAME?</v>
      </c>
      <c r="AP72" s="312" t="e" cm="1">
        <f t="array" aca="1" ref="AP72" ca="1">_xlfn.IFS(SUM($L72:AO72)&gt;=$E72,0,AP$70=$G72,$E72*10%,AO72&gt;0,$E72*0.9/5, TRUE, 0)</f>
        <v>#NAME?</v>
      </c>
      <c r="AQ72" s="312" t="e" cm="1">
        <f t="array" aca="1" ref="AQ72" ca="1">_xlfn.IFS(SUM($L72:AP72)&gt;=$E72,0,AQ$70=$G72,$E72*10%,AP72&gt;0,$E72*0.9/5, TRUE, 0)</f>
        <v>#NAME?</v>
      </c>
      <c r="AR72" s="312" t="e" cm="1">
        <f t="array" aca="1" ref="AR72" ca="1">_xlfn.IFS(SUM($L72:AQ72)&gt;=$E72,0,AR$70=$G72,$E72*10%,AQ72&gt;0,$E72*0.9/5, TRUE, 0)</f>
        <v>#NAME?</v>
      </c>
    </row>
    <row r="73" spans="1:66">
      <c r="B73" s="6" t="e">
        <f ca="1"/>
        <v>#NAME?</v>
      </c>
      <c r="C73" s="79" t="e">
        <f ca="1"/>
        <v>#NAME?</v>
      </c>
      <c r="D73" s="79" t="e">
        <f ca="1"/>
        <v>#NAME?</v>
      </c>
      <c r="E73" s="121" t="e">
        <f ca="1"/>
        <v>#NAME?</v>
      </c>
      <c r="F73" s="88" t="e">
        <f ca="1"/>
        <v>#NAME?</v>
      </c>
      <c r="G73" s="79" t="e">
        <f ca="1"/>
        <v>#NAME?</v>
      </c>
      <c r="H73" s="88" t="e">
        <f ca="1"/>
        <v>#NAME?</v>
      </c>
      <c r="I73" s="120" t="e">
        <f ca="1"/>
        <v>#NAME?</v>
      </c>
      <c r="J73" s="264" t="e">
        <f t="shared" ref="J73:J111" ca="1" si="2">VLOOKUP(B73,$B$4:$Z$68,COLUMN($Z$1)-1,FALSE)</f>
        <v>#NAME?</v>
      </c>
      <c r="M73" s="312" t="e" cm="1">
        <f t="array" aca="1" ref="M73" ca="1">_xlfn.IFS(SUM($L73:L73)&gt;=$E73,0,M$70=$G73,$E73*10%,L73&gt;0,$E73*0.9/5, TRUE, 0)</f>
        <v>#NAME?</v>
      </c>
      <c r="N73" s="312" t="e" cm="1">
        <f t="array" aca="1" ref="N73" ca="1">_xlfn.IFS(SUM($L73:M73)&gt;=$E73,0,N$70=$G73,$E73*10%,M73&gt;0,$E73*0.9/5, TRUE, 0)</f>
        <v>#NAME?</v>
      </c>
      <c r="O73" s="312" t="e" cm="1">
        <f t="array" aca="1" ref="O73" ca="1">_xlfn.IFS(SUM($L73:N73)&gt;=$E73,0,O$70=$G73,$E73*10%,N73&gt;0,$E73*0.9/5, TRUE, 0)</f>
        <v>#NAME?</v>
      </c>
      <c r="P73" s="312" t="e" cm="1">
        <f t="array" aca="1" ref="P73" ca="1">_xlfn.IFS(SUM($L73:O73)&gt;=$E73,0,P$70=$G73,$E73*10%,O73&gt;0,$E73*0.9/5, TRUE, 0)</f>
        <v>#NAME?</v>
      </c>
      <c r="Q73" s="312" t="e" cm="1">
        <f t="array" aca="1" ref="Q73" ca="1">_xlfn.IFS(SUM($L73:P73)&gt;=$E73,0,Q$70=$G73,$E73*10%,P73&gt;0,$E73*0.9/5, TRUE, 0)</f>
        <v>#NAME?</v>
      </c>
      <c r="R73" s="312" t="e" cm="1">
        <f t="array" aca="1" ref="R73" ca="1">_xlfn.IFS(SUM($L73:Q73)&gt;=$E73,0,R$70=$G73,$E73*10%,Q73&gt;0,$E73*0.9/5, TRUE, 0)</f>
        <v>#NAME?</v>
      </c>
      <c r="S73" s="312" t="e" cm="1">
        <f t="array" aca="1" ref="S73" ca="1">_xlfn.IFS(SUM($L73:R73)&gt;=$E73,0,S$70=$G73,$E73*10%,R73&gt;0,$E73*0.9/5, TRUE, 0)</f>
        <v>#NAME?</v>
      </c>
      <c r="T73" s="312" t="e" cm="1">
        <f t="array" aca="1" ref="T73" ca="1">_xlfn.IFS(SUM($L73:S73)&gt;=$E73,0,T$70=$G73,$E73*10%,S73&gt;0,$E73*0.9/5, TRUE, 0)</f>
        <v>#NAME?</v>
      </c>
      <c r="U73" s="312" t="e" cm="1">
        <f t="array" aca="1" ref="U73" ca="1">_xlfn.IFS(SUM($L73:T73)&gt;=$E73,0,U$70=$G73,$E73*10%,T73&gt;0,$E73*0.9/5, TRUE, 0)</f>
        <v>#NAME?</v>
      </c>
      <c r="V73" s="312" t="e" cm="1">
        <f t="array" aca="1" ref="V73" ca="1">_xlfn.IFS(SUM($L73:U73)&gt;=$E73,0,V$70=$G73,$E73*10%,U73&gt;0,$E73*0.9/5, TRUE, 0)</f>
        <v>#NAME?</v>
      </c>
      <c r="W73" s="312" t="e" cm="1">
        <f t="array" aca="1" ref="W73" ca="1">_xlfn.IFS(SUM($L73:V73)&gt;=$E73,0,W$70=$G73,$E73*10%,V73&gt;0,$E73*0.9/5, TRUE, 0)</f>
        <v>#NAME?</v>
      </c>
      <c r="X73" s="312" t="e" cm="1">
        <f t="array" aca="1" ref="X73" ca="1">_xlfn.IFS(SUM($L73:W73)&gt;=$E73,0,X$70=$G73,$E73*10%,W73&gt;0,$E73*0.9/5, TRUE, 0)</f>
        <v>#NAME?</v>
      </c>
      <c r="Y73" s="312" t="e" cm="1">
        <f t="array" aca="1" ref="Y73" ca="1">_xlfn.IFS(SUM($L73:X73)&gt;=$E73,0,Y$70=$G73,$E73*10%,X73&gt;0,$E73*0.9/5, TRUE, 0)</f>
        <v>#NAME?</v>
      </c>
      <c r="Z73" s="312" t="e" cm="1">
        <f t="array" aca="1" ref="Z73" ca="1">_xlfn.IFS(SUM($L73:Y73)&gt;=$E73,0,Z$70=$G73,$E73*10%,Y73&gt;0,$E73*0.9/5, TRUE, 0)</f>
        <v>#NAME?</v>
      </c>
      <c r="AA73" s="312" t="e" cm="1">
        <f t="array" aca="1" ref="AA73" ca="1">_xlfn.IFS(SUM($L73:Z73)&gt;=$E73,0,AA$70=$G73,$E73*10%,Z73&gt;0,$E73*0.9/5, TRUE, 0)</f>
        <v>#NAME?</v>
      </c>
      <c r="AB73" s="312" t="e" cm="1">
        <f t="array" aca="1" ref="AB73" ca="1">_xlfn.IFS(SUM($L73:AA73)&gt;=$E73,0,AB$70=$G73,$E73*10%,AA73&gt;0,$E73*0.9/5, TRUE, 0)</f>
        <v>#NAME?</v>
      </c>
      <c r="AC73" s="312" t="e" cm="1">
        <f t="array" aca="1" ref="AC73" ca="1">_xlfn.IFS(SUM($L73:AB73)&gt;=$E73,0,AC$70=$G73,$E73*10%,AB73&gt;0,$E73*0.9/5, TRUE, 0)</f>
        <v>#NAME?</v>
      </c>
      <c r="AD73" s="312" t="e" cm="1">
        <f t="array" aca="1" ref="AD73" ca="1">_xlfn.IFS(SUM($L73:AC73)&gt;=$E73,0,AD$70=$G73,$E73*10%,AC73&gt;0,$E73*0.9/5, TRUE, 0)</f>
        <v>#NAME?</v>
      </c>
      <c r="AE73" s="312" t="e" cm="1">
        <f t="array" aca="1" ref="AE73" ca="1">_xlfn.IFS(SUM($L73:AD73)&gt;=$E73,0,AE$70=$G73,$E73*10%,AD73&gt;0,$E73*0.9/5, TRUE, 0)</f>
        <v>#NAME?</v>
      </c>
      <c r="AF73" s="312" t="e" cm="1">
        <f t="array" aca="1" ref="AF73" ca="1">_xlfn.IFS(SUM($L73:AE73)&gt;=$E73,0,AF$70=$G73,$E73*10%,AE73&gt;0,$E73*0.9/5, TRUE, 0)</f>
        <v>#NAME?</v>
      </c>
      <c r="AG73" s="312" t="e" cm="1">
        <f t="array" aca="1" ref="AG73" ca="1">_xlfn.IFS(SUM($L73:AF73)&gt;=$E73,0,AG$70=$G73,$E73*10%,AF73&gt;0,$E73*0.9/5, TRUE, 0)</f>
        <v>#NAME?</v>
      </c>
      <c r="AH73" s="312" t="e" cm="1">
        <f t="array" aca="1" ref="AH73" ca="1">_xlfn.IFS(SUM($L73:AG73)&gt;=$E73,0,AH$70=$G73,$E73*10%,AG73&gt;0,$E73*0.9/5, TRUE, 0)</f>
        <v>#NAME?</v>
      </c>
      <c r="AI73" s="312" t="e" cm="1">
        <f t="array" aca="1" ref="AI73" ca="1">_xlfn.IFS(SUM($L73:AH73)&gt;=$E73,0,AI$70=$G73,$E73*10%,AH73&gt;0,$E73*0.9/5, TRUE, 0)</f>
        <v>#NAME?</v>
      </c>
      <c r="AJ73" s="312" t="e" cm="1">
        <f t="array" aca="1" ref="AJ73" ca="1">_xlfn.IFS(SUM($L73:AI73)&gt;=$E73,0,AJ$70=$G73,$E73*10%,AI73&gt;0,$E73*0.9/5, TRUE, 0)</f>
        <v>#NAME?</v>
      </c>
      <c r="AK73" s="312" t="e" cm="1">
        <f t="array" aca="1" ref="AK73" ca="1">_xlfn.IFS(SUM($L73:AJ73)&gt;=$E73,0,AK$70=$G73,$E73*10%,AJ73&gt;0,$E73*0.9/5, TRUE, 0)</f>
        <v>#NAME?</v>
      </c>
      <c r="AL73" s="312" t="e" cm="1">
        <f t="array" aca="1" ref="AL73" ca="1">_xlfn.IFS(SUM($L73:AK73)&gt;=$E73,0,AL$70=$G73,$E73*10%,AK73&gt;0,$E73*0.9/5, TRUE, 0)</f>
        <v>#NAME?</v>
      </c>
      <c r="AM73" s="312" t="e" cm="1">
        <f t="array" aca="1" ref="AM73" ca="1">_xlfn.IFS(SUM($L73:AL73)&gt;=$E73,0,AM$70=$G73,$E73*10%,AL73&gt;0,$E73*0.9/5, TRUE, 0)</f>
        <v>#NAME?</v>
      </c>
      <c r="AN73" s="312" t="e" cm="1">
        <f t="array" aca="1" ref="AN73" ca="1">_xlfn.IFS(SUM($L73:AM73)&gt;=$E73,0,AN$70=$G73,$E73*10%,AM73&gt;0,$E73*0.9/5, TRUE, 0)</f>
        <v>#NAME?</v>
      </c>
      <c r="AO73" s="312" t="e" cm="1">
        <f t="array" aca="1" ref="AO73" ca="1">_xlfn.IFS(SUM($L73:AN73)&gt;=$E73,0,AO$70=$G73,$E73*10%,AN73&gt;0,$E73*0.9/5, TRUE, 0)</f>
        <v>#NAME?</v>
      </c>
      <c r="AP73" s="312" t="e" cm="1">
        <f t="array" aca="1" ref="AP73" ca="1">_xlfn.IFS(SUM($L73:AO73)&gt;=$E73,0,AP$70=$G73,$E73*10%,AO73&gt;0,$E73*0.9/5, TRUE, 0)</f>
        <v>#NAME?</v>
      </c>
      <c r="AQ73" s="312" t="e" cm="1">
        <f t="array" aca="1" ref="AQ73" ca="1">_xlfn.IFS(SUM($L73:AP73)&gt;=$E73,0,AQ$70=$G73,$E73*10%,AP73&gt;0,$E73*0.9/5, TRUE, 0)</f>
        <v>#NAME?</v>
      </c>
      <c r="AR73" s="312" t="e" cm="1">
        <f t="array" aca="1" ref="AR73" ca="1">_xlfn.IFS(SUM($L73:AQ73)&gt;=$E73,0,AR$70=$G73,$E73*10%,AQ73&gt;0,$E73*0.9/5, TRUE, 0)</f>
        <v>#NAME?</v>
      </c>
    </row>
    <row r="74" spans="1:66">
      <c r="B74" s="6" t="e">
        <f ca="1"/>
        <v>#NAME?</v>
      </c>
      <c r="C74" s="79" t="e">
        <f ca="1"/>
        <v>#NAME?</v>
      </c>
      <c r="D74" s="79" t="e">
        <f ca="1"/>
        <v>#NAME?</v>
      </c>
      <c r="E74" s="121" t="e">
        <f ca="1"/>
        <v>#NAME?</v>
      </c>
      <c r="F74" s="88" t="e">
        <f ca="1"/>
        <v>#NAME?</v>
      </c>
      <c r="G74" s="79" t="e">
        <f ca="1"/>
        <v>#NAME?</v>
      </c>
      <c r="H74" s="88" t="e">
        <f ca="1"/>
        <v>#NAME?</v>
      </c>
      <c r="I74" s="120" t="e">
        <f ca="1"/>
        <v>#NAME?</v>
      </c>
      <c r="J74" s="264" t="e">
        <f t="shared" ca="1" si="2"/>
        <v>#NAME?</v>
      </c>
      <c r="M74" s="312" t="e" cm="1">
        <f t="array" aca="1" ref="M74" ca="1">_xlfn.IFS(SUM($L74:L74)&gt;=$E74,0,M$70=$G74,$E74*10%,L74&gt;0,$E74*0.9/5, TRUE, 0)</f>
        <v>#NAME?</v>
      </c>
      <c r="N74" s="312" t="e" cm="1">
        <f t="array" aca="1" ref="N74" ca="1">_xlfn.IFS(SUM($L74:M74)&gt;=$E74,0,N$70=$G74,$E74*10%,M74&gt;0,$E74*0.9/5, TRUE, 0)</f>
        <v>#NAME?</v>
      </c>
      <c r="O74" s="312" t="e" cm="1">
        <f t="array" aca="1" ref="O74" ca="1">_xlfn.IFS(SUM($L74:N74)&gt;=$E74,0,O$70=$G74,$E74*10%,N74&gt;0,$E74*0.9/5, TRUE, 0)</f>
        <v>#NAME?</v>
      </c>
      <c r="P74" s="312" t="e" cm="1">
        <f t="array" aca="1" ref="P74" ca="1">_xlfn.IFS(SUM($L74:O74)&gt;=$E74,0,P$70=$G74,$E74*10%,O74&gt;0,$E74*0.9/5, TRUE, 0)</f>
        <v>#NAME?</v>
      </c>
      <c r="Q74" s="312" t="e" cm="1">
        <f t="array" aca="1" ref="Q74" ca="1">_xlfn.IFS(SUM($L74:P74)&gt;=$E74,0,Q$70=$G74,$E74*10%,P74&gt;0,$E74*0.9/5, TRUE, 0)</f>
        <v>#NAME?</v>
      </c>
      <c r="R74" s="312" t="e" cm="1">
        <f t="array" aca="1" ref="R74" ca="1">_xlfn.IFS(SUM($L74:Q74)&gt;=$E74,0,R$70=$G74,$E74*10%,Q74&gt;0,$E74*0.9/5, TRUE, 0)</f>
        <v>#NAME?</v>
      </c>
      <c r="S74" s="312" t="e" cm="1">
        <f t="array" aca="1" ref="S74" ca="1">_xlfn.IFS(SUM($L74:R74)&gt;=$E74,0,S$70=$G74,$E74*10%,R74&gt;0,$E74*0.9/5, TRUE, 0)</f>
        <v>#NAME?</v>
      </c>
      <c r="T74" s="312" t="e" cm="1">
        <f t="array" aca="1" ref="T74" ca="1">_xlfn.IFS(SUM($L74:S74)&gt;=$E74,0,T$70=$G74,$E74*10%,S74&gt;0,$E74*0.9/5, TRUE, 0)</f>
        <v>#NAME?</v>
      </c>
      <c r="U74" s="312" t="e" cm="1">
        <f t="array" aca="1" ref="U74" ca="1">_xlfn.IFS(SUM($L74:T74)&gt;=$E74,0,U$70=$G74,$E74*10%,T74&gt;0,$E74*0.9/5, TRUE, 0)</f>
        <v>#NAME?</v>
      </c>
      <c r="V74" s="312" t="e" cm="1">
        <f t="array" aca="1" ref="V74" ca="1">_xlfn.IFS(SUM($L74:U74)&gt;=$E74,0,V$70=$G74,$E74*10%,U74&gt;0,$E74*0.9/5, TRUE, 0)</f>
        <v>#NAME?</v>
      </c>
      <c r="W74" s="312" t="e" cm="1">
        <f t="array" aca="1" ref="W74" ca="1">_xlfn.IFS(SUM($L74:V74)&gt;=$E74,0,W$70=$G74,$E74*10%,V74&gt;0,$E74*0.9/5, TRUE, 0)</f>
        <v>#NAME?</v>
      </c>
      <c r="X74" s="312" t="e" cm="1">
        <f t="array" aca="1" ref="X74" ca="1">_xlfn.IFS(SUM($L74:W74)&gt;=$E74,0,X$70=$G74,$E74*10%,W74&gt;0,$E74*0.9/5, TRUE, 0)</f>
        <v>#NAME?</v>
      </c>
      <c r="Y74" s="312" t="e" cm="1">
        <f t="array" aca="1" ref="Y74" ca="1">_xlfn.IFS(SUM($L74:X74)&gt;=$E74,0,Y$70=$G74,$E74*10%,X74&gt;0,$E74*0.9/5, TRUE, 0)</f>
        <v>#NAME?</v>
      </c>
      <c r="Z74" s="312" t="e" cm="1">
        <f t="array" aca="1" ref="Z74" ca="1">_xlfn.IFS(SUM($L74:Y74)&gt;=$E74,0,Z$70=$G74,$E74*10%,Y74&gt;0,$E74*0.9/5, TRUE, 0)</f>
        <v>#NAME?</v>
      </c>
      <c r="AA74" s="312" t="e" cm="1">
        <f t="array" aca="1" ref="AA74" ca="1">_xlfn.IFS(SUM($L74:Z74)&gt;=$E74,0,AA$70=$G74,$E74*10%,Z74&gt;0,$E74*0.9/5, TRUE, 0)</f>
        <v>#NAME?</v>
      </c>
      <c r="AB74" s="312" t="e" cm="1">
        <f t="array" aca="1" ref="AB74" ca="1">_xlfn.IFS(SUM($L74:AA74)&gt;=$E74,0,AB$70=$G74,$E74*10%,AA74&gt;0,$E74*0.9/5, TRUE, 0)</f>
        <v>#NAME?</v>
      </c>
      <c r="AC74" s="312" t="e" cm="1">
        <f t="array" aca="1" ref="AC74" ca="1">_xlfn.IFS(SUM($L74:AB74)&gt;=$E74,0,AC$70=$G74,$E74*10%,AB74&gt;0,$E74*0.9/5, TRUE, 0)</f>
        <v>#NAME?</v>
      </c>
      <c r="AD74" s="312" t="e" cm="1">
        <f t="array" aca="1" ref="AD74" ca="1">_xlfn.IFS(SUM($L74:AC74)&gt;=$E74,0,AD$70=$G74,$E74*10%,AC74&gt;0,$E74*0.9/5, TRUE, 0)</f>
        <v>#NAME?</v>
      </c>
      <c r="AE74" s="312" t="e" cm="1">
        <f t="array" aca="1" ref="AE74" ca="1">_xlfn.IFS(SUM($L74:AD74)&gt;=$E74,0,AE$70=$G74,$E74*10%,AD74&gt;0,$E74*0.9/5, TRUE, 0)</f>
        <v>#NAME?</v>
      </c>
      <c r="AF74" s="312" t="e" cm="1">
        <f t="array" aca="1" ref="AF74" ca="1">_xlfn.IFS(SUM($L74:AE74)&gt;=$E74,0,AF$70=$G74,$E74*10%,AE74&gt;0,$E74*0.9/5, TRUE, 0)</f>
        <v>#NAME?</v>
      </c>
      <c r="AG74" s="312" t="e" cm="1">
        <f t="array" aca="1" ref="AG74" ca="1">_xlfn.IFS(SUM($L74:AF74)&gt;=$E74,0,AG$70=$G74,$E74*10%,AF74&gt;0,$E74*0.9/5, TRUE, 0)</f>
        <v>#NAME?</v>
      </c>
      <c r="AH74" s="312" t="e" cm="1">
        <f t="array" aca="1" ref="AH74" ca="1">_xlfn.IFS(SUM($L74:AG74)&gt;=$E74,0,AH$70=$G74,$E74*10%,AG74&gt;0,$E74*0.9/5, TRUE, 0)</f>
        <v>#NAME?</v>
      </c>
      <c r="AI74" s="312" t="e" cm="1">
        <f t="array" aca="1" ref="AI74" ca="1">_xlfn.IFS(SUM($L74:AH74)&gt;=$E74,0,AI$70=$G74,$E74*10%,AH74&gt;0,$E74*0.9/5, TRUE, 0)</f>
        <v>#NAME?</v>
      </c>
      <c r="AJ74" s="312" t="e" cm="1">
        <f t="array" aca="1" ref="AJ74" ca="1">_xlfn.IFS(SUM($L74:AI74)&gt;=$E74,0,AJ$70=$G74,$E74*10%,AI74&gt;0,$E74*0.9/5, TRUE, 0)</f>
        <v>#NAME?</v>
      </c>
      <c r="AK74" s="312" t="e" cm="1">
        <f t="array" aca="1" ref="AK74" ca="1">_xlfn.IFS(SUM($L74:AJ74)&gt;=$E74,0,AK$70=$G74,$E74*10%,AJ74&gt;0,$E74*0.9/5, TRUE, 0)</f>
        <v>#NAME?</v>
      </c>
      <c r="AL74" s="312" t="e" cm="1">
        <f t="array" aca="1" ref="AL74" ca="1">_xlfn.IFS(SUM($L74:AK74)&gt;=$E74,0,AL$70=$G74,$E74*10%,AK74&gt;0,$E74*0.9/5, TRUE, 0)</f>
        <v>#NAME?</v>
      </c>
      <c r="AM74" s="312" t="e" cm="1">
        <f t="array" aca="1" ref="AM74" ca="1">_xlfn.IFS(SUM($L74:AL74)&gt;=$E74,0,AM$70=$G74,$E74*10%,AL74&gt;0,$E74*0.9/5, TRUE, 0)</f>
        <v>#NAME?</v>
      </c>
      <c r="AN74" s="312" t="e" cm="1">
        <f t="array" aca="1" ref="AN74" ca="1">_xlfn.IFS(SUM($L74:AM74)&gt;=$E74,0,AN$70=$G74,$E74*10%,AM74&gt;0,$E74*0.9/5, TRUE, 0)</f>
        <v>#NAME?</v>
      </c>
      <c r="AO74" s="312" t="e" cm="1">
        <f t="array" aca="1" ref="AO74" ca="1">_xlfn.IFS(SUM($L74:AN74)&gt;=$E74,0,AO$70=$G74,$E74*10%,AN74&gt;0,$E74*0.9/5, TRUE, 0)</f>
        <v>#NAME?</v>
      </c>
      <c r="AP74" s="312" t="e" cm="1">
        <f t="array" aca="1" ref="AP74" ca="1">_xlfn.IFS(SUM($L74:AO74)&gt;=$E74,0,AP$70=$G74,$E74*10%,AO74&gt;0,$E74*0.9/5, TRUE, 0)</f>
        <v>#NAME?</v>
      </c>
      <c r="AQ74" s="312" t="e" cm="1">
        <f t="array" aca="1" ref="AQ74" ca="1">_xlfn.IFS(SUM($L74:AP74)&gt;=$E74,0,AQ$70=$G74,$E74*10%,AP74&gt;0,$E74*0.9/5, TRUE, 0)</f>
        <v>#NAME?</v>
      </c>
      <c r="AR74" s="312" t="e" cm="1">
        <f t="array" aca="1" ref="AR74" ca="1">_xlfn.IFS(SUM($L74:AQ74)&gt;=$E74,0,AR$70=$G74,$E74*10%,AQ74&gt;0,$E74*0.9/5, TRUE, 0)</f>
        <v>#NAME?</v>
      </c>
    </row>
    <row r="75" spans="1:66">
      <c r="B75" s="6" t="e">
        <f ca="1"/>
        <v>#NAME?</v>
      </c>
      <c r="C75" s="79" t="e">
        <f ca="1"/>
        <v>#NAME?</v>
      </c>
      <c r="D75" s="79" t="e">
        <f ca="1"/>
        <v>#NAME?</v>
      </c>
      <c r="E75" s="121" t="e">
        <f ca="1"/>
        <v>#NAME?</v>
      </c>
      <c r="F75" s="88" t="e">
        <f ca="1"/>
        <v>#NAME?</v>
      </c>
      <c r="G75" s="79" t="e">
        <f ca="1"/>
        <v>#NAME?</v>
      </c>
      <c r="H75" s="88" t="e">
        <f ca="1"/>
        <v>#NAME?</v>
      </c>
      <c r="I75" s="120" t="e">
        <f ca="1"/>
        <v>#NAME?</v>
      </c>
      <c r="J75" s="264" t="e">
        <f t="shared" ca="1" si="2"/>
        <v>#NAME?</v>
      </c>
      <c r="M75" s="312" t="e" cm="1">
        <f t="array" aca="1" ref="M75" ca="1">_xlfn.IFS(SUM($L75:L75)&gt;=$E75,0,M$70=$G75,$E75*10%,L75&gt;0,$E75*0.9/5, TRUE, 0)</f>
        <v>#NAME?</v>
      </c>
      <c r="N75" s="312" t="e" cm="1">
        <f t="array" aca="1" ref="N75" ca="1">_xlfn.IFS(SUM($L75:M75)&gt;=$E75,0,N$70=$G75,$E75*10%,M75&gt;0,$E75*0.9/5, TRUE, 0)</f>
        <v>#NAME?</v>
      </c>
      <c r="O75" s="312" t="e" cm="1">
        <f t="array" aca="1" ref="O75" ca="1">_xlfn.IFS(SUM($L75:N75)&gt;=$E75,0,O$70=$G75,$E75*10%,N75&gt;0,$E75*0.9/5, TRUE, 0)</f>
        <v>#NAME?</v>
      </c>
      <c r="P75" s="312" t="e" cm="1">
        <f t="array" aca="1" ref="P75" ca="1">_xlfn.IFS(SUM($L75:O75)&gt;=$E75,0,P$70=$G75,$E75*10%,O75&gt;0,$E75*0.9/5, TRUE, 0)</f>
        <v>#NAME?</v>
      </c>
      <c r="Q75" s="312" t="e" cm="1">
        <f t="array" aca="1" ref="Q75" ca="1">_xlfn.IFS(SUM($L75:P75)&gt;=$E75,0,Q$70=$G75,$E75*10%,P75&gt;0,$E75*0.9/5, TRUE, 0)</f>
        <v>#NAME?</v>
      </c>
      <c r="R75" s="312" t="e" cm="1">
        <f t="array" aca="1" ref="R75" ca="1">_xlfn.IFS(SUM($L75:Q75)&gt;=$E75,0,R$70=$G75,$E75*10%,Q75&gt;0,$E75*0.9/5, TRUE, 0)</f>
        <v>#NAME?</v>
      </c>
      <c r="S75" s="312" t="e" cm="1">
        <f t="array" aca="1" ref="S75" ca="1">_xlfn.IFS(SUM($L75:R75)&gt;=$E75,0,S$70=$G75,$E75*10%,R75&gt;0,$E75*0.9/5, TRUE, 0)</f>
        <v>#NAME?</v>
      </c>
      <c r="T75" s="312" t="e" cm="1">
        <f t="array" aca="1" ref="T75" ca="1">_xlfn.IFS(SUM($L75:S75)&gt;=$E75,0,T$70=$G75,$E75*10%,S75&gt;0,$E75*0.9/5, TRUE, 0)</f>
        <v>#NAME?</v>
      </c>
      <c r="U75" s="312" t="e" cm="1">
        <f t="array" aca="1" ref="U75" ca="1">_xlfn.IFS(SUM($L75:T75)&gt;=$E75,0,U$70=$G75,$E75*10%,T75&gt;0,$E75*0.9/5, TRUE, 0)</f>
        <v>#NAME?</v>
      </c>
      <c r="V75" s="312" t="e" cm="1">
        <f t="array" aca="1" ref="V75" ca="1">_xlfn.IFS(SUM($L75:U75)&gt;=$E75,0,V$70=$G75,$E75*10%,U75&gt;0,$E75*0.9/5, TRUE, 0)</f>
        <v>#NAME?</v>
      </c>
      <c r="W75" s="312" t="e" cm="1">
        <f t="array" aca="1" ref="W75" ca="1">_xlfn.IFS(SUM($L75:V75)&gt;=$E75,0,W$70=$G75,$E75*10%,V75&gt;0,$E75*0.9/5, TRUE, 0)</f>
        <v>#NAME?</v>
      </c>
      <c r="X75" s="312" t="e" cm="1">
        <f t="array" aca="1" ref="X75" ca="1">_xlfn.IFS(SUM($L75:W75)&gt;=$E75,0,X$70=$G75,$E75*10%,W75&gt;0,$E75*0.9/5, TRUE, 0)</f>
        <v>#NAME?</v>
      </c>
      <c r="Y75" s="312" t="e" cm="1">
        <f t="array" aca="1" ref="Y75" ca="1">_xlfn.IFS(SUM($L75:X75)&gt;=$E75,0,Y$70=$G75,$E75*10%,X75&gt;0,$E75*0.9/5, TRUE, 0)</f>
        <v>#NAME?</v>
      </c>
      <c r="Z75" s="312" t="e" cm="1">
        <f t="array" aca="1" ref="Z75" ca="1">_xlfn.IFS(SUM($L75:Y75)&gt;=$E75,0,Z$70=$G75,$E75*10%,Y75&gt;0,$E75*0.9/5, TRUE, 0)</f>
        <v>#NAME?</v>
      </c>
      <c r="AA75" s="312" t="e" cm="1">
        <f t="array" aca="1" ref="AA75" ca="1">_xlfn.IFS(SUM($L75:Z75)&gt;=$E75,0,AA$70=$G75,$E75*10%,Z75&gt;0,$E75*0.9/5, TRUE, 0)</f>
        <v>#NAME?</v>
      </c>
      <c r="AB75" s="312" t="e" cm="1">
        <f t="array" aca="1" ref="AB75" ca="1">_xlfn.IFS(SUM($L75:AA75)&gt;=$E75,0,AB$70=$G75,$E75*10%,AA75&gt;0,$E75*0.9/5, TRUE, 0)</f>
        <v>#NAME?</v>
      </c>
      <c r="AC75" s="312" t="e" cm="1">
        <f t="array" aca="1" ref="AC75" ca="1">_xlfn.IFS(SUM($L75:AB75)&gt;=$E75,0,AC$70=$G75,$E75*10%,AB75&gt;0,$E75*0.9/5, TRUE, 0)</f>
        <v>#NAME?</v>
      </c>
      <c r="AD75" s="312" t="e" cm="1">
        <f t="array" aca="1" ref="AD75" ca="1">_xlfn.IFS(SUM($L75:AC75)&gt;=$E75,0,AD$70=$G75,$E75*10%,AC75&gt;0,$E75*0.9/5, TRUE, 0)</f>
        <v>#NAME?</v>
      </c>
      <c r="AE75" s="312" t="e" cm="1">
        <f t="array" aca="1" ref="AE75" ca="1">_xlfn.IFS(SUM($L75:AD75)&gt;=$E75,0,AE$70=$G75,$E75*10%,AD75&gt;0,$E75*0.9/5, TRUE, 0)</f>
        <v>#NAME?</v>
      </c>
      <c r="AF75" s="312" t="e" cm="1">
        <f t="array" aca="1" ref="AF75" ca="1">_xlfn.IFS(SUM($L75:AE75)&gt;=$E75,0,AF$70=$G75,$E75*10%,AE75&gt;0,$E75*0.9/5, TRUE, 0)</f>
        <v>#NAME?</v>
      </c>
      <c r="AG75" s="312" t="e" cm="1">
        <f t="array" aca="1" ref="AG75" ca="1">_xlfn.IFS(SUM($L75:AF75)&gt;=$E75,0,AG$70=$G75,$E75*10%,AF75&gt;0,$E75*0.9/5, TRUE, 0)</f>
        <v>#NAME?</v>
      </c>
      <c r="AH75" s="312" t="e" cm="1">
        <f t="array" aca="1" ref="AH75" ca="1">_xlfn.IFS(SUM($L75:AG75)&gt;=$E75,0,AH$70=$G75,$E75*10%,AG75&gt;0,$E75*0.9/5, TRUE, 0)</f>
        <v>#NAME?</v>
      </c>
      <c r="AI75" s="312" t="e" cm="1">
        <f t="array" aca="1" ref="AI75" ca="1">_xlfn.IFS(SUM($L75:AH75)&gt;=$E75,0,AI$70=$G75,$E75*10%,AH75&gt;0,$E75*0.9/5, TRUE, 0)</f>
        <v>#NAME?</v>
      </c>
      <c r="AJ75" s="312" t="e" cm="1">
        <f t="array" aca="1" ref="AJ75" ca="1">_xlfn.IFS(SUM($L75:AI75)&gt;=$E75,0,AJ$70=$G75,$E75*10%,AI75&gt;0,$E75*0.9/5, TRUE, 0)</f>
        <v>#NAME?</v>
      </c>
      <c r="AK75" s="312" t="e" cm="1">
        <f t="array" aca="1" ref="AK75" ca="1">_xlfn.IFS(SUM($L75:AJ75)&gt;=$E75,0,AK$70=$G75,$E75*10%,AJ75&gt;0,$E75*0.9/5, TRUE, 0)</f>
        <v>#NAME?</v>
      </c>
      <c r="AL75" s="312" t="e" cm="1">
        <f t="array" aca="1" ref="AL75" ca="1">_xlfn.IFS(SUM($L75:AK75)&gt;=$E75,0,AL$70=$G75,$E75*10%,AK75&gt;0,$E75*0.9/5, TRUE, 0)</f>
        <v>#NAME?</v>
      </c>
      <c r="AM75" s="312" t="e" cm="1">
        <f t="array" aca="1" ref="AM75" ca="1">_xlfn.IFS(SUM($L75:AL75)&gt;=$E75,0,AM$70=$G75,$E75*10%,AL75&gt;0,$E75*0.9/5, TRUE, 0)</f>
        <v>#NAME?</v>
      </c>
      <c r="AN75" s="312" t="e" cm="1">
        <f t="array" aca="1" ref="AN75" ca="1">_xlfn.IFS(SUM($L75:AM75)&gt;=$E75,0,AN$70=$G75,$E75*10%,AM75&gt;0,$E75*0.9/5, TRUE, 0)</f>
        <v>#NAME?</v>
      </c>
      <c r="AO75" s="312" t="e" cm="1">
        <f t="array" aca="1" ref="AO75" ca="1">_xlfn.IFS(SUM($L75:AN75)&gt;=$E75,0,AO$70=$G75,$E75*10%,AN75&gt;0,$E75*0.9/5, TRUE, 0)</f>
        <v>#NAME?</v>
      </c>
      <c r="AP75" s="312" t="e" cm="1">
        <f t="array" aca="1" ref="AP75" ca="1">_xlfn.IFS(SUM($L75:AO75)&gt;=$E75,0,AP$70=$G75,$E75*10%,AO75&gt;0,$E75*0.9/5, TRUE, 0)</f>
        <v>#NAME?</v>
      </c>
      <c r="AQ75" s="312" t="e" cm="1">
        <f t="array" aca="1" ref="AQ75" ca="1">_xlfn.IFS(SUM($L75:AP75)&gt;=$E75,0,AQ$70=$G75,$E75*10%,AP75&gt;0,$E75*0.9/5, TRUE, 0)</f>
        <v>#NAME?</v>
      </c>
      <c r="AR75" s="312" t="e" cm="1">
        <f t="array" aca="1" ref="AR75" ca="1">_xlfn.IFS(SUM($L75:AQ75)&gt;=$E75,0,AR$70=$G75,$E75*10%,AQ75&gt;0,$E75*0.9/5, TRUE, 0)</f>
        <v>#NAME?</v>
      </c>
    </row>
    <row r="76" spans="1:66">
      <c r="B76" s="6" t="e">
        <f ca="1"/>
        <v>#NAME?</v>
      </c>
      <c r="C76" s="79" t="e">
        <f ca="1"/>
        <v>#NAME?</v>
      </c>
      <c r="D76" s="79" t="e">
        <f ca="1"/>
        <v>#NAME?</v>
      </c>
      <c r="E76" s="121" t="e">
        <f ca="1"/>
        <v>#NAME?</v>
      </c>
      <c r="F76" s="88" t="e">
        <f ca="1"/>
        <v>#NAME?</v>
      </c>
      <c r="G76" s="79" t="e">
        <f ca="1"/>
        <v>#NAME?</v>
      </c>
      <c r="H76" s="88" t="e">
        <f ca="1"/>
        <v>#NAME?</v>
      </c>
      <c r="I76" s="120" t="e">
        <f ca="1"/>
        <v>#NAME?</v>
      </c>
      <c r="J76" s="264" t="e">
        <f t="shared" ca="1" si="2"/>
        <v>#NAME?</v>
      </c>
      <c r="M76" s="312" t="e" cm="1">
        <f t="array" aca="1" ref="M76" ca="1">_xlfn.IFS(SUM($L76:L76)&gt;=$E76,0,M$70=$G76,$E76*10%,L76&gt;0,$E76*0.9/5, TRUE, 0)</f>
        <v>#NAME?</v>
      </c>
      <c r="N76" s="312" t="e" cm="1">
        <f t="array" aca="1" ref="N76" ca="1">_xlfn.IFS(SUM($L76:M76)&gt;=$E76,0,N$70=$G76,$E76*10%,M76&gt;0,$E76*0.9/5, TRUE, 0)</f>
        <v>#NAME?</v>
      </c>
      <c r="O76" s="312" t="e" cm="1">
        <f t="array" aca="1" ref="O76" ca="1">_xlfn.IFS(SUM($L76:N76)&gt;=$E76,0,O$70=$G76,$E76*10%,N76&gt;0,$E76*0.9/5, TRUE, 0)</f>
        <v>#NAME?</v>
      </c>
      <c r="P76" s="312" t="e" cm="1">
        <f t="array" aca="1" ref="P76" ca="1">_xlfn.IFS(SUM($L76:O76)&gt;=$E76,0,P$70=$G76,$E76*10%,O76&gt;0,$E76*0.9/5, TRUE, 0)</f>
        <v>#NAME?</v>
      </c>
      <c r="Q76" s="312" t="e" cm="1">
        <f t="array" aca="1" ref="Q76" ca="1">_xlfn.IFS(SUM($L76:P76)&gt;=$E76,0,Q$70=$G76,$E76*10%,P76&gt;0,$E76*0.9/5, TRUE, 0)</f>
        <v>#NAME?</v>
      </c>
      <c r="R76" s="312" t="e" cm="1">
        <f t="array" aca="1" ref="R76" ca="1">_xlfn.IFS(SUM($L76:Q76)&gt;=$E76,0,R$70=$G76,$E76*10%,Q76&gt;0,$E76*0.9/5, TRUE, 0)</f>
        <v>#NAME?</v>
      </c>
      <c r="S76" s="312" t="e" cm="1">
        <f t="array" aca="1" ref="S76" ca="1">_xlfn.IFS(SUM($L76:R76)&gt;=$E76,0,S$70=$G76,$E76*10%,R76&gt;0,$E76*0.9/5, TRUE, 0)</f>
        <v>#NAME?</v>
      </c>
      <c r="T76" s="312" t="e" cm="1">
        <f t="array" aca="1" ref="T76" ca="1">_xlfn.IFS(SUM($L76:S76)&gt;=$E76,0,T$70=$G76,$E76*10%,S76&gt;0,$E76*0.9/5, TRUE, 0)</f>
        <v>#NAME?</v>
      </c>
      <c r="U76" s="312" t="e" cm="1">
        <f t="array" aca="1" ref="U76" ca="1">_xlfn.IFS(SUM($L76:T76)&gt;=$E76,0,U$70=$G76,$E76*10%,T76&gt;0,$E76*0.9/5, TRUE, 0)</f>
        <v>#NAME?</v>
      </c>
      <c r="V76" s="312" t="e" cm="1">
        <f t="array" aca="1" ref="V76" ca="1">_xlfn.IFS(SUM($L76:U76)&gt;=$E76,0,V$70=$G76,$E76*10%,U76&gt;0,$E76*0.9/5, TRUE, 0)</f>
        <v>#NAME?</v>
      </c>
      <c r="W76" s="312" t="e" cm="1">
        <f t="array" aca="1" ref="W76" ca="1">_xlfn.IFS(SUM($L76:V76)&gt;=$E76,0,W$70=$G76,$E76*10%,V76&gt;0,$E76*0.9/5, TRUE, 0)</f>
        <v>#NAME?</v>
      </c>
      <c r="X76" s="312" t="e" cm="1">
        <f t="array" aca="1" ref="X76" ca="1">_xlfn.IFS(SUM($L76:W76)&gt;=$E76,0,X$70=$G76,$E76*10%,W76&gt;0,$E76*0.9/5, TRUE, 0)</f>
        <v>#NAME?</v>
      </c>
      <c r="Y76" s="312" t="e" cm="1">
        <f t="array" aca="1" ref="Y76" ca="1">_xlfn.IFS(SUM($L76:X76)&gt;=$E76,0,Y$70=$G76,$E76*10%,X76&gt;0,$E76*0.9/5, TRUE, 0)</f>
        <v>#NAME?</v>
      </c>
      <c r="Z76" s="312" t="e" cm="1">
        <f t="array" aca="1" ref="Z76" ca="1">_xlfn.IFS(SUM($L76:Y76)&gt;=$E76,0,Z$70=$G76,$E76*10%,Y76&gt;0,$E76*0.9/5, TRUE, 0)</f>
        <v>#NAME?</v>
      </c>
      <c r="AA76" s="312" t="e" cm="1">
        <f t="array" aca="1" ref="AA76" ca="1">_xlfn.IFS(SUM($L76:Z76)&gt;=$E76,0,AA$70=$G76,$E76*10%,Z76&gt;0,$E76*0.9/5, TRUE, 0)</f>
        <v>#NAME?</v>
      </c>
      <c r="AB76" s="312" t="e" cm="1">
        <f t="array" aca="1" ref="AB76" ca="1">_xlfn.IFS(SUM($L76:AA76)&gt;=$E76,0,AB$70=$G76,$E76*10%,AA76&gt;0,$E76*0.9/5, TRUE, 0)</f>
        <v>#NAME?</v>
      </c>
      <c r="AC76" s="312" t="e" cm="1">
        <f t="array" aca="1" ref="AC76" ca="1">_xlfn.IFS(SUM($L76:AB76)&gt;=$E76,0,AC$70=$G76,$E76*10%,AB76&gt;0,$E76*0.9/5, TRUE, 0)</f>
        <v>#NAME?</v>
      </c>
      <c r="AD76" s="312" t="e" cm="1">
        <f t="array" aca="1" ref="AD76" ca="1">_xlfn.IFS(SUM($L76:AC76)&gt;=$E76,0,AD$70=$G76,$E76*10%,AC76&gt;0,$E76*0.9/5, TRUE, 0)</f>
        <v>#NAME?</v>
      </c>
      <c r="AE76" s="312" t="e" cm="1">
        <f t="array" aca="1" ref="AE76" ca="1">_xlfn.IFS(SUM($L76:AD76)&gt;=$E76,0,AE$70=$G76,$E76*10%,AD76&gt;0,$E76*0.9/5, TRUE, 0)</f>
        <v>#NAME?</v>
      </c>
      <c r="AF76" s="312" t="e" cm="1">
        <f t="array" aca="1" ref="AF76" ca="1">_xlfn.IFS(SUM($L76:AE76)&gt;=$E76,0,AF$70=$G76,$E76*10%,AE76&gt;0,$E76*0.9/5, TRUE, 0)</f>
        <v>#NAME?</v>
      </c>
      <c r="AG76" s="312" t="e" cm="1">
        <f t="array" aca="1" ref="AG76" ca="1">_xlfn.IFS(SUM($L76:AF76)&gt;=$E76,0,AG$70=$G76,$E76*10%,AF76&gt;0,$E76*0.9/5, TRUE, 0)</f>
        <v>#NAME?</v>
      </c>
      <c r="AH76" s="312" t="e" cm="1">
        <f t="array" aca="1" ref="AH76" ca="1">_xlfn.IFS(SUM($L76:AG76)&gt;=$E76,0,AH$70=$G76,$E76*10%,AG76&gt;0,$E76*0.9/5, TRUE, 0)</f>
        <v>#NAME?</v>
      </c>
      <c r="AI76" s="312" t="e" cm="1">
        <f t="array" aca="1" ref="AI76" ca="1">_xlfn.IFS(SUM($L76:AH76)&gt;=$E76,0,AI$70=$G76,$E76*10%,AH76&gt;0,$E76*0.9/5, TRUE, 0)</f>
        <v>#NAME?</v>
      </c>
      <c r="AJ76" s="312" t="e" cm="1">
        <f t="array" aca="1" ref="AJ76" ca="1">_xlfn.IFS(SUM($L76:AI76)&gt;=$E76,0,AJ$70=$G76,$E76*10%,AI76&gt;0,$E76*0.9/5, TRUE, 0)</f>
        <v>#NAME?</v>
      </c>
      <c r="AK76" s="312" t="e" cm="1">
        <f t="array" aca="1" ref="AK76" ca="1">_xlfn.IFS(SUM($L76:AJ76)&gt;=$E76,0,AK$70=$G76,$E76*10%,AJ76&gt;0,$E76*0.9/5, TRUE, 0)</f>
        <v>#NAME?</v>
      </c>
      <c r="AL76" s="312" t="e" cm="1">
        <f t="array" aca="1" ref="AL76" ca="1">_xlfn.IFS(SUM($L76:AK76)&gt;=$E76,0,AL$70=$G76,$E76*10%,AK76&gt;0,$E76*0.9/5, TRUE, 0)</f>
        <v>#NAME?</v>
      </c>
      <c r="AM76" s="312" t="e" cm="1">
        <f t="array" aca="1" ref="AM76" ca="1">_xlfn.IFS(SUM($L76:AL76)&gt;=$E76,0,AM$70=$G76,$E76*10%,AL76&gt;0,$E76*0.9/5, TRUE, 0)</f>
        <v>#NAME?</v>
      </c>
      <c r="AN76" s="312" t="e" cm="1">
        <f t="array" aca="1" ref="AN76" ca="1">_xlfn.IFS(SUM($L76:AM76)&gt;=$E76,0,AN$70=$G76,$E76*10%,AM76&gt;0,$E76*0.9/5, TRUE, 0)</f>
        <v>#NAME?</v>
      </c>
      <c r="AO76" s="312" t="e" cm="1">
        <f t="array" aca="1" ref="AO76" ca="1">_xlfn.IFS(SUM($L76:AN76)&gt;=$E76,0,AO$70=$G76,$E76*10%,AN76&gt;0,$E76*0.9/5, TRUE, 0)</f>
        <v>#NAME?</v>
      </c>
      <c r="AP76" s="312" t="e" cm="1">
        <f t="array" aca="1" ref="AP76" ca="1">_xlfn.IFS(SUM($L76:AO76)&gt;=$E76,0,AP$70=$G76,$E76*10%,AO76&gt;0,$E76*0.9/5, TRUE, 0)</f>
        <v>#NAME?</v>
      </c>
      <c r="AQ76" s="312" t="e" cm="1">
        <f t="array" aca="1" ref="AQ76" ca="1">_xlfn.IFS(SUM($L76:AP76)&gt;=$E76,0,AQ$70=$G76,$E76*10%,AP76&gt;0,$E76*0.9/5, TRUE, 0)</f>
        <v>#NAME?</v>
      </c>
      <c r="AR76" s="312" t="e" cm="1">
        <f t="array" aca="1" ref="AR76" ca="1">_xlfn.IFS(SUM($L76:AQ76)&gt;=$E76,0,AR$70=$G76,$E76*10%,AQ76&gt;0,$E76*0.9/5, TRUE, 0)</f>
        <v>#NAME?</v>
      </c>
    </row>
    <row r="77" spans="1:66">
      <c r="B77" s="6" t="e">
        <f ca="1"/>
        <v>#NAME?</v>
      </c>
      <c r="C77" s="79" t="e">
        <f ca="1"/>
        <v>#NAME?</v>
      </c>
      <c r="D77" s="79" t="e">
        <f ca="1"/>
        <v>#NAME?</v>
      </c>
      <c r="E77" s="121" t="e">
        <f ca="1"/>
        <v>#NAME?</v>
      </c>
      <c r="F77" s="88" t="e">
        <f ca="1"/>
        <v>#NAME?</v>
      </c>
      <c r="G77" s="79" t="e">
        <f ca="1"/>
        <v>#NAME?</v>
      </c>
      <c r="H77" s="88" t="e">
        <f ca="1"/>
        <v>#NAME?</v>
      </c>
      <c r="I77" s="120" t="e">
        <f ca="1"/>
        <v>#NAME?</v>
      </c>
      <c r="J77" s="264" t="e">
        <f t="shared" ca="1" si="2"/>
        <v>#NAME?</v>
      </c>
      <c r="M77" s="312" t="e" cm="1">
        <f t="array" aca="1" ref="M77" ca="1">_xlfn.IFS(SUM($L77:L77)&gt;=$E77,0,M$70=$G77,$E77*10%,L77&gt;0,$E77*0.9/5, TRUE, 0)</f>
        <v>#NAME?</v>
      </c>
      <c r="N77" s="312" t="e" cm="1">
        <f t="array" aca="1" ref="N77" ca="1">_xlfn.IFS(SUM($L77:M77)&gt;=$E77,0,N$70=$G77,$E77*10%,M77&gt;0,$E77*0.9/5, TRUE, 0)</f>
        <v>#NAME?</v>
      </c>
      <c r="O77" s="312" t="e" cm="1">
        <f t="array" aca="1" ref="O77" ca="1">_xlfn.IFS(SUM($L77:N77)&gt;=$E77,0,O$70=$G77,$E77*10%,N77&gt;0,$E77*0.9/5, TRUE, 0)</f>
        <v>#NAME?</v>
      </c>
      <c r="P77" s="312" t="e" cm="1">
        <f t="array" aca="1" ref="P77" ca="1">_xlfn.IFS(SUM($L77:O77)&gt;=$E77,0,P$70=$G77,$E77*10%,O77&gt;0,$E77*0.9/5, TRUE, 0)</f>
        <v>#NAME?</v>
      </c>
      <c r="Q77" s="312" t="e" cm="1">
        <f t="array" aca="1" ref="Q77" ca="1">_xlfn.IFS(SUM($L77:P77)&gt;=$E77,0,Q$70=$G77,$E77*10%,P77&gt;0,$E77*0.9/5, TRUE, 0)</f>
        <v>#NAME?</v>
      </c>
      <c r="R77" s="312" t="e" cm="1">
        <f t="array" aca="1" ref="R77" ca="1">_xlfn.IFS(SUM($L77:Q77)&gt;=$E77,0,R$70=$G77,$E77*10%,Q77&gt;0,$E77*0.9/5, TRUE, 0)</f>
        <v>#NAME?</v>
      </c>
      <c r="S77" s="312" t="e" cm="1">
        <f t="array" aca="1" ref="S77" ca="1">_xlfn.IFS(SUM($L77:R77)&gt;=$E77,0,S$70=$G77,$E77*10%,R77&gt;0,$E77*0.9/5, TRUE, 0)</f>
        <v>#NAME?</v>
      </c>
      <c r="T77" s="312" t="e" cm="1">
        <f t="array" aca="1" ref="T77" ca="1">_xlfn.IFS(SUM($L77:S77)&gt;=$E77,0,T$70=$G77,$E77*10%,S77&gt;0,$E77*0.9/5, TRUE, 0)</f>
        <v>#NAME?</v>
      </c>
      <c r="U77" s="312" t="e" cm="1">
        <f t="array" aca="1" ref="U77" ca="1">_xlfn.IFS(SUM($L77:T77)&gt;=$E77,0,U$70=$G77,$E77*10%,T77&gt;0,$E77*0.9/5, TRUE, 0)</f>
        <v>#NAME?</v>
      </c>
      <c r="V77" s="312" t="e" cm="1">
        <f t="array" aca="1" ref="V77" ca="1">_xlfn.IFS(SUM($L77:U77)&gt;=$E77,0,V$70=$G77,$E77*10%,U77&gt;0,$E77*0.9/5, TRUE, 0)</f>
        <v>#NAME?</v>
      </c>
      <c r="W77" s="312" t="e" cm="1">
        <f t="array" aca="1" ref="W77" ca="1">_xlfn.IFS(SUM($L77:V77)&gt;=$E77,0,W$70=$G77,$E77*10%,V77&gt;0,$E77*0.9/5, TRUE, 0)</f>
        <v>#NAME?</v>
      </c>
      <c r="X77" s="312" t="e" cm="1">
        <f t="array" aca="1" ref="X77" ca="1">_xlfn.IFS(SUM($L77:W77)&gt;=$E77,0,X$70=$G77,$E77*10%,W77&gt;0,$E77*0.9/5, TRUE, 0)</f>
        <v>#NAME?</v>
      </c>
      <c r="Y77" s="312" t="e" cm="1">
        <f t="array" aca="1" ref="Y77" ca="1">_xlfn.IFS(SUM($L77:X77)&gt;=$E77,0,Y$70=$G77,$E77*10%,X77&gt;0,$E77*0.9/5, TRUE, 0)</f>
        <v>#NAME?</v>
      </c>
      <c r="Z77" s="312" t="e" cm="1">
        <f t="array" aca="1" ref="Z77" ca="1">_xlfn.IFS(SUM($L77:Y77)&gt;=$E77,0,Z$70=$G77,$E77*10%,Y77&gt;0,$E77*0.9/5, TRUE, 0)</f>
        <v>#NAME?</v>
      </c>
      <c r="AA77" s="312" t="e" cm="1">
        <f t="array" aca="1" ref="AA77" ca="1">_xlfn.IFS(SUM($L77:Z77)&gt;=$E77,0,AA$70=$G77,$E77*10%,Z77&gt;0,$E77*0.9/5, TRUE, 0)</f>
        <v>#NAME?</v>
      </c>
      <c r="AB77" s="312" t="e" cm="1">
        <f t="array" aca="1" ref="AB77" ca="1">_xlfn.IFS(SUM($L77:AA77)&gt;=$E77,0,AB$70=$G77,$E77*10%,AA77&gt;0,$E77*0.9/5, TRUE, 0)</f>
        <v>#NAME?</v>
      </c>
      <c r="AC77" s="312" t="e" cm="1">
        <f t="array" aca="1" ref="AC77" ca="1">_xlfn.IFS(SUM($L77:AB77)&gt;=$E77,0,AC$70=$G77,$E77*10%,AB77&gt;0,$E77*0.9/5, TRUE, 0)</f>
        <v>#NAME?</v>
      </c>
      <c r="AD77" s="312" t="e" cm="1">
        <f t="array" aca="1" ref="AD77" ca="1">_xlfn.IFS(SUM($L77:AC77)&gt;=$E77,0,AD$70=$G77,$E77*10%,AC77&gt;0,$E77*0.9/5, TRUE, 0)</f>
        <v>#NAME?</v>
      </c>
      <c r="AE77" s="312" t="e" cm="1">
        <f t="array" aca="1" ref="AE77" ca="1">_xlfn.IFS(SUM($L77:AD77)&gt;=$E77,0,AE$70=$G77,$E77*10%,AD77&gt;0,$E77*0.9/5, TRUE, 0)</f>
        <v>#NAME?</v>
      </c>
      <c r="AF77" s="312" t="e" cm="1">
        <f t="array" aca="1" ref="AF77" ca="1">_xlfn.IFS(SUM($L77:AE77)&gt;=$E77,0,AF$70=$G77,$E77*10%,AE77&gt;0,$E77*0.9/5, TRUE, 0)</f>
        <v>#NAME?</v>
      </c>
      <c r="AG77" s="312" t="e" cm="1">
        <f t="array" aca="1" ref="AG77" ca="1">_xlfn.IFS(SUM($L77:AF77)&gt;=$E77,0,AG$70=$G77,$E77*10%,AF77&gt;0,$E77*0.9/5, TRUE, 0)</f>
        <v>#NAME?</v>
      </c>
      <c r="AH77" s="312" t="e" cm="1">
        <f t="array" aca="1" ref="AH77" ca="1">_xlfn.IFS(SUM($L77:AG77)&gt;=$E77,0,AH$70=$G77,$E77*10%,AG77&gt;0,$E77*0.9/5, TRUE, 0)</f>
        <v>#NAME?</v>
      </c>
      <c r="AI77" s="312" t="e" cm="1">
        <f t="array" aca="1" ref="AI77" ca="1">_xlfn.IFS(SUM($L77:AH77)&gt;=$E77,0,AI$70=$G77,$E77*10%,AH77&gt;0,$E77*0.9/5, TRUE, 0)</f>
        <v>#NAME?</v>
      </c>
      <c r="AJ77" s="312" t="e" cm="1">
        <f t="array" aca="1" ref="AJ77" ca="1">_xlfn.IFS(SUM($L77:AI77)&gt;=$E77,0,AJ$70=$G77,$E77*10%,AI77&gt;0,$E77*0.9/5, TRUE, 0)</f>
        <v>#NAME?</v>
      </c>
      <c r="AK77" s="312" t="e" cm="1">
        <f t="array" aca="1" ref="AK77" ca="1">_xlfn.IFS(SUM($L77:AJ77)&gt;=$E77,0,AK$70=$G77,$E77*10%,AJ77&gt;0,$E77*0.9/5, TRUE, 0)</f>
        <v>#NAME?</v>
      </c>
      <c r="AL77" s="312" t="e" cm="1">
        <f t="array" aca="1" ref="AL77" ca="1">_xlfn.IFS(SUM($L77:AK77)&gt;=$E77,0,AL$70=$G77,$E77*10%,AK77&gt;0,$E77*0.9/5, TRUE, 0)</f>
        <v>#NAME?</v>
      </c>
      <c r="AM77" s="312" t="e" cm="1">
        <f t="array" aca="1" ref="AM77" ca="1">_xlfn.IFS(SUM($L77:AL77)&gt;=$E77,0,AM$70=$G77,$E77*10%,AL77&gt;0,$E77*0.9/5, TRUE, 0)</f>
        <v>#NAME?</v>
      </c>
      <c r="AN77" s="312" t="e" cm="1">
        <f t="array" aca="1" ref="AN77" ca="1">_xlfn.IFS(SUM($L77:AM77)&gt;=$E77,0,AN$70=$G77,$E77*10%,AM77&gt;0,$E77*0.9/5, TRUE, 0)</f>
        <v>#NAME?</v>
      </c>
      <c r="AO77" s="312" t="e" cm="1">
        <f t="array" aca="1" ref="AO77" ca="1">_xlfn.IFS(SUM($L77:AN77)&gt;=$E77,0,AO$70=$G77,$E77*10%,AN77&gt;0,$E77*0.9/5, TRUE, 0)</f>
        <v>#NAME?</v>
      </c>
      <c r="AP77" s="312" t="e" cm="1">
        <f t="array" aca="1" ref="AP77" ca="1">_xlfn.IFS(SUM($L77:AO77)&gt;=$E77,0,AP$70=$G77,$E77*10%,AO77&gt;0,$E77*0.9/5, TRUE, 0)</f>
        <v>#NAME?</v>
      </c>
      <c r="AQ77" s="312" t="e" cm="1">
        <f t="array" aca="1" ref="AQ77" ca="1">_xlfn.IFS(SUM($L77:AP77)&gt;=$E77,0,AQ$70=$G77,$E77*10%,AP77&gt;0,$E77*0.9/5, TRUE, 0)</f>
        <v>#NAME?</v>
      </c>
      <c r="AR77" s="312" t="e" cm="1">
        <f t="array" aca="1" ref="AR77" ca="1">_xlfn.IFS(SUM($L77:AQ77)&gt;=$E77,0,AR$70=$G77,$E77*10%,AQ77&gt;0,$E77*0.9/5, TRUE, 0)</f>
        <v>#NAME?</v>
      </c>
    </row>
    <row r="78" spans="1:66">
      <c r="B78" s="6" t="e">
        <f ca="1"/>
        <v>#NAME?</v>
      </c>
      <c r="C78" s="79" t="e">
        <f ca="1"/>
        <v>#NAME?</v>
      </c>
      <c r="D78" s="79" t="e">
        <f ca="1"/>
        <v>#NAME?</v>
      </c>
      <c r="E78" s="121" t="e">
        <f ca="1"/>
        <v>#NAME?</v>
      </c>
      <c r="F78" s="88" t="e">
        <f ca="1"/>
        <v>#NAME?</v>
      </c>
      <c r="G78" s="79" t="e">
        <f ca="1"/>
        <v>#NAME?</v>
      </c>
      <c r="H78" s="88" t="e">
        <f ca="1"/>
        <v>#NAME?</v>
      </c>
      <c r="I78" s="120" t="e">
        <f ca="1"/>
        <v>#NAME?</v>
      </c>
      <c r="J78" s="264" t="e">
        <f t="shared" ca="1" si="2"/>
        <v>#NAME?</v>
      </c>
      <c r="M78" s="312" t="e" cm="1">
        <f t="array" aca="1" ref="M78" ca="1">_xlfn.IFS(SUM($L78:L78)&gt;=$E78,0,M$70=$G78,$E78*10%,L78&gt;0,$E78*0.9/5, TRUE, 0)</f>
        <v>#NAME?</v>
      </c>
      <c r="N78" s="312" t="e" cm="1">
        <f t="array" aca="1" ref="N78" ca="1">_xlfn.IFS(SUM($L78:M78)&gt;=$E78,0,N$70=$G78,$E78*10%,M78&gt;0,$E78*0.9/5, TRUE, 0)</f>
        <v>#NAME?</v>
      </c>
      <c r="O78" s="312" t="e" cm="1">
        <f t="array" aca="1" ref="O78" ca="1">_xlfn.IFS(SUM($L78:N78)&gt;=$E78,0,O$70=$G78,$E78*10%,N78&gt;0,$E78*0.9/5, TRUE, 0)</f>
        <v>#NAME?</v>
      </c>
      <c r="P78" s="312" t="e" cm="1">
        <f t="array" aca="1" ref="P78" ca="1">_xlfn.IFS(SUM($L78:O78)&gt;=$E78,0,P$70=$G78,$E78*10%,O78&gt;0,$E78*0.9/5, TRUE, 0)</f>
        <v>#NAME?</v>
      </c>
      <c r="Q78" s="312" t="e" cm="1">
        <f t="array" aca="1" ref="Q78" ca="1">_xlfn.IFS(SUM($L78:P78)&gt;=$E78,0,Q$70=$G78,$E78*10%,P78&gt;0,$E78*0.9/5, TRUE, 0)</f>
        <v>#NAME?</v>
      </c>
      <c r="R78" s="312" t="e" cm="1">
        <f t="array" aca="1" ref="R78" ca="1">_xlfn.IFS(SUM($L78:Q78)&gt;=$E78,0,R$70=$G78,$E78*10%,Q78&gt;0,$E78*0.9/5, TRUE, 0)</f>
        <v>#NAME?</v>
      </c>
      <c r="S78" s="312" t="e" cm="1">
        <f t="array" aca="1" ref="S78" ca="1">_xlfn.IFS(SUM($L78:R78)&gt;=$E78,0,S$70=$G78,$E78*10%,R78&gt;0,$E78*0.9/5, TRUE, 0)</f>
        <v>#NAME?</v>
      </c>
      <c r="T78" s="312" t="e" cm="1">
        <f t="array" aca="1" ref="T78" ca="1">_xlfn.IFS(SUM($L78:S78)&gt;=$E78,0,T$70=$G78,$E78*10%,S78&gt;0,$E78*0.9/5, TRUE, 0)</f>
        <v>#NAME?</v>
      </c>
      <c r="U78" s="312" t="e" cm="1">
        <f t="array" aca="1" ref="U78" ca="1">_xlfn.IFS(SUM($L78:T78)&gt;=$E78,0,U$70=$G78,$E78*10%,T78&gt;0,$E78*0.9/5, TRUE, 0)</f>
        <v>#NAME?</v>
      </c>
      <c r="V78" s="312" t="e" cm="1">
        <f t="array" aca="1" ref="V78" ca="1">_xlfn.IFS(SUM($L78:U78)&gt;=$E78,0,V$70=$G78,$E78*10%,U78&gt;0,$E78*0.9/5, TRUE, 0)</f>
        <v>#NAME?</v>
      </c>
      <c r="W78" s="312" t="e" cm="1">
        <f t="array" aca="1" ref="W78" ca="1">_xlfn.IFS(SUM($L78:V78)&gt;=$E78,0,W$70=$G78,$E78*10%,V78&gt;0,$E78*0.9/5, TRUE, 0)</f>
        <v>#NAME?</v>
      </c>
      <c r="X78" s="312" t="e" cm="1">
        <f t="array" aca="1" ref="X78" ca="1">_xlfn.IFS(SUM($L78:W78)&gt;=$E78,0,X$70=$G78,$E78*10%,W78&gt;0,$E78*0.9/5, TRUE, 0)</f>
        <v>#NAME?</v>
      </c>
      <c r="Y78" s="312" t="e" cm="1">
        <f t="array" aca="1" ref="Y78" ca="1">_xlfn.IFS(SUM($L78:X78)&gt;=$E78,0,Y$70=$G78,$E78*10%,X78&gt;0,$E78*0.9/5, TRUE, 0)</f>
        <v>#NAME?</v>
      </c>
      <c r="Z78" s="312" t="e" cm="1">
        <f t="array" aca="1" ref="Z78" ca="1">_xlfn.IFS(SUM($L78:Y78)&gt;=$E78,0,Z$70=$G78,$E78*10%,Y78&gt;0,$E78*0.9/5, TRUE, 0)</f>
        <v>#NAME?</v>
      </c>
      <c r="AA78" s="312" t="e" cm="1">
        <f t="array" aca="1" ref="AA78" ca="1">_xlfn.IFS(SUM($L78:Z78)&gt;=$E78,0,AA$70=$G78,$E78*10%,Z78&gt;0,$E78*0.9/5, TRUE, 0)</f>
        <v>#NAME?</v>
      </c>
      <c r="AB78" s="312" t="e" cm="1">
        <f t="array" aca="1" ref="AB78" ca="1">_xlfn.IFS(SUM($L78:AA78)&gt;=$E78,0,AB$70=$G78,$E78*10%,AA78&gt;0,$E78*0.9/5, TRUE, 0)</f>
        <v>#NAME?</v>
      </c>
      <c r="AC78" s="312" t="e" cm="1">
        <f t="array" aca="1" ref="AC78" ca="1">_xlfn.IFS(SUM($L78:AB78)&gt;=$E78,0,AC$70=$G78,$E78*10%,AB78&gt;0,$E78*0.9/5, TRUE, 0)</f>
        <v>#NAME?</v>
      </c>
      <c r="AD78" s="312" t="e" cm="1">
        <f t="array" aca="1" ref="AD78" ca="1">_xlfn.IFS(SUM($L78:AC78)&gt;=$E78,0,AD$70=$G78,$E78*10%,AC78&gt;0,$E78*0.9/5, TRUE, 0)</f>
        <v>#NAME?</v>
      </c>
      <c r="AE78" s="312" t="e" cm="1">
        <f t="array" aca="1" ref="AE78" ca="1">_xlfn.IFS(SUM($L78:AD78)&gt;=$E78,0,AE$70=$G78,$E78*10%,AD78&gt;0,$E78*0.9/5, TRUE, 0)</f>
        <v>#NAME?</v>
      </c>
      <c r="AF78" s="312" t="e" cm="1">
        <f t="array" aca="1" ref="AF78" ca="1">_xlfn.IFS(SUM($L78:AE78)&gt;=$E78,0,AF$70=$G78,$E78*10%,AE78&gt;0,$E78*0.9/5, TRUE, 0)</f>
        <v>#NAME?</v>
      </c>
      <c r="AG78" s="312" t="e" cm="1">
        <f t="array" aca="1" ref="AG78" ca="1">_xlfn.IFS(SUM($L78:AF78)&gt;=$E78,0,AG$70=$G78,$E78*10%,AF78&gt;0,$E78*0.9/5, TRUE, 0)</f>
        <v>#NAME?</v>
      </c>
      <c r="AH78" s="312" t="e" cm="1">
        <f t="array" aca="1" ref="AH78" ca="1">_xlfn.IFS(SUM($L78:AG78)&gt;=$E78,0,AH$70=$G78,$E78*10%,AG78&gt;0,$E78*0.9/5, TRUE, 0)</f>
        <v>#NAME?</v>
      </c>
      <c r="AI78" s="312" t="e" cm="1">
        <f t="array" aca="1" ref="AI78" ca="1">_xlfn.IFS(SUM($L78:AH78)&gt;=$E78,0,AI$70=$G78,$E78*10%,AH78&gt;0,$E78*0.9/5, TRUE, 0)</f>
        <v>#NAME?</v>
      </c>
      <c r="AJ78" s="312" t="e" cm="1">
        <f t="array" aca="1" ref="AJ78" ca="1">_xlfn.IFS(SUM($L78:AI78)&gt;=$E78,0,AJ$70=$G78,$E78*10%,AI78&gt;0,$E78*0.9/5, TRUE, 0)</f>
        <v>#NAME?</v>
      </c>
      <c r="AK78" s="312" t="e" cm="1">
        <f t="array" aca="1" ref="AK78" ca="1">_xlfn.IFS(SUM($L78:AJ78)&gt;=$E78,0,AK$70=$G78,$E78*10%,AJ78&gt;0,$E78*0.9/5, TRUE, 0)</f>
        <v>#NAME?</v>
      </c>
      <c r="AL78" s="312" t="e" cm="1">
        <f t="array" aca="1" ref="AL78" ca="1">_xlfn.IFS(SUM($L78:AK78)&gt;=$E78,0,AL$70=$G78,$E78*10%,AK78&gt;0,$E78*0.9/5, TRUE, 0)</f>
        <v>#NAME?</v>
      </c>
      <c r="AM78" s="312" t="e" cm="1">
        <f t="array" aca="1" ref="AM78" ca="1">_xlfn.IFS(SUM($L78:AL78)&gt;=$E78,0,AM$70=$G78,$E78*10%,AL78&gt;0,$E78*0.9/5, TRUE, 0)</f>
        <v>#NAME?</v>
      </c>
      <c r="AN78" s="312" t="e" cm="1">
        <f t="array" aca="1" ref="AN78" ca="1">_xlfn.IFS(SUM($L78:AM78)&gt;=$E78,0,AN$70=$G78,$E78*10%,AM78&gt;0,$E78*0.9/5, TRUE, 0)</f>
        <v>#NAME?</v>
      </c>
      <c r="AO78" s="312" t="e" cm="1">
        <f t="array" aca="1" ref="AO78" ca="1">_xlfn.IFS(SUM($L78:AN78)&gt;=$E78,0,AO$70=$G78,$E78*10%,AN78&gt;0,$E78*0.9/5, TRUE, 0)</f>
        <v>#NAME?</v>
      </c>
      <c r="AP78" s="312" t="e" cm="1">
        <f t="array" aca="1" ref="AP78" ca="1">_xlfn.IFS(SUM($L78:AO78)&gt;=$E78,0,AP$70=$G78,$E78*10%,AO78&gt;0,$E78*0.9/5, TRUE, 0)</f>
        <v>#NAME?</v>
      </c>
      <c r="AQ78" s="312" t="e" cm="1">
        <f t="array" aca="1" ref="AQ78" ca="1">_xlfn.IFS(SUM($L78:AP78)&gt;=$E78,0,AQ$70=$G78,$E78*10%,AP78&gt;0,$E78*0.9/5, TRUE, 0)</f>
        <v>#NAME?</v>
      </c>
      <c r="AR78" s="312" t="e" cm="1">
        <f t="array" aca="1" ref="AR78" ca="1">_xlfn.IFS(SUM($L78:AQ78)&gt;=$E78,0,AR$70=$G78,$E78*10%,AQ78&gt;0,$E78*0.9/5, TRUE, 0)</f>
        <v>#NAME?</v>
      </c>
    </row>
    <row r="79" spans="1:66">
      <c r="B79" s="6" t="e">
        <f ca="1"/>
        <v>#NAME?</v>
      </c>
      <c r="C79" s="79" t="e">
        <f ca="1"/>
        <v>#NAME?</v>
      </c>
      <c r="D79" s="79" t="e">
        <f ca="1"/>
        <v>#NAME?</v>
      </c>
      <c r="E79" s="121" t="e">
        <f ca="1"/>
        <v>#NAME?</v>
      </c>
      <c r="F79" s="88" t="e">
        <f ca="1"/>
        <v>#NAME?</v>
      </c>
      <c r="G79" s="79" t="e">
        <f ca="1"/>
        <v>#NAME?</v>
      </c>
      <c r="H79" s="88" t="e">
        <f ca="1"/>
        <v>#NAME?</v>
      </c>
      <c r="I79" s="120" t="e">
        <f ca="1"/>
        <v>#NAME?</v>
      </c>
      <c r="J79" s="264" t="e">
        <f t="shared" ca="1" si="2"/>
        <v>#NAME?</v>
      </c>
      <c r="M79" s="312" t="e" cm="1">
        <f t="array" aca="1" ref="M79" ca="1">_xlfn.IFS(SUM($L79:L79)&gt;=$E79,0,M$70=$G79,$E79*10%,L79&gt;0,$E79*0.9/5, TRUE, 0)</f>
        <v>#NAME?</v>
      </c>
      <c r="N79" s="312" t="e" cm="1">
        <f t="array" aca="1" ref="N79" ca="1">_xlfn.IFS(SUM($L79:M79)&gt;=$E79,0,N$70=$G79,$E79*10%,M79&gt;0,$E79*0.9/5, TRUE, 0)</f>
        <v>#NAME?</v>
      </c>
      <c r="O79" s="312" t="e" cm="1">
        <f t="array" aca="1" ref="O79" ca="1">_xlfn.IFS(SUM($L79:N79)&gt;=$E79,0,O$70=$G79,$E79*10%,N79&gt;0,$E79*0.9/5, TRUE, 0)</f>
        <v>#NAME?</v>
      </c>
      <c r="P79" s="312" t="e" cm="1">
        <f t="array" aca="1" ref="P79" ca="1">_xlfn.IFS(SUM($L79:O79)&gt;=$E79,0,P$70=$G79,$E79*10%,O79&gt;0,$E79*0.9/5, TRUE, 0)</f>
        <v>#NAME?</v>
      </c>
      <c r="Q79" s="312" t="e" cm="1">
        <f t="array" aca="1" ref="Q79" ca="1">_xlfn.IFS(SUM($L79:P79)&gt;=$E79,0,Q$70=$G79,$E79*10%,P79&gt;0,$E79*0.9/5, TRUE, 0)</f>
        <v>#NAME?</v>
      </c>
      <c r="R79" s="312" t="e" cm="1">
        <f t="array" aca="1" ref="R79" ca="1">_xlfn.IFS(SUM($L79:Q79)&gt;=$E79,0,R$70=$G79,$E79*10%,Q79&gt;0,$E79*0.9/5, TRUE, 0)</f>
        <v>#NAME?</v>
      </c>
      <c r="S79" s="312" t="e" cm="1">
        <f t="array" aca="1" ref="S79" ca="1">_xlfn.IFS(SUM($L79:R79)&gt;=$E79,0,S$70=$G79,$E79*10%,R79&gt;0,$E79*0.9/5, TRUE, 0)</f>
        <v>#NAME?</v>
      </c>
      <c r="T79" s="312" t="e" cm="1">
        <f t="array" aca="1" ref="T79" ca="1">_xlfn.IFS(SUM($L79:S79)&gt;=$E79,0,T$70=$G79,$E79*10%,S79&gt;0,$E79*0.9/5, TRUE, 0)</f>
        <v>#NAME?</v>
      </c>
      <c r="U79" s="312" t="e" cm="1">
        <f t="array" aca="1" ref="U79" ca="1">_xlfn.IFS(SUM($L79:T79)&gt;=$E79,0,U$70=$G79,$E79*10%,T79&gt;0,$E79*0.9/5, TRUE, 0)</f>
        <v>#NAME?</v>
      </c>
      <c r="V79" s="312" t="e" cm="1">
        <f t="array" aca="1" ref="V79" ca="1">_xlfn.IFS(SUM($L79:U79)&gt;=$E79,0,V$70=$G79,$E79*10%,U79&gt;0,$E79*0.9/5, TRUE, 0)</f>
        <v>#NAME?</v>
      </c>
      <c r="W79" s="312" t="e" cm="1">
        <f t="array" aca="1" ref="W79" ca="1">_xlfn.IFS(SUM($L79:V79)&gt;=$E79,0,W$70=$G79,$E79*10%,V79&gt;0,$E79*0.9/5, TRUE, 0)</f>
        <v>#NAME?</v>
      </c>
      <c r="X79" s="312" t="e" cm="1">
        <f t="array" aca="1" ref="X79" ca="1">_xlfn.IFS(SUM($L79:W79)&gt;=$E79,0,X$70=$G79,$E79*10%,W79&gt;0,$E79*0.9/5, TRUE, 0)</f>
        <v>#NAME?</v>
      </c>
      <c r="Y79" s="312" t="e" cm="1">
        <f t="array" aca="1" ref="Y79" ca="1">_xlfn.IFS(SUM($L79:X79)&gt;=$E79,0,Y$70=$G79,$E79*10%,X79&gt;0,$E79*0.9/5, TRUE, 0)</f>
        <v>#NAME?</v>
      </c>
      <c r="Z79" s="312" t="e" cm="1">
        <f t="array" aca="1" ref="Z79" ca="1">_xlfn.IFS(SUM($L79:Y79)&gt;=$E79,0,Z$70=$G79,$E79*10%,Y79&gt;0,$E79*0.9/5, TRUE, 0)</f>
        <v>#NAME?</v>
      </c>
      <c r="AA79" s="312" t="e" cm="1">
        <f t="array" aca="1" ref="AA79" ca="1">_xlfn.IFS(SUM($L79:Z79)&gt;=$E79,0,AA$70=$G79,$E79*10%,Z79&gt;0,$E79*0.9/5, TRUE, 0)</f>
        <v>#NAME?</v>
      </c>
      <c r="AB79" s="312" t="e" cm="1">
        <f t="array" aca="1" ref="AB79" ca="1">_xlfn.IFS(SUM($L79:AA79)&gt;=$E79,0,AB$70=$G79,$E79*10%,AA79&gt;0,$E79*0.9/5, TRUE, 0)</f>
        <v>#NAME?</v>
      </c>
      <c r="AC79" s="312" t="e" cm="1">
        <f t="array" aca="1" ref="AC79" ca="1">_xlfn.IFS(SUM($L79:AB79)&gt;=$E79,0,AC$70=$G79,$E79*10%,AB79&gt;0,$E79*0.9/5, TRUE, 0)</f>
        <v>#NAME?</v>
      </c>
      <c r="AD79" s="312" t="e" cm="1">
        <f t="array" aca="1" ref="AD79" ca="1">_xlfn.IFS(SUM($L79:AC79)&gt;=$E79,0,AD$70=$G79,$E79*10%,AC79&gt;0,$E79*0.9/5, TRUE, 0)</f>
        <v>#NAME?</v>
      </c>
      <c r="AE79" s="312" t="e" cm="1">
        <f t="array" aca="1" ref="AE79" ca="1">_xlfn.IFS(SUM($L79:AD79)&gt;=$E79,0,AE$70=$G79,$E79*10%,AD79&gt;0,$E79*0.9/5, TRUE, 0)</f>
        <v>#NAME?</v>
      </c>
      <c r="AF79" s="312" t="e" cm="1">
        <f t="array" aca="1" ref="AF79" ca="1">_xlfn.IFS(SUM($L79:AE79)&gt;=$E79,0,AF$70=$G79,$E79*10%,AE79&gt;0,$E79*0.9/5, TRUE, 0)</f>
        <v>#NAME?</v>
      </c>
      <c r="AG79" s="312" t="e" cm="1">
        <f t="array" aca="1" ref="AG79" ca="1">_xlfn.IFS(SUM($L79:AF79)&gt;=$E79,0,AG$70=$G79,$E79*10%,AF79&gt;0,$E79*0.9/5, TRUE, 0)</f>
        <v>#NAME?</v>
      </c>
      <c r="AH79" s="312" t="e" cm="1">
        <f t="array" aca="1" ref="AH79" ca="1">_xlfn.IFS(SUM($L79:AG79)&gt;=$E79,0,AH$70=$G79,$E79*10%,AG79&gt;0,$E79*0.9/5, TRUE, 0)</f>
        <v>#NAME?</v>
      </c>
      <c r="AI79" s="312" t="e" cm="1">
        <f t="array" aca="1" ref="AI79" ca="1">_xlfn.IFS(SUM($L79:AH79)&gt;=$E79,0,AI$70=$G79,$E79*10%,AH79&gt;0,$E79*0.9/5, TRUE, 0)</f>
        <v>#NAME?</v>
      </c>
      <c r="AJ79" s="312" t="e" cm="1">
        <f t="array" aca="1" ref="AJ79" ca="1">_xlfn.IFS(SUM($L79:AI79)&gt;=$E79,0,AJ$70=$G79,$E79*10%,AI79&gt;0,$E79*0.9/5, TRUE, 0)</f>
        <v>#NAME?</v>
      </c>
      <c r="AK79" s="312" t="e" cm="1">
        <f t="array" aca="1" ref="AK79" ca="1">_xlfn.IFS(SUM($L79:AJ79)&gt;=$E79,0,AK$70=$G79,$E79*10%,AJ79&gt;0,$E79*0.9/5, TRUE, 0)</f>
        <v>#NAME?</v>
      </c>
      <c r="AL79" s="312" t="e" cm="1">
        <f t="array" aca="1" ref="AL79" ca="1">_xlfn.IFS(SUM($L79:AK79)&gt;=$E79,0,AL$70=$G79,$E79*10%,AK79&gt;0,$E79*0.9/5, TRUE, 0)</f>
        <v>#NAME?</v>
      </c>
      <c r="AM79" s="312" t="e" cm="1">
        <f t="array" aca="1" ref="AM79" ca="1">_xlfn.IFS(SUM($L79:AL79)&gt;=$E79,0,AM$70=$G79,$E79*10%,AL79&gt;0,$E79*0.9/5, TRUE, 0)</f>
        <v>#NAME?</v>
      </c>
      <c r="AN79" s="312" t="e" cm="1">
        <f t="array" aca="1" ref="AN79" ca="1">_xlfn.IFS(SUM($L79:AM79)&gt;=$E79,0,AN$70=$G79,$E79*10%,AM79&gt;0,$E79*0.9/5, TRUE, 0)</f>
        <v>#NAME?</v>
      </c>
      <c r="AO79" s="312" t="e" cm="1">
        <f t="array" aca="1" ref="AO79" ca="1">_xlfn.IFS(SUM($L79:AN79)&gt;=$E79,0,AO$70=$G79,$E79*10%,AN79&gt;0,$E79*0.9/5, TRUE, 0)</f>
        <v>#NAME?</v>
      </c>
      <c r="AP79" s="312" t="e" cm="1">
        <f t="array" aca="1" ref="AP79" ca="1">_xlfn.IFS(SUM($L79:AO79)&gt;=$E79,0,AP$70=$G79,$E79*10%,AO79&gt;0,$E79*0.9/5, TRUE, 0)</f>
        <v>#NAME?</v>
      </c>
      <c r="AQ79" s="312" t="e" cm="1">
        <f t="array" aca="1" ref="AQ79" ca="1">_xlfn.IFS(SUM($L79:AP79)&gt;=$E79,0,AQ$70=$G79,$E79*10%,AP79&gt;0,$E79*0.9/5, TRUE, 0)</f>
        <v>#NAME?</v>
      </c>
      <c r="AR79" s="312" t="e" cm="1">
        <f t="array" aca="1" ref="AR79" ca="1">_xlfn.IFS(SUM($L79:AQ79)&gt;=$E79,0,AR$70=$G79,$E79*10%,AQ79&gt;0,$E79*0.9/5, TRUE, 0)</f>
        <v>#NAME?</v>
      </c>
    </row>
    <row r="80" spans="1:66">
      <c r="B80" s="6" t="e">
        <f ca="1"/>
        <v>#NAME?</v>
      </c>
      <c r="C80" s="79" t="e">
        <f ca="1"/>
        <v>#NAME?</v>
      </c>
      <c r="D80" s="79" t="e">
        <f ca="1"/>
        <v>#NAME?</v>
      </c>
      <c r="E80" s="121" t="e">
        <f ca="1"/>
        <v>#NAME?</v>
      </c>
      <c r="F80" s="88" t="e">
        <f ca="1"/>
        <v>#NAME?</v>
      </c>
      <c r="G80" s="79" t="e">
        <f ca="1"/>
        <v>#NAME?</v>
      </c>
      <c r="H80" s="88" t="e">
        <f ca="1"/>
        <v>#NAME?</v>
      </c>
      <c r="I80" s="120" t="e">
        <f ca="1"/>
        <v>#NAME?</v>
      </c>
      <c r="J80" s="264" t="e">
        <f t="shared" ca="1" si="2"/>
        <v>#NAME?</v>
      </c>
      <c r="M80" s="312" t="e" cm="1">
        <f t="array" aca="1" ref="M80" ca="1">_xlfn.IFS(SUM($L80:L80)&gt;=$E80,0,M$70=$G80,$E80*10%,L80&gt;0,$E80*0.9/5, TRUE, 0)</f>
        <v>#NAME?</v>
      </c>
      <c r="N80" s="312" t="e" cm="1">
        <f t="array" aca="1" ref="N80" ca="1">_xlfn.IFS(SUM($L80:M80)&gt;=$E80,0,N$70=$G80,$E80*10%,M80&gt;0,$E80*0.9/5, TRUE, 0)</f>
        <v>#NAME?</v>
      </c>
      <c r="O80" s="312" t="e" cm="1">
        <f t="array" aca="1" ref="O80" ca="1">_xlfn.IFS(SUM($L80:N80)&gt;=$E80,0,O$70=$G80,$E80*10%,N80&gt;0,$E80*0.9/5, TRUE, 0)</f>
        <v>#NAME?</v>
      </c>
      <c r="P80" s="312" t="e" cm="1">
        <f t="array" aca="1" ref="P80" ca="1">_xlfn.IFS(SUM($L80:O80)&gt;=$E80,0,P$70=$G80,$E80*10%,O80&gt;0,$E80*0.9/5, TRUE, 0)</f>
        <v>#NAME?</v>
      </c>
      <c r="Q80" s="312" t="e" cm="1">
        <f t="array" aca="1" ref="Q80" ca="1">_xlfn.IFS(SUM($L80:P80)&gt;=$E80,0,Q$70=$G80,$E80*10%,P80&gt;0,$E80*0.9/5, TRUE, 0)</f>
        <v>#NAME?</v>
      </c>
      <c r="R80" s="312" t="e" cm="1">
        <f t="array" aca="1" ref="R80" ca="1">_xlfn.IFS(SUM($L80:Q80)&gt;=$E80,0,R$70=$G80,$E80*10%,Q80&gt;0,$E80*0.9/5, TRUE, 0)</f>
        <v>#NAME?</v>
      </c>
      <c r="S80" s="312" t="e" cm="1">
        <f t="array" aca="1" ref="S80" ca="1">_xlfn.IFS(SUM($L80:R80)&gt;=$E80,0,S$70=$G80,$E80*10%,R80&gt;0,$E80*0.9/5, TRUE, 0)</f>
        <v>#NAME?</v>
      </c>
      <c r="T80" s="312" t="e" cm="1">
        <f t="array" aca="1" ref="T80" ca="1">_xlfn.IFS(SUM($L80:S80)&gt;=$E80,0,T$70=$G80,$E80*10%,S80&gt;0,$E80*0.9/5, TRUE, 0)</f>
        <v>#NAME?</v>
      </c>
      <c r="U80" s="312" t="e" cm="1">
        <f t="array" aca="1" ref="U80" ca="1">_xlfn.IFS(SUM($L80:T80)&gt;=$E80,0,U$70=$G80,$E80*10%,T80&gt;0,$E80*0.9/5, TRUE, 0)</f>
        <v>#NAME?</v>
      </c>
      <c r="V80" s="312" t="e" cm="1">
        <f t="array" aca="1" ref="V80" ca="1">_xlfn.IFS(SUM($L80:U80)&gt;=$E80,0,V$70=$G80,$E80*10%,U80&gt;0,$E80*0.9/5, TRUE, 0)</f>
        <v>#NAME?</v>
      </c>
      <c r="W80" s="312" t="e" cm="1">
        <f t="array" aca="1" ref="W80" ca="1">_xlfn.IFS(SUM($L80:V80)&gt;=$E80,0,W$70=$G80,$E80*10%,V80&gt;0,$E80*0.9/5, TRUE, 0)</f>
        <v>#NAME?</v>
      </c>
      <c r="X80" s="312" t="e" cm="1">
        <f t="array" aca="1" ref="X80" ca="1">_xlfn.IFS(SUM($L80:W80)&gt;=$E80,0,X$70=$G80,$E80*10%,W80&gt;0,$E80*0.9/5, TRUE, 0)</f>
        <v>#NAME?</v>
      </c>
      <c r="Y80" s="312" t="e" cm="1">
        <f t="array" aca="1" ref="Y80" ca="1">_xlfn.IFS(SUM($L80:X80)&gt;=$E80,0,Y$70=$G80,$E80*10%,X80&gt;0,$E80*0.9/5, TRUE, 0)</f>
        <v>#NAME?</v>
      </c>
      <c r="Z80" s="312" t="e" cm="1">
        <f t="array" aca="1" ref="Z80" ca="1">_xlfn.IFS(SUM($L80:Y80)&gt;=$E80,0,Z$70=$G80,$E80*10%,Y80&gt;0,$E80*0.9/5, TRUE, 0)</f>
        <v>#NAME?</v>
      </c>
      <c r="AA80" s="312" t="e" cm="1">
        <f t="array" aca="1" ref="AA80" ca="1">_xlfn.IFS(SUM($L80:Z80)&gt;=$E80,0,AA$70=$G80,$E80*10%,Z80&gt;0,$E80*0.9/5, TRUE, 0)</f>
        <v>#NAME?</v>
      </c>
      <c r="AB80" s="312" t="e" cm="1">
        <f t="array" aca="1" ref="AB80" ca="1">_xlfn.IFS(SUM($L80:AA80)&gt;=$E80,0,AB$70=$G80,$E80*10%,AA80&gt;0,$E80*0.9/5, TRUE, 0)</f>
        <v>#NAME?</v>
      </c>
      <c r="AC80" s="312" t="e" cm="1">
        <f t="array" aca="1" ref="AC80" ca="1">_xlfn.IFS(SUM($L80:AB80)&gt;=$E80,0,AC$70=$G80,$E80*10%,AB80&gt;0,$E80*0.9/5, TRUE, 0)</f>
        <v>#NAME?</v>
      </c>
      <c r="AD80" s="312" t="e" cm="1">
        <f t="array" aca="1" ref="AD80" ca="1">_xlfn.IFS(SUM($L80:AC80)&gt;=$E80,0,AD$70=$G80,$E80*10%,AC80&gt;0,$E80*0.9/5, TRUE, 0)</f>
        <v>#NAME?</v>
      </c>
      <c r="AE80" s="312" t="e" cm="1">
        <f t="array" aca="1" ref="AE80" ca="1">_xlfn.IFS(SUM($L80:AD80)&gt;=$E80,0,AE$70=$G80,$E80*10%,AD80&gt;0,$E80*0.9/5, TRUE, 0)</f>
        <v>#NAME?</v>
      </c>
      <c r="AF80" s="312" t="e" cm="1">
        <f t="array" aca="1" ref="AF80" ca="1">_xlfn.IFS(SUM($L80:AE80)&gt;=$E80,0,AF$70=$G80,$E80*10%,AE80&gt;0,$E80*0.9/5, TRUE, 0)</f>
        <v>#NAME?</v>
      </c>
      <c r="AG80" s="312" t="e" cm="1">
        <f t="array" aca="1" ref="AG80" ca="1">_xlfn.IFS(SUM($L80:AF80)&gt;=$E80,0,AG$70=$G80,$E80*10%,AF80&gt;0,$E80*0.9/5, TRUE, 0)</f>
        <v>#NAME?</v>
      </c>
      <c r="AH80" s="312" t="e" cm="1">
        <f t="array" aca="1" ref="AH80" ca="1">_xlfn.IFS(SUM($L80:AG80)&gt;=$E80,0,AH$70=$G80,$E80*10%,AG80&gt;0,$E80*0.9/5, TRUE, 0)</f>
        <v>#NAME?</v>
      </c>
      <c r="AI80" s="312" t="e" cm="1">
        <f t="array" aca="1" ref="AI80" ca="1">_xlfn.IFS(SUM($L80:AH80)&gt;=$E80,0,AI$70=$G80,$E80*10%,AH80&gt;0,$E80*0.9/5, TRUE, 0)</f>
        <v>#NAME?</v>
      </c>
      <c r="AJ80" s="312" t="e" cm="1">
        <f t="array" aca="1" ref="AJ80" ca="1">_xlfn.IFS(SUM($L80:AI80)&gt;=$E80,0,AJ$70=$G80,$E80*10%,AI80&gt;0,$E80*0.9/5, TRUE, 0)</f>
        <v>#NAME?</v>
      </c>
      <c r="AK80" s="312" t="e" cm="1">
        <f t="array" aca="1" ref="AK80" ca="1">_xlfn.IFS(SUM($L80:AJ80)&gt;=$E80,0,AK$70=$G80,$E80*10%,AJ80&gt;0,$E80*0.9/5, TRUE, 0)</f>
        <v>#NAME?</v>
      </c>
      <c r="AL80" s="312" t="e" cm="1">
        <f t="array" aca="1" ref="AL80" ca="1">_xlfn.IFS(SUM($L80:AK80)&gt;=$E80,0,AL$70=$G80,$E80*10%,AK80&gt;0,$E80*0.9/5, TRUE, 0)</f>
        <v>#NAME?</v>
      </c>
      <c r="AM80" s="312" t="e" cm="1">
        <f t="array" aca="1" ref="AM80" ca="1">_xlfn.IFS(SUM($L80:AL80)&gt;=$E80,0,AM$70=$G80,$E80*10%,AL80&gt;0,$E80*0.9/5, TRUE, 0)</f>
        <v>#NAME?</v>
      </c>
      <c r="AN80" s="312" t="e" cm="1">
        <f t="array" aca="1" ref="AN80" ca="1">_xlfn.IFS(SUM($L80:AM80)&gt;=$E80,0,AN$70=$G80,$E80*10%,AM80&gt;0,$E80*0.9/5, TRUE, 0)</f>
        <v>#NAME?</v>
      </c>
      <c r="AO80" s="312" t="e" cm="1">
        <f t="array" aca="1" ref="AO80" ca="1">_xlfn.IFS(SUM($L80:AN80)&gt;=$E80,0,AO$70=$G80,$E80*10%,AN80&gt;0,$E80*0.9/5, TRUE, 0)</f>
        <v>#NAME?</v>
      </c>
      <c r="AP80" s="312" t="e" cm="1">
        <f t="array" aca="1" ref="AP80" ca="1">_xlfn.IFS(SUM($L80:AO80)&gt;=$E80,0,AP$70=$G80,$E80*10%,AO80&gt;0,$E80*0.9/5, TRUE, 0)</f>
        <v>#NAME?</v>
      </c>
      <c r="AQ80" s="312" t="e" cm="1">
        <f t="array" aca="1" ref="AQ80" ca="1">_xlfn.IFS(SUM($L80:AP80)&gt;=$E80,0,AQ$70=$G80,$E80*10%,AP80&gt;0,$E80*0.9/5, TRUE, 0)</f>
        <v>#NAME?</v>
      </c>
      <c r="AR80" s="312" t="e" cm="1">
        <f t="array" aca="1" ref="AR80" ca="1">_xlfn.IFS(SUM($L80:AQ80)&gt;=$E80,0,AR$70=$G80,$E80*10%,AQ80&gt;0,$E80*0.9/5, TRUE, 0)</f>
        <v>#NAME?</v>
      </c>
    </row>
    <row r="81" spans="2:44">
      <c r="B81" s="6" t="e">
        <f ca="1"/>
        <v>#NAME?</v>
      </c>
      <c r="C81" s="79" t="e">
        <f ca="1"/>
        <v>#NAME?</v>
      </c>
      <c r="D81" s="79" t="e">
        <f ca="1"/>
        <v>#NAME?</v>
      </c>
      <c r="E81" s="121" t="e">
        <f ca="1"/>
        <v>#NAME?</v>
      </c>
      <c r="F81" s="88" t="e">
        <f ca="1"/>
        <v>#NAME?</v>
      </c>
      <c r="G81" s="79" t="e">
        <f ca="1"/>
        <v>#NAME?</v>
      </c>
      <c r="H81" s="88" t="e">
        <f ca="1"/>
        <v>#NAME?</v>
      </c>
      <c r="I81" s="120" t="e">
        <f ca="1"/>
        <v>#NAME?</v>
      </c>
      <c r="J81" s="264" t="e">
        <f t="shared" ca="1" si="2"/>
        <v>#NAME?</v>
      </c>
      <c r="M81" s="312" t="e" cm="1">
        <f t="array" aca="1" ref="M81" ca="1">_xlfn.IFS(SUM($L81:L81)&gt;=$E81,0,M$70=$G81,$E81*10%,L81&gt;0,$E81*0.9/5, TRUE, 0)</f>
        <v>#NAME?</v>
      </c>
      <c r="N81" s="312" t="e" cm="1">
        <f t="array" aca="1" ref="N81" ca="1">_xlfn.IFS(SUM($L81:M81)&gt;=$E81,0,N$70=$G81,$E81*10%,M81&gt;0,$E81*0.9/5, TRUE, 0)</f>
        <v>#NAME?</v>
      </c>
      <c r="O81" s="312" t="e" cm="1">
        <f t="array" aca="1" ref="O81" ca="1">_xlfn.IFS(SUM($L81:N81)&gt;=$E81,0,O$70=$G81,$E81*10%,N81&gt;0,$E81*0.9/5, TRUE, 0)</f>
        <v>#NAME?</v>
      </c>
      <c r="P81" s="312" t="e" cm="1">
        <f t="array" aca="1" ref="P81" ca="1">_xlfn.IFS(SUM($L81:O81)&gt;=$E81,0,P$70=$G81,$E81*10%,O81&gt;0,$E81*0.9/5, TRUE, 0)</f>
        <v>#NAME?</v>
      </c>
      <c r="Q81" s="312" t="e" cm="1">
        <f t="array" aca="1" ref="Q81" ca="1">_xlfn.IFS(SUM($L81:P81)&gt;=$E81,0,Q$70=$G81,$E81*10%,P81&gt;0,$E81*0.9/5, TRUE, 0)</f>
        <v>#NAME?</v>
      </c>
      <c r="R81" s="312" t="e" cm="1">
        <f t="array" aca="1" ref="R81" ca="1">_xlfn.IFS(SUM($L81:Q81)&gt;=$E81,0,R$70=$G81,$E81*10%,Q81&gt;0,$E81*0.9/5, TRUE, 0)</f>
        <v>#NAME?</v>
      </c>
      <c r="S81" s="312" t="e" cm="1">
        <f t="array" aca="1" ref="S81" ca="1">_xlfn.IFS(SUM($L81:R81)&gt;=$E81,0,S$70=$G81,$E81*10%,R81&gt;0,$E81*0.9/5, TRUE, 0)</f>
        <v>#NAME?</v>
      </c>
      <c r="T81" s="312" t="e" cm="1">
        <f t="array" aca="1" ref="T81" ca="1">_xlfn.IFS(SUM($L81:S81)&gt;=$E81,0,T$70=$G81,$E81*10%,S81&gt;0,$E81*0.9/5, TRUE, 0)</f>
        <v>#NAME?</v>
      </c>
      <c r="U81" s="312" t="e" cm="1">
        <f t="array" aca="1" ref="U81" ca="1">_xlfn.IFS(SUM($L81:T81)&gt;=$E81,0,U$70=$G81,$E81*10%,T81&gt;0,$E81*0.9/5, TRUE, 0)</f>
        <v>#NAME?</v>
      </c>
      <c r="V81" s="312" t="e" cm="1">
        <f t="array" aca="1" ref="V81" ca="1">_xlfn.IFS(SUM($L81:U81)&gt;=$E81,0,V$70=$G81,$E81*10%,U81&gt;0,$E81*0.9/5, TRUE, 0)</f>
        <v>#NAME?</v>
      </c>
      <c r="W81" s="312" t="e" cm="1">
        <f t="array" aca="1" ref="W81" ca="1">_xlfn.IFS(SUM($L81:V81)&gt;=$E81,0,W$70=$G81,$E81*10%,V81&gt;0,$E81*0.9/5, TRUE, 0)</f>
        <v>#NAME?</v>
      </c>
      <c r="X81" s="312" t="e" cm="1">
        <f t="array" aca="1" ref="X81" ca="1">_xlfn.IFS(SUM($L81:W81)&gt;=$E81,0,X$70=$G81,$E81*10%,W81&gt;0,$E81*0.9/5, TRUE, 0)</f>
        <v>#NAME?</v>
      </c>
      <c r="Y81" s="312" t="e" cm="1">
        <f t="array" aca="1" ref="Y81" ca="1">_xlfn.IFS(SUM($L81:X81)&gt;=$E81,0,Y$70=$G81,$E81*10%,X81&gt;0,$E81*0.9/5, TRUE, 0)</f>
        <v>#NAME?</v>
      </c>
      <c r="Z81" s="312" t="e" cm="1">
        <f t="array" aca="1" ref="Z81" ca="1">_xlfn.IFS(SUM($L81:Y81)&gt;=$E81,0,Z$70=$G81,$E81*10%,Y81&gt;0,$E81*0.9/5, TRUE, 0)</f>
        <v>#NAME?</v>
      </c>
      <c r="AA81" s="312" t="e" cm="1">
        <f t="array" aca="1" ref="AA81" ca="1">_xlfn.IFS(SUM($L81:Z81)&gt;=$E81,0,AA$70=$G81,$E81*10%,Z81&gt;0,$E81*0.9/5, TRUE, 0)</f>
        <v>#NAME?</v>
      </c>
      <c r="AB81" s="312" t="e" cm="1">
        <f t="array" aca="1" ref="AB81" ca="1">_xlfn.IFS(SUM($L81:AA81)&gt;=$E81,0,AB$70=$G81,$E81*10%,AA81&gt;0,$E81*0.9/5, TRUE, 0)</f>
        <v>#NAME?</v>
      </c>
      <c r="AC81" s="312" t="e" cm="1">
        <f t="array" aca="1" ref="AC81" ca="1">_xlfn.IFS(SUM($L81:AB81)&gt;=$E81,0,AC$70=$G81,$E81*10%,AB81&gt;0,$E81*0.9/5, TRUE, 0)</f>
        <v>#NAME?</v>
      </c>
      <c r="AD81" s="312" t="e" cm="1">
        <f t="array" aca="1" ref="AD81" ca="1">_xlfn.IFS(SUM($L81:AC81)&gt;=$E81,0,AD$70=$G81,$E81*10%,AC81&gt;0,$E81*0.9/5, TRUE, 0)</f>
        <v>#NAME?</v>
      </c>
      <c r="AE81" s="312" t="e" cm="1">
        <f t="array" aca="1" ref="AE81" ca="1">_xlfn.IFS(SUM($L81:AD81)&gt;=$E81,0,AE$70=$G81,$E81*10%,AD81&gt;0,$E81*0.9/5, TRUE, 0)</f>
        <v>#NAME?</v>
      </c>
      <c r="AF81" s="312" t="e" cm="1">
        <f t="array" aca="1" ref="AF81" ca="1">_xlfn.IFS(SUM($L81:AE81)&gt;=$E81,0,AF$70=$G81,$E81*10%,AE81&gt;0,$E81*0.9/5, TRUE, 0)</f>
        <v>#NAME?</v>
      </c>
      <c r="AG81" s="312" t="e" cm="1">
        <f t="array" aca="1" ref="AG81" ca="1">_xlfn.IFS(SUM($L81:AF81)&gt;=$E81,0,AG$70=$G81,$E81*10%,AF81&gt;0,$E81*0.9/5, TRUE, 0)</f>
        <v>#NAME?</v>
      </c>
      <c r="AH81" s="312" t="e" cm="1">
        <f t="array" aca="1" ref="AH81" ca="1">_xlfn.IFS(SUM($L81:AG81)&gt;=$E81,0,AH$70=$G81,$E81*10%,AG81&gt;0,$E81*0.9/5, TRUE, 0)</f>
        <v>#NAME?</v>
      </c>
      <c r="AI81" s="312" t="e" cm="1">
        <f t="array" aca="1" ref="AI81" ca="1">_xlfn.IFS(SUM($L81:AH81)&gt;=$E81,0,AI$70=$G81,$E81*10%,AH81&gt;0,$E81*0.9/5, TRUE, 0)</f>
        <v>#NAME?</v>
      </c>
      <c r="AJ81" s="312" t="e" cm="1">
        <f t="array" aca="1" ref="AJ81" ca="1">_xlfn.IFS(SUM($L81:AI81)&gt;=$E81,0,AJ$70=$G81,$E81*10%,AI81&gt;0,$E81*0.9/5, TRUE, 0)</f>
        <v>#NAME?</v>
      </c>
      <c r="AK81" s="312" t="e" cm="1">
        <f t="array" aca="1" ref="AK81" ca="1">_xlfn.IFS(SUM($L81:AJ81)&gt;=$E81,0,AK$70=$G81,$E81*10%,AJ81&gt;0,$E81*0.9/5, TRUE, 0)</f>
        <v>#NAME?</v>
      </c>
      <c r="AL81" s="312" t="e" cm="1">
        <f t="array" aca="1" ref="AL81" ca="1">_xlfn.IFS(SUM($L81:AK81)&gt;=$E81,0,AL$70=$G81,$E81*10%,AK81&gt;0,$E81*0.9/5, TRUE, 0)</f>
        <v>#NAME?</v>
      </c>
      <c r="AM81" s="312" t="e" cm="1">
        <f t="array" aca="1" ref="AM81" ca="1">_xlfn.IFS(SUM($L81:AL81)&gt;=$E81,0,AM$70=$G81,$E81*10%,AL81&gt;0,$E81*0.9/5, TRUE, 0)</f>
        <v>#NAME?</v>
      </c>
      <c r="AN81" s="312" t="e" cm="1">
        <f t="array" aca="1" ref="AN81" ca="1">_xlfn.IFS(SUM($L81:AM81)&gt;=$E81,0,AN$70=$G81,$E81*10%,AM81&gt;0,$E81*0.9/5, TRUE, 0)</f>
        <v>#NAME?</v>
      </c>
      <c r="AO81" s="312" t="e" cm="1">
        <f t="array" aca="1" ref="AO81" ca="1">_xlfn.IFS(SUM($L81:AN81)&gt;=$E81,0,AO$70=$G81,$E81*10%,AN81&gt;0,$E81*0.9/5, TRUE, 0)</f>
        <v>#NAME?</v>
      </c>
      <c r="AP81" s="312" t="e" cm="1">
        <f t="array" aca="1" ref="AP81" ca="1">_xlfn.IFS(SUM($L81:AO81)&gt;=$E81,0,AP$70=$G81,$E81*10%,AO81&gt;0,$E81*0.9/5, TRUE, 0)</f>
        <v>#NAME?</v>
      </c>
      <c r="AQ81" s="312" t="e" cm="1">
        <f t="array" aca="1" ref="AQ81" ca="1">_xlfn.IFS(SUM($L81:AP81)&gt;=$E81,0,AQ$70=$G81,$E81*10%,AP81&gt;0,$E81*0.9/5, TRUE, 0)</f>
        <v>#NAME?</v>
      </c>
      <c r="AR81" s="312" t="e" cm="1">
        <f t="array" aca="1" ref="AR81" ca="1">_xlfn.IFS(SUM($L81:AQ81)&gt;=$E81,0,AR$70=$G81,$E81*10%,AQ81&gt;0,$E81*0.9/5, TRUE, 0)</f>
        <v>#NAME?</v>
      </c>
    </row>
    <row r="82" spans="2:44">
      <c r="B82" s="6" t="e">
        <f ca="1"/>
        <v>#NAME?</v>
      </c>
      <c r="C82" s="79" t="e">
        <f ca="1"/>
        <v>#NAME?</v>
      </c>
      <c r="D82" s="79" t="e">
        <f ca="1"/>
        <v>#NAME?</v>
      </c>
      <c r="E82" s="121" t="e">
        <f ca="1"/>
        <v>#NAME?</v>
      </c>
      <c r="F82" s="88" t="e">
        <f ca="1"/>
        <v>#NAME?</v>
      </c>
      <c r="G82" s="79" t="e">
        <f ca="1"/>
        <v>#NAME?</v>
      </c>
      <c r="H82" s="88" t="e">
        <f ca="1"/>
        <v>#NAME?</v>
      </c>
      <c r="I82" s="120" t="e">
        <f ca="1"/>
        <v>#NAME?</v>
      </c>
      <c r="J82" s="264" t="e">
        <f t="shared" ca="1" si="2"/>
        <v>#NAME?</v>
      </c>
      <c r="M82" s="312" t="e" cm="1">
        <f t="array" aca="1" ref="M82" ca="1">_xlfn.IFS(SUM($L82:L82)&gt;=$E82,0,M$70=$G82,$E82*10%,L82&gt;0,$E82*0.9/5, TRUE, 0)</f>
        <v>#NAME?</v>
      </c>
      <c r="N82" s="312" t="e" cm="1">
        <f t="array" aca="1" ref="N82" ca="1">_xlfn.IFS(SUM($L82:M82)&gt;=$E82,0,N$70=$G82,$E82*10%,M82&gt;0,$E82*0.9/5, TRUE, 0)</f>
        <v>#NAME?</v>
      </c>
      <c r="O82" s="312" t="e" cm="1">
        <f t="array" aca="1" ref="O82" ca="1">_xlfn.IFS(SUM($L82:N82)&gt;=$E82,0,O$70=$G82,$E82*10%,N82&gt;0,$E82*0.9/5, TRUE, 0)</f>
        <v>#NAME?</v>
      </c>
      <c r="P82" s="312" t="e" cm="1">
        <f t="array" aca="1" ref="P82" ca="1">_xlfn.IFS(SUM($L82:O82)&gt;=$E82,0,P$70=$G82,$E82*10%,O82&gt;0,$E82*0.9/5, TRUE, 0)</f>
        <v>#NAME?</v>
      </c>
      <c r="Q82" s="312" t="e" cm="1">
        <f t="array" aca="1" ref="Q82" ca="1">_xlfn.IFS(SUM($L82:P82)&gt;=$E82,0,Q$70=$G82,$E82*10%,P82&gt;0,$E82*0.9/5, TRUE, 0)</f>
        <v>#NAME?</v>
      </c>
      <c r="R82" s="312" t="e" cm="1">
        <f t="array" aca="1" ref="R82" ca="1">_xlfn.IFS(SUM($L82:Q82)&gt;=$E82,0,R$70=$G82,$E82*10%,Q82&gt;0,$E82*0.9/5, TRUE, 0)</f>
        <v>#NAME?</v>
      </c>
      <c r="S82" s="312" t="e" cm="1">
        <f t="array" aca="1" ref="S82" ca="1">_xlfn.IFS(SUM($L82:R82)&gt;=$E82,0,S$70=$G82,$E82*10%,R82&gt;0,$E82*0.9/5, TRUE, 0)</f>
        <v>#NAME?</v>
      </c>
      <c r="T82" s="312" t="e" cm="1">
        <f t="array" aca="1" ref="T82" ca="1">_xlfn.IFS(SUM($L82:S82)&gt;=$E82,0,T$70=$G82,$E82*10%,S82&gt;0,$E82*0.9/5, TRUE, 0)</f>
        <v>#NAME?</v>
      </c>
      <c r="U82" s="312" t="e" cm="1">
        <f t="array" aca="1" ref="U82" ca="1">_xlfn.IFS(SUM($L82:T82)&gt;=$E82,0,U$70=$G82,$E82*10%,T82&gt;0,$E82*0.9/5, TRUE, 0)</f>
        <v>#NAME?</v>
      </c>
      <c r="V82" s="312" t="e" cm="1">
        <f t="array" aca="1" ref="V82" ca="1">_xlfn.IFS(SUM($L82:U82)&gt;=$E82,0,V$70=$G82,$E82*10%,U82&gt;0,$E82*0.9/5, TRUE, 0)</f>
        <v>#NAME?</v>
      </c>
      <c r="W82" s="312" t="e" cm="1">
        <f t="array" aca="1" ref="W82" ca="1">_xlfn.IFS(SUM($L82:V82)&gt;=$E82,0,W$70=$G82,$E82*10%,V82&gt;0,$E82*0.9/5, TRUE, 0)</f>
        <v>#NAME?</v>
      </c>
      <c r="X82" s="312" t="e" cm="1">
        <f t="array" aca="1" ref="X82" ca="1">_xlfn.IFS(SUM($L82:W82)&gt;=$E82,0,X$70=$G82,$E82*10%,W82&gt;0,$E82*0.9/5, TRUE, 0)</f>
        <v>#NAME?</v>
      </c>
      <c r="Y82" s="312" t="e" cm="1">
        <f t="array" aca="1" ref="Y82" ca="1">_xlfn.IFS(SUM($L82:X82)&gt;=$E82,0,Y$70=$G82,$E82*10%,X82&gt;0,$E82*0.9/5, TRUE, 0)</f>
        <v>#NAME?</v>
      </c>
      <c r="Z82" s="312" t="e" cm="1">
        <f t="array" aca="1" ref="Z82" ca="1">_xlfn.IFS(SUM($L82:Y82)&gt;=$E82,0,Z$70=$G82,$E82*10%,Y82&gt;0,$E82*0.9/5, TRUE, 0)</f>
        <v>#NAME?</v>
      </c>
      <c r="AA82" s="312" t="e" cm="1">
        <f t="array" aca="1" ref="AA82" ca="1">_xlfn.IFS(SUM($L82:Z82)&gt;=$E82,0,AA$70=$G82,$E82*10%,Z82&gt;0,$E82*0.9/5, TRUE, 0)</f>
        <v>#NAME?</v>
      </c>
      <c r="AB82" s="312" t="e" cm="1">
        <f t="array" aca="1" ref="AB82" ca="1">_xlfn.IFS(SUM($L82:AA82)&gt;=$E82,0,AB$70=$G82,$E82*10%,AA82&gt;0,$E82*0.9/5, TRUE, 0)</f>
        <v>#NAME?</v>
      </c>
      <c r="AC82" s="312" t="e" cm="1">
        <f t="array" aca="1" ref="AC82" ca="1">_xlfn.IFS(SUM($L82:AB82)&gt;=$E82,0,AC$70=$G82,$E82*10%,AB82&gt;0,$E82*0.9/5, TRUE, 0)</f>
        <v>#NAME?</v>
      </c>
      <c r="AD82" s="312" t="e" cm="1">
        <f t="array" aca="1" ref="AD82" ca="1">_xlfn.IFS(SUM($L82:AC82)&gt;=$E82,0,AD$70=$G82,$E82*10%,AC82&gt;0,$E82*0.9/5, TRUE, 0)</f>
        <v>#NAME?</v>
      </c>
      <c r="AE82" s="312" t="e" cm="1">
        <f t="array" aca="1" ref="AE82" ca="1">_xlfn.IFS(SUM($L82:AD82)&gt;=$E82,0,AE$70=$G82,$E82*10%,AD82&gt;0,$E82*0.9/5, TRUE, 0)</f>
        <v>#NAME?</v>
      </c>
      <c r="AF82" s="312" t="e" cm="1">
        <f t="array" aca="1" ref="AF82" ca="1">_xlfn.IFS(SUM($L82:AE82)&gt;=$E82,0,AF$70=$G82,$E82*10%,AE82&gt;0,$E82*0.9/5, TRUE, 0)</f>
        <v>#NAME?</v>
      </c>
      <c r="AG82" s="312" t="e" cm="1">
        <f t="array" aca="1" ref="AG82" ca="1">_xlfn.IFS(SUM($L82:AF82)&gt;=$E82,0,AG$70=$G82,$E82*10%,AF82&gt;0,$E82*0.9/5, TRUE, 0)</f>
        <v>#NAME?</v>
      </c>
      <c r="AH82" s="312" t="e" cm="1">
        <f t="array" aca="1" ref="AH82" ca="1">_xlfn.IFS(SUM($L82:AG82)&gt;=$E82,0,AH$70=$G82,$E82*10%,AG82&gt;0,$E82*0.9/5, TRUE, 0)</f>
        <v>#NAME?</v>
      </c>
      <c r="AI82" s="312" t="e" cm="1">
        <f t="array" aca="1" ref="AI82" ca="1">_xlfn.IFS(SUM($L82:AH82)&gt;=$E82,0,AI$70=$G82,$E82*10%,AH82&gt;0,$E82*0.9/5, TRUE, 0)</f>
        <v>#NAME?</v>
      </c>
      <c r="AJ82" s="312" t="e" cm="1">
        <f t="array" aca="1" ref="AJ82" ca="1">_xlfn.IFS(SUM($L82:AI82)&gt;=$E82,0,AJ$70=$G82,$E82*10%,AI82&gt;0,$E82*0.9/5, TRUE, 0)</f>
        <v>#NAME?</v>
      </c>
      <c r="AK82" s="312" t="e" cm="1">
        <f t="array" aca="1" ref="AK82" ca="1">_xlfn.IFS(SUM($L82:AJ82)&gt;=$E82,0,AK$70=$G82,$E82*10%,AJ82&gt;0,$E82*0.9/5, TRUE, 0)</f>
        <v>#NAME?</v>
      </c>
      <c r="AL82" s="312" t="e" cm="1">
        <f t="array" aca="1" ref="AL82" ca="1">_xlfn.IFS(SUM($L82:AK82)&gt;=$E82,0,AL$70=$G82,$E82*10%,AK82&gt;0,$E82*0.9/5, TRUE, 0)</f>
        <v>#NAME?</v>
      </c>
      <c r="AM82" s="312" t="e" cm="1">
        <f t="array" aca="1" ref="AM82" ca="1">_xlfn.IFS(SUM($L82:AL82)&gt;=$E82,0,AM$70=$G82,$E82*10%,AL82&gt;0,$E82*0.9/5, TRUE, 0)</f>
        <v>#NAME?</v>
      </c>
      <c r="AN82" s="312" t="e" cm="1">
        <f t="array" aca="1" ref="AN82" ca="1">_xlfn.IFS(SUM($L82:AM82)&gt;=$E82,0,AN$70=$G82,$E82*10%,AM82&gt;0,$E82*0.9/5, TRUE, 0)</f>
        <v>#NAME?</v>
      </c>
      <c r="AO82" s="312" t="e" cm="1">
        <f t="array" aca="1" ref="AO82" ca="1">_xlfn.IFS(SUM($L82:AN82)&gt;=$E82,0,AO$70=$G82,$E82*10%,AN82&gt;0,$E82*0.9/5, TRUE, 0)</f>
        <v>#NAME?</v>
      </c>
      <c r="AP82" s="312" t="e" cm="1">
        <f t="array" aca="1" ref="AP82" ca="1">_xlfn.IFS(SUM($L82:AO82)&gt;=$E82,0,AP$70=$G82,$E82*10%,AO82&gt;0,$E82*0.9/5, TRUE, 0)</f>
        <v>#NAME?</v>
      </c>
      <c r="AQ82" s="312" t="e" cm="1">
        <f t="array" aca="1" ref="AQ82" ca="1">_xlfn.IFS(SUM($L82:AP82)&gt;=$E82,0,AQ$70=$G82,$E82*10%,AP82&gt;0,$E82*0.9/5, TRUE, 0)</f>
        <v>#NAME?</v>
      </c>
      <c r="AR82" s="312" t="e" cm="1">
        <f t="array" aca="1" ref="AR82" ca="1">_xlfn.IFS(SUM($L82:AQ82)&gt;=$E82,0,AR$70=$G82,$E82*10%,AQ82&gt;0,$E82*0.9/5, TRUE, 0)</f>
        <v>#NAME?</v>
      </c>
    </row>
    <row r="83" spans="2:44">
      <c r="B83" s="6" t="e">
        <f ca="1"/>
        <v>#NAME?</v>
      </c>
      <c r="C83" s="79" t="e">
        <f ca="1"/>
        <v>#NAME?</v>
      </c>
      <c r="D83" s="79" t="e">
        <f ca="1"/>
        <v>#NAME?</v>
      </c>
      <c r="E83" s="121" t="e">
        <f ca="1"/>
        <v>#NAME?</v>
      </c>
      <c r="F83" s="88" t="e">
        <f ca="1"/>
        <v>#NAME?</v>
      </c>
      <c r="G83" s="79" t="e">
        <f ca="1"/>
        <v>#NAME?</v>
      </c>
      <c r="H83" s="88" t="e">
        <f ca="1"/>
        <v>#NAME?</v>
      </c>
      <c r="I83" s="120" t="e">
        <f ca="1"/>
        <v>#NAME?</v>
      </c>
      <c r="J83" s="264" t="e">
        <f t="shared" ca="1" si="2"/>
        <v>#NAME?</v>
      </c>
      <c r="M83" s="312" t="e" cm="1">
        <f t="array" aca="1" ref="M83" ca="1">_xlfn.IFS(SUM($L83:L83)&gt;=$E83,0,M$70=$G83,$E83*10%,L83&gt;0,$E83*0.9/5, TRUE, 0)</f>
        <v>#NAME?</v>
      </c>
      <c r="N83" s="312" t="e" cm="1">
        <f t="array" aca="1" ref="N83" ca="1">_xlfn.IFS(SUM($L83:M83)&gt;=$E83,0,N$70=$G83,$E83*10%,M83&gt;0,$E83*0.9/5, TRUE, 0)</f>
        <v>#NAME?</v>
      </c>
      <c r="O83" s="312" t="e" cm="1">
        <f t="array" aca="1" ref="O83" ca="1">_xlfn.IFS(SUM($L83:N83)&gt;=$E83,0,O$70=$G83,$E83*10%,N83&gt;0,$E83*0.9/5, TRUE, 0)</f>
        <v>#NAME?</v>
      </c>
      <c r="P83" s="312" t="e" cm="1">
        <f t="array" aca="1" ref="P83" ca="1">_xlfn.IFS(SUM($L83:O83)&gt;=$E83,0,P$70=$G83,$E83*10%,O83&gt;0,$E83*0.9/5, TRUE, 0)</f>
        <v>#NAME?</v>
      </c>
      <c r="Q83" s="312" t="e" cm="1">
        <f t="array" aca="1" ref="Q83" ca="1">_xlfn.IFS(SUM($L83:P83)&gt;=$E83,0,Q$70=$G83,$E83*10%,P83&gt;0,$E83*0.9/5, TRUE, 0)</f>
        <v>#NAME?</v>
      </c>
      <c r="R83" s="312" t="e" cm="1">
        <f t="array" aca="1" ref="R83" ca="1">_xlfn.IFS(SUM($L83:Q83)&gt;=$E83,0,R$70=$G83,$E83*10%,Q83&gt;0,$E83*0.9/5, TRUE, 0)</f>
        <v>#NAME?</v>
      </c>
      <c r="S83" s="312" t="e" cm="1">
        <f t="array" aca="1" ref="S83" ca="1">_xlfn.IFS(SUM($L83:R83)&gt;=$E83,0,S$70=$G83,$E83*10%,R83&gt;0,$E83*0.9/5, TRUE, 0)</f>
        <v>#NAME?</v>
      </c>
      <c r="T83" s="312" t="e" cm="1">
        <f t="array" aca="1" ref="T83" ca="1">_xlfn.IFS(SUM($L83:S83)&gt;=$E83,0,T$70=$G83,$E83*10%,S83&gt;0,$E83*0.9/5, TRUE, 0)</f>
        <v>#NAME?</v>
      </c>
      <c r="U83" s="312" t="e" cm="1">
        <f t="array" aca="1" ref="U83" ca="1">_xlfn.IFS(SUM($L83:T83)&gt;=$E83,0,U$70=$G83,$E83*10%,T83&gt;0,$E83*0.9/5, TRUE, 0)</f>
        <v>#NAME?</v>
      </c>
      <c r="V83" s="312" t="e" cm="1">
        <f t="array" aca="1" ref="V83" ca="1">_xlfn.IFS(SUM($L83:U83)&gt;=$E83,0,V$70=$G83,$E83*10%,U83&gt;0,$E83*0.9/5, TRUE, 0)</f>
        <v>#NAME?</v>
      </c>
      <c r="W83" s="312" t="e" cm="1">
        <f t="array" aca="1" ref="W83" ca="1">_xlfn.IFS(SUM($L83:V83)&gt;=$E83,0,W$70=$G83,$E83*10%,V83&gt;0,$E83*0.9/5, TRUE, 0)</f>
        <v>#NAME?</v>
      </c>
      <c r="X83" s="312" t="e" cm="1">
        <f t="array" aca="1" ref="X83" ca="1">_xlfn.IFS(SUM($L83:W83)&gt;=$E83,0,X$70=$G83,$E83*10%,W83&gt;0,$E83*0.9/5, TRUE, 0)</f>
        <v>#NAME?</v>
      </c>
      <c r="Y83" s="312" t="e" cm="1">
        <f t="array" aca="1" ref="Y83" ca="1">_xlfn.IFS(SUM($L83:X83)&gt;=$E83,0,Y$70=$G83,$E83*10%,X83&gt;0,$E83*0.9/5, TRUE, 0)</f>
        <v>#NAME?</v>
      </c>
      <c r="Z83" s="312" t="e" cm="1">
        <f t="array" aca="1" ref="Z83" ca="1">_xlfn.IFS(SUM($L83:Y83)&gt;=$E83,0,Z$70=$G83,$E83*10%,Y83&gt;0,$E83*0.9/5, TRUE, 0)</f>
        <v>#NAME?</v>
      </c>
      <c r="AA83" s="312" t="e" cm="1">
        <f t="array" aca="1" ref="AA83" ca="1">_xlfn.IFS(SUM($L83:Z83)&gt;=$E83,0,AA$70=$G83,$E83*10%,Z83&gt;0,$E83*0.9/5, TRUE, 0)</f>
        <v>#NAME?</v>
      </c>
      <c r="AB83" s="312" t="e" cm="1">
        <f t="array" aca="1" ref="AB83" ca="1">_xlfn.IFS(SUM($L83:AA83)&gt;=$E83,0,AB$70=$G83,$E83*10%,AA83&gt;0,$E83*0.9/5, TRUE, 0)</f>
        <v>#NAME?</v>
      </c>
      <c r="AC83" s="312" t="e" cm="1">
        <f t="array" aca="1" ref="AC83" ca="1">_xlfn.IFS(SUM($L83:AB83)&gt;=$E83,0,AC$70=$G83,$E83*10%,AB83&gt;0,$E83*0.9/5, TRUE, 0)</f>
        <v>#NAME?</v>
      </c>
      <c r="AD83" s="312" t="e" cm="1">
        <f t="array" aca="1" ref="AD83" ca="1">_xlfn.IFS(SUM($L83:AC83)&gt;=$E83,0,AD$70=$G83,$E83*10%,AC83&gt;0,$E83*0.9/5, TRUE, 0)</f>
        <v>#NAME?</v>
      </c>
      <c r="AE83" s="312" t="e" cm="1">
        <f t="array" aca="1" ref="AE83" ca="1">_xlfn.IFS(SUM($L83:AD83)&gt;=$E83,0,AE$70=$G83,$E83*10%,AD83&gt;0,$E83*0.9/5, TRUE, 0)</f>
        <v>#NAME?</v>
      </c>
      <c r="AF83" s="312" t="e" cm="1">
        <f t="array" aca="1" ref="AF83" ca="1">_xlfn.IFS(SUM($L83:AE83)&gt;=$E83,0,AF$70=$G83,$E83*10%,AE83&gt;0,$E83*0.9/5, TRUE, 0)</f>
        <v>#NAME?</v>
      </c>
      <c r="AG83" s="312" t="e" cm="1">
        <f t="array" aca="1" ref="AG83" ca="1">_xlfn.IFS(SUM($L83:AF83)&gt;=$E83,0,AG$70=$G83,$E83*10%,AF83&gt;0,$E83*0.9/5, TRUE, 0)</f>
        <v>#NAME?</v>
      </c>
      <c r="AH83" s="312" t="e" cm="1">
        <f t="array" aca="1" ref="AH83" ca="1">_xlfn.IFS(SUM($L83:AG83)&gt;=$E83,0,AH$70=$G83,$E83*10%,AG83&gt;0,$E83*0.9/5, TRUE, 0)</f>
        <v>#NAME?</v>
      </c>
      <c r="AI83" s="312" t="e" cm="1">
        <f t="array" aca="1" ref="AI83" ca="1">_xlfn.IFS(SUM($L83:AH83)&gt;=$E83,0,AI$70=$G83,$E83*10%,AH83&gt;0,$E83*0.9/5, TRUE, 0)</f>
        <v>#NAME?</v>
      </c>
      <c r="AJ83" s="312" t="e" cm="1">
        <f t="array" aca="1" ref="AJ83" ca="1">_xlfn.IFS(SUM($L83:AI83)&gt;=$E83,0,AJ$70=$G83,$E83*10%,AI83&gt;0,$E83*0.9/5, TRUE, 0)</f>
        <v>#NAME?</v>
      </c>
      <c r="AK83" s="312" t="e" cm="1">
        <f t="array" aca="1" ref="AK83" ca="1">_xlfn.IFS(SUM($L83:AJ83)&gt;=$E83,0,AK$70=$G83,$E83*10%,AJ83&gt;0,$E83*0.9/5, TRUE, 0)</f>
        <v>#NAME?</v>
      </c>
      <c r="AL83" s="312" t="e" cm="1">
        <f t="array" aca="1" ref="AL83" ca="1">_xlfn.IFS(SUM($L83:AK83)&gt;=$E83,0,AL$70=$G83,$E83*10%,AK83&gt;0,$E83*0.9/5, TRUE, 0)</f>
        <v>#NAME?</v>
      </c>
      <c r="AM83" s="312" t="e" cm="1">
        <f t="array" aca="1" ref="AM83" ca="1">_xlfn.IFS(SUM($L83:AL83)&gt;=$E83,0,AM$70=$G83,$E83*10%,AL83&gt;0,$E83*0.9/5, TRUE, 0)</f>
        <v>#NAME?</v>
      </c>
      <c r="AN83" s="312" t="e" cm="1">
        <f t="array" aca="1" ref="AN83" ca="1">_xlfn.IFS(SUM($L83:AM83)&gt;=$E83,0,AN$70=$G83,$E83*10%,AM83&gt;0,$E83*0.9/5, TRUE, 0)</f>
        <v>#NAME?</v>
      </c>
      <c r="AO83" s="312" t="e" cm="1">
        <f t="array" aca="1" ref="AO83" ca="1">_xlfn.IFS(SUM($L83:AN83)&gt;=$E83,0,AO$70=$G83,$E83*10%,AN83&gt;0,$E83*0.9/5, TRUE, 0)</f>
        <v>#NAME?</v>
      </c>
      <c r="AP83" s="312" t="e" cm="1">
        <f t="array" aca="1" ref="AP83" ca="1">_xlfn.IFS(SUM($L83:AO83)&gt;=$E83,0,AP$70=$G83,$E83*10%,AO83&gt;0,$E83*0.9/5, TRUE, 0)</f>
        <v>#NAME?</v>
      </c>
      <c r="AQ83" s="312" t="e" cm="1">
        <f t="array" aca="1" ref="AQ83" ca="1">_xlfn.IFS(SUM($L83:AP83)&gt;=$E83,0,AQ$70=$G83,$E83*10%,AP83&gt;0,$E83*0.9/5, TRUE, 0)</f>
        <v>#NAME?</v>
      </c>
      <c r="AR83" s="312" t="e" cm="1">
        <f t="array" aca="1" ref="AR83" ca="1">_xlfn.IFS(SUM($L83:AQ83)&gt;=$E83,0,AR$70=$G83,$E83*10%,AQ83&gt;0,$E83*0.9/5, TRUE, 0)</f>
        <v>#NAME?</v>
      </c>
    </row>
    <row r="84" spans="2:44">
      <c r="B84" s="6" t="e">
        <f ca="1"/>
        <v>#NAME?</v>
      </c>
      <c r="C84" s="79" t="e">
        <f ca="1"/>
        <v>#NAME?</v>
      </c>
      <c r="D84" s="79" t="e">
        <f ca="1"/>
        <v>#NAME?</v>
      </c>
      <c r="E84" s="121" t="e">
        <f ca="1"/>
        <v>#NAME?</v>
      </c>
      <c r="F84" s="88" t="e">
        <f ca="1"/>
        <v>#NAME?</v>
      </c>
      <c r="G84" s="79" t="e">
        <f ca="1"/>
        <v>#NAME?</v>
      </c>
      <c r="H84" s="88" t="e">
        <f ca="1"/>
        <v>#NAME?</v>
      </c>
      <c r="I84" s="120" t="e">
        <f ca="1"/>
        <v>#NAME?</v>
      </c>
      <c r="J84" s="264" t="e">
        <f t="shared" ca="1" si="2"/>
        <v>#NAME?</v>
      </c>
      <c r="M84" s="312" t="e" cm="1">
        <f t="array" aca="1" ref="M84" ca="1">_xlfn.IFS(SUM($L84:L84)&gt;=$E84,0,M$70=$G84,$E84*10%,L84&gt;0,$E84*0.9/5, TRUE, 0)</f>
        <v>#NAME?</v>
      </c>
      <c r="N84" s="312" t="e" cm="1">
        <f t="array" aca="1" ref="N84" ca="1">_xlfn.IFS(SUM($L84:M84)&gt;=$E84,0,N$70=$G84,$E84*10%,M84&gt;0,$E84*0.9/5, TRUE, 0)</f>
        <v>#NAME?</v>
      </c>
      <c r="O84" s="312" t="e" cm="1">
        <f t="array" aca="1" ref="O84" ca="1">_xlfn.IFS(SUM($L84:N84)&gt;=$E84,0,O$70=$G84,$E84*10%,N84&gt;0,$E84*0.9/5, TRUE, 0)</f>
        <v>#NAME?</v>
      </c>
      <c r="P84" s="312" t="e" cm="1">
        <f t="array" aca="1" ref="P84" ca="1">_xlfn.IFS(SUM($L84:O84)&gt;=$E84,0,P$70=$G84,$E84*10%,O84&gt;0,$E84*0.9/5, TRUE, 0)</f>
        <v>#NAME?</v>
      </c>
      <c r="Q84" s="312" t="e" cm="1">
        <f t="array" aca="1" ref="Q84" ca="1">_xlfn.IFS(SUM($L84:P84)&gt;=$E84,0,Q$70=$G84,$E84*10%,P84&gt;0,$E84*0.9/5, TRUE, 0)</f>
        <v>#NAME?</v>
      </c>
      <c r="R84" s="312" t="e" cm="1">
        <f t="array" aca="1" ref="R84" ca="1">_xlfn.IFS(SUM($L84:Q84)&gt;=$E84,0,R$70=$G84,$E84*10%,Q84&gt;0,$E84*0.9/5, TRUE, 0)</f>
        <v>#NAME?</v>
      </c>
      <c r="S84" s="312" t="e" cm="1">
        <f t="array" aca="1" ref="S84" ca="1">_xlfn.IFS(SUM($L84:R84)&gt;=$E84,0,S$70=$G84,$E84*10%,R84&gt;0,$E84*0.9/5, TRUE, 0)</f>
        <v>#NAME?</v>
      </c>
      <c r="T84" s="312" t="e" cm="1">
        <f t="array" aca="1" ref="T84" ca="1">_xlfn.IFS(SUM($L84:S84)&gt;=$E84,0,T$70=$G84,$E84*10%,S84&gt;0,$E84*0.9/5, TRUE, 0)</f>
        <v>#NAME?</v>
      </c>
      <c r="U84" s="312" t="e" cm="1">
        <f t="array" aca="1" ref="U84" ca="1">_xlfn.IFS(SUM($L84:T84)&gt;=$E84,0,U$70=$G84,$E84*10%,T84&gt;0,$E84*0.9/5, TRUE, 0)</f>
        <v>#NAME?</v>
      </c>
      <c r="V84" s="312" t="e" cm="1">
        <f t="array" aca="1" ref="V84" ca="1">_xlfn.IFS(SUM($L84:U84)&gt;=$E84,0,V$70=$G84,$E84*10%,U84&gt;0,$E84*0.9/5, TRUE, 0)</f>
        <v>#NAME?</v>
      </c>
      <c r="W84" s="312" t="e" cm="1">
        <f t="array" aca="1" ref="W84" ca="1">_xlfn.IFS(SUM($L84:V84)&gt;=$E84,0,W$70=$G84,$E84*10%,V84&gt;0,$E84*0.9/5, TRUE, 0)</f>
        <v>#NAME?</v>
      </c>
      <c r="X84" s="312" t="e" cm="1">
        <f t="array" aca="1" ref="X84" ca="1">_xlfn.IFS(SUM($L84:W84)&gt;=$E84,0,X$70=$G84,$E84*10%,W84&gt;0,$E84*0.9/5, TRUE, 0)</f>
        <v>#NAME?</v>
      </c>
      <c r="Y84" s="312" t="e" cm="1">
        <f t="array" aca="1" ref="Y84" ca="1">_xlfn.IFS(SUM($L84:X84)&gt;=$E84,0,Y$70=$G84,$E84*10%,X84&gt;0,$E84*0.9/5, TRUE, 0)</f>
        <v>#NAME?</v>
      </c>
      <c r="Z84" s="312" t="e" cm="1">
        <f t="array" aca="1" ref="Z84" ca="1">_xlfn.IFS(SUM($L84:Y84)&gt;=$E84,0,Z$70=$G84,$E84*10%,Y84&gt;0,$E84*0.9/5, TRUE, 0)</f>
        <v>#NAME?</v>
      </c>
      <c r="AA84" s="312" t="e" cm="1">
        <f t="array" aca="1" ref="AA84" ca="1">_xlfn.IFS(SUM($L84:Z84)&gt;=$E84,0,AA$70=$G84,$E84*10%,Z84&gt;0,$E84*0.9/5, TRUE, 0)</f>
        <v>#NAME?</v>
      </c>
      <c r="AB84" s="312" t="e" cm="1">
        <f t="array" aca="1" ref="AB84" ca="1">_xlfn.IFS(SUM($L84:AA84)&gt;=$E84,0,AB$70=$G84,$E84*10%,AA84&gt;0,$E84*0.9/5, TRUE, 0)</f>
        <v>#NAME?</v>
      </c>
      <c r="AC84" s="312" t="e" cm="1">
        <f t="array" aca="1" ref="AC84" ca="1">_xlfn.IFS(SUM($L84:AB84)&gt;=$E84,0,AC$70=$G84,$E84*10%,AB84&gt;0,$E84*0.9/5, TRUE, 0)</f>
        <v>#NAME?</v>
      </c>
      <c r="AD84" s="312" t="e" cm="1">
        <f t="array" aca="1" ref="AD84" ca="1">_xlfn.IFS(SUM($L84:AC84)&gt;=$E84,0,AD$70=$G84,$E84*10%,AC84&gt;0,$E84*0.9/5, TRUE, 0)</f>
        <v>#NAME?</v>
      </c>
      <c r="AE84" s="312" t="e" cm="1">
        <f t="array" aca="1" ref="AE84" ca="1">_xlfn.IFS(SUM($L84:AD84)&gt;=$E84,0,AE$70=$G84,$E84*10%,AD84&gt;0,$E84*0.9/5, TRUE, 0)</f>
        <v>#NAME?</v>
      </c>
      <c r="AF84" s="312" t="e" cm="1">
        <f t="array" aca="1" ref="AF84" ca="1">_xlfn.IFS(SUM($L84:AE84)&gt;=$E84,0,AF$70=$G84,$E84*10%,AE84&gt;0,$E84*0.9/5, TRUE, 0)</f>
        <v>#NAME?</v>
      </c>
      <c r="AG84" s="312" t="e" cm="1">
        <f t="array" aca="1" ref="AG84" ca="1">_xlfn.IFS(SUM($L84:AF84)&gt;=$E84,0,AG$70=$G84,$E84*10%,AF84&gt;0,$E84*0.9/5, TRUE, 0)</f>
        <v>#NAME?</v>
      </c>
      <c r="AH84" s="312" t="e" cm="1">
        <f t="array" aca="1" ref="AH84" ca="1">_xlfn.IFS(SUM($L84:AG84)&gt;=$E84,0,AH$70=$G84,$E84*10%,AG84&gt;0,$E84*0.9/5, TRUE, 0)</f>
        <v>#NAME?</v>
      </c>
      <c r="AI84" s="312" t="e" cm="1">
        <f t="array" aca="1" ref="AI84" ca="1">_xlfn.IFS(SUM($L84:AH84)&gt;=$E84,0,AI$70=$G84,$E84*10%,AH84&gt;0,$E84*0.9/5, TRUE, 0)</f>
        <v>#NAME?</v>
      </c>
      <c r="AJ84" s="312" t="e" cm="1">
        <f t="array" aca="1" ref="AJ84" ca="1">_xlfn.IFS(SUM($L84:AI84)&gt;=$E84,0,AJ$70=$G84,$E84*10%,AI84&gt;0,$E84*0.9/5, TRUE, 0)</f>
        <v>#NAME?</v>
      </c>
      <c r="AK84" s="312" t="e" cm="1">
        <f t="array" aca="1" ref="AK84" ca="1">_xlfn.IFS(SUM($L84:AJ84)&gt;=$E84,0,AK$70=$G84,$E84*10%,AJ84&gt;0,$E84*0.9/5, TRUE, 0)</f>
        <v>#NAME?</v>
      </c>
      <c r="AL84" s="312" t="e" cm="1">
        <f t="array" aca="1" ref="AL84" ca="1">_xlfn.IFS(SUM($L84:AK84)&gt;=$E84,0,AL$70=$G84,$E84*10%,AK84&gt;0,$E84*0.9/5, TRUE, 0)</f>
        <v>#NAME?</v>
      </c>
      <c r="AM84" s="312" t="e" cm="1">
        <f t="array" aca="1" ref="AM84" ca="1">_xlfn.IFS(SUM($L84:AL84)&gt;=$E84,0,AM$70=$G84,$E84*10%,AL84&gt;0,$E84*0.9/5, TRUE, 0)</f>
        <v>#NAME?</v>
      </c>
      <c r="AN84" s="312" t="e" cm="1">
        <f t="array" aca="1" ref="AN84" ca="1">_xlfn.IFS(SUM($L84:AM84)&gt;=$E84,0,AN$70=$G84,$E84*10%,AM84&gt;0,$E84*0.9/5, TRUE, 0)</f>
        <v>#NAME?</v>
      </c>
      <c r="AO84" s="312" t="e" cm="1">
        <f t="array" aca="1" ref="AO84" ca="1">_xlfn.IFS(SUM($L84:AN84)&gt;=$E84,0,AO$70=$G84,$E84*10%,AN84&gt;0,$E84*0.9/5, TRUE, 0)</f>
        <v>#NAME?</v>
      </c>
      <c r="AP84" s="312" t="e" cm="1">
        <f t="array" aca="1" ref="AP84" ca="1">_xlfn.IFS(SUM($L84:AO84)&gt;=$E84,0,AP$70=$G84,$E84*10%,AO84&gt;0,$E84*0.9/5, TRUE, 0)</f>
        <v>#NAME?</v>
      </c>
      <c r="AQ84" s="312" t="e" cm="1">
        <f t="array" aca="1" ref="AQ84" ca="1">_xlfn.IFS(SUM($L84:AP84)&gt;=$E84,0,AQ$70=$G84,$E84*10%,AP84&gt;0,$E84*0.9/5, TRUE, 0)</f>
        <v>#NAME?</v>
      </c>
      <c r="AR84" s="312" t="e" cm="1">
        <f t="array" aca="1" ref="AR84" ca="1">_xlfn.IFS(SUM($L84:AQ84)&gt;=$E84,0,AR$70=$G84,$E84*10%,AQ84&gt;0,$E84*0.9/5, TRUE, 0)</f>
        <v>#NAME?</v>
      </c>
    </row>
    <row r="85" spans="2:44">
      <c r="B85" s="6" t="e">
        <f ca="1"/>
        <v>#NAME?</v>
      </c>
      <c r="C85" s="79" t="e">
        <f ca="1"/>
        <v>#NAME?</v>
      </c>
      <c r="D85" s="79" t="e">
        <f ca="1"/>
        <v>#NAME?</v>
      </c>
      <c r="E85" s="121" t="e">
        <f ca="1"/>
        <v>#NAME?</v>
      </c>
      <c r="F85" s="88" t="e">
        <f ca="1"/>
        <v>#NAME?</v>
      </c>
      <c r="G85" s="79" t="e">
        <f ca="1"/>
        <v>#NAME?</v>
      </c>
      <c r="H85" s="88" t="e">
        <f ca="1"/>
        <v>#NAME?</v>
      </c>
      <c r="I85" s="120" t="e">
        <f ca="1"/>
        <v>#NAME?</v>
      </c>
      <c r="J85" s="264" t="e">
        <f t="shared" ca="1" si="2"/>
        <v>#NAME?</v>
      </c>
      <c r="M85" s="312" t="e" cm="1">
        <f t="array" aca="1" ref="M85" ca="1">_xlfn.IFS(SUM($L85:L85)&gt;=$E85,0,M$70=$G85,$E85*10%,L85&gt;0,$E85*0.9/5, TRUE, 0)</f>
        <v>#NAME?</v>
      </c>
      <c r="N85" s="312" t="e" cm="1">
        <f t="array" aca="1" ref="N85" ca="1">_xlfn.IFS(SUM($L85:M85)&gt;=$E85,0,N$70=$G85,$E85*10%,M85&gt;0,$E85*0.9/5, TRUE, 0)</f>
        <v>#NAME?</v>
      </c>
      <c r="O85" s="312" t="e" cm="1">
        <f t="array" aca="1" ref="O85" ca="1">_xlfn.IFS(SUM($L85:N85)&gt;=$E85,0,O$70=$G85,$E85*10%,N85&gt;0,$E85*0.9/5, TRUE, 0)</f>
        <v>#NAME?</v>
      </c>
      <c r="P85" s="312" t="e" cm="1">
        <f t="array" aca="1" ref="P85" ca="1">_xlfn.IFS(SUM($L85:O85)&gt;=$E85,0,P$70=$G85,$E85*10%,O85&gt;0,$E85*0.9/5, TRUE, 0)</f>
        <v>#NAME?</v>
      </c>
      <c r="Q85" s="312" t="e" cm="1">
        <f t="array" aca="1" ref="Q85" ca="1">_xlfn.IFS(SUM($L85:P85)&gt;=$E85,0,Q$70=$G85,$E85*10%,P85&gt;0,$E85*0.9/5, TRUE, 0)</f>
        <v>#NAME?</v>
      </c>
      <c r="R85" s="312" t="e" cm="1">
        <f t="array" aca="1" ref="R85" ca="1">_xlfn.IFS(SUM($L85:Q85)&gt;=$E85,0,R$70=$G85,$E85*10%,Q85&gt;0,$E85*0.9/5, TRUE, 0)</f>
        <v>#NAME?</v>
      </c>
      <c r="S85" s="312" t="e" cm="1">
        <f t="array" aca="1" ref="S85" ca="1">_xlfn.IFS(SUM($L85:R85)&gt;=$E85,0,S$70=$G85,$E85*10%,R85&gt;0,$E85*0.9/5, TRUE, 0)</f>
        <v>#NAME?</v>
      </c>
      <c r="T85" s="312" t="e" cm="1">
        <f t="array" aca="1" ref="T85" ca="1">_xlfn.IFS(SUM($L85:S85)&gt;=$E85,0,T$70=$G85,$E85*10%,S85&gt;0,$E85*0.9/5, TRUE, 0)</f>
        <v>#NAME?</v>
      </c>
      <c r="U85" s="312" t="e" cm="1">
        <f t="array" aca="1" ref="U85" ca="1">_xlfn.IFS(SUM($L85:T85)&gt;=$E85,0,U$70=$G85,$E85*10%,T85&gt;0,$E85*0.9/5, TRUE, 0)</f>
        <v>#NAME?</v>
      </c>
      <c r="V85" s="312" t="e" cm="1">
        <f t="array" aca="1" ref="V85" ca="1">_xlfn.IFS(SUM($L85:U85)&gt;=$E85,0,V$70=$G85,$E85*10%,U85&gt;0,$E85*0.9/5, TRUE, 0)</f>
        <v>#NAME?</v>
      </c>
      <c r="W85" s="312" t="e" cm="1">
        <f t="array" aca="1" ref="W85" ca="1">_xlfn.IFS(SUM($L85:V85)&gt;=$E85,0,W$70=$G85,$E85*10%,V85&gt;0,$E85*0.9/5, TRUE, 0)</f>
        <v>#NAME?</v>
      </c>
      <c r="X85" s="312" t="e" cm="1">
        <f t="array" aca="1" ref="X85" ca="1">_xlfn.IFS(SUM($L85:W85)&gt;=$E85,0,X$70=$G85,$E85*10%,W85&gt;0,$E85*0.9/5, TRUE, 0)</f>
        <v>#NAME?</v>
      </c>
      <c r="Y85" s="312" t="e" cm="1">
        <f t="array" aca="1" ref="Y85" ca="1">_xlfn.IFS(SUM($L85:X85)&gt;=$E85,0,Y$70=$G85,$E85*10%,X85&gt;0,$E85*0.9/5, TRUE, 0)</f>
        <v>#NAME?</v>
      </c>
      <c r="Z85" s="312" t="e" cm="1">
        <f t="array" aca="1" ref="Z85" ca="1">_xlfn.IFS(SUM($L85:Y85)&gt;=$E85,0,Z$70=$G85,$E85*10%,Y85&gt;0,$E85*0.9/5, TRUE, 0)</f>
        <v>#NAME?</v>
      </c>
      <c r="AA85" s="312" t="e" cm="1">
        <f t="array" aca="1" ref="AA85" ca="1">_xlfn.IFS(SUM($L85:Z85)&gt;=$E85,0,AA$70=$G85,$E85*10%,Z85&gt;0,$E85*0.9/5, TRUE, 0)</f>
        <v>#NAME?</v>
      </c>
      <c r="AB85" s="312" t="e" cm="1">
        <f t="array" aca="1" ref="AB85" ca="1">_xlfn.IFS(SUM($L85:AA85)&gt;=$E85,0,AB$70=$G85,$E85*10%,AA85&gt;0,$E85*0.9/5, TRUE, 0)</f>
        <v>#NAME?</v>
      </c>
      <c r="AC85" s="312" t="e" cm="1">
        <f t="array" aca="1" ref="AC85" ca="1">_xlfn.IFS(SUM($L85:AB85)&gt;=$E85,0,AC$70=$G85,$E85*10%,AB85&gt;0,$E85*0.9/5, TRUE, 0)</f>
        <v>#NAME?</v>
      </c>
      <c r="AD85" s="312" t="e" cm="1">
        <f t="array" aca="1" ref="AD85" ca="1">_xlfn.IFS(SUM($L85:AC85)&gt;=$E85,0,AD$70=$G85,$E85*10%,AC85&gt;0,$E85*0.9/5, TRUE, 0)</f>
        <v>#NAME?</v>
      </c>
      <c r="AE85" s="312" t="e" cm="1">
        <f t="array" aca="1" ref="AE85" ca="1">_xlfn.IFS(SUM($L85:AD85)&gt;=$E85,0,AE$70=$G85,$E85*10%,AD85&gt;0,$E85*0.9/5, TRUE, 0)</f>
        <v>#NAME?</v>
      </c>
      <c r="AF85" s="312" t="e" cm="1">
        <f t="array" aca="1" ref="AF85" ca="1">_xlfn.IFS(SUM($L85:AE85)&gt;=$E85,0,AF$70=$G85,$E85*10%,AE85&gt;0,$E85*0.9/5, TRUE, 0)</f>
        <v>#NAME?</v>
      </c>
      <c r="AG85" s="312" t="e" cm="1">
        <f t="array" aca="1" ref="AG85" ca="1">_xlfn.IFS(SUM($L85:AF85)&gt;=$E85,0,AG$70=$G85,$E85*10%,AF85&gt;0,$E85*0.9/5, TRUE, 0)</f>
        <v>#NAME?</v>
      </c>
      <c r="AH85" s="312" t="e" cm="1">
        <f t="array" aca="1" ref="AH85" ca="1">_xlfn.IFS(SUM($L85:AG85)&gt;=$E85,0,AH$70=$G85,$E85*10%,AG85&gt;0,$E85*0.9/5, TRUE, 0)</f>
        <v>#NAME?</v>
      </c>
      <c r="AI85" s="312" t="e" cm="1">
        <f t="array" aca="1" ref="AI85" ca="1">_xlfn.IFS(SUM($L85:AH85)&gt;=$E85,0,AI$70=$G85,$E85*10%,AH85&gt;0,$E85*0.9/5, TRUE, 0)</f>
        <v>#NAME?</v>
      </c>
      <c r="AJ85" s="312" t="e" cm="1">
        <f t="array" aca="1" ref="AJ85" ca="1">_xlfn.IFS(SUM($L85:AI85)&gt;=$E85,0,AJ$70=$G85,$E85*10%,AI85&gt;0,$E85*0.9/5, TRUE, 0)</f>
        <v>#NAME?</v>
      </c>
      <c r="AK85" s="312" t="e" cm="1">
        <f t="array" aca="1" ref="AK85" ca="1">_xlfn.IFS(SUM($L85:AJ85)&gt;=$E85,0,AK$70=$G85,$E85*10%,AJ85&gt;0,$E85*0.9/5, TRUE, 0)</f>
        <v>#NAME?</v>
      </c>
      <c r="AL85" s="312" t="e" cm="1">
        <f t="array" aca="1" ref="AL85" ca="1">_xlfn.IFS(SUM($L85:AK85)&gt;=$E85,0,AL$70=$G85,$E85*10%,AK85&gt;0,$E85*0.9/5, TRUE, 0)</f>
        <v>#NAME?</v>
      </c>
      <c r="AM85" s="312" t="e" cm="1">
        <f t="array" aca="1" ref="AM85" ca="1">_xlfn.IFS(SUM($L85:AL85)&gt;=$E85,0,AM$70=$G85,$E85*10%,AL85&gt;0,$E85*0.9/5, TRUE, 0)</f>
        <v>#NAME?</v>
      </c>
      <c r="AN85" s="312" t="e" cm="1">
        <f t="array" aca="1" ref="AN85" ca="1">_xlfn.IFS(SUM($L85:AM85)&gt;=$E85,0,AN$70=$G85,$E85*10%,AM85&gt;0,$E85*0.9/5, TRUE, 0)</f>
        <v>#NAME?</v>
      </c>
      <c r="AO85" s="312" t="e" cm="1">
        <f t="array" aca="1" ref="AO85" ca="1">_xlfn.IFS(SUM($L85:AN85)&gt;=$E85,0,AO$70=$G85,$E85*10%,AN85&gt;0,$E85*0.9/5, TRUE, 0)</f>
        <v>#NAME?</v>
      </c>
      <c r="AP85" s="312" t="e" cm="1">
        <f t="array" aca="1" ref="AP85" ca="1">_xlfn.IFS(SUM($L85:AO85)&gt;=$E85,0,AP$70=$G85,$E85*10%,AO85&gt;0,$E85*0.9/5, TRUE, 0)</f>
        <v>#NAME?</v>
      </c>
      <c r="AQ85" s="312" t="e" cm="1">
        <f t="array" aca="1" ref="AQ85" ca="1">_xlfn.IFS(SUM($L85:AP85)&gt;=$E85,0,AQ$70=$G85,$E85*10%,AP85&gt;0,$E85*0.9/5, TRUE, 0)</f>
        <v>#NAME?</v>
      </c>
      <c r="AR85" s="312" t="e" cm="1">
        <f t="array" aca="1" ref="AR85" ca="1">_xlfn.IFS(SUM($L85:AQ85)&gt;=$E85,0,AR$70=$G85,$E85*10%,AQ85&gt;0,$E85*0.9/5, TRUE, 0)</f>
        <v>#NAME?</v>
      </c>
    </row>
    <row r="86" spans="2:44">
      <c r="B86" s="6" t="e">
        <f ca="1"/>
        <v>#NAME?</v>
      </c>
      <c r="C86" s="79" t="e">
        <f ca="1"/>
        <v>#NAME?</v>
      </c>
      <c r="D86" s="79" t="e">
        <f ca="1"/>
        <v>#NAME?</v>
      </c>
      <c r="E86" s="121" t="e">
        <f ca="1"/>
        <v>#NAME?</v>
      </c>
      <c r="F86" s="88" t="e">
        <f ca="1"/>
        <v>#NAME?</v>
      </c>
      <c r="G86" s="79" t="e">
        <f ca="1"/>
        <v>#NAME?</v>
      </c>
      <c r="H86" s="88" t="e">
        <f ca="1"/>
        <v>#NAME?</v>
      </c>
      <c r="I86" s="120" t="e">
        <f ca="1"/>
        <v>#NAME?</v>
      </c>
      <c r="J86" s="264" t="e">
        <f t="shared" ca="1" si="2"/>
        <v>#NAME?</v>
      </c>
      <c r="M86" s="312" t="e" cm="1">
        <f t="array" aca="1" ref="M86" ca="1">_xlfn.IFS(SUM($L86:L86)&gt;=$E86,0,M$70=$G86,$E86*10%,L86&gt;0,$E86*0.9/5, TRUE, 0)</f>
        <v>#NAME?</v>
      </c>
      <c r="N86" s="312" t="e" cm="1">
        <f t="array" aca="1" ref="N86" ca="1">_xlfn.IFS(SUM($L86:M86)&gt;=$E86,0,N$70=$G86,$E86*10%,M86&gt;0,$E86*0.9/5, TRUE, 0)</f>
        <v>#NAME?</v>
      </c>
      <c r="O86" s="312" t="e" cm="1">
        <f t="array" aca="1" ref="O86" ca="1">_xlfn.IFS(SUM($L86:N86)&gt;=$E86,0,O$70=$G86,$E86*10%,N86&gt;0,$E86*0.9/5, TRUE, 0)</f>
        <v>#NAME?</v>
      </c>
      <c r="P86" s="312" t="e" cm="1">
        <f t="array" aca="1" ref="P86" ca="1">_xlfn.IFS(SUM($L86:O86)&gt;=$E86,0,P$70=$G86,$E86*10%,O86&gt;0,$E86*0.9/5, TRUE, 0)</f>
        <v>#NAME?</v>
      </c>
      <c r="Q86" s="312" t="e" cm="1">
        <f t="array" aca="1" ref="Q86" ca="1">_xlfn.IFS(SUM($L86:P86)&gt;=$E86,0,Q$70=$G86,$E86*10%,P86&gt;0,$E86*0.9/5, TRUE, 0)</f>
        <v>#NAME?</v>
      </c>
      <c r="R86" s="312" t="e" cm="1">
        <f t="array" aca="1" ref="R86" ca="1">_xlfn.IFS(SUM($L86:Q86)&gt;=$E86,0,R$70=$G86,$E86*10%,Q86&gt;0,$E86*0.9/5, TRUE, 0)</f>
        <v>#NAME?</v>
      </c>
      <c r="S86" s="312" t="e" cm="1">
        <f t="array" aca="1" ref="S86" ca="1">_xlfn.IFS(SUM($L86:R86)&gt;=$E86,0,S$70=$G86,$E86*10%,R86&gt;0,$E86*0.9/5, TRUE, 0)</f>
        <v>#NAME?</v>
      </c>
      <c r="T86" s="312" t="e" cm="1">
        <f t="array" aca="1" ref="T86" ca="1">_xlfn.IFS(SUM($L86:S86)&gt;=$E86,0,T$70=$G86,$E86*10%,S86&gt;0,$E86*0.9/5, TRUE, 0)</f>
        <v>#NAME?</v>
      </c>
      <c r="U86" s="312" t="e" cm="1">
        <f t="array" aca="1" ref="U86" ca="1">_xlfn.IFS(SUM($L86:T86)&gt;=$E86,0,U$70=$G86,$E86*10%,T86&gt;0,$E86*0.9/5, TRUE, 0)</f>
        <v>#NAME?</v>
      </c>
      <c r="V86" s="312" t="e" cm="1">
        <f t="array" aca="1" ref="V86" ca="1">_xlfn.IFS(SUM($L86:U86)&gt;=$E86,0,V$70=$G86,$E86*10%,U86&gt;0,$E86*0.9/5, TRUE, 0)</f>
        <v>#NAME?</v>
      </c>
      <c r="W86" s="312" t="e" cm="1">
        <f t="array" aca="1" ref="W86" ca="1">_xlfn.IFS(SUM($L86:V86)&gt;=$E86,0,W$70=$G86,$E86*10%,V86&gt;0,$E86*0.9/5, TRUE, 0)</f>
        <v>#NAME?</v>
      </c>
      <c r="X86" s="312" t="e" cm="1">
        <f t="array" aca="1" ref="X86" ca="1">_xlfn.IFS(SUM($L86:W86)&gt;=$E86,0,X$70=$G86,$E86*10%,W86&gt;0,$E86*0.9/5, TRUE, 0)</f>
        <v>#NAME?</v>
      </c>
      <c r="Y86" s="312" t="e" cm="1">
        <f t="array" aca="1" ref="Y86" ca="1">_xlfn.IFS(SUM($L86:X86)&gt;=$E86,0,Y$70=$G86,$E86*10%,X86&gt;0,$E86*0.9/5, TRUE, 0)</f>
        <v>#NAME?</v>
      </c>
      <c r="Z86" s="312" t="e" cm="1">
        <f t="array" aca="1" ref="Z86" ca="1">_xlfn.IFS(SUM($L86:Y86)&gt;=$E86,0,Z$70=$G86,$E86*10%,Y86&gt;0,$E86*0.9/5, TRUE, 0)</f>
        <v>#NAME?</v>
      </c>
      <c r="AA86" s="312" t="e" cm="1">
        <f t="array" aca="1" ref="AA86" ca="1">_xlfn.IFS(SUM($L86:Z86)&gt;=$E86,0,AA$70=$G86,$E86*10%,Z86&gt;0,$E86*0.9/5, TRUE, 0)</f>
        <v>#NAME?</v>
      </c>
      <c r="AB86" s="312" t="e" cm="1">
        <f t="array" aca="1" ref="AB86" ca="1">_xlfn.IFS(SUM($L86:AA86)&gt;=$E86,0,AB$70=$G86,$E86*10%,AA86&gt;0,$E86*0.9/5, TRUE, 0)</f>
        <v>#NAME?</v>
      </c>
      <c r="AC86" s="312" t="e" cm="1">
        <f t="array" aca="1" ref="AC86" ca="1">_xlfn.IFS(SUM($L86:AB86)&gt;=$E86,0,AC$70=$G86,$E86*10%,AB86&gt;0,$E86*0.9/5, TRUE, 0)</f>
        <v>#NAME?</v>
      </c>
      <c r="AD86" s="312" t="e" cm="1">
        <f t="array" aca="1" ref="AD86" ca="1">_xlfn.IFS(SUM($L86:AC86)&gt;=$E86,0,AD$70=$G86,$E86*10%,AC86&gt;0,$E86*0.9/5, TRUE, 0)</f>
        <v>#NAME?</v>
      </c>
      <c r="AE86" s="312" t="e" cm="1">
        <f t="array" aca="1" ref="AE86" ca="1">_xlfn.IFS(SUM($L86:AD86)&gt;=$E86,0,AE$70=$G86,$E86*10%,AD86&gt;0,$E86*0.9/5, TRUE, 0)</f>
        <v>#NAME?</v>
      </c>
      <c r="AF86" s="312" t="e" cm="1">
        <f t="array" aca="1" ref="AF86" ca="1">_xlfn.IFS(SUM($L86:AE86)&gt;=$E86,0,AF$70=$G86,$E86*10%,AE86&gt;0,$E86*0.9/5, TRUE, 0)</f>
        <v>#NAME?</v>
      </c>
      <c r="AG86" s="312" t="e" cm="1">
        <f t="array" aca="1" ref="AG86" ca="1">_xlfn.IFS(SUM($L86:AF86)&gt;=$E86,0,AG$70=$G86,$E86*10%,AF86&gt;0,$E86*0.9/5, TRUE, 0)</f>
        <v>#NAME?</v>
      </c>
      <c r="AH86" s="312" t="e" cm="1">
        <f t="array" aca="1" ref="AH86" ca="1">_xlfn.IFS(SUM($L86:AG86)&gt;=$E86,0,AH$70=$G86,$E86*10%,AG86&gt;0,$E86*0.9/5, TRUE, 0)</f>
        <v>#NAME?</v>
      </c>
      <c r="AI86" s="312" t="e" cm="1">
        <f t="array" aca="1" ref="AI86" ca="1">_xlfn.IFS(SUM($L86:AH86)&gt;=$E86,0,AI$70=$G86,$E86*10%,AH86&gt;0,$E86*0.9/5, TRUE, 0)</f>
        <v>#NAME?</v>
      </c>
      <c r="AJ86" s="312" t="e" cm="1">
        <f t="array" aca="1" ref="AJ86" ca="1">_xlfn.IFS(SUM($L86:AI86)&gt;=$E86,0,AJ$70=$G86,$E86*10%,AI86&gt;0,$E86*0.9/5, TRUE, 0)</f>
        <v>#NAME?</v>
      </c>
      <c r="AK86" s="312" t="e" cm="1">
        <f t="array" aca="1" ref="AK86" ca="1">_xlfn.IFS(SUM($L86:AJ86)&gt;=$E86,0,AK$70=$G86,$E86*10%,AJ86&gt;0,$E86*0.9/5, TRUE, 0)</f>
        <v>#NAME?</v>
      </c>
      <c r="AL86" s="312" t="e" cm="1">
        <f t="array" aca="1" ref="AL86" ca="1">_xlfn.IFS(SUM($L86:AK86)&gt;=$E86,0,AL$70=$G86,$E86*10%,AK86&gt;0,$E86*0.9/5, TRUE, 0)</f>
        <v>#NAME?</v>
      </c>
      <c r="AM86" s="312" t="e" cm="1">
        <f t="array" aca="1" ref="AM86" ca="1">_xlfn.IFS(SUM($L86:AL86)&gt;=$E86,0,AM$70=$G86,$E86*10%,AL86&gt;0,$E86*0.9/5, TRUE, 0)</f>
        <v>#NAME?</v>
      </c>
      <c r="AN86" s="312" t="e" cm="1">
        <f t="array" aca="1" ref="AN86" ca="1">_xlfn.IFS(SUM($L86:AM86)&gt;=$E86,0,AN$70=$G86,$E86*10%,AM86&gt;0,$E86*0.9/5, TRUE, 0)</f>
        <v>#NAME?</v>
      </c>
      <c r="AO86" s="312" t="e" cm="1">
        <f t="array" aca="1" ref="AO86" ca="1">_xlfn.IFS(SUM($L86:AN86)&gt;=$E86,0,AO$70=$G86,$E86*10%,AN86&gt;0,$E86*0.9/5, TRUE, 0)</f>
        <v>#NAME?</v>
      </c>
      <c r="AP86" s="312" t="e" cm="1">
        <f t="array" aca="1" ref="AP86" ca="1">_xlfn.IFS(SUM($L86:AO86)&gt;=$E86,0,AP$70=$G86,$E86*10%,AO86&gt;0,$E86*0.9/5, TRUE, 0)</f>
        <v>#NAME?</v>
      </c>
      <c r="AQ86" s="312" t="e" cm="1">
        <f t="array" aca="1" ref="AQ86" ca="1">_xlfn.IFS(SUM($L86:AP86)&gt;=$E86,0,AQ$70=$G86,$E86*10%,AP86&gt;0,$E86*0.9/5, TRUE, 0)</f>
        <v>#NAME?</v>
      </c>
      <c r="AR86" s="312" t="e" cm="1">
        <f t="array" aca="1" ref="AR86" ca="1">_xlfn.IFS(SUM($L86:AQ86)&gt;=$E86,0,AR$70=$G86,$E86*10%,AQ86&gt;0,$E86*0.9/5, TRUE, 0)</f>
        <v>#NAME?</v>
      </c>
    </row>
    <row r="87" spans="2:44">
      <c r="B87" s="6" t="e">
        <f ca="1"/>
        <v>#NAME?</v>
      </c>
      <c r="C87" s="79" t="e">
        <f ca="1"/>
        <v>#NAME?</v>
      </c>
      <c r="D87" s="79" t="e">
        <f ca="1"/>
        <v>#NAME?</v>
      </c>
      <c r="E87" s="121" t="e">
        <f ca="1"/>
        <v>#NAME?</v>
      </c>
      <c r="F87" s="88" t="e">
        <f ca="1"/>
        <v>#NAME?</v>
      </c>
      <c r="G87" s="79" t="e">
        <f ca="1"/>
        <v>#NAME?</v>
      </c>
      <c r="H87" s="88" t="e">
        <f ca="1"/>
        <v>#NAME?</v>
      </c>
      <c r="I87" s="120" t="e">
        <f ca="1"/>
        <v>#NAME?</v>
      </c>
      <c r="J87" s="264" t="e">
        <f t="shared" ca="1" si="2"/>
        <v>#NAME?</v>
      </c>
      <c r="M87" s="312" t="e" cm="1">
        <f t="array" aca="1" ref="M87" ca="1">_xlfn.IFS(SUM($L87:L87)&gt;=$E87,0,M$70=$G87,$E87*10%,L87&gt;0,$E87*0.9/5, TRUE, 0)</f>
        <v>#NAME?</v>
      </c>
      <c r="N87" s="312" t="e" cm="1">
        <f t="array" aca="1" ref="N87" ca="1">_xlfn.IFS(SUM($L87:M87)&gt;=$E87,0,N$70=$G87,$E87*10%,M87&gt;0,$E87*0.9/5, TRUE, 0)</f>
        <v>#NAME?</v>
      </c>
      <c r="O87" s="312" t="e" cm="1">
        <f t="array" aca="1" ref="O87" ca="1">_xlfn.IFS(SUM($L87:N87)&gt;=$E87,0,O$70=$G87,$E87*10%,N87&gt;0,$E87*0.9/5, TRUE, 0)</f>
        <v>#NAME?</v>
      </c>
      <c r="P87" s="312" t="e" cm="1">
        <f t="array" aca="1" ref="P87" ca="1">_xlfn.IFS(SUM($L87:O87)&gt;=$E87,0,P$70=$G87,$E87*10%,O87&gt;0,$E87*0.9/5, TRUE, 0)</f>
        <v>#NAME?</v>
      </c>
      <c r="Q87" s="312" t="e" cm="1">
        <f t="array" aca="1" ref="Q87" ca="1">_xlfn.IFS(SUM($L87:P87)&gt;=$E87,0,Q$70=$G87,$E87*10%,P87&gt;0,$E87*0.9/5, TRUE, 0)</f>
        <v>#NAME?</v>
      </c>
      <c r="R87" s="312" t="e" cm="1">
        <f t="array" aca="1" ref="R87" ca="1">_xlfn.IFS(SUM($L87:Q87)&gt;=$E87,0,R$70=$G87,$E87*10%,Q87&gt;0,$E87*0.9/5, TRUE, 0)</f>
        <v>#NAME?</v>
      </c>
      <c r="S87" s="312" t="e" cm="1">
        <f t="array" aca="1" ref="S87" ca="1">_xlfn.IFS(SUM($L87:R87)&gt;=$E87,0,S$70=$G87,$E87*10%,R87&gt;0,$E87*0.9/5, TRUE, 0)</f>
        <v>#NAME?</v>
      </c>
      <c r="T87" s="312" t="e" cm="1">
        <f t="array" aca="1" ref="T87" ca="1">_xlfn.IFS(SUM($L87:S87)&gt;=$E87,0,T$70=$G87,$E87*10%,S87&gt;0,$E87*0.9/5, TRUE, 0)</f>
        <v>#NAME?</v>
      </c>
      <c r="U87" s="312" t="e" cm="1">
        <f t="array" aca="1" ref="U87" ca="1">_xlfn.IFS(SUM($L87:T87)&gt;=$E87,0,U$70=$G87,$E87*10%,T87&gt;0,$E87*0.9/5, TRUE, 0)</f>
        <v>#NAME?</v>
      </c>
      <c r="V87" s="312" t="e" cm="1">
        <f t="array" aca="1" ref="V87" ca="1">_xlfn.IFS(SUM($L87:U87)&gt;=$E87,0,V$70=$G87,$E87*10%,U87&gt;0,$E87*0.9/5, TRUE, 0)</f>
        <v>#NAME?</v>
      </c>
      <c r="W87" s="312" t="e" cm="1">
        <f t="array" aca="1" ref="W87" ca="1">_xlfn.IFS(SUM($L87:V87)&gt;=$E87,0,W$70=$G87,$E87*10%,V87&gt;0,$E87*0.9/5, TRUE, 0)</f>
        <v>#NAME?</v>
      </c>
      <c r="X87" s="312" t="e" cm="1">
        <f t="array" aca="1" ref="X87" ca="1">_xlfn.IFS(SUM($L87:W87)&gt;=$E87,0,X$70=$G87,$E87*10%,W87&gt;0,$E87*0.9/5, TRUE, 0)</f>
        <v>#NAME?</v>
      </c>
      <c r="Y87" s="312" t="e" cm="1">
        <f t="array" aca="1" ref="Y87" ca="1">_xlfn.IFS(SUM($L87:X87)&gt;=$E87,0,Y$70=$G87,$E87*10%,X87&gt;0,$E87*0.9/5, TRUE, 0)</f>
        <v>#NAME?</v>
      </c>
      <c r="Z87" s="312" t="e" cm="1">
        <f t="array" aca="1" ref="Z87" ca="1">_xlfn.IFS(SUM($L87:Y87)&gt;=$E87,0,Z$70=$G87,$E87*10%,Y87&gt;0,$E87*0.9/5, TRUE, 0)</f>
        <v>#NAME?</v>
      </c>
      <c r="AA87" s="312" t="e" cm="1">
        <f t="array" aca="1" ref="AA87" ca="1">_xlfn.IFS(SUM($L87:Z87)&gt;=$E87,0,AA$70=$G87,$E87*10%,Z87&gt;0,$E87*0.9/5, TRUE, 0)</f>
        <v>#NAME?</v>
      </c>
      <c r="AB87" s="312" t="e" cm="1">
        <f t="array" aca="1" ref="AB87" ca="1">_xlfn.IFS(SUM($L87:AA87)&gt;=$E87,0,AB$70=$G87,$E87*10%,AA87&gt;0,$E87*0.9/5, TRUE, 0)</f>
        <v>#NAME?</v>
      </c>
      <c r="AC87" s="312" t="e" cm="1">
        <f t="array" aca="1" ref="AC87" ca="1">_xlfn.IFS(SUM($L87:AB87)&gt;=$E87,0,AC$70=$G87,$E87*10%,AB87&gt;0,$E87*0.9/5, TRUE, 0)</f>
        <v>#NAME?</v>
      </c>
      <c r="AD87" s="312" t="e" cm="1">
        <f t="array" aca="1" ref="AD87" ca="1">_xlfn.IFS(SUM($L87:AC87)&gt;=$E87,0,AD$70=$G87,$E87*10%,AC87&gt;0,$E87*0.9/5, TRUE, 0)</f>
        <v>#NAME?</v>
      </c>
      <c r="AE87" s="312" t="e" cm="1">
        <f t="array" aca="1" ref="AE87" ca="1">_xlfn.IFS(SUM($L87:AD87)&gt;=$E87,0,AE$70=$G87,$E87*10%,AD87&gt;0,$E87*0.9/5, TRUE, 0)</f>
        <v>#NAME?</v>
      </c>
      <c r="AF87" s="312" t="e" cm="1">
        <f t="array" aca="1" ref="AF87" ca="1">_xlfn.IFS(SUM($L87:AE87)&gt;=$E87,0,AF$70=$G87,$E87*10%,AE87&gt;0,$E87*0.9/5, TRUE, 0)</f>
        <v>#NAME?</v>
      </c>
      <c r="AG87" s="312" t="e" cm="1">
        <f t="array" aca="1" ref="AG87" ca="1">_xlfn.IFS(SUM($L87:AF87)&gt;=$E87,0,AG$70=$G87,$E87*10%,AF87&gt;0,$E87*0.9/5, TRUE, 0)</f>
        <v>#NAME?</v>
      </c>
      <c r="AH87" s="312" t="e" cm="1">
        <f t="array" aca="1" ref="AH87" ca="1">_xlfn.IFS(SUM($L87:AG87)&gt;=$E87,0,AH$70=$G87,$E87*10%,AG87&gt;0,$E87*0.9/5, TRUE, 0)</f>
        <v>#NAME?</v>
      </c>
      <c r="AI87" s="312" t="e" cm="1">
        <f t="array" aca="1" ref="AI87" ca="1">_xlfn.IFS(SUM($L87:AH87)&gt;=$E87,0,AI$70=$G87,$E87*10%,AH87&gt;0,$E87*0.9/5, TRUE, 0)</f>
        <v>#NAME?</v>
      </c>
      <c r="AJ87" s="312" t="e" cm="1">
        <f t="array" aca="1" ref="AJ87" ca="1">_xlfn.IFS(SUM($L87:AI87)&gt;=$E87,0,AJ$70=$G87,$E87*10%,AI87&gt;0,$E87*0.9/5, TRUE, 0)</f>
        <v>#NAME?</v>
      </c>
      <c r="AK87" s="312" t="e" cm="1">
        <f t="array" aca="1" ref="AK87" ca="1">_xlfn.IFS(SUM($L87:AJ87)&gt;=$E87,0,AK$70=$G87,$E87*10%,AJ87&gt;0,$E87*0.9/5, TRUE, 0)</f>
        <v>#NAME?</v>
      </c>
      <c r="AL87" s="312" t="e" cm="1">
        <f t="array" aca="1" ref="AL87" ca="1">_xlfn.IFS(SUM($L87:AK87)&gt;=$E87,0,AL$70=$G87,$E87*10%,AK87&gt;0,$E87*0.9/5, TRUE, 0)</f>
        <v>#NAME?</v>
      </c>
      <c r="AM87" s="312" t="e" cm="1">
        <f t="array" aca="1" ref="AM87" ca="1">_xlfn.IFS(SUM($L87:AL87)&gt;=$E87,0,AM$70=$G87,$E87*10%,AL87&gt;0,$E87*0.9/5, TRUE, 0)</f>
        <v>#NAME?</v>
      </c>
      <c r="AN87" s="312" t="e" cm="1">
        <f t="array" aca="1" ref="AN87" ca="1">_xlfn.IFS(SUM($L87:AM87)&gt;=$E87,0,AN$70=$G87,$E87*10%,AM87&gt;0,$E87*0.9/5, TRUE, 0)</f>
        <v>#NAME?</v>
      </c>
      <c r="AO87" s="312" t="e" cm="1">
        <f t="array" aca="1" ref="AO87" ca="1">_xlfn.IFS(SUM($L87:AN87)&gt;=$E87,0,AO$70=$G87,$E87*10%,AN87&gt;0,$E87*0.9/5, TRUE, 0)</f>
        <v>#NAME?</v>
      </c>
      <c r="AP87" s="312" t="e" cm="1">
        <f t="array" aca="1" ref="AP87" ca="1">_xlfn.IFS(SUM($L87:AO87)&gt;=$E87,0,AP$70=$G87,$E87*10%,AO87&gt;0,$E87*0.9/5, TRUE, 0)</f>
        <v>#NAME?</v>
      </c>
      <c r="AQ87" s="312" t="e" cm="1">
        <f t="array" aca="1" ref="AQ87" ca="1">_xlfn.IFS(SUM($L87:AP87)&gt;=$E87,0,AQ$70=$G87,$E87*10%,AP87&gt;0,$E87*0.9/5, TRUE, 0)</f>
        <v>#NAME?</v>
      </c>
      <c r="AR87" s="312" t="e" cm="1">
        <f t="array" aca="1" ref="AR87" ca="1">_xlfn.IFS(SUM($L87:AQ87)&gt;=$E87,0,AR$70=$G87,$E87*10%,AQ87&gt;0,$E87*0.9/5, TRUE, 0)</f>
        <v>#NAME?</v>
      </c>
    </row>
    <row r="88" spans="2:44">
      <c r="B88" s="6" t="e">
        <f ca="1"/>
        <v>#NAME?</v>
      </c>
      <c r="C88" s="79" t="e">
        <f ca="1"/>
        <v>#NAME?</v>
      </c>
      <c r="D88" s="79" t="e">
        <f ca="1"/>
        <v>#NAME?</v>
      </c>
      <c r="E88" s="121" t="e">
        <f ca="1"/>
        <v>#NAME?</v>
      </c>
      <c r="F88" s="88" t="e">
        <f ca="1"/>
        <v>#NAME?</v>
      </c>
      <c r="G88" s="79" t="e">
        <f ca="1"/>
        <v>#NAME?</v>
      </c>
      <c r="H88" s="88" t="e">
        <f ca="1"/>
        <v>#NAME?</v>
      </c>
      <c r="I88" s="120" t="e">
        <f ca="1"/>
        <v>#NAME?</v>
      </c>
      <c r="J88" s="264" t="e">
        <f t="shared" ca="1" si="2"/>
        <v>#NAME?</v>
      </c>
      <c r="M88" s="312" t="e" cm="1">
        <f t="array" aca="1" ref="M88" ca="1">_xlfn.IFS(SUM($L88:L88)&gt;=$E88,0,M$70=$G88,$E88*10%,L88&gt;0,$E88*0.9/5, TRUE, 0)</f>
        <v>#NAME?</v>
      </c>
      <c r="N88" s="312" t="e" cm="1">
        <f t="array" aca="1" ref="N88" ca="1">_xlfn.IFS(SUM($L88:M88)&gt;=$E88,0,N$70=$G88,$E88*10%,M88&gt;0,$E88*0.9/5, TRUE, 0)</f>
        <v>#NAME?</v>
      </c>
      <c r="O88" s="312" t="e" cm="1">
        <f t="array" aca="1" ref="O88" ca="1">_xlfn.IFS(SUM($L88:N88)&gt;=$E88,0,O$70=$G88,$E88*10%,N88&gt;0,$E88*0.9/5, TRUE, 0)</f>
        <v>#NAME?</v>
      </c>
      <c r="P88" s="312" t="e" cm="1">
        <f t="array" aca="1" ref="P88" ca="1">_xlfn.IFS(SUM($L88:O88)&gt;=$E88,0,P$70=$G88,$E88*10%,O88&gt;0,$E88*0.9/5, TRUE, 0)</f>
        <v>#NAME?</v>
      </c>
      <c r="Q88" s="312" t="e" cm="1">
        <f t="array" aca="1" ref="Q88" ca="1">_xlfn.IFS(SUM($L88:P88)&gt;=$E88,0,Q$70=$G88,$E88*10%,P88&gt;0,$E88*0.9/5, TRUE, 0)</f>
        <v>#NAME?</v>
      </c>
      <c r="R88" s="312" t="e" cm="1">
        <f t="array" aca="1" ref="R88" ca="1">_xlfn.IFS(SUM($L88:Q88)&gt;=$E88,0,R$70=$G88,$E88*10%,Q88&gt;0,$E88*0.9/5, TRUE, 0)</f>
        <v>#NAME?</v>
      </c>
      <c r="S88" s="312" t="e" cm="1">
        <f t="array" aca="1" ref="S88" ca="1">_xlfn.IFS(SUM($L88:R88)&gt;=$E88,0,S$70=$G88,$E88*10%,R88&gt;0,$E88*0.9/5, TRUE, 0)</f>
        <v>#NAME?</v>
      </c>
      <c r="T88" s="312" t="e" cm="1">
        <f t="array" aca="1" ref="T88" ca="1">_xlfn.IFS(SUM($L88:S88)&gt;=$E88,0,T$70=$G88,$E88*10%,S88&gt;0,$E88*0.9/5, TRUE, 0)</f>
        <v>#NAME?</v>
      </c>
      <c r="U88" s="312" t="e" cm="1">
        <f t="array" aca="1" ref="U88" ca="1">_xlfn.IFS(SUM($L88:T88)&gt;=$E88,0,U$70=$G88,$E88*10%,T88&gt;0,$E88*0.9/5, TRUE, 0)</f>
        <v>#NAME?</v>
      </c>
      <c r="V88" s="312" t="e" cm="1">
        <f t="array" aca="1" ref="V88" ca="1">_xlfn.IFS(SUM($L88:U88)&gt;=$E88,0,V$70=$G88,$E88*10%,U88&gt;0,$E88*0.9/5, TRUE, 0)</f>
        <v>#NAME?</v>
      </c>
      <c r="W88" s="312" t="e" cm="1">
        <f t="array" aca="1" ref="W88" ca="1">_xlfn.IFS(SUM($L88:V88)&gt;=$E88,0,W$70=$G88,$E88*10%,V88&gt;0,$E88*0.9/5, TRUE, 0)</f>
        <v>#NAME?</v>
      </c>
      <c r="X88" s="312" t="e" cm="1">
        <f t="array" aca="1" ref="X88" ca="1">_xlfn.IFS(SUM($L88:W88)&gt;=$E88,0,X$70=$G88,$E88*10%,W88&gt;0,$E88*0.9/5, TRUE, 0)</f>
        <v>#NAME?</v>
      </c>
      <c r="Y88" s="312" t="e" cm="1">
        <f t="array" aca="1" ref="Y88" ca="1">_xlfn.IFS(SUM($L88:X88)&gt;=$E88,0,Y$70=$G88,$E88*10%,X88&gt;0,$E88*0.9/5, TRUE, 0)</f>
        <v>#NAME?</v>
      </c>
      <c r="Z88" s="312" t="e" cm="1">
        <f t="array" aca="1" ref="Z88" ca="1">_xlfn.IFS(SUM($L88:Y88)&gt;=$E88,0,Z$70=$G88,$E88*10%,Y88&gt;0,$E88*0.9/5, TRUE, 0)</f>
        <v>#NAME?</v>
      </c>
      <c r="AA88" s="312" t="e" cm="1">
        <f t="array" aca="1" ref="AA88" ca="1">_xlfn.IFS(SUM($L88:Z88)&gt;=$E88,0,AA$70=$G88,$E88*10%,Z88&gt;0,$E88*0.9/5, TRUE, 0)</f>
        <v>#NAME?</v>
      </c>
      <c r="AB88" s="312" t="e" cm="1">
        <f t="array" aca="1" ref="AB88" ca="1">_xlfn.IFS(SUM($L88:AA88)&gt;=$E88,0,AB$70=$G88,$E88*10%,AA88&gt;0,$E88*0.9/5, TRUE, 0)</f>
        <v>#NAME?</v>
      </c>
      <c r="AC88" s="312" t="e" cm="1">
        <f t="array" aca="1" ref="AC88" ca="1">_xlfn.IFS(SUM($L88:AB88)&gt;=$E88,0,AC$70=$G88,$E88*10%,AB88&gt;0,$E88*0.9/5, TRUE, 0)</f>
        <v>#NAME?</v>
      </c>
      <c r="AD88" s="312" t="e" cm="1">
        <f t="array" aca="1" ref="AD88" ca="1">_xlfn.IFS(SUM($L88:AC88)&gt;=$E88,0,AD$70=$G88,$E88*10%,AC88&gt;0,$E88*0.9/5, TRUE, 0)</f>
        <v>#NAME?</v>
      </c>
      <c r="AE88" s="312" t="e" cm="1">
        <f t="array" aca="1" ref="AE88" ca="1">_xlfn.IFS(SUM($L88:AD88)&gt;=$E88,0,AE$70=$G88,$E88*10%,AD88&gt;0,$E88*0.9/5, TRUE, 0)</f>
        <v>#NAME?</v>
      </c>
      <c r="AF88" s="312" t="e" cm="1">
        <f t="array" aca="1" ref="AF88" ca="1">_xlfn.IFS(SUM($L88:AE88)&gt;=$E88,0,AF$70=$G88,$E88*10%,AE88&gt;0,$E88*0.9/5, TRUE, 0)</f>
        <v>#NAME?</v>
      </c>
      <c r="AG88" s="312" t="e" cm="1">
        <f t="array" aca="1" ref="AG88" ca="1">_xlfn.IFS(SUM($L88:AF88)&gt;=$E88,0,AG$70=$G88,$E88*10%,AF88&gt;0,$E88*0.9/5, TRUE, 0)</f>
        <v>#NAME?</v>
      </c>
      <c r="AH88" s="312" t="e" cm="1">
        <f t="array" aca="1" ref="AH88" ca="1">_xlfn.IFS(SUM($L88:AG88)&gt;=$E88,0,AH$70=$G88,$E88*10%,AG88&gt;0,$E88*0.9/5, TRUE, 0)</f>
        <v>#NAME?</v>
      </c>
      <c r="AI88" s="312" t="e" cm="1">
        <f t="array" aca="1" ref="AI88" ca="1">_xlfn.IFS(SUM($L88:AH88)&gt;=$E88,0,AI$70=$G88,$E88*10%,AH88&gt;0,$E88*0.9/5, TRUE, 0)</f>
        <v>#NAME?</v>
      </c>
      <c r="AJ88" s="312" t="e" cm="1">
        <f t="array" aca="1" ref="AJ88" ca="1">_xlfn.IFS(SUM($L88:AI88)&gt;=$E88,0,AJ$70=$G88,$E88*10%,AI88&gt;0,$E88*0.9/5, TRUE, 0)</f>
        <v>#NAME?</v>
      </c>
      <c r="AK88" s="312" t="e" cm="1">
        <f t="array" aca="1" ref="AK88" ca="1">_xlfn.IFS(SUM($L88:AJ88)&gt;=$E88,0,AK$70=$G88,$E88*10%,AJ88&gt;0,$E88*0.9/5, TRUE, 0)</f>
        <v>#NAME?</v>
      </c>
      <c r="AL88" s="312" t="e" cm="1">
        <f t="array" aca="1" ref="AL88" ca="1">_xlfn.IFS(SUM($L88:AK88)&gt;=$E88,0,AL$70=$G88,$E88*10%,AK88&gt;0,$E88*0.9/5, TRUE, 0)</f>
        <v>#NAME?</v>
      </c>
      <c r="AM88" s="312" t="e" cm="1">
        <f t="array" aca="1" ref="AM88" ca="1">_xlfn.IFS(SUM($L88:AL88)&gt;=$E88,0,AM$70=$G88,$E88*10%,AL88&gt;0,$E88*0.9/5, TRUE, 0)</f>
        <v>#NAME?</v>
      </c>
      <c r="AN88" s="312" t="e" cm="1">
        <f t="array" aca="1" ref="AN88" ca="1">_xlfn.IFS(SUM($L88:AM88)&gt;=$E88,0,AN$70=$G88,$E88*10%,AM88&gt;0,$E88*0.9/5, TRUE, 0)</f>
        <v>#NAME?</v>
      </c>
      <c r="AO88" s="312" t="e" cm="1">
        <f t="array" aca="1" ref="AO88" ca="1">_xlfn.IFS(SUM($L88:AN88)&gt;=$E88,0,AO$70=$G88,$E88*10%,AN88&gt;0,$E88*0.9/5, TRUE, 0)</f>
        <v>#NAME?</v>
      </c>
      <c r="AP88" s="312" t="e" cm="1">
        <f t="array" aca="1" ref="AP88" ca="1">_xlfn.IFS(SUM($L88:AO88)&gt;=$E88,0,AP$70=$G88,$E88*10%,AO88&gt;0,$E88*0.9/5, TRUE, 0)</f>
        <v>#NAME?</v>
      </c>
      <c r="AQ88" s="312" t="e" cm="1">
        <f t="array" aca="1" ref="AQ88" ca="1">_xlfn.IFS(SUM($L88:AP88)&gt;=$E88,0,AQ$70=$G88,$E88*10%,AP88&gt;0,$E88*0.9/5, TRUE, 0)</f>
        <v>#NAME?</v>
      </c>
      <c r="AR88" s="312" t="e" cm="1">
        <f t="array" aca="1" ref="AR88" ca="1">_xlfn.IFS(SUM($L88:AQ88)&gt;=$E88,0,AR$70=$G88,$E88*10%,AQ88&gt;0,$E88*0.9/5, TRUE, 0)</f>
        <v>#NAME?</v>
      </c>
    </row>
    <row r="89" spans="2:44">
      <c r="F89" s="88"/>
      <c r="H89" s="88"/>
      <c r="J89" s="264" t="e">
        <f t="shared" si="2"/>
        <v>#N/A</v>
      </c>
      <c r="M89" s="312" cm="1">
        <f t="array" ref="M89">_xlfn.IFS(SUM($L89:L89)&gt;=$E89,0,M$70=$G89,$E89*10%,L89&gt;0,$E89*0.9/5, TRUE, 0)</f>
        <v>0</v>
      </c>
      <c r="N89" s="312" cm="1">
        <f t="array" ref="N89">_xlfn.IFS(SUM($L89:M89)&gt;=$E89,0,N$70=$G89,$E89*10%,M89&gt;0,$E89*0.9/5, TRUE, 0)</f>
        <v>0</v>
      </c>
      <c r="O89" s="312" cm="1">
        <f t="array" ref="O89">_xlfn.IFS(SUM($L89:N89)&gt;=$E89,0,O$70=$G89,$E89*10%,N89&gt;0,$E89*0.9/5, TRUE, 0)</f>
        <v>0</v>
      </c>
      <c r="P89" s="312" cm="1">
        <f t="array" ref="P89">_xlfn.IFS(SUM($L89:O89)&gt;=$E89,0,P$70=$G89,$E89*10%,O89&gt;0,$E89*0.9/5, TRUE, 0)</f>
        <v>0</v>
      </c>
      <c r="Q89" s="312" cm="1">
        <f t="array" ref="Q89">_xlfn.IFS(SUM($L89:P89)&gt;=$E89,0,Q$70=$G89,$E89*10%,P89&gt;0,$E89*0.9/5, TRUE, 0)</f>
        <v>0</v>
      </c>
      <c r="R89" s="312" cm="1">
        <f t="array" ref="R89">_xlfn.IFS(SUM($L89:Q89)&gt;=$E89,0,R$70=$G89,$E89*10%,Q89&gt;0,$E89*0.9/5, TRUE, 0)</f>
        <v>0</v>
      </c>
      <c r="S89" s="312" cm="1">
        <f t="array" ref="S89">_xlfn.IFS(SUM($L89:R89)&gt;=$E89,0,S$70=$G89,$E89*10%,R89&gt;0,$E89*0.9/5, TRUE, 0)</f>
        <v>0</v>
      </c>
      <c r="T89" s="312" cm="1">
        <f t="array" ref="T89">_xlfn.IFS(SUM($L89:S89)&gt;=$E89,0,T$70=$G89,$E89*10%,S89&gt;0,$E89*0.9/5, TRUE, 0)</f>
        <v>0</v>
      </c>
      <c r="U89" s="312" cm="1">
        <f t="array" ref="U89">_xlfn.IFS(SUM($L89:T89)&gt;=$E89,0,U$70=$G89,$E89*10%,T89&gt;0,$E89*0.9/5, TRUE, 0)</f>
        <v>0</v>
      </c>
      <c r="V89" s="312" cm="1">
        <f t="array" ref="V89">_xlfn.IFS(SUM($L89:U89)&gt;=$E89,0,V$70=$G89,$E89*10%,U89&gt;0,$E89*0.9/5, TRUE, 0)</f>
        <v>0</v>
      </c>
      <c r="W89" s="312" cm="1">
        <f t="array" ref="W89">_xlfn.IFS(SUM($L89:V89)&gt;=$E89,0,W$70=$G89,$E89*10%,V89&gt;0,$E89*0.9/5, TRUE, 0)</f>
        <v>0</v>
      </c>
      <c r="X89" s="312" cm="1">
        <f t="array" ref="X89">_xlfn.IFS(SUM($L89:W89)&gt;=$E89,0,X$70=$G89,$E89*10%,W89&gt;0,$E89*0.9/5, TRUE, 0)</f>
        <v>0</v>
      </c>
      <c r="Y89" s="312" cm="1">
        <f t="array" ref="Y89">_xlfn.IFS(SUM($L89:X89)&gt;=$E89,0,Y$70=$G89,$E89*10%,X89&gt;0,$E89*0.9/5, TRUE, 0)</f>
        <v>0</v>
      </c>
      <c r="Z89" s="312" cm="1">
        <f t="array" ref="Z89">_xlfn.IFS(SUM($L89:Y89)&gt;=$E89,0,Z$70=$G89,$E89*10%,Y89&gt;0,$E89*0.9/5, TRUE, 0)</f>
        <v>0</v>
      </c>
      <c r="AA89" s="312" cm="1">
        <f t="array" ref="AA89">_xlfn.IFS(SUM($L89:Z89)&gt;=$E89,0,AA$70=$G89,$E89*10%,Z89&gt;0,$E89*0.9/5, TRUE, 0)</f>
        <v>0</v>
      </c>
      <c r="AB89" s="312" cm="1">
        <f t="array" ref="AB89">_xlfn.IFS(SUM($L89:AA89)&gt;=$E89,0,AB$70=$G89,$E89*10%,AA89&gt;0,$E89*0.9/5, TRUE, 0)</f>
        <v>0</v>
      </c>
      <c r="AC89" s="312" cm="1">
        <f t="array" ref="AC89">_xlfn.IFS(SUM($L89:AB89)&gt;=$E89,0,AC$70=$G89,$E89*10%,AB89&gt;0,$E89*0.9/5, TRUE, 0)</f>
        <v>0</v>
      </c>
      <c r="AD89" s="312" cm="1">
        <f t="array" ref="AD89">_xlfn.IFS(SUM($L89:AC89)&gt;=$E89,0,AD$70=$G89,$E89*10%,AC89&gt;0,$E89*0.9/5, TRUE, 0)</f>
        <v>0</v>
      </c>
      <c r="AE89" s="312" cm="1">
        <f t="array" ref="AE89">_xlfn.IFS(SUM($L89:AD89)&gt;=$E89,0,AE$70=$G89,$E89*10%,AD89&gt;0,$E89*0.9/5, TRUE, 0)</f>
        <v>0</v>
      </c>
      <c r="AF89" s="312" cm="1">
        <f t="array" ref="AF89">_xlfn.IFS(SUM($L89:AE89)&gt;=$E89,0,AF$70=$G89,$E89*10%,AE89&gt;0,$E89*0.9/5, TRUE, 0)</f>
        <v>0</v>
      </c>
      <c r="AG89" s="312" cm="1">
        <f t="array" ref="AG89">_xlfn.IFS(SUM($L89:AF89)&gt;=$E89,0,AG$70=$G89,$E89*10%,AF89&gt;0,$E89*0.9/5, TRUE, 0)</f>
        <v>0</v>
      </c>
      <c r="AH89" s="312" cm="1">
        <f t="array" ref="AH89">_xlfn.IFS(SUM($L89:AG89)&gt;=$E89,0,AH$70=$G89,$E89*10%,AG89&gt;0,$E89*0.9/5, TRUE, 0)</f>
        <v>0</v>
      </c>
      <c r="AI89" s="312" cm="1">
        <f t="array" ref="AI89">_xlfn.IFS(SUM($L89:AH89)&gt;=$E89,0,AI$70=$G89,$E89*10%,AH89&gt;0,$E89*0.9/5, TRUE, 0)</f>
        <v>0</v>
      </c>
      <c r="AJ89" s="312" cm="1">
        <f t="array" ref="AJ89">_xlfn.IFS(SUM($L89:AI89)&gt;=$E89,0,AJ$70=$G89,$E89*10%,AI89&gt;0,$E89*0.9/5, TRUE, 0)</f>
        <v>0</v>
      </c>
      <c r="AK89" s="312" cm="1">
        <f t="array" ref="AK89">_xlfn.IFS(SUM($L89:AJ89)&gt;=$E89,0,AK$70=$G89,$E89*10%,AJ89&gt;0,$E89*0.9/5, TRUE, 0)</f>
        <v>0</v>
      </c>
      <c r="AL89" s="312" cm="1">
        <f t="array" ref="AL89">_xlfn.IFS(SUM($L89:AK89)&gt;=$E89,0,AL$70=$G89,$E89*10%,AK89&gt;0,$E89*0.9/5, TRUE, 0)</f>
        <v>0</v>
      </c>
      <c r="AM89" s="312" cm="1">
        <f t="array" ref="AM89">_xlfn.IFS(SUM($L89:AL89)&gt;=$E89,0,AM$70=$G89,$E89*10%,AL89&gt;0,$E89*0.9/5, TRUE, 0)</f>
        <v>0</v>
      </c>
      <c r="AN89" s="312" cm="1">
        <f t="array" ref="AN89">_xlfn.IFS(SUM($L89:AM89)&gt;=$E89,0,AN$70=$G89,$E89*10%,AM89&gt;0,$E89*0.9/5, TRUE, 0)</f>
        <v>0</v>
      </c>
      <c r="AO89" s="312" cm="1">
        <f t="array" ref="AO89">_xlfn.IFS(SUM($L89:AN89)&gt;=$E89,0,AO$70=$G89,$E89*10%,AN89&gt;0,$E89*0.9/5, TRUE, 0)</f>
        <v>0</v>
      </c>
      <c r="AP89" s="312" cm="1">
        <f t="array" ref="AP89">_xlfn.IFS(SUM($L89:AO89)&gt;=$E89,0,AP$70=$G89,$E89*10%,AO89&gt;0,$E89*0.9/5, TRUE, 0)</f>
        <v>0</v>
      </c>
      <c r="AQ89" s="312" cm="1">
        <f t="array" ref="AQ89">_xlfn.IFS(SUM($L89:AP89)&gt;=$E89,0,AQ$70=$G89,$E89*10%,AP89&gt;0,$E89*0.9/5, TRUE, 0)</f>
        <v>0</v>
      </c>
      <c r="AR89" s="312" cm="1">
        <f t="array" ref="AR89">_xlfn.IFS(SUM($L89:AQ89)&gt;=$E89,0,AR$70=$G89,$E89*10%,AQ89&gt;0,$E89*0.9/5, TRUE, 0)</f>
        <v>0</v>
      </c>
    </row>
    <row r="90" spans="2:44">
      <c r="F90" s="88"/>
      <c r="H90" s="88"/>
      <c r="J90" s="264" t="e">
        <f t="shared" si="2"/>
        <v>#N/A</v>
      </c>
      <c r="M90" s="312"/>
      <c r="N90" s="312"/>
      <c r="O90" s="312"/>
      <c r="P90" s="312"/>
      <c r="Q90" s="312"/>
      <c r="R90" s="312"/>
      <c r="S90" s="312"/>
      <c r="T90" s="312"/>
      <c r="U90" s="312"/>
    </row>
    <row r="91" spans="2:44">
      <c r="F91" s="88"/>
      <c r="H91" s="88"/>
      <c r="J91" s="264" t="e">
        <f t="shared" si="2"/>
        <v>#N/A</v>
      </c>
      <c r="M91" s="312"/>
      <c r="N91" s="312"/>
      <c r="O91" s="312"/>
      <c r="P91" s="312"/>
      <c r="Q91" s="312"/>
      <c r="R91" s="312"/>
      <c r="S91" s="312"/>
      <c r="T91" s="312"/>
      <c r="U91" s="312"/>
    </row>
    <row r="92" spans="2:44">
      <c r="F92" s="88"/>
      <c r="H92" s="88"/>
      <c r="J92" s="264" t="e">
        <f t="shared" si="2"/>
        <v>#N/A</v>
      </c>
      <c r="M92" s="312"/>
      <c r="N92" s="312"/>
      <c r="O92" s="312"/>
      <c r="P92" s="312"/>
      <c r="Q92" s="312"/>
      <c r="R92" s="312"/>
      <c r="S92" s="312"/>
      <c r="T92" s="312"/>
      <c r="U92" s="312"/>
    </row>
    <row r="93" spans="2:44">
      <c r="F93" s="88"/>
      <c r="H93" s="88"/>
      <c r="J93" s="264" t="e">
        <f t="shared" si="2"/>
        <v>#N/A</v>
      </c>
      <c r="M93" s="312"/>
      <c r="N93" s="312"/>
      <c r="O93" s="312"/>
      <c r="P93" s="312"/>
      <c r="Q93" s="312"/>
      <c r="R93" s="312"/>
      <c r="S93" s="312"/>
      <c r="T93" s="312"/>
      <c r="U93" s="312"/>
    </row>
    <row r="94" spans="2:44">
      <c r="F94" s="88"/>
      <c r="H94" s="88"/>
      <c r="J94" s="264" t="e">
        <f t="shared" si="2"/>
        <v>#N/A</v>
      </c>
      <c r="M94" s="312"/>
      <c r="N94" s="312"/>
      <c r="O94" s="312"/>
      <c r="P94" s="312"/>
      <c r="Q94" s="312"/>
      <c r="R94" s="312"/>
      <c r="S94" s="312"/>
      <c r="T94" s="312"/>
      <c r="U94" s="312"/>
    </row>
    <row r="95" spans="2:44">
      <c r="F95" s="88"/>
      <c r="H95" s="88"/>
      <c r="J95" s="264" t="e">
        <f t="shared" si="2"/>
        <v>#N/A</v>
      </c>
      <c r="M95" s="312"/>
      <c r="N95" s="312"/>
      <c r="O95" s="312"/>
      <c r="P95" s="312"/>
      <c r="Q95" s="312"/>
      <c r="R95" s="312"/>
      <c r="S95" s="312"/>
      <c r="T95" s="312"/>
      <c r="U95" s="312"/>
    </row>
    <row r="96" spans="2:44">
      <c r="F96" s="88"/>
      <c r="H96" s="88"/>
      <c r="J96" s="264" t="e">
        <f t="shared" si="2"/>
        <v>#N/A</v>
      </c>
      <c r="M96" s="312"/>
      <c r="N96" s="312"/>
      <c r="O96" s="312"/>
      <c r="P96" s="312"/>
      <c r="Q96" s="312"/>
      <c r="R96" s="312"/>
      <c r="S96" s="312"/>
      <c r="T96" s="312"/>
      <c r="U96" s="312"/>
    </row>
    <row r="97" spans="1:66">
      <c r="F97" s="88"/>
      <c r="H97" s="88"/>
      <c r="J97" s="264" t="e">
        <f t="shared" si="2"/>
        <v>#N/A</v>
      </c>
      <c r="M97" s="312"/>
      <c r="N97" s="312"/>
      <c r="O97" s="312"/>
      <c r="P97" s="312"/>
      <c r="Q97" s="312"/>
      <c r="R97" s="312"/>
      <c r="S97" s="312"/>
      <c r="T97" s="312"/>
      <c r="U97" s="312"/>
    </row>
    <row r="98" spans="1:66">
      <c r="F98" s="88"/>
      <c r="H98" s="88"/>
      <c r="J98" s="264" t="e">
        <f t="shared" si="2"/>
        <v>#N/A</v>
      </c>
      <c r="M98" s="312"/>
      <c r="N98" s="312"/>
      <c r="O98" s="312"/>
      <c r="P98" s="312"/>
      <c r="Q98" s="312"/>
      <c r="R98" s="312"/>
      <c r="S98" s="312"/>
      <c r="T98" s="312"/>
      <c r="U98" s="312"/>
    </row>
    <row r="99" spans="1:66">
      <c r="F99" s="88"/>
      <c r="H99" s="88"/>
      <c r="J99" s="264" t="e">
        <f t="shared" si="2"/>
        <v>#N/A</v>
      </c>
      <c r="M99" s="312"/>
      <c r="N99" s="312"/>
      <c r="O99" s="312"/>
      <c r="P99" s="312"/>
      <c r="Q99" s="312"/>
      <c r="R99" s="312"/>
      <c r="S99" s="312"/>
      <c r="T99" s="312"/>
      <c r="U99" s="312"/>
    </row>
    <row r="100" spans="1:66">
      <c r="F100" s="88"/>
      <c r="H100" s="88"/>
      <c r="J100" s="264" t="e">
        <f t="shared" si="2"/>
        <v>#N/A</v>
      </c>
      <c r="M100" s="312"/>
      <c r="N100" s="312"/>
      <c r="O100" s="312"/>
      <c r="P100" s="312"/>
      <c r="Q100" s="312"/>
      <c r="R100" s="312"/>
      <c r="S100" s="312"/>
      <c r="T100" s="312"/>
      <c r="U100" s="312"/>
    </row>
    <row r="101" spans="1:66">
      <c r="F101" s="88"/>
      <c r="H101" s="88"/>
      <c r="J101" s="264" t="e">
        <f t="shared" si="2"/>
        <v>#N/A</v>
      </c>
      <c r="M101" s="312"/>
      <c r="N101" s="312"/>
      <c r="O101" s="312"/>
      <c r="P101" s="312"/>
      <c r="Q101" s="312"/>
      <c r="R101" s="312"/>
      <c r="S101" s="312"/>
      <c r="T101" s="312"/>
      <c r="U101" s="312"/>
    </row>
    <row r="102" spans="1:66">
      <c r="F102" s="88"/>
      <c r="H102" s="88"/>
      <c r="J102" s="264" t="e">
        <f t="shared" si="2"/>
        <v>#N/A</v>
      </c>
      <c r="M102" s="312"/>
      <c r="N102" s="312"/>
      <c r="O102" s="312"/>
      <c r="P102" s="312"/>
      <c r="Q102" s="312"/>
      <c r="R102" s="312"/>
      <c r="S102" s="312"/>
      <c r="T102" s="312"/>
      <c r="U102" s="312"/>
    </row>
    <row r="103" spans="1:66">
      <c r="F103" s="88"/>
      <c r="H103" s="88"/>
      <c r="J103" s="264" t="e">
        <f t="shared" si="2"/>
        <v>#N/A</v>
      </c>
      <c r="M103" s="312"/>
      <c r="N103" s="312"/>
      <c r="O103" s="312"/>
      <c r="P103" s="312"/>
      <c r="Q103" s="312"/>
      <c r="R103" s="312"/>
      <c r="S103" s="312"/>
      <c r="T103" s="312"/>
      <c r="U103" s="312"/>
    </row>
    <row r="104" spans="1:66">
      <c r="F104" s="88"/>
      <c r="H104" s="88"/>
      <c r="J104" s="264" t="e">
        <f t="shared" si="2"/>
        <v>#N/A</v>
      </c>
      <c r="M104" s="312"/>
      <c r="N104" s="312"/>
      <c r="O104" s="312"/>
      <c r="P104" s="312"/>
      <c r="Q104" s="312"/>
      <c r="R104" s="312"/>
      <c r="S104" s="312"/>
      <c r="T104" s="312"/>
      <c r="U104" s="312"/>
    </row>
    <row r="105" spans="1:66">
      <c r="F105" s="88"/>
      <c r="H105" s="88"/>
      <c r="J105" s="264" t="e">
        <f t="shared" si="2"/>
        <v>#N/A</v>
      </c>
      <c r="M105" s="312"/>
      <c r="N105" s="312"/>
      <c r="O105" s="312"/>
      <c r="P105" s="312"/>
      <c r="Q105" s="312"/>
      <c r="R105" s="312"/>
      <c r="S105" s="312"/>
      <c r="T105" s="312"/>
      <c r="U105" s="312"/>
    </row>
    <row r="106" spans="1:66">
      <c r="F106" s="88"/>
      <c r="H106" s="88"/>
      <c r="J106" s="264" t="e">
        <f t="shared" si="2"/>
        <v>#N/A</v>
      </c>
      <c r="M106" s="312"/>
      <c r="N106" s="312"/>
      <c r="O106" s="312"/>
      <c r="P106" s="312"/>
      <c r="Q106" s="312"/>
      <c r="R106" s="312"/>
      <c r="S106" s="312"/>
      <c r="T106" s="312"/>
      <c r="U106" s="312"/>
    </row>
    <row r="107" spans="1:66">
      <c r="F107" s="88"/>
      <c r="H107" s="88"/>
      <c r="J107" s="264" t="e">
        <f t="shared" si="2"/>
        <v>#N/A</v>
      </c>
      <c r="M107" s="312"/>
      <c r="N107" s="312"/>
      <c r="O107" s="312"/>
      <c r="P107" s="312"/>
      <c r="Q107" s="312"/>
      <c r="R107" s="312"/>
      <c r="S107" s="312"/>
      <c r="T107" s="312"/>
      <c r="U107" s="312"/>
    </row>
    <row r="108" spans="1:66">
      <c r="F108" s="88"/>
      <c r="H108" s="88"/>
      <c r="J108" s="264" t="e">
        <f t="shared" si="2"/>
        <v>#N/A</v>
      </c>
      <c r="M108" s="312"/>
      <c r="N108" s="312"/>
      <c r="O108" s="312"/>
      <c r="P108" s="312"/>
      <c r="Q108" s="312"/>
      <c r="R108" s="312"/>
      <c r="S108" s="312"/>
      <c r="T108" s="312"/>
      <c r="U108" s="312"/>
    </row>
    <row r="109" spans="1:66">
      <c r="F109" s="88"/>
      <c r="H109" s="88"/>
      <c r="J109" s="264" t="e">
        <f t="shared" si="2"/>
        <v>#N/A</v>
      </c>
      <c r="M109" s="312"/>
      <c r="N109" s="312"/>
      <c r="O109" s="312"/>
      <c r="P109" s="312"/>
      <c r="Q109" s="312"/>
      <c r="R109" s="312"/>
      <c r="S109" s="312"/>
      <c r="T109" s="312"/>
      <c r="U109" s="312"/>
    </row>
    <row r="110" spans="1:66">
      <c r="F110" s="88"/>
      <c r="H110" s="88"/>
      <c r="J110" s="264" t="e">
        <f t="shared" si="2"/>
        <v>#N/A</v>
      </c>
      <c r="M110" s="312"/>
      <c r="N110" s="312"/>
      <c r="O110" s="312"/>
      <c r="P110" s="312"/>
      <c r="Q110" s="312"/>
      <c r="R110" s="312"/>
      <c r="S110" s="312"/>
      <c r="T110" s="312"/>
      <c r="U110" s="312"/>
    </row>
    <row r="111" spans="1:66">
      <c r="F111" s="88"/>
      <c r="H111" s="88"/>
      <c r="J111" s="264" t="e">
        <f t="shared" si="2"/>
        <v>#N/A</v>
      </c>
      <c r="M111" s="312"/>
      <c r="N111" s="312"/>
      <c r="O111" s="312"/>
      <c r="P111" s="312"/>
      <c r="Q111" s="312"/>
      <c r="R111" s="312"/>
      <c r="S111" s="312"/>
      <c r="T111" s="312"/>
      <c r="U111" s="312"/>
    </row>
    <row r="112" spans="1:66" s="120" customFormat="1">
      <c r="A112" s="118"/>
      <c r="B112" s="6"/>
      <c r="C112" s="79"/>
      <c r="D112" s="79"/>
      <c r="E112" s="121"/>
      <c r="F112" s="88"/>
      <c r="G112" s="79"/>
      <c r="H112" s="88"/>
      <c r="J112" s="264"/>
      <c r="K112" s="7"/>
      <c r="L112" s="7"/>
      <c r="M112" s="315"/>
      <c r="N112" s="315"/>
      <c r="O112" s="315"/>
      <c r="P112" s="315"/>
      <c r="Q112" s="315"/>
      <c r="R112" s="315"/>
      <c r="S112" s="315"/>
      <c r="T112" s="315"/>
      <c r="U112" s="315"/>
      <c r="V112" s="312"/>
      <c r="W112" s="312"/>
      <c r="X112" s="312"/>
      <c r="Y112" s="312"/>
      <c r="Z112" s="312"/>
      <c r="AA112" s="312"/>
      <c r="AB112" s="312"/>
      <c r="AC112" s="312"/>
      <c r="AD112" s="312"/>
      <c r="AE112" s="312"/>
      <c r="AF112" s="312"/>
      <c r="AG112" s="312"/>
      <c r="AH112" s="312"/>
      <c r="AI112" s="312"/>
      <c r="AJ112" s="312"/>
      <c r="AK112" s="312"/>
      <c r="AL112" s="312"/>
      <c r="AM112" s="312"/>
      <c r="AN112" s="312"/>
      <c r="AO112" s="312"/>
      <c r="AP112" s="312"/>
      <c r="AQ112" s="312"/>
      <c r="AR112" s="312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</row>
    <row r="113" spans="1:66" s="120" customFormat="1">
      <c r="A113" s="118"/>
      <c r="B113" s="6"/>
      <c r="C113" s="79"/>
      <c r="D113" s="79"/>
      <c r="E113" s="121"/>
      <c r="F113" s="88"/>
      <c r="G113" s="79"/>
      <c r="H113" s="88"/>
      <c r="J113" s="7"/>
      <c r="K113" s="7"/>
      <c r="L113" s="7"/>
      <c r="M113" s="315"/>
      <c r="N113" s="315"/>
      <c r="O113" s="315"/>
      <c r="P113" s="315"/>
      <c r="Q113" s="315"/>
      <c r="R113" s="315"/>
      <c r="S113" s="315"/>
      <c r="T113" s="315"/>
      <c r="U113" s="315"/>
      <c r="V113" s="312"/>
      <c r="W113" s="312"/>
      <c r="X113" s="312"/>
      <c r="Y113" s="312"/>
      <c r="Z113" s="312"/>
      <c r="AA113" s="312"/>
      <c r="AB113" s="312"/>
      <c r="AC113" s="312"/>
      <c r="AD113" s="312"/>
      <c r="AE113" s="312"/>
      <c r="AF113" s="312"/>
      <c r="AG113" s="312"/>
      <c r="AH113" s="312"/>
      <c r="AI113" s="312"/>
      <c r="AJ113" s="312"/>
      <c r="AK113" s="312"/>
      <c r="AL113" s="312"/>
      <c r="AM113" s="312"/>
      <c r="AN113" s="312"/>
      <c r="AO113" s="312"/>
      <c r="AP113" s="312"/>
      <c r="AQ113" s="312"/>
      <c r="AR113" s="312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</row>
    <row r="114" spans="1:66" s="120" customFormat="1">
      <c r="A114" s="118"/>
      <c r="B114" s="6"/>
      <c r="C114" s="79"/>
      <c r="D114" s="79"/>
      <c r="E114" s="121"/>
      <c r="F114" s="88"/>
      <c r="G114" s="79"/>
      <c r="H114" s="88"/>
      <c r="J114" s="7"/>
      <c r="K114" s="7"/>
      <c r="L114" s="7"/>
      <c r="M114" s="315"/>
      <c r="N114" s="315"/>
      <c r="O114" s="315"/>
      <c r="P114" s="315"/>
      <c r="Q114" s="315"/>
      <c r="R114" s="315"/>
      <c r="S114" s="315"/>
      <c r="T114" s="315"/>
      <c r="U114" s="315"/>
      <c r="V114" s="312"/>
      <c r="W114" s="312"/>
      <c r="X114" s="312"/>
      <c r="Y114" s="312"/>
      <c r="Z114" s="312"/>
      <c r="AA114" s="312"/>
      <c r="AB114" s="312"/>
      <c r="AC114" s="312"/>
      <c r="AD114" s="312"/>
      <c r="AE114" s="312"/>
      <c r="AF114" s="312"/>
      <c r="AG114" s="312"/>
      <c r="AH114" s="312"/>
      <c r="AI114" s="312"/>
      <c r="AJ114" s="312"/>
      <c r="AK114" s="312"/>
      <c r="AL114" s="312"/>
      <c r="AM114" s="312"/>
      <c r="AN114" s="312"/>
      <c r="AO114" s="312"/>
      <c r="AP114" s="312"/>
      <c r="AQ114" s="312"/>
      <c r="AR114" s="312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</row>
    <row r="115" spans="1:66" s="120" customFormat="1">
      <c r="A115" s="118"/>
      <c r="B115" s="6"/>
      <c r="C115" s="79"/>
      <c r="D115" s="79"/>
      <c r="E115" s="121"/>
      <c r="F115" s="88"/>
      <c r="G115" s="79"/>
      <c r="H115" s="88"/>
      <c r="J115" s="7"/>
      <c r="K115" s="7"/>
      <c r="L115" s="7"/>
      <c r="M115" s="315"/>
      <c r="N115" s="315"/>
      <c r="O115" s="315"/>
      <c r="P115" s="315"/>
      <c r="Q115" s="315"/>
      <c r="R115" s="315"/>
      <c r="S115" s="315"/>
      <c r="T115" s="315"/>
      <c r="U115" s="315"/>
      <c r="V115" s="312"/>
      <c r="W115" s="312"/>
      <c r="X115" s="312"/>
      <c r="Y115" s="312"/>
      <c r="Z115" s="312"/>
      <c r="AA115" s="312"/>
      <c r="AB115" s="312"/>
      <c r="AC115" s="312"/>
      <c r="AD115" s="312"/>
      <c r="AE115" s="312"/>
      <c r="AF115" s="312"/>
      <c r="AG115" s="312"/>
      <c r="AH115" s="312"/>
      <c r="AI115" s="312"/>
      <c r="AJ115" s="312"/>
      <c r="AK115" s="312"/>
      <c r="AL115" s="312"/>
      <c r="AM115" s="312"/>
      <c r="AN115" s="312"/>
      <c r="AO115" s="312"/>
      <c r="AP115" s="312"/>
      <c r="AQ115" s="312"/>
      <c r="AR115" s="312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</row>
    <row r="116" spans="1:66" s="120" customFormat="1">
      <c r="A116" s="118"/>
      <c r="B116" s="6"/>
      <c r="C116" s="79"/>
      <c r="D116" s="79"/>
      <c r="E116" s="121"/>
      <c r="F116" s="88"/>
      <c r="G116" s="79"/>
      <c r="H116" s="88"/>
      <c r="J116" s="7"/>
      <c r="K116" s="7"/>
      <c r="L116" s="7"/>
      <c r="M116" s="315"/>
      <c r="N116" s="315"/>
      <c r="O116" s="315"/>
      <c r="P116" s="315"/>
      <c r="Q116" s="315"/>
      <c r="R116" s="315"/>
      <c r="S116" s="315"/>
      <c r="T116" s="315"/>
      <c r="U116" s="315"/>
      <c r="V116" s="312"/>
      <c r="W116" s="312"/>
      <c r="X116" s="312"/>
      <c r="Y116" s="312"/>
      <c r="Z116" s="312"/>
      <c r="AA116" s="312"/>
      <c r="AB116" s="312"/>
      <c r="AC116" s="312"/>
      <c r="AD116" s="312"/>
      <c r="AE116" s="312"/>
      <c r="AF116" s="312"/>
      <c r="AG116" s="312"/>
      <c r="AH116" s="312"/>
      <c r="AI116" s="312"/>
      <c r="AJ116" s="312"/>
      <c r="AK116" s="312"/>
      <c r="AL116" s="312"/>
      <c r="AM116" s="312"/>
      <c r="AN116" s="312"/>
      <c r="AO116" s="312"/>
      <c r="AP116" s="312"/>
      <c r="AQ116" s="312"/>
      <c r="AR116" s="312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</row>
    <row r="117" spans="1:66" s="120" customFormat="1">
      <c r="A117" s="118"/>
      <c r="B117" s="6"/>
      <c r="C117" s="79"/>
      <c r="D117" s="79"/>
      <c r="E117" s="121"/>
      <c r="F117" s="88"/>
      <c r="G117" s="79"/>
      <c r="H117" s="88"/>
      <c r="J117" s="7"/>
      <c r="K117" s="7"/>
      <c r="L117" s="7"/>
      <c r="M117" s="315"/>
      <c r="N117" s="315"/>
      <c r="O117" s="315"/>
      <c r="P117" s="315"/>
      <c r="Q117" s="315"/>
      <c r="R117" s="315"/>
      <c r="S117" s="315"/>
      <c r="T117" s="315"/>
      <c r="U117" s="315"/>
      <c r="V117" s="312"/>
      <c r="W117" s="312"/>
      <c r="X117" s="312"/>
      <c r="Y117" s="312"/>
      <c r="Z117" s="312"/>
      <c r="AA117" s="312"/>
      <c r="AB117" s="312"/>
      <c r="AC117" s="312"/>
      <c r="AD117" s="312"/>
      <c r="AE117" s="312"/>
      <c r="AF117" s="312"/>
      <c r="AG117" s="312"/>
      <c r="AH117" s="312"/>
      <c r="AI117" s="312"/>
      <c r="AJ117" s="312"/>
      <c r="AK117" s="312"/>
      <c r="AL117" s="312"/>
      <c r="AM117" s="312"/>
      <c r="AN117" s="312"/>
      <c r="AO117" s="312"/>
      <c r="AP117" s="312"/>
      <c r="AQ117" s="312"/>
      <c r="AR117" s="312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</row>
    <row r="118" spans="1:66" s="120" customFormat="1">
      <c r="A118" s="118"/>
      <c r="B118" s="6"/>
      <c r="C118" s="79"/>
      <c r="D118" s="79"/>
      <c r="E118" s="121"/>
      <c r="F118" s="88"/>
      <c r="G118" s="79"/>
      <c r="H118" s="88"/>
      <c r="J118" s="7"/>
      <c r="K118" s="7"/>
      <c r="L118" s="7"/>
      <c r="M118" s="315"/>
      <c r="N118" s="315"/>
      <c r="O118" s="315"/>
      <c r="P118" s="315"/>
      <c r="Q118" s="315"/>
      <c r="R118" s="315"/>
      <c r="S118" s="315"/>
      <c r="T118" s="315"/>
      <c r="U118" s="315"/>
      <c r="V118" s="312"/>
      <c r="W118" s="312"/>
      <c r="X118" s="312"/>
      <c r="Y118" s="312"/>
      <c r="Z118" s="312"/>
      <c r="AA118" s="312"/>
      <c r="AB118" s="312"/>
      <c r="AC118" s="312"/>
      <c r="AD118" s="312"/>
      <c r="AE118" s="312"/>
      <c r="AF118" s="312"/>
      <c r="AG118" s="312"/>
      <c r="AH118" s="312"/>
      <c r="AI118" s="312"/>
      <c r="AJ118" s="312"/>
      <c r="AK118" s="312"/>
      <c r="AL118" s="312"/>
      <c r="AM118" s="312"/>
      <c r="AN118" s="312"/>
      <c r="AO118" s="312"/>
      <c r="AP118" s="312"/>
      <c r="AQ118" s="312"/>
      <c r="AR118" s="312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</row>
    <row r="119" spans="1:66" s="120" customFormat="1">
      <c r="A119" s="118"/>
      <c r="B119" s="6"/>
      <c r="C119" s="79"/>
      <c r="D119" s="79"/>
      <c r="E119" s="121"/>
      <c r="F119" s="88"/>
      <c r="G119" s="79"/>
      <c r="H119" s="88"/>
      <c r="J119" s="7"/>
      <c r="K119" s="7"/>
      <c r="L119" s="7"/>
      <c r="M119" s="315"/>
      <c r="N119" s="315"/>
      <c r="O119" s="315"/>
      <c r="P119" s="315"/>
      <c r="Q119" s="315"/>
      <c r="R119" s="315"/>
      <c r="S119" s="315"/>
      <c r="T119" s="315"/>
      <c r="U119" s="315"/>
      <c r="V119" s="312"/>
      <c r="W119" s="312"/>
      <c r="X119" s="312"/>
      <c r="Y119" s="312"/>
      <c r="Z119" s="312"/>
      <c r="AA119" s="312"/>
      <c r="AB119" s="312"/>
      <c r="AC119" s="312"/>
      <c r="AD119" s="312"/>
      <c r="AE119" s="312"/>
      <c r="AF119" s="312"/>
      <c r="AG119" s="312"/>
      <c r="AH119" s="312"/>
      <c r="AI119" s="312"/>
      <c r="AJ119" s="312"/>
      <c r="AK119" s="312"/>
      <c r="AL119" s="312"/>
      <c r="AM119" s="312"/>
      <c r="AN119" s="312"/>
      <c r="AO119" s="312"/>
      <c r="AP119" s="312"/>
      <c r="AQ119" s="312"/>
      <c r="AR119" s="312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</row>
    <row r="120" spans="1:66" s="120" customFormat="1">
      <c r="A120" s="118"/>
      <c r="B120" s="6"/>
      <c r="C120" s="79"/>
      <c r="D120" s="79"/>
      <c r="E120" s="121"/>
      <c r="F120" s="88"/>
      <c r="G120" s="79"/>
      <c r="H120" s="88"/>
      <c r="J120" s="7"/>
      <c r="K120" s="7"/>
      <c r="L120" s="7"/>
      <c r="M120" s="315"/>
      <c r="N120" s="315"/>
      <c r="O120" s="315"/>
      <c r="P120" s="315"/>
      <c r="Q120" s="315"/>
      <c r="R120" s="315"/>
      <c r="S120" s="315"/>
      <c r="T120" s="315"/>
      <c r="U120" s="315"/>
      <c r="V120" s="312"/>
      <c r="W120" s="312"/>
      <c r="X120" s="312"/>
      <c r="Y120" s="312"/>
      <c r="Z120" s="312"/>
      <c r="AA120" s="312"/>
      <c r="AB120" s="312"/>
      <c r="AC120" s="312"/>
      <c r="AD120" s="312"/>
      <c r="AE120" s="312"/>
      <c r="AF120" s="312"/>
      <c r="AG120" s="312"/>
      <c r="AH120" s="312"/>
      <c r="AI120" s="312"/>
      <c r="AJ120" s="312"/>
      <c r="AK120" s="312"/>
      <c r="AL120" s="312"/>
      <c r="AM120" s="312"/>
      <c r="AN120" s="312"/>
      <c r="AO120" s="312"/>
      <c r="AP120" s="312"/>
      <c r="AQ120" s="312"/>
      <c r="AR120" s="312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</row>
    <row r="121" spans="1:66" s="120" customFormat="1">
      <c r="A121" s="118"/>
      <c r="B121" s="6"/>
      <c r="C121" s="79"/>
      <c r="D121" s="79"/>
      <c r="E121" s="121"/>
      <c r="F121" s="88"/>
      <c r="G121" s="79"/>
      <c r="H121" s="88"/>
      <c r="J121" s="7"/>
      <c r="K121" s="7"/>
      <c r="L121" s="7"/>
      <c r="M121" s="315"/>
      <c r="N121" s="315"/>
      <c r="O121" s="315"/>
      <c r="P121" s="315"/>
      <c r="Q121" s="315"/>
      <c r="R121" s="315"/>
      <c r="S121" s="315"/>
      <c r="T121" s="315"/>
      <c r="U121" s="315"/>
      <c r="V121" s="312"/>
      <c r="W121" s="312"/>
      <c r="X121" s="312"/>
      <c r="Y121" s="312"/>
      <c r="Z121" s="312"/>
      <c r="AA121" s="312"/>
      <c r="AB121" s="312"/>
      <c r="AC121" s="312"/>
      <c r="AD121" s="312"/>
      <c r="AE121" s="312"/>
      <c r="AF121" s="312"/>
      <c r="AG121" s="312"/>
      <c r="AH121" s="312"/>
      <c r="AI121" s="312"/>
      <c r="AJ121" s="312"/>
      <c r="AK121" s="312"/>
      <c r="AL121" s="312"/>
      <c r="AM121" s="312"/>
      <c r="AN121" s="312"/>
      <c r="AO121" s="312"/>
      <c r="AP121" s="312"/>
      <c r="AQ121" s="312"/>
      <c r="AR121" s="312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</row>
    <row r="122" spans="1:66" s="120" customFormat="1">
      <c r="A122" s="118"/>
      <c r="B122" s="6"/>
      <c r="C122" s="79"/>
      <c r="D122" s="79"/>
      <c r="E122" s="121"/>
      <c r="F122" s="88"/>
      <c r="G122" s="79"/>
      <c r="H122" s="88"/>
      <c r="J122" s="7"/>
      <c r="K122" s="7"/>
      <c r="L122" s="7"/>
      <c r="M122" s="315"/>
      <c r="N122" s="315"/>
      <c r="O122" s="315"/>
      <c r="P122" s="315"/>
      <c r="Q122" s="315"/>
      <c r="R122" s="315"/>
      <c r="S122" s="315"/>
      <c r="T122" s="315"/>
      <c r="U122" s="315"/>
      <c r="V122" s="312"/>
      <c r="W122" s="312"/>
      <c r="X122" s="312"/>
      <c r="Y122" s="312"/>
      <c r="Z122" s="312"/>
      <c r="AA122" s="312"/>
      <c r="AB122" s="312"/>
      <c r="AC122" s="312"/>
      <c r="AD122" s="312"/>
      <c r="AE122" s="312"/>
      <c r="AF122" s="312"/>
      <c r="AG122" s="312"/>
      <c r="AH122" s="312"/>
      <c r="AI122" s="312"/>
      <c r="AJ122" s="312"/>
      <c r="AK122" s="312"/>
      <c r="AL122" s="312"/>
      <c r="AM122" s="312"/>
      <c r="AN122" s="312"/>
      <c r="AO122" s="312"/>
      <c r="AP122" s="312"/>
      <c r="AQ122" s="312"/>
      <c r="AR122" s="312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</row>
    <row r="123" spans="1:66" s="120" customFormat="1">
      <c r="A123" s="118"/>
      <c r="B123" s="6"/>
      <c r="C123" s="79"/>
      <c r="D123" s="79"/>
      <c r="E123" s="121"/>
      <c r="F123" s="88"/>
      <c r="G123" s="79"/>
      <c r="H123" s="88"/>
      <c r="J123" s="7"/>
      <c r="K123" s="7"/>
      <c r="L123" s="7"/>
      <c r="M123" s="315"/>
      <c r="N123" s="315"/>
      <c r="O123" s="315"/>
      <c r="P123" s="315"/>
      <c r="Q123" s="315"/>
      <c r="R123" s="315"/>
      <c r="S123" s="315"/>
      <c r="T123" s="315"/>
      <c r="U123" s="315"/>
      <c r="V123" s="312"/>
      <c r="W123" s="312"/>
      <c r="X123" s="312"/>
      <c r="Y123" s="312"/>
      <c r="Z123" s="312"/>
      <c r="AA123" s="312"/>
      <c r="AB123" s="312"/>
      <c r="AC123" s="312"/>
      <c r="AD123" s="312"/>
      <c r="AE123" s="312"/>
      <c r="AF123" s="312"/>
      <c r="AG123" s="312"/>
      <c r="AH123" s="312"/>
      <c r="AI123" s="312"/>
      <c r="AJ123" s="312"/>
      <c r="AK123" s="312"/>
      <c r="AL123" s="312"/>
      <c r="AM123" s="312"/>
      <c r="AN123" s="312"/>
      <c r="AO123" s="312"/>
      <c r="AP123" s="312"/>
      <c r="AQ123" s="312"/>
      <c r="AR123" s="312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</row>
    <row r="124" spans="1:66" s="120" customFormat="1">
      <c r="A124" s="118"/>
      <c r="B124" s="6"/>
      <c r="C124" s="79"/>
      <c r="D124" s="79"/>
      <c r="E124" s="121"/>
      <c r="F124" s="88"/>
      <c r="G124" s="79"/>
      <c r="H124" s="88"/>
      <c r="J124" s="7"/>
      <c r="K124" s="7"/>
      <c r="L124" s="7"/>
      <c r="M124" s="315"/>
      <c r="N124" s="315"/>
      <c r="O124" s="315"/>
      <c r="P124" s="315"/>
      <c r="Q124" s="315"/>
      <c r="R124" s="315"/>
      <c r="S124" s="315"/>
      <c r="T124" s="315"/>
      <c r="U124" s="315"/>
      <c r="V124" s="312"/>
      <c r="W124" s="312"/>
      <c r="X124" s="312"/>
      <c r="Y124" s="312"/>
      <c r="Z124" s="312"/>
      <c r="AA124" s="312"/>
      <c r="AB124" s="312"/>
      <c r="AC124" s="312"/>
      <c r="AD124" s="312"/>
      <c r="AE124" s="312"/>
      <c r="AF124" s="312"/>
      <c r="AG124" s="312"/>
      <c r="AH124" s="312"/>
      <c r="AI124" s="312"/>
      <c r="AJ124" s="312"/>
      <c r="AK124" s="312"/>
      <c r="AL124" s="312"/>
      <c r="AM124" s="312"/>
      <c r="AN124" s="312"/>
      <c r="AO124" s="312"/>
      <c r="AP124" s="312"/>
      <c r="AQ124" s="312"/>
      <c r="AR124" s="312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</row>
    <row r="125" spans="1:66" s="120" customFormat="1">
      <c r="A125" s="118"/>
      <c r="B125" s="6"/>
      <c r="C125" s="79"/>
      <c r="D125" s="79"/>
      <c r="E125" s="121"/>
      <c r="F125" s="88"/>
      <c r="G125" s="79"/>
      <c r="H125" s="88"/>
      <c r="J125" s="7"/>
      <c r="K125" s="7"/>
      <c r="L125" s="7"/>
      <c r="M125" s="315"/>
      <c r="N125" s="315"/>
      <c r="O125" s="315"/>
      <c r="P125" s="315"/>
      <c r="Q125" s="315"/>
      <c r="R125" s="315"/>
      <c r="S125" s="315"/>
      <c r="T125" s="315"/>
      <c r="U125" s="315"/>
      <c r="V125" s="312"/>
      <c r="W125" s="312"/>
      <c r="X125" s="312"/>
      <c r="Y125" s="312"/>
      <c r="Z125" s="312"/>
      <c r="AA125" s="312"/>
      <c r="AB125" s="312"/>
      <c r="AC125" s="312"/>
      <c r="AD125" s="312"/>
      <c r="AE125" s="312"/>
      <c r="AF125" s="312"/>
      <c r="AG125" s="312"/>
      <c r="AH125" s="312"/>
      <c r="AI125" s="312"/>
      <c r="AJ125" s="312"/>
      <c r="AK125" s="312"/>
      <c r="AL125" s="312"/>
      <c r="AM125" s="312"/>
      <c r="AN125" s="312"/>
      <c r="AO125" s="312"/>
      <c r="AP125" s="312"/>
      <c r="AQ125" s="312"/>
      <c r="AR125" s="312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</row>
    <row r="126" spans="1:66" s="120" customFormat="1">
      <c r="A126" s="118"/>
      <c r="B126" s="6"/>
      <c r="C126" s="79"/>
      <c r="D126" s="79"/>
      <c r="E126" s="121"/>
      <c r="F126" s="88"/>
      <c r="G126" s="79"/>
      <c r="H126" s="88"/>
      <c r="J126" s="7"/>
      <c r="K126" s="7"/>
      <c r="L126" s="7"/>
      <c r="M126" s="315"/>
      <c r="N126" s="315"/>
      <c r="O126" s="315"/>
      <c r="P126" s="315"/>
      <c r="Q126" s="315"/>
      <c r="R126" s="315"/>
      <c r="S126" s="315"/>
      <c r="T126" s="315"/>
      <c r="U126" s="315"/>
      <c r="V126" s="312"/>
      <c r="W126" s="312"/>
      <c r="X126" s="312"/>
      <c r="Y126" s="312"/>
      <c r="Z126" s="312"/>
      <c r="AA126" s="312"/>
      <c r="AB126" s="312"/>
      <c r="AC126" s="312"/>
      <c r="AD126" s="312"/>
      <c r="AE126" s="312"/>
      <c r="AF126" s="312"/>
      <c r="AG126" s="312"/>
      <c r="AH126" s="312"/>
      <c r="AI126" s="312"/>
      <c r="AJ126" s="312"/>
      <c r="AK126" s="312"/>
      <c r="AL126" s="312"/>
      <c r="AM126" s="312"/>
      <c r="AN126" s="312"/>
      <c r="AO126" s="312"/>
      <c r="AP126" s="312"/>
      <c r="AQ126" s="312"/>
      <c r="AR126" s="312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</row>
    <row r="127" spans="1:66" s="120" customFormat="1">
      <c r="A127" s="118"/>
      <c r="B127" s="6"/>
      <c r="C127" s="79"/>
      <c r="D127" s="79"/>
      <c r="E127" s="121"/>
      <c r="F127" s="88"/>
      <c r="G127" s="79"/>
      <c r="H127" s="88"/>
      <c r="J127" s="7"/>
      <c r="K127" s="7"/>
      <c r="L127" s="7"/>
      <c r="M127" s="315"/>
      <c r="N127" s="315"/>
      <c r="O127" s="315"/>
      <c r="P127" s="315"/>
      <c r="Q127" s="315"/>
      <c r="R127" s="315"/>
      <c r="S127" s="315"/>
      <c r="T127" s="315"/>
      <c r="U127" s="315"/>
      <c r="V127" s="312"/>
      <c r="W127" s="312"/>
      <c r="X127" s="312"/>
      <c r="Y127" s="312"/>
      <c r="Z127" s="312"/>
      <c r="AA127" s="312"/>
      <c r="AB127" s="312"/>
      <c r="AC127" s="312"/>
      <c r="AD127" s="312"/>
      <c r="AE127" s="312"/>
      <c r="AF127" s="312"/>
      <c r="AG127" s="312"/>
      <c r="AH127" s="312"/>
      <c r="AI127" s="312"/>
      <c r="AJ127" s="312"/>
      <c r="AK127" s="312"/>
      <c r="AL127" s="312"/>
      <c r="AM127" s="312"/>
      <c r="AN127" s="312"/>
      <c r="AO127" s="312"/>
      <c r="AP127" s="312"/>
      <c r="AQ127" s="312"/>
      <c r="AR127" s="312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</row>
    <row r="128" spans="1:66" s="120" customFormat="1">
      <c r="A128" s="118"/>
      <c r="B128" s="6"/>
      <c r="C128" s="79"/>
      <c r="D128" s="79"/>
      <c r="E128" s="121"/>
      <c r="F128" s="88"/>
      <c r="G128" s="79"/>
      <c r="H128" s="88"/>
      <c r="J128" s="7"/>
      <c r="K128" s="7"/>
      <c r="L128" s="7"/>
      <c r="M128" s="315"/>
      <c r="N128" s="315"/>
      <c r="O128" s="315"/>
      <c r="P128" s="315"/>
      <c r="Q128" s="315"/>
      <c r="R128" s="315"/>
      <c r="S128" s="315"/>
      <c r="T128" s="315"/>
      <c r="U128" s="315"/>
      <c r="V128" s="312"/>
      <c r="W128" s="312"/>
      <c r="X128" s="312"/>
      <c r="Y128" s="312"/>
      <c r="Z128" s="312"/>
      <c r="AA128" s="312"/>
      <c r="AB128" s="312"/>
      <c r="AC128" s="312"/>
      <c r="AD128" s="312"/>
      <c r="AE128" s="312"/>
      <c r="AF128" s="312"/>
      <c r="AG128" s="312"/>
      <c r="AH128" s="312"/>
      <c r="AI128" s="312"/>
      <c r="AJ128" s="312"/>
      <c r="AK128" s="312"/>
      <c r="AL128" s="312"/>
      <c r="AM128" s="312"/>
      <c r="AN128" s="312"/>
      <c r="AO128" s="312"/>
      <c r="AP128" s="312"/>
      <c r="AQ128" s="312"/>
      <c r="AR128" s="312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</row>
    <row r="129" spans="1:66" s="120" customFormat="1">
      <c r="A129" s="118"/>
      <c r="B129" s="6"/>
      <c r="C129" s="79"/>
      <c r="D129" s="79"/>
      <c r="E129" s="121"/>
      <c r="F129" s="88"/>
      <c r="G129" s="79"/>
      <c r="H129" s="88"/>
      <c r="J129" s="7"/>
      <c r="K129" s="7"/>
      <c r="L129" s="7"/>
      <c r="M129" s="315"/>
      <c r="N129" s="315"/>
      <c r="O129" s="315"/>
      <c r="P129" s="315"/>
      <c r="Q129" s="315"/>
      <c r="R129" s="315"/>
      <c r="S129" s="315"/>
      <c r="T129" s="315"/>
      <c r="U129" s="315"/>
      <c r="V129" s="312"/>
      <c r="W129" s="312"/>
      <c r="X129" s="312"/>
      <c r="Y129" s="312"/>
      <c r="Z129" s="312"/>
      <c r="AA129" s="312"/>
      <c r="AB129" s="312"/>
      <c r="AC129" s="312"/>
      <c r="AD129" s="312"/>
      <c r="AE129" s="312"/>
      <c r="AF129" s="312"/>
      <c r="AG129" s="312"/>
      <c r="AH129" s="312"/>
      <c r="AI129" s="312"/>
      <c r="AJ129" s="312"/>
      <c r="AK129" s="312"/>
      <c r="AL129" s="312"/>
      <c r="AM129" s="312"/>
      <c r="AN129" s="312"/>
      <c r="AO129" s="312"/>
      <c r="AP129" s="312"/>
      <c r="AQ129" s="312"/>
      <c r="AR129" s="312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</row>
    <row r="130" spans="1:66" s="120" customFormat="1">
      <c r="A130" s="118"/>
      <c r="B130" s="6"/>
      <c r="C130" s="79"/>
      <c r="D130" s="79"/>
      <c r="E130" s="121"/>
      <c r="F130" s="88"/>
      <c r="G130" s="79"/>
      <c r="H130" s="88"/>
      <c r="J130" s="7"/>
      <c r="K130" s="7"/>
      <c r="L130" s="7"/>
      <c r="M130" s="315"/>
      <c r="N130" s="315"/>
      <c r="O130" s="315"/>
      <c r="P130" s="315"/>
      <c r="Q130" s="315"/>
      <c r="R130" s="315"/>
      <c r="S130" s="315"/>
      <c r="T130" s="315"/>
      <c r="U130" s="315"/>
      <c r="V130" s="312"/>
      <c r="W130" s="312"/>
      <c r="X130" s="312"/>
      <c r="Y130" s="312"/>
      <c r="Z130" s="312"/>
      <c r="AA130" s="312"/>
      <c r="AB130" s="312"/>
      <c r="AC130" s="312"/>
      <c r="AD130" s="312"/>
      <c r="AE130" s="312"/>
      <c r="AF130" s="312"/>
      <c r="AG130" s="312"/>
      <c r="AH130" s="312"/>
      <c r="AI130" s="312"/>
      <c r="AJ130" s="312"/>
      <c r="AK130" s="312"/>
      <c r="AL130" s="312"/>
      <c r="AM130" s="312"/>
      <c r="AN130" s="312"/>
      <c r="AO130" s="312"/>
      <c r="AP130" s="312"/>
      <c r="AQ130" s="312"/>
      <c r="AR130" s="312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</row>
  </sheetData>
  <phoneticPr fontId="2" type="noConversion"/>
  <conditionalFormatting sqref="A72:L111 AS72:XFD111 J112">
    <cfRule type="expression" dxfId="17" priority="3">
      <formula>$G72&gt;2025</formula>
    </cfRule>
  </conditionalFormatting>
  <conditionalFormatting sqref="B2:H3 C71:H71">
    <cfRule type="expression" dxfId="16" priority="4">
      <formula>$C2="EPC"</formula>
    </cfRule>
    <cfRule type="expression" dxfId="15" priority="5">
      <formula>$C2="Boiler"</formula>
    </cfRule>
    <cfRule type="expression" dxfId="14" priority="6">
      <formula>$C2="BOP"</formula>
    </cfRule>
    <cfRule type="expression" dxfId="13" priority="7">
      <formula>$C2="HRSG"</formula>
    </cfRule>
  </conditionalFormatting>
  <dataValidations count="3">
    <dataValidation type="list" allowBlank="1" showInputMessage="1" showErrorMessage="1" sqref="H70" xr:uid="{3793E560-8BC3-4EC9-8ABE-EA43AC948378}">
      <formula1>"Bull, Base, Bear"</formula1>
    </dataValidation>
    <dataValidation type="list" allowBlank="1" showInputMessage="1" showErrorMessage="1" sqref="F70" xr:uid="{EDB5ED50-6E5B-41EC-86DD-6ADCA4CEB249}">
      <formula1>"전체, 국내, 해외, 중동, 일본, 동남아"</formula1>
    </dataValidation>
    <dataValidation type="list" allowBlank="1" showInputMessage="1" showErrorMessage="1" sqref="D70" xr:uid="{650E04DB-DD72-4575-AF83-677CC00B2737}">
      <formula1>"HRSG, Boiler, BOP, 기타, EPC"</formula1>
    </dataValidation>
  </dataValidation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66E1-4411-48BF-A0B8-8CB282A93D14}">
  <dimension ref="A1:AZ75"/>
  <sheetViews>
    <sheetView zoomScale="85" zoomScaleNormal="85" workbookViewId="0">
      <pane xSplit="6" ySplit="2" topLeftCell="G27" activePane="bottomRight" state="frozen"/>
      <selection pane="topRight" activeCell="G1" sqref="G1"/>
      <selection pane="bottomLeft" activeCell="A3" sqref="A3"/>
      <selection pane="bottomRight" activeCell="S30" sqref="S30:X34"/>
    </sheetView>
  </sheetViews>
  <sheetFormatPr defaultRowHeight="15" customHeight="1"/>
  <cols>
    <col min="1" max="1" width="1.69921875" style="6" customWidth="1"/>
    <col min="2" max="2" width="8.796875" style="79"/>
    <col min="3" max="3" width="5.296875" style="79" bestFit="1" customWidth="1"/>
    <col min="4" max="4" width="46.59765625" style="6" bestFit="1" customWidth="1"/>
    <col min="5" max="5" width="11.69921875" style="6" bestFit="1" customWidth="1"/>
    <col min="6" max="6" width="11.5" style="6" bestFit="1" customWidth="1"/>
    <col min="7" max="7" width="6.69921875" style="6" customWidth="1"/>
    <col min="8" max="12" width="8.69921875" style="6" customWidth="1"/>
    <col min="13" max="14" width="9.19921875" style="58" customWidth="1"/>
    <col min="15" max="15" width="51.59765625" style="58" bestFit="1" customWidth="1"/>
    <col min="16" max="17" width="1.69921875" style="118" customWidth="1"/>
    <col min="18" max="51" width="8.796875" style="6"/>
    <col min="52" max="52" width="8.796875" style="118"/>
    <col min="53" max="16384" width="8.796875" style="6"/>
  </cols>
  <sheetData>
    <row r="1" spans="1:52" s="122" customFormat="1" ht="15" customHeight="1">
      <c r="B1" s="248"/>
      <c r="C1" s="248"/>
      <c r="M1" s="333"/>
      <c r="N1" s="333"/>
      <c r="O1" s="333"/>
      <c r="P1" s="123"/>
      <c r="Q1" s="123"/>
      <c r="R1" s="322">
        <f t="shared" ref="R1:S1" si="0">2000+RIGHT(R2,2)</f>
        <v>2025</v>
      </c>
      <c r="S1" s="322">
        <f t="shared" si="0"/>
        <v>2025</v>
      </c>
      <c r="T1" s="322">
        <f>2000+RIGHT(T2,2)</f>
        <v>2026</v>
      </c>
      <c r="U1" s="322">
        <f t="shared" ref="U1:AY1" si="1">2000+RIGHT(U2,2)</f>
        <v>2026</v>
      </c>
      <c r="V1" s="322">
        <f t="shared" si="1"/>
        <v>2026</v>
      </c>
      <c r="W1" s="322">
        <f t="shared" si="1"/>
        <v>2026</v>
      </c>
      <c r="X1" s="322">
        <f t="shared" si="1"/>
        <v>2027</v>
      </c>
      <c r="Y1" s="322">
        <f t="shared" si="1"/>
        <v>2027</v>
      </c>
      <c r="Z1" s="322">
        <f t="shared" si="1"/>
        <v>2027</v>
      </c>
      <c r="AA1" s="322">
        <f t="shared" si="1"/>
        <v>2027</v>
      </c>
      <c r="AB1" s="322">
        <f t="shared" si="1"/>
        <v>2028</v>
      </c>
      <c r="AC1" s="322">
        <f t="shared" si="1"/>
        <v>2028</v>
      </c>
      <c r="AD1" s="322">
        <f t="shared" si="1"/>
        <v>2028</v>
      </c>
      <c r="AE1" s="322">
        <f t="shared" si="1"/>
        <v>2028</v>
      </c>
      <c r="AF1" s="322">
        <f t="shared" si="1"/>
        <v>2029</v>
      </c>
      <c r="AG1" s="322">
        <f t="shared" si="1"/>
        <v>2029</v>
      </c>
      <c r="AH1" s="322">
        <f t="shared" si="1"/>
        <v>2029</v>
      </c>
      <c r="AI1" s="322">
        <f t="shared" si="1"/>
        <v>2029</v>
      </c>
      <c r="AJ1" s="322">
        <f t="shared" si="1"/>
        <v>2030</v>
      </c>
      <c r="AK1" s="322">
        <f t="shared" si="1"/>
        <v>2030</v>
      </c>
      <c r="AL1" s="322">
        <f t="shared" si="1"/>
        <v>2030</v>
      </c>
      <c r="AM1" s="322">
        <f t="shared" si="1"/>
        <v>2030</v>
      </c>
      <c r="AN1" s="322">
        <f t="shared" si="1"/>
        <v>2031</v>
      </c>
      <c r="AO1" s="322">
        <f t="shared" si="1"/>
        <v>2031</v>
      </c>
      <c r="AP1" s="322">
        <f t="shared" si="1"/>
        <v>2031</v>
      </c>
      <c r="AQ1" s="322">
        <f t="shared" si="1"/>
        <v>2031</v>
      </c>
      <c r="AR1" s="322">
        <f t="shared" si="1"/>
        <v>2032</v>
      </c>
      <c r="AS1" s="322">
        <f t="shared" si="1"/>
        <v>2032</v>
      </c>
      <c r="AT1" s="322">
        <f t="shared" si="1"/>
        <v>2032</v>
      </c>
      <c r="AU1" s="322">
        <f t="shared" si="1"/>
        <v>2032</v>
      </c>
      <c r="AV1" s="322">
        <f t="shared" si="1"/>
        <v>2033</v>
      </c>
      <c r="AW1" s="322">
        <f t="shared" si="1"/>
        <v>2033</v>
      </c>
      <c r="AX1" s="322">
        <f t="shared" si="1"/>
        <v>2033</v>
      </c>
      <c r="AY1" s="322">
        <f t="shared" si="1"/>
        <v>2033</v>
      </c>
      <c r="AZ1" s="123"/>
    </row>
    <row r="2" spans="1:52" s="122" customFormat="1" ht="15" customHeight="1">
      <c r="B2" s="126"/>
      <c r="C2" s="126" t="s">
        <v>521</v>
      </c>
      <c r="D2" s="126" t="s">
        <v>522</v>
      </c>
      <c r="E2" s="126" t="s">
        <v>705</v>
      </c>
      <c r="F2" s="126" t="s">
        <v>520</v>
      </c>
      <c r="G2" s="126" t="s">
        <v>704</v>
      </c>
      <c r="H2" s="125" t="s">
        <v>519</v>
      </c>
      <c r="I2" s="125" t="s">
        <v>518</v>
      </c>
      <c r="J2" s="126" t="s">
        <v>530</v>
      </c>
      <c r="K2" s="126" t="s">
        <v>529</v>
      </c>
      <c r="L2" s="126" t="s">
        <v>517</v>
      </c>
      <c r="M2" s="124" t="s">
        <v>983</v>
      </c>
      <c r="N2" s="124" t="s">
        <v>1001</v>
      </c>
      <c r="O2" s="124" t="s">
        <v>1547</v>
      </c>
      <c r="P2" s="123"/>
      <c r="Q2" s="123"/>
      <c r="R2" s="310" t="s">
        <v>990</v>
      </c>
      <c r="S2" s="310" t="s">
        <v>982</v>
      </c>
      <c r="T2" s="310" t="s">
        <v>953</v>
      </c>
      <c r="U2" s="310" t="s">
        <v>939</v>
      </c>
      <c r="V2" s="310" t="s">
        <v>954</v>
      </c>
      <c r="W2" s="310" t="s">
        <v>940</v>
      </c>
      <c r="X2" s="310" t="s">
        <v>943</v>
      </c>
      <c r="Y2" s="310" t="s">
        <v>944</v>
      </c>
      <c r="Z2" s="310" t="s">
        <v>941</v>
      </c>
      <c r="AA2" s="310" t="s">
        <v>942</v>
      </c>
      <c r="AB2" s="310" t="s">
        <v>945</v>
      </c>
      <c r="AC2" s="310" t="s">
        <v>946</v>
      </c>
      <c r="AD2" s="310" t="s">
        <v>955</v>
      </c>
      <c r="AE2" s="310" t="s">
        <v>949</v>
      </c>
      <c r="AF2" s="310" t="s">
        <v>947</v>
      </c>
      <c r="AG2" s="310" t="s">
        <v>956</v>
      </c>
      <c r="AH2" s="310" t="s">
        <v>957</v>
      </c>
      <c r="AI2" s="310" t="s">
        <v>958</v>
      </c>
      <c r="AJ2" s="310" t="s">
        <v>960</v>
      </c>
      <c r="AK2" s="310" t="s">
        <v>961</v>
      </c>
      <c r="AL2" s="310" t="s">
        <v>962</v>
      </c>
      <c r="AM2" s="310" t="s">
        <v>963</v>
      </c>
      <c r="AN2" s="310" t="s">
        <v>964</v>
      </c>
      <c r="AO2" s="310" t="s">
        <v>965</v>
      </c>
      <c r="AP2" s="310" t="s">
        <v>966</v>
      </c>
      <c r="AQ2" s="310" t="s">
        <v>967</v>
      </c>
      <c r="AR2" s="310" t="s">
        <v>968</v>
      </c>
      <c r="AS2" s="310" t="s">
        <v>969</v>
      </c>
      <c r="AT2" s="310" t="s">
        <v>970</v>
      </c>
      <c r="AU2" s="310" t="s">
        <v>971</v>
      </c>
      <c r="AV2" s="310" t="s">
        <v>972</v>
      </c>
      <c r="AW2" s="310" t="s">
        <v>973</v>
      </c>
      <c r="AX2" s="310" t="s">
        <v>974</v>
      </c>
      <c r="AY2" s="310" t="s">
        <v>975</v>
      </c>
      <c r="AZ2" s="123"/>
    </row>
    <row r="3" spans="1:52" ht="15" customHeight="1">
      <c r="B3" s="165"/>
      <c r="C3" s="165"/>
      <c r="D3" s="165"/>
      <c r="E3" s="165"/>
      <c r="F3" s="165"/>
      <c r="G3" s="165"/>
      <c r="H3" s="164"/>
      <c r="I3" s="164"/>
      <c r="J3" s="165"/>
      <c r="K3" s="164"/>
      <c r="L3" s="165"/>
      <c r="M3" s="306"/>
      <c r="N3" s="306"/>
      <c r="O3" s="306"/>
      <c r="AZ3" s="118" t="s">
        <v>512</v>
      </c>
    </row>
    <row r="4" spans="1:52" s="363" customFormat="1" ht="15" customHeight="1">
      <c r="A4" s="281" t="s">
        <v>423</v>
      </c>
      <c r="B4" s="360" t="s">
        <v>989</v>
      </c>
      <c r="C4" s="360"/>
      <c r="D4" s="360"/>
      <c r="E4" s="360"/>
      <c r="F4" s="360"/>
      <c r="G4" s="360"/>
      <c r="H4" s="361"/>
      <c r="I4" s="361"/>
      <c r="J4" s="360"/>
      <c r="K4" s="361"/>
      <c r="L4" s="360"/>
      <c r="M4" s="362"/>
      <c r="N4" s="362"/>
      <c r="O4" s="362"/>
      <c r="AZ4" s="364" t="s">
        <v>959</v>
      </c>
    </row>
    <row r="5" spans="1:52" s="62" customFormat="1" ht="15" customHeight="1">
      <c r="B5" s="129"/>
      <c r="C5" s="129"/>
      <c r="D5" s="491" t="s">
        <v>979</v>
      </c>
      <c r="M5" s="63"/>
      <c r="N5" s="63"/>
      <c r="O5" s="63"/>
      <c r="P5" s="277"/>
      <c r="Q5" s="277"/>
      <c r="R5" s="320">
        <f t="shared" ref="R5:AA7" si="2">SUMIF($D$9:$D$74,$D5,R$9:R$74)</f>
        <v>0</v>
      </c>
      <c r="S5" s="320">
        <f t="shared" si="2"/>
        <v>0</v>
      </c>
      <c r="T5" s="320">
        <f t="shared" si="2"/>
        <v>2855.6484375</v>
      </c>
      <c r="U5" s="320">
        <f t="shared" si="2"/>
        <v>6262.9653354919992</v>
      </c>
      <c r="V5" s="320">
        <f t="shared" si="2"/>
        <v>12657.548147992002</v>
      </c>
      <c r="W5" s="320">
        <f t="shared" si="2"/>
        <v>15679.060647991999</v>
      </c>
      <c r="X5" s="320">
        <f t="shared" si="2"/>
        <v>33616.546904271105</v>
      </c>
      <c r="Y5" s="320">
        <f t="shared" si="2"/>
        <v>98176.354388030246</v>
      </c>
      <c r="Z5" s="320">
        <f t="shared" si="2"/>
        <v>149295.12385484268</v>
      </c>
      <c r="AA5" s="320">
        <f t="shared" si="2"/>
        <v>162662.63382001835</v>
      </c>
      <c r="AB5" s="320">
        <f t="shared" ref="AB5:AK7" si="3">SUMIF($D$9:$D$74,$D5,AB$9:AB$74)</f>
        <v>178272.47167885641</v>
      </c>
      <c r="AC5" s="320">
        <f t="shared" si="3"/>
        <v>205679.56167539756</v>
      </c>
      <c r="AD5" s="320">
        <f t="shared" si="3"/>
        <v>244598.40800281128</v>
      </c>
      <c r="AE5" s="320">
        <f t="shared" si="3"/>
        <v>184629.32316485772</v>
      </c>
      <c r="AF5" s="320">
        <f t="shared" si="3"/>
        <v>148802.31547357311</v>
      </c>
      <c r="AG5" s="320">
        <f t="shared" si="3"/>
        <v>130752.12076736297</v>
      </c>
      <c r="AH5" s="320">
        <f t="shared" si="3"/>
        <v>114421.19877060967</v>
      </c>
      <c r="AI5" s="320">
        <f t="shared" si="3"/>
        <v>76511.518646765704</v>
      </c>
      <c r="AJ5" s="320">
        <f t="shared" si="3"/>
        <v>27158.6603423657</v>
      </c>
      <c r="AK5" s="320">
        <f t="shared" si="3"/>
        <v>27400.866728033725</v>
      </c>
      <c r="AL5" s="320">
        <f t="shared" ref="AL5:AY7" si="4">SUMIF($D$9:$D$74,$D5,AL$9:AL$74)</f>
        <v>23978.366728033714</v>
      </c>
      <c r="AM5" s="320">
        <f t="shared" si="4"/>
        <v>20494.272773053708</v>
      </c>
      <c r="AN5" s="320">
        <f t="shared" si="4"/>
        <v>20494.272773053715</v>
      </c>
      <c r="AO5" s="320">
        <f t="shared" si="4"/>
        <v>15232.339643149717</v>
      </c>
      <c r="AP5" s="320">
        <f t="shared" si="4"/>
        <v>17279.728036006862</v>
      </c>
      <c r="AQ5" s="320">
        <f t="shared" si="4"/>
        <v>18768.954393526845</v>
      </c>
      <c r="AR5" s="320">
        <f t="shared" si="4"/>
        <v>21519.177607812577</v>
      </c>
      <c r="AS5" s="320">
        <f t="shared" si="4"/>
        <v>15645.006975372577</v>
      </c>
      <c r="AT5" s="320">
        <f t="shared" si="4"/>
        <v>6172.0159039439968</v>
      </c>
      <c r="AU5" s="320">
        <f t="shared" si="4"/>
        <v>7661.2422614640009</v>
      </c>
      <c r="AV5" s="320">
        <f t="shared" si="4"/>
        <v>7661.2422614640009</v>
      </c>
      <c r="AW5" s="320">
        <f t="shared" si="4"/>
        <v>3640.3310961600032</v>
      </c>
      <c r="AX5" s="320">
        <f t="shared" si="4"/>
        <v>3640.3310961599959</v>
      </c>
      <c r="AY5" s="320">
        <f t="shared" si="4"/>
        <v>5129.5574536800004</v>
      </c>
      <c r="AZ5" s="277"/>
    </row>
    <row r="6" spans="1:52" s="62" customFormat="1" ht="15" customHeight="1">
      <c r="B6" s="129"/>
      <c r="C6" s="129"/>
      <c r="D6" s="492" t="s">
        <v>981</v>
      </c>
      <c r="M6" s="63"/>
      <c r="N6" s="63"/>
      <c r="O6" s="63"/>
      <c r="P6" s="277"/>
      <c r="Q6" s="277"/>
      <c r="R6" s="320">
        <f t="shared" si="2"/>
        <v>0</v>
      </c>
      <c r="S6" s="320">
        <f t="shared" si="2"/>
        <v>0</v>
      </c>
      <c r="T6" s="320">
        <f t="shared" si="2"/>
        <v>0</v>
      </c>
      <c r="U6" s="320">
        <f t="shared" si="2"/>
        <v>3407.3168979919997</v>
      </c>
      <c r="V6" s="320">
        <f t="shared" si="2"/>
        <v>5341.9543979919999</v>
      </c>
      <c r="W6" s="320">
        <f t="shared" si="2"/>
        <v>8363.4668979920007</v>
      </c>
      <c r="X6" s="320">
        <f t="shared" si="2"/>
        <v>25113.773466771108</v>
      </c>
      <c r="Y6" s="320">
        <f t="shared" si="2"/>
        <v>89673.58095053026</v>
      </c>
      <c r="Z6" s="320">
        <f t="shared" si="2"/>
        <v>144385.97541734268</v>
      </c>
      <c r="AA6" s="320">
        <f t="shared" si="2"/>
        <v>154897.83694501835</v>
      </c>
      <c r="AB6" s="320">
        <f t="shared" si="3"/>
        <v>171887.37011635641</v>
      </c>
      <c r="AC6" s="320">
        <f t="shared" si="3"/>
        <v>188080.12646701053</v>
      </c>
      <c r="AD6" s="320">
        <f t="shared" si="3"/>
        <v>203869.96411552359</v>
      </c>
      <c r="AE6" s="320">
        <f t="shared" si="3"/>
        <v>140936.22897602079</v>
      </c>
      <c r="AF6" s="320">
        <f t="shared" si="3"/>
        <v>108305.07098318698</v>
      </c>
      <c r="AG6" s="320">
        <f t="shared" si="3"/>
        <v>94559.489522596501</v>
      </c>
      <c r="AH6" s="320">
        <f t="shared" si="3"/>
        <v>78228.567525843217</v>
      </c>
      <c r="AI6" s="320">
        <f t="shared" si="3"/>
        <v>55207.359381273403</v>
      </c>
      <c r="AJ6" s="320">
        <f t="shared" si="3"/>
        <v>23629.207217365707</v>
      </c>
      <c r="AK6" s="320">
        <f t="shared" si="3"/>
        <v>22427.546415533721</v>
      </c>
      <c r="AL6" s="320">
        <f t="shared" si="4"/>
        <v>19005.046415533714</v>
      </c>
      <c r="AM6" s="320">
        <f t="shared" si="4"/>
        <v>20494.272773053708</v>
      </c>
      <c r="AN6" s="320">
        <f t="shared" si="4"/>
        <v>20494.272773053715</v>
      </c>
      <c r="AO6" s="320">
        <f t="shared" si="4"/>
        <v>15232.339643149717</v>
      </c>
      <c r="AP6" s="320">
        <f t="shared" si="4"/>
        <v>17279.728036006862</v>
      </c>
      <c r="AQ6" s="320">
        <f t="shared" si="4"/>
        <v>18768.954393526845</v>
      </c>
      <c r="AR6" s="320">
        <f t="shared" si="4"/>
        <v>21519.177607812577</v>
      </c>
      <c r="AS6" s="320">
        <f t="shared" si="4"/>
        <v>15645.006975372577</v>
      </c>
      <c r="AT6" s="320">
        <f t="shared" si="4"/>
        <v>6172.0159039439968</v>
      </c>
      <c r="AU6" s="320">
        <f t="shared" si="4"/>
        <v>7661.2422614640009</v>
      </c>
      <c r="AV6" s="320">
        <f t="shared" si="4"/>
        <v>7661.2422614640009</v>
      </c>
      <c r="AW6" s="320">
        <f t="shared" si="4"/>
        <v>3640.3310961600032</v>
      </c>
      <c r="AX6" s="320">
        <f t="shared" si="4"/>
        <v>3640.3310961599959</v>
      </c>
      <c r="AY6" s="320">
        <f t="shared" si="4"/>
        <v>5129.5574536800004</v>
      </c>
      <c r="AZ6" s="277"/>
    </row>
    <row r="7" spans="1:52" s="62" customFormat="1" ht="15" customHeight="1">
      <c r="B7" s="129"/>
      <c r="C7" s="129"/>
      <c r="D7" s="493" t="s">
        <v>980</v>
      </c>
      <c r="M7" s="63"/>
      <c r="N7" s="63"/>
      <c r="O7" s="63"/>
      <c r="P7" s="277"/>
      <c r="Q7" s="277"/>
      <c r="R7" s="320">
        <f t="shared" si="2"/>
        <v>0</v>
      </c>
      <c r="S7" s="320">
        <f t="shared" si="2"/>
        <v>0</v>
      </c>
      <c r="T7" s="320">
        <f t="shared" si="2"/>
        <v>0</v>
      </c>
      <c r="U7" s="320">
        <f t="shared" si="2"/>
        <v>1934.6374999999998</v>
      </c>
      <c r="V7" s="320">
        <f t="shared" si="2"/>
        <v>3869.2749999999996</v>
      </c>
      <c r="W7" s="320">
        <f t="shared" si="2"/>
        <v>6890.7875000000004</v>
      </c>
      <c r="X7" s="320">
        <f t="shared" si="2"/>
        <v>16776.697034389552</v>
      </c>
      <c r="Y7" s="320">
        <f t="shared" si="2"/>
        <v>45851.120430324445</v>
      </c>
      <c r="Z7" s="320">
        <f t="shared" si="2"/>
        <v>68469.213627532212</v>
      </c>
      <c r="AA7" s="320">
        <f t="shared" si="2"/>
        <v>74836.041115649074</v>
      </c>
      <c r="AB7" s="320">
        <f t="shared" si="3"/>
        <v>90511.375949947804</v>
      </c>
      <c r="AC7" s="320">
        <f t="shared" si="3"/>
        <v>90329.909281765969</v>
      </c>
      <c r="AD7" s="320">
        <f t="shared" si="3"/>
        <v>77075.628394805026</v>
      </c>
      <c r="AE7" s="320">
        <f t="shared" si="3"/>
        <v>46962.30575</v>
      </c>
      <c r="AF7" s="320">
        <f t="shared" si="3"/>
        <v>31540.996999999988</v>
      </c>
      <c r="AG7" s="320">
        <f t="shared" si="3"/>
        <v>17461.569318181817</v>
      </c>
      <c r="AH7" s="320">
        <f t="shared" si="3"/>
        <v>0</v>
      </c>
      <c r="AI7" s="320">
        <f t="shared" si="3"/>
        <v>0</v>
      </c>
      <c r="AJ7" s="320">
        <f t="shared" si="3"/>
        <v>0</v>
      </c>
      <c r="AK7" s="320">
        <f t="shared" si="3"/>
        <v>0</v>
      </c>
      <c r="AL7" s="320">
        <f t="shared" si="4"/>
        <v>0</v>
      </c>
      <c r="AM7" s="320">
        <f t="shared" si="4"/>
        <v>0</v>
      </c>
      <c r="AN7" s="320">
        <f t="shared" si="4"/>
        <v>0</v>
      </c>
      <c r="AO7" s="320">
        <f t="shared" si="4"/>
        <v>0</v>
      </c>
      <c r="AP7" s="320">
        <f t="shared" si="4"/>
        <v>0</v>
      </c>
      <c r="AQ7" s="320">
        <f t="shared" si="4"/>
        <v>0</v>
      </c>
      <c r="AR7" s="320">
        <f t="shared" si="4"/>
        <v>0</v>
      </c>
      <c r="AS7" s="320">
        <f t="shared" si="4"/>
        <v>0</v>
      </c>
      <c r="AT7" s="320">
        <f t="shared" si="4"/>
        <v>0</v>
      </c>
      <c r="AU7" s="320">
        <f t="shared" si="4"/>
        <v>0</v>
      </c>
      <c r="AV7" s="320">
        <f t="shared" si="4"/>
        <v>0</v>
      </c>
      <c r="AW7" s="320">
        <f t="shared" si="4"/>
        <v>0</v>
      </c>
      <c r="AX7" s="320">
        <f t="shared" si="4"/>
        <v>0</v>
      </c>
      <c r="AY7" s="320">
        <f t="shared" si="4"/>
        <v>0</v>
      </c>
      <c r="AZ7" s="277"/>
    </row>
    <row r="9" spans="1:52" s="166" customFormat="1" ht="15" customHeight="1">
      <c r="A9" s="6" t="s">
        <v>423</v>
      </c>
      <c r="B9" s="169" t="s">
        <v>430</v>
      </c>
      <c r="C9" s="168"/>
      <c r="D9" s="168"/>
      <c r="E9" s="168"/>
      <c r="F9" s="168"/>
      <c r="G9" s="168"/>
      <c r="H9" s="167"/>
      <c r="I9" s="167"/>
      <c r="J9" s="168"/>
      <c r="K9" s="167"/>
      <c r="L9" s="168"/>
      <c r="M9" s="334"/>
      <c r="N9" s="334"/>
      <c r="O9" s="334"/>
      <c r="P9" s="282"/>
      <c r="Q9" s="282"/>
      <c r="AZ9" s="282" t="s">
        <v>959</v>
      </c>
    </row>
    <row r="10" spans="1:52" ht="15" customHeight="1" thickBot="1">
      <c r="B10" s="165"/>
      <c r="C10" s="165"/>
      <c r="D10" s="165"/>
      <c r="E10" s="165"/>
      <c r="F10" s="165"/>
      <c r="G10" s="165"/>
      <c r="H10" s="164"/>
      <c r="I10" s="164"/>
      <c r="J10" s="165"/>
      <c r="K10" s="164"/>
      <c r="L10" s="165"/>
      <c r="M10" s="306"/>
      <c r="N10" s="306"/>
      <c r="O10" s="306"/>
      <c r="AZ10" s="118" t="s">
        <v>959</v>
      </c>
    </row>
    <row r="11" spans="1:52" customFormat="1" ht="15" customHeight="1">
      <c r="B11" s="163" t="s">
        <v>680</v>
      </c>
      <c r="C11" s="135" t="s">
        <v>430</v>
      </c>
      <c r="D11" s="135" t="s">
        <v>703</v>
      </c>
      <c r="E11" s="135">
        <v>500</v>
      </c>
      <c r="F11" s="298">
        <v>44850</v>
      </c>
      <c r="G11" s="6"/>
      <c r="M11" s="121"/>
      <c r="N11" s="121"/>
      <c r="O11" s="121"/>
      <c r="AZ11" s="336" t="s">
        <v>959</v>
      </c>
    </row>
    <row r="12" spans="1:52" customFormat="1" ht="15" customHeight="1">
      <c r="B12" s="158" t="s">
        <v>680</v>
      </c>
      <c r="C12" s="139" t="s">
        <v>702</v>
      </c>
      <c r="D12" s="139" t="s">
        <v>701</v>
      </c>
      <c r="E12" s="139">
        <v>500</v>
      </c>
      <c r="F12" s="299">
        <v>42100</v>
      </c>
      <c r="G12" s="6"/>
      <c r="M12" s="121"/>
      <c r="N12" s="121"/>
      <c r="O12" s="121"/>
      <c r="AZ12" s="336" t="s">
        <v>959</v>
      </c>
    </row>
    <row r="13" spans="1:52" customFormat="1" ht="15" customHeight="1">
      <c r="B13" s="158" t="s">
        <v>680</v>
      </c>
      <c r="C13" s="139" t="s">
        <v>430</v>
      </c>
      <c r="D13" s="139" t="s">
        <v>700</v>
      </c>
      <c r="E13" s="139">
        <v>1120</v>
      </c>
      <c r="F13" s="299">
        <v>136900</v>
      </c>
      <c r="G13" s="6"/>
      <c r="M13" s="121"/>
      <c r="N13" s="121"/>
      <c r="O13" s="121"/>
      <c r="AZ13" s="336" t="s">
        <v>959</v>
      </c>
    </row>
    <row r="14" spans="1:52" customFormat="1" ht="15" customHeight="1" thickBot="1">
      <c r="B14" s="84" t="s">
        <v>680</v>
      </c>
      <c r="C14" s="131" t="s">
        <v>430</v>
      </c>
      <c r="D14" s="131" t="s">
        <v>699</v>
      </c>
      <c r="E14" s="131">
        <v>141</v>
      </c>
      <c r="F14" s="300">
        <v>180994</v>
      </c>
      <c r="G14" s="6"/>
      <c r="M14" s="121"/>
      <c r="N14" s="121"/>
      <c r="O14" s="121"/>
      <c r="AZ14" s="336" t="s">
        <v>959</v>
      </c>
    </row>
    <row r="15" spans="1:52" customFormat="1" ht="15" customHeight="1">
      <c r="B15" s="79"/>
      <c r="C15" s="79"/>
      <c r="D15" s="79"/>
      <c r="E15" s="79"/>
      <c r="F15" s="79"/>
      <c r="G15" s="6"/>
      <c r="M15" s="121"/>
      <c r="N15" s="121"/>
      <c r="O15" s="770" t="s">
        <v>1579</v>
      </c>
      <c r="AZ15" s="336" t="s">
        <v>959</v>
      </c>
    </row>
    <row r="16" spans="1:52" customFormat="1" ht="15" customHeight="1">
      <c r="A16" t="str">
        <f>IF(F16=AZ16,"","F")</f>
        <v/>
      </c>
      <c r="B16" s="394" t="s">
        <v>527</v>
      </c>
      <c r="C16" s="394" t="s">
        <v>524</v>
      </c>
      <c r="D16" s="395" t="s">
        <v>950</v>
      </c>
      <c r="E16" s="396">
        <v>500</v>
      </c>
      <c r="F16" s="397">
        <f t="shared" ref="F16:F21" si="5">E16*G16</f>
        <v>43475</v>
      </c>
      <c r="G16" s="394">
        <f>SUM(F11:F12)/SUM(E11:E12)</f>
        <v>86.95</v>
      </c>
      <c r="H16" s="394" t="s">
        <v>61</v>
      </c>
      <c r="I16" s="394">
        <f>2000+RIGHT(H16,2)</f>
        <v>2025</v>
      </c>
      <c r="J16" s="394" t="s">
        <v>449</v>
      </c>
      <c r="K16" s="394" t="s">
        <v>448</v>
      </c>
      <c r="L16" s="394" t="s">
        <v>438</v>
      </c>
      <c r="M16" s="397">
        <f>LEFT(L16)-LEFT(K16)+(RIGHT(L16,2)-RIGHT(K16,2))*4+1</f>
        <v>11</v>
      </c>
      <c r="N16" s="397">
        <v>3</v>
      </c>
      <c r="O16" s="791" t="s">
        <v>1580</v>
      </c>
      <c r="P16" s="101"/>
      <c r="Q16" s="101"/>
      <c r="R16" s="489">
        <f>IF(R$2=$K16,$F16*CHOOSE($N16,'기존수주 매출'!$O$33,'기존수주 매출'!$O$35,'기존수주 매출'!$O$37,'기존수주 매출'!$O$39),0)</f>
        <v>0</v>
      </c>
      <c r="S16" s="489">
        <f>IF(S$2=$K16,$F16*CHOOSE($N16,'기존수주 매출'!$O$33,'기존수주 매출'!$O$35,'기존수주 매출'!$O$37,'기존수주 매출'!$O$39),0)</f>
        <v>0</v>
      </c>
      <c r="T16" s="489">
        <f>IF(T$2=$K16,$F16*CHOOSE($N16,'기존수주 매출'!$O$33,'기존수주 매출'!$O$35,'기존수주 매출'!$O$37,'기존수주 매출'!$O$39),0)</f>
        <v>0</v>
      </c>
      <c r="U16" s="489">
        <f>IF(U$2=$K16,$F16*CHOOSE($N16,'기존수주 매출'!$O$33,'기존수주 매출'!$O$35,'기존수주 매출'!$O$37,'기존수주 매출'!$O$39),0)</f>
        <v>1934.6374999999998</v>
      </c>
      <c r="V16" s="489">
        <f>$F16*'기존수주 매출'!P37</f>
        <v>1934.6374999999998</v>
      </c>
      <c r="W16" s="489">
        <f>$F16*'기존수주 매출'!Q37</f>
        <v>4956.1500000000005</v>
      </c>
      <c r="X16" s="489">
        <f>$F16*'기존수주 매출'!R37</f>
        <v>4956.1499999999996</v>
      </c>
      <c r="Y16" s="489">
        <f>$F16*'기존수주 매출'!S37</f>
        <v>5760.4375</v>
      </c>
      <c r="Z16" s="489">
        <f>$F16*'기존수주 매출'!T37</f>
        <v>5760.4374999999982</v>
      </c>
      <c r="AA16" s="489">
        <f>$F16*'기존수주 매출'!U37</f>
        <v>3325.8375000000005</v>
      </c>
      <c r="AB16" s="489">
        <f>$F16*'기존수주 매출'!V37</f>
        <v>3325.8375000000005</v>
      </c>
      <c r="AC16" s="489">
        <f>$F16*'기존수주 매출'!W37</f>
        <v>2391.1250000000023</v>
      </c>
      <c r="AD16" s="489">
        <f>$F16*'기존수주 매출'!X37</f>
        <v>2391.1249999999973</v>
      </c>
      <c r="AE16" s="489">
        <f>$F16*'기존수주 매출'!Y37</f>
        <v>3369.3125000000005</v>
      </c>
      <c r="AF16" s="489">
        <f>$F16*'기존수주 매출'!Z37</f>
        <v>3369.3125000000005</v>
      </c>
      <c r="AG16" s="489">
        <f>$F16*'기존수주 매출'!AA37</f>
        <v>0</v>
      </c>
      <c r="AH16" s="489">
        <f>$F16*'기존수주 매출'!AB37</f>
        <v>0</v>
      </c>
      <c r="AI16" s="489">
        <f>$F16*'기존수주 매출'!AC37</f>
        <v>0</v>
      </c>
      <c r="AJ16" s="489">
        <f>$F16*'기존수주 매출'!AD37</f>
        <v>0</v>
      </c>
      <c r="AK16" s="489">
        <f>$F16*'기존수주 매출'!AE37</f>
        <v>0</v>
      </c>
      <c r="AL16" s="489">
        <f>$F16*'기존수주 매출'!AF37</f>
        <v>0</v>
      </c>
      <c r="AM16" s="489">
        <f>$F16*'기존수주 매출'!AG37</f>
        <v>0</v>
      </c>
      <c r="AN16" s="489">
        <f>$F16*'기존수주 매출'!AH37</f>
        <v>0</v>
      </c>
      <c r="AO16" s="489">
        <f>$F16*'기존수주 매출'!AI37</f>
        <v>0</v>
      </c>
      <c r="AP16" s="489">
        <f>$F16*'기존수주 매출'!AJ37</f>
        <v>0</v>
      </c>
      <c r="AQ16" s="489">
        <f>$F16*'기존수주 매출'!AK37</f>
        <v>0</v>
      </c>
      <c r="AR16" s="489">
        <f>$F16*'기존수주 매출'!AL37</f>
        <v>0</v>
      </c>
      <c r="AS16" s="489">
        <f>$F16*'기존수주 매출'!AM37</f>
        <v>0</v>
      </c>
      <c r="AT16" s="489">
        <f>$F16*'기존수주 매출'!AN37</f>
        <v>0</v>
      </c>
      <c r="AU16" s="489">
        <f>$F16*'기존수주 매출'!AO37</f>
        <v>0</v>
      </c>
      <c r="AV16" s="489">
        <f>$F16*'기존수주 매출'!AP37</f>
        <v>0</v>
      </c>
      <c r="AW16" s="489">
        <f>$F16*'기존수주 매출'!AQ37</f>
        <v>0</v>
      </c>
      <c r="AX16" s="489">
        <f>$F16*'기존수주 매출'!AR37</f>
        <v>0</v>
      </c>
      <c r="AY16" s="489">
        <f>$F16*'기존수주 매출'!AS37</f>
        <v>0</v>
      </c>
      <c r="AZ16" s="311">
        <f>SUM(R16:AY16)</f>
        <v>43475</v>
      </c>
    </row>
    <row r="17" spans="1:52" customFormat="1" ht="15" customHeight="1">
      <c r="A17" t="str">
        <f t="shared" ref="A17:A21" si="6">IF(F17=AZ17,"","F")</f>
        <v/>
      </c>
      <c r="B17" s="79" t="s">
        <v>527</v>
      </c>
      <c r="C17" s="79" t="s">
        <v>430</v>
      </c>
      <c r="D17" s="6" t="s">
        <v>698</v>
      </c>
      <c r="E17" s="6">
        <v>500</v>
      </c>
      <c r="F17" s="121">
        <f t="shared" si="5"/>
        <v>43475</v>
      </c>
      <c r="G17" s="79">
        <f>G16</f>
        <v>86.95</v>
      </c>
      <c r="H17" s="79" t="s">
        <v>449</v>
      </c>
      <c r="I17" s="79">
        <f t="shared" ref="I17:I21" si="7">2000+RIGHT(H17,2)</f>
        <v>2026</v>
      </c>
      <c r="J17" s="79" t="s">
        <v>448</v>
      </c>
      <c r="K17" s="79" t="s">
        <v>447</v>
      </c>
      <c r="L17" s="79" t="s">
        <v>438</v>
      </c>
      <c r="M17" s="121">
        <f t="shared" ref="M17:M21" si="8">LEFT(L17)-LEFT(K17)+(RIGHT(L17,2)-RIGHT(K17,2))*4+1</f>
        <v>10</v>
      </c>
      <c r="N17" s="121">
        <v>3</v>
      </c>
      <c r="O17" s="773"/>
      <c r="R17" s="311">
        <f>IF(R$2=$K17,$F17*CHOOSE($N17,'기존수주 매출'!$O$33,'기존수주 매출'!$O$35,'기존수주 매출'!$O$37,'기존수주 매출'!$O$39),0)</f>
        <v>0</v>
      </c>
      <c r="S17" s="311">
        <f>IF(S$2=$K17,$F17*CHOOSE($N17,'기존수주 매출'!$O$33,'기존수주 매출'!$O$35,'기존수주 매출'!$O$37,'기존수주 매출'!$O$39),0)</f>
        <v>0</v>
      </c>
      <c r="T17" s="311">
        <f>IF(T$2=$K17,$F17*CHOOSE($N17,'기존수주 매출'!$O$33,'기존수주 매출'!$O$35,'기존수주 매출'!$O$37,'기존수주 매출'!$O$39),0)</f>
        <v>0</v>
      </c>
      <c r="U17" s="311">
        <f>IF(U$2=$K17,$F17*CHOOSE($N17,'기존수주 매출'!$O$33,'기존수주 매출'!$O$35,'기존수주 매출'!$O$37,'기존수주 매출'!$O$39),0)</f>
        <v>0</v>
      </c>
      <c r="V17" s="311">
        <f>IF(V$2=$K17,$F17*CHOOSE($N17,'기존수주 매출'!$O$33,'기존수주 매출'!$O$35,'기존수주 매출'!$O$37,'기존수주 매출'!$O$39),0)</f>
        <v>1934.6374999999998</v>
      </c>
      <c r="W17" s="311">
        <f>$F17*'기존수주 매출'!P37</f>
        <v>1934.6374999999998</v>
      </c>
      <c r="X17" s="311">
        <f>$F17*'기존수주 매출'!Q37</f>
        <v>4956.1500000000005</v>
      </c>
      <c r="Y17" s="311">
        <f>$F17*'기존수주 매출'!R37</f>
        <v>4956.1499999999996</v>
      </c>
      <c r="Z17" s="311">
        <f>$F17*'기존수주 매출'!S37</f>
        <v>5760.4375</v>
      </c>
      <c r="AA17" s="311">
        <f>$F17*'기존수주 매출'!T37</f>
        <v>5760.4374999999982</v>
      </c>
      <c r="AB17" s="311">
        <f>$F17*'기존수주 매출'!U37</f>
        <v>3325.8375000000005</v>
      </c>
      <c r="AC17" s="311">
        <f>$F17*'기존수주 매출'!V37</f>
        <v>3325.8375000000005</v>
      </c>
      <c r="AD17" s="311">
        <f>$F17*'기존수주 매출'!W37</f>
        <v>2391.1250000000023</v>
      </c>
      <c r="AE17" s="311">
        <f>$F17*'기존수주 매출'!X37</f>
        <v>2391.1249999999973</v>
      </c>
      <c r="AF17" s="311">
        <f>$F17*'기존수주 매출'!Y37</f>
        <v>3369.3125000000005</v>
      </c>
      <c r="AG17" s="311">
        <f>$F17*'기존수주 매출'!Z37</f>
        <v>3369.3125000000005</v>
      </c>
      <c r="AH17" s="311">
        <f>$F17*'기존수주 매출'!AA37</f>
        <v>0</v>
      </c>
      <c r="AI17" s="311">
        <f>$F17*'기존수주 매출'!AB37</f>
        <v>0</v>
      </c>
      <c r="AJ17" s="311">
        <f>$F17*'기존수주 매출'!AC37</f>
        <v>0</v>
      </c>
      <c r="AK17" s="311">
        <f>$F17*'기존수주 매출'!AD37</f>
        <v>0</v>
      </c>
      <c r="AL17" s="311">
        <f>$F17*'기존수주 매출'!AE37</f>
        <v>0</v>
      </c>
      <c r="AM17" s="311">
        <f>$F17*'기존수주 매출'!AF37</f>
        <v>0</v>
      </c>
      <c r="AN17" s="311">
        <f>$F17*'기존수주 매출'!AG37</f>
        <v>0</v>
      </c>
      <c r="AO17" s="311">
        <f>$F17*'기존수주 매출'!AH37</f>
        <v>0</v>
      </c>
      <c r="AP17" s="311">
        <f>$F17*'기존수주 매출'!AI37</f>
        <v>0</v>
      </c>
      <c r="AQ17" s="311">
        <f>$F17*'기존수주 매출'!AJ37</f>
        <v>0</v>
      </c>
      <c r="AR17" s="311">
        <f>$F17*'기존수주 매출'!AK37</f>
        <v>0</v>
      </c>
      <c r="AS17" s="311">
        <f>$F17*'기존수주 매출'!AL37</f>
        <v>0</v>
      </c>
      <c r="AT17" s="311">
        <f>$F17*'기존수주 매출'!AM37</f>
        <v>0</v>
      </c>
      <c r="AU17" s="311">
        <f>$F17*'기존수주 매출'!AN37</f>
        <v>0</v>
      </c>
      <c r="AV17" s="311">
        <f>$F17*'기존수주 매출'!AO37</f>
        <v>0</v>
      </c>
      <c r="AW17" s="311">
        <f>$F17*'기존수주 매출'!AP37</f>
        <v>0</v>
      </c>
      <c r="AX17" s="311">
        <f>$F17*'기존수주 매출'!AQ37</f>
        <v>0</v>
      </c>
      <c r="AY17" s="311">
        <f>$F17*'기존수주 매출'!AR37</f>
        <v>0</v>
      </c>
      <c r="AZ17" s="311">
        <f t="shared" ref="AZ17:AZ22" si="9">SUM(R17:AY17)</f>
        <v>43475</v>
      </c>
    </row>
    <row r="18" spans="1:52" customFormat="1" ht="15" customHeight="1">
      <c r="A18" t="str">
        <f t="shared" si="6"/>
        <v/>
      </c>
      <c r="B18" s="79" t="s">
        <v>526</v>
      </c>
      <c r="C18" s="79" t="s">
        <v>430</v>
      </c>
      <c r="D18" s="6" t="s">
        <v>697</v>
      </c>
      <c r="E18" s="6">
        <v>500</v>
      </c>
      <c r="F18" s="121">
        <f t="shared" si="5"/>
        <v>43475</v>
      </c>
      <c r="G18" s="79">
        <f>G16</f>
        <v>86.95</v>
      </c>
      <c r="H18" s="79" t="s">
        <v>445</v>
      </c>
      <c r="I18" s="79">
        <f t="shared" si="7"/>
        <v>2027</v>
      </c>
      <c r="J18" s="79" t="s">
        <v>444</v>
      </c>
      <c r="K18" s="79" t="s">
        <v>444</v>
      </c>
      <c r="L18" s="79" t="s">
        <v>976</v>
      </c>
      <c r="M18" s="121">
        <f t="shared" si="8"/>
        <v>11</v>
      </c>
      <c r="N18" s="121">
        <v>3</v>
      </c>
      <c r="O18" s="773"/>
      <c r="R18" s="311">
        <f>IF(R$2=$K18,$F18*CHOOSE($N18,'기존수주 매출'!$O$33,'기존수주 매출'!$O$35,'기존수주 매출'!$O$37,'기존수주 매출'!$O$39),0)</f>
        <v>0</v>
      </c>
      <c r="S18" s="311">
        <f>IF(S$2=$K18,$F18*CHOOSE($N18,'기존수주 매출'!$O$33,'기존수주 매출'!$O$35,'기존수주 매출'!$O$37,'기존수주 매출'!$O$39),0)</f>
        <v>0</v>
      </c>
      <c r="T18" s="311">
        <f>IF(T$2=$K18,$F18*CHOOSE($N18,'기존수주 매출'!$O$33,'기존수주 매출'!$O$35,'기존수주 매출'!$O$37,'기존수주 매출'!$O$39),0)</f>
        <v>0</v>
      </c>
      <c r="U18" s="311">
        <f>IF(U$2=$K18,$F18*CHOOSE($N18,'기존수주 매출'!$O$33,'기존수주 매출'!$O$35,'기존수주 매출'!$O$37,'기존수주 매출'!$O$39),0)</f>
        <v>0</v>
      </c>
      <c r="V18" s="311">
        <f>IF(V$2=$K18,$F18*CHOOSE($N18,'기존수주 매출'!$O$33,'기존수주 매출'!$O$35,'기존수주 매출'!$O$37,'기존수주 매출'!$O$39),0)</f>
        <v>0</v>
      </c>
      <c r="W18" s="311">
        <f>IF(W$2=$K18,$F18*CHOOSE($N18,'기존수주 매출'!$O$33,'기존수주 매출'!$O$35,'기존수주 매출'!$O$37,'기존수주 매출'!$O$39),0)</f>
        <v>0</v>
      </c>
      <c r="X18" s="311">
        <f>IF(X$2=$K18,$F18*CHOOSE($N18,'기존수주 매출'!$O$33,'기존수주 매출'!$O$35,'기존수주 매출'!$O$37,'기존수주 매출'!$O$39),0)</f>
        <v>0</v>
      </c>
      <c r="Y18" s="311">
        <f>IF(Y$2=$K18,$F18*CHOOSE($N18,'기존수주 매출'!$O$33,'기존수주 매출'!$O$35,'기존수주 매출'!$O$37,'기존수주 매출'!$O$39),0)</f>
        <v>1934.6374999999998</v>
      </c>
      <c r="Z18" s="311">
        <f>$F18*'기존수주 매출'!P37</f>
        <v>1934.6374999999998</v>
      </c>
      <c r="AA18" s="311">
        <f>$F18*'기존수주 매출'!Q37</f>
        <v>4956.1500000000005</v>
      </c>
      <c r="AB18" s="311">
        <f>$F18*'기존수주 매출'!R37</f>
        <v>4956.1499999999996</v>
      </c>
      <c r="AC18" s="311">
        <f>$F18*'기존수주 매출'!S37</f>
        <v>5760.4375</v>
      </c>
      <c r="AD18" s="311">
        <f>$F18*'기존수주 매출'!T37</f>
        <v>5760.4374999999982</v>
      </c>
      <c r="AE18" s="311">
        <f>$F18*'기존수주 매출'!U37</f>
        <v>3325.8375000000005</v>
      </c>
      <c r="AF18" s="311">
        <f>$F18*'기존수주 매출'!V37</f>
        <v>3325.8375000000005</v>
      </c>
      <c r="AG18" s="311">
        <f>$F18*'기존수주 매출'!W37</f>
        <v>2391.1250000000023</v>
      </c>
      <c r="AH18" s="311">
        <f>$F18*'기존수주 매출'!X37</f>
        <v>2391.1249999999973</v>
      </c>
      <c r="AI18" s="311">
        <f>$F18*'기존수주 매출'!Y37</f>
        <v>3369.3125000000005</v>
      </c>
      <c r="AJ18" s="311">
        <f>$F18*'기존수주 매출'!Z37</f>
        <v>3369.3125000000005</v>
      </c>
      <c r="AK18" s="311">
        <f>$F18*'기존수주 매출'!AA37</f>
        <v>0</v>
      </c>
      <c r="AL18" s="311">
        <f>$F18*'기존수주 매출'!AB37</f>
        <v>0</v>
      </c>
      <c r="AM18" s="311">
        <f>$F18*'기존수주 매출'!AC37</f>
        <v>0</v>
      </c>
      <c r="AN18" s="311">
        <f>$F18*'기존수주 매출'!AD37</f>
        <v>0</v>
      </c>
      <c r="AO18" s="311">
        <f>$F18*'기존수주 매출'!AE37</f>
        <v>0</v>
      </c>
      <c r="AP18" s="311">
        <f>$F18*'기존수주 매출'!AF37</f>
        <v>0</v>
      </c>
      <c r="AQ18" s="311">
        <f>$F18*'기존수주 매출'!AG37</f>
        <v>0</v>
      </c>
      <c r="AR18" s="311">
        <f>$F18*'기존수주 매출'!AH37</f>
        <v>0</v>
      </c>
      <c r="AS18" s="311">
        <f>$F18*'기존수주 매출'!AI37</f>
        <v>0</v>
      </c>
      <c r="AT18" s="311">
        <f>$F18*'기존수주 매출'!AJ37</f>
        <v>0</v>
      </c>
      <c r="AU18" s="311">
        <f>$F18*'기존수주 매출'!AK37</f>
        <v>0</v>
      </c>
      <c r="AV18" s="311">
        <f>$F18*'기존수주 매출'!AL37</f>
        <v>0</v>
      </c>
      <c r="AW18" s="311">
        <f>$F18*'기존수주 매출'!AM37</f>
        <v>0</v>
      </c>
      <c r="AX18" s="311">
        <f>$F18*'기존수주 매출'!AN37</f>
        <v>0</v>
      </c>
      <c r="AY18" s="311">
        <f>$F18*'기존수주 매출'!AO37</f>
        <v>0</v>
      </c>
      <c r="AZ18" s="311">
        <f t="shared" si="9"/>
        <v>43475</v>
      </c>
    </row>
    <row r="19" spans="1:52" customFormat="1" ht="15" customHeight="1">
      <c r="A19" t="str">
        <f t="shared" si="6"/>
        <v>F</v>
      </c>
      <c r="B19" s="79" t="s">
        <v>526</v>
      </c>
      <c r="C19" s="79" t="s">
        <v>430</v>
      </c>
      <c r="D19" s="6" t="s">
        <v>696</v>
      </c>
      <c r="E19" s="6">
        <v>1000</v>
      </c>
      <c r="F19" s="121">
        <f t="shared" si="5"/>
        <v>122232.14285714286</v>
      </c>
      <c r="G19" s="79">
        <f>F13/E13</f>
        <v>122.23214285714286</v>
      </c>
      <c r="H19" s="79" t="s">
        <v>445</v>
      </c>
      <c r="I19" s="79">
        <f t="shared" si="7"/>
        <v>2027</v>
      </c>
      <c r="J19" s="79" t="s">
        <v>444</v>
      </c>
      <c r="K19" s="79" t="s">
        <v>443</v>
      </c>
      <c r="L19" s="79" t="s">
        <v>977</v>
      </c>
      <c r="M19" s="121">
        <f t="shared" si="8"/>
        <v>19</v>
      </c>
      <c r="N19" s="121">
        <v>3</v>
      </c>
      <c r="O19" s="773"/>
      <c r="R19" s="311">
        <f>IF(R$2=$K19,$F19*CHOOSE($N19,'기존수주 매출'!$O$33,'기존수주 매출'!$O$35,'기존수주 매출'!$O$37,'기존수주 매출'!$O$39),0)</f>
        <v>0</v>
      </c>
      <c r="S19" s="311">
        <f>IF(S$2=$K19,$F19*CHOOSE($N19,'기존수주 매출'!$O$33,'기존수주 매출'!$O$35,'기존수주 매출'!$O$37,'기존수주 매출'!$O$39),0)</f>
        <v>0</v>
      </c>
      <c r="T19" s="311">
        <f>IF(T$2=$K19,$F19*CHOOSE($N19,'기존수주 매출'!$O$33,'기존수주 매출'!$O$35,'기존수주 매출'!$O$37,'기존수주 매출'!$O$39),0)</f>
        <v>0</v>
      </c>
      <c r="U19" s="311">
        <f>IF(U$2=$K19,$F19*CHOOSE($N19,'기존수주 매출'!$O$33,'기존수주 매출'!$O$35,'기존수주 매출'!$O$37,'기존수주 매출'!$O$39),0)</f>
        <v>0</v>
      </c>
      <c r="V19" s="311">
        <f>IF(V$2=$K19,$F19*CHOOSE($N19,'기존수주 매출'!$O$33,'기존수주 매출'!$O$35,'기존수주 매출'!$O$37,'기존수주 매출'!$O$39),0)</f>
        <v>0</v>
      </c>
      <c r="W19" s="311">
        <f>IF(W$2=$K19,$F19*CHOOSE($N19,'기존수주 매출'!$O$33,'기존수주 매출'!$O$35,'기존수주 매출'!$O$37,'기존수주 매출'!$O$39),0)</f>
        <v>0</v>
      </c>
      <c r="X19" s="311">
        <f>IF(X$2=$K19,$F19*CHOOSE($N19,'기존수주 매출'!$O$33,'기존수주 매출'!$O$35,'기존수주 매출'!$O$37,'기존수주 매출'!$O$39),0)</f>
        <v>0</v>
      </c>
      <c r="Y19" s="311">
        <f>IF(Y$2=$K19,$F19*CHOOSE($N19,'기존수주 매출'!$O$33,'기존수주 매출'!$O$35,'기존수주 매출'!$O$37,'기존수주 매출'!$O$39),0)</f>
        <v>0</v>
      </c>
      <c r="Z19" s="311">
        <f>IF(Z$2=$K19,$F19*CHOOSE($N19,'기존수주 매출'!$O$33,'기존수주 매출'!$O$35,'기존수주 매출'!$O$37,'기존수주 매출'!$O$39),0)</f>
        <v>5439.3303571428569</v>
      </c>
      <c r="AA19" s="311">
        <f>$F$19*'기존수주 매출'!P39</f>
        <v>2719.6651785714284</v>
      </c>
      <c r="AB19" s="311">
        <f>$F$19*'기존수주 매출'!Q39</f>
        <v>2719.6651785714294</v>
      </c>
      <c r="AC19" s="311">
        <f>$F$19*'기존수주 매출'!R39</f>
        <v>2719.6651785714275</v>
      </c>
      <c r="AD19" s="311">
        <f>$F$19*'기존수주 매출'!S39</f>
        <v>6967.2321428571458</v>
      </c>
      <c r="AE19" s="311">
        <f>$F$19*'기존수주 매출'!T39</f>
        <v>6967.2321428571422</v>
      </c>
      <c r="AF19" s="311">
        <f>$F$19*'기존수주 매출'!U39</f>
        <v>6967.2321428571422</v>
      </c>
      <c r="AG19" s="311">
        <f>$F$19*'기존수주 매출'!V39</f>
        <v>6967.2321428571422</v>
      </c>
      <c r="AH19" s="311">
        <f>$F$19*'기존수주 매출'!W39</f>
        <v>8097.879464285711</v>
      </c>
      <c r="AI19" s="311">
        <f>$F$19*'기존수주 매출'!X39</f>
        <v>8097.8794642857183</v>
      </c>
      <c r="AJ19" s="311">
        <f>$F$19*'기존수주 매출'!Y39</f>
        <v>8097.8794642857047</v>
      </c>
      <c r="AK19" s="311">
        <f>$F$19*'기존수주 매출'!Z39</f>
        <v>8097.8794642857183</v>
      </c>
      <c r="AL19" s="311">
        <f>$F$19*'기존수주 매출'!AA39</f>
        <v>4675.3794642857147</v>
      </c>
      <c r="AM19" s="311">
        <f>$F$19*'기존수주 매출'!AB39</f>
        <v>4675.3794642857147</v>
      </c>
      <c r="AN19" s="311">
        <f>$F$19*'기존수주 매출'!AC39</f>
        <v>4675.3794642857147</v>
      </c>
      <c r="AO19" s="311">
        <f>$F$19*'기존수주 매출'!AD39</f>
        <v>4675.3794642857147</v>
      </c>
      <c r="AP19" s="311">
        <f>$F$19*'기존수주 매출'!AE39</f>
        <v>6722.7678571428632</v>
      </c>
      <c r="AQ19" s="311">
        <f>$F$19*'기존수주 매출'!AF39</f>
        <v>6722.7678571428496</v>
      </c>
      <c r="AR19" s="311">
        <f>$F$19*'기존수주 매출'!AG39</f>
        <v>9472.9910714285725</v>
      </c>
      <c r="AS19" s="311">
        <f>$F$19*'기존수주 매출'!AH39</f>
        <v>9472.9910714285725</v>
      </c>
      <c r="AT19" s="311">
        <f>$F$19*'기존수주 매출'!AI39</f>
        <v>0</v>
      </c>
      <c r="AU19" s="311">
        <f>$F$19*'기존수주 매출'!AJ39</f>
        <v>0</v>
      </c>
      <c r="AV19" s="311">
        <f>$F$19*'기존수주 매출'!AK39</f>
        <v>0</v>
      </c>
      <c r="AW19" s="311">
        <f>$F$19*'기존수주 매출'!AL39</f>
        <v>0</v>
      </c>
      <c r="AX19" s="311">
        <f>$F$19*'기존수주 매출'!AM39</f>
        <v>0</v>
      </c>
      <c r="AY19" s="311">
        <f>$F$19*'기존수주 매출'!AN39</f>
        <v>0</v>
      </c>
      <c r="AZ19" s="311">
        <f t="shared" si="9"/>
        <v>124951.80803571429</v>
      </c>
    </row>
    <row r="20" spans="1:52" customFormat="1" ht="15" customHeight="1">
      <c r="A20" t="str">
        <f t="shared" si="6"/>
        <v/>
      </c>
      <c r="B20" s="79" t="s">
        <v>525</v>
      </c>
      <c r="C20" s="79" t="s">
        <v>430</v>
      </c>
      <c r="D20" s="6" t="s">
        <v>695</v>
      </c>
      <c r="E20" s="6">
        <v>525</v>
      </c>
      <c r="F20" s="121">
        <f t="shared" si="5"/>
        <v>64171.875</v>
      </c>
      <c r="G20" s="79">
        <f>G19</f>
        <v>122.23214285714286</v>
      </c>
      <c r="H20" s="79" t="s">
        <v>444</v>
      </c>
      <c r="I20" s="79">
        <f t="shared" si="7"/>
        <v>2027</v>
      </c>
      <c r="J20" s="79" t="s">
        <v>443</v>
      </c>
      <c r="K20" s="79" t="s">
        <v>442</v>
      </c>
      <c r="L20" s="79" t="s">
        <v>978</v>
      </c>
      <c r="M20" s="121">
        <f t="shared" si="8"/>
        <v>13</v>
      </c>
      <c r="N20" s="121">
        <v>3</v>
      </c>
      <c r="O20" s="773"/>
      <c r="R20" s="311">
        <f>IF(R$2=$K20,$F20*CHOOSE($N20,'기존수주 매출'!$O$33,'기존수주 매출'!$O$35,'기존수주 매출'!$O$37,'기존수주 매출'!$O$39),0)</f>
        <v>0</v>
      </c>
      <c r="S20" s="311">
        <f>IF(S$2=$K20,$F20*CHOOSE($N20,'기존수주 매출'!$O$33,'기존수주 매출'!$O$35,'기존수주 매출'!$O$37,'기존수주 매출'!$O$39),0)</f>
        <v>0</v>
      </c>
      <c r="T20" s="311">
        <f>IF(T$2=$K20,$F20*CHOOSE($N20,'기존수주 매출'!$O$33,'기존수주 매출'!$O$35,'기존수주 매출'!$O$37,'기존수주 매출'!$O$39),0)</f>
        <v>0</v>
      </c>
      <c r="U20" s="311">
        <f>IF(U$2=$K20,$F20*CHOOSE($N20,'기존수주 매출'!$O$33,'기존수주 매출'!$O$35,'기존수주 매출'!$O$37,'기존수주 매출'!$O$39),0)</f>
        <v>0</v>
      </c>
      <c r="V20" s="311">
        <f>IF(V$2=$K20,$F20*CHOOSE($N20,'기존수주 매출'!$O$33,'기존수주 매출'!$O$35,'기존수주 매출'!$O$37,'기존수주 매출'!$O$39),0)</f>
        <v>0</v>
      </c>
      <c r="W20" s="311">
        <f>IF(W$2=$K20,$F20*CHOOSE($N20,'기존수주 매출'!$O$33,'기존수주 매출'!$O$35,'기존수주 매출'!$O$37,'기존수주 매출'!$O$39),0)</f>
        <v>0</v>
      </c>
      <c r="X20" s="311">
        <f>IF(X$2=$K20,$F20*CHOOSE($N20,'기존수주 매출'!$O$33,'기존수주 매출'!$O$35,'기존수주 매출'!$O$37,'기존수주 매출'!$O$39),0)</f>
        <v>0</v>
      </c>
      <c r="Y20" s="311">
        <f>IF(Y$2=$K20,$F20*CHOOSE($N20,'기존수주 매출'!$O$33,'기존수주 매출'!$O$35,'기존수주 매출'!$O$37,'기존수주 매출'!$O$39),0)</f>
        <v>0</v>
      </c>
      <c r="Z20" s="311">
        <f>IF(Z$2=$K20,$F20*CHOOSE($N20,'기존수주 매출'!$O$33,'기존수주 매출'!$O$35,'기존수주 매출'!$O$37,'기존수주 매출'!$O$39),0)</f>
        <v>0</v>
      </c>
      <c r="AA20" s="311">
        <f>IF(AA$2=$K20,$F20*CHOOSE($N20,'기존수주 매출'!$O$33,'기존수주 매출'!$O$35,'기존수주 매출'!$O$37,'기존수주 매출'!$O$39),0)</f>
        <v>2855.6484375</v>
      </c>
      <c r="AB20" s="311">
        <f>$F20*'기존수주 매출'!P37</f>
        <v>2855.6484375</v>
      </c>
      <c r="AC20" s="311">
        <f>$F20*'기존수주 매출'!Q37</f>
        <v>7315.5937500000009</v>
      </c>
      <c r="AD20" s="311">
        <f>$F20*'기존수주 매출'!R37</f>
        <v>7315.5937499999991</v>
      </c>
      <c r="AE20" s="311">
        <f>$F20*'기존수주 매출'!S37</f>
        <v>8502.7734375</v>
      </c>
      <c r="AF20" s="311">
        <f>$F20*'기존수주 매출'!T37</f>
        <v>8502.7734374999964</v>
      </c>
      <c r="AG20" s="311">
        <f>$F20*'기존수주 매출'!U37</f>
        <v>4909.1484375000009</v>
      </c>
      <c r="AH20" s="311">
        <f>$F20*'기존수주 매출'!V37</f>
        <v>4909.1484375000009</v>
      </c>
      <c r="AI20" s="311">
        <f>$F20*'기존수주 매출'!W37</f>
        <v>3529.4531250000032</v>
      </c>
      <c r="AJ20" s="311">
        <f>$F20*'기존수주 매출'!X37</f>
        <v>3529.4531249999959</v>
      </c>
      <c r="AK20" s="311">
        <f>$F20*'기존수주 매출'!Y37</f>
        <v>4973.3203125000009</v>
      </c>
      <c r="AL20" s="311">
        <f>$F20*'기존수주 매출'!Z37</f>
        <v>4973.3203125000009</v>
      </c>
      <c r="AM20" s="311">
        <f>$F20*'기존수주 매출'!AA37</f>
        <v>0</v>
      </c>
      <c r="AN20" s="311">
        <f>$F20*'기존수주 매출'!AB37</f>
        <v>0</v>
      </c>
      <c r="AO20" s="311">
        <f>$F20*'기존수주 매출'!AC37</f>
        <v>0</v>
      </c>
      <c r="AP20" s="311">
        <f>$F20*'기존수주 매출'!AD37</f>
        <v>0</v>
      </c>
      <c r="AQ20" s="311">
        <f>$F20*'기존수주 매출'!AE37</f>
        <v>0</v>
      </c>
      <c r="AR20" s="311">
        <f>$F20*'기존수주 매출'!AF37</f>
        <v>0</v>
      </c>
      <c r="AS20" s="311">
        <f>$F20*'기존수주 매출'!AG37</f>
        <v>0</v>
      </c>
      <c r="AT20" s="311">
        <f>$F20*'기존수주 매출'!AH37</f>
        <v>0</v>
      </c>
      <c r="AU20" s="311">
        <f>$F20*'기존수주 매출'!AI37</f>
        <v>0</v>
      </c>
      <c r="AV20" s="311">
        <f>$F20*'기존수주 매출'!AJ37</f>
        <v>0</v>
      </c>
      <c r="AW20" s="311">
        <f>$F20*'기존수주 매출'!AK37</f>
        <v>0</v>
      </c>
      <c r="AX20" s="311">
        <f>$F20*'기존수주 매출'!AL37</f>
        <v>0</v>
      </c>
      <c r="AY20" s="311">
        <f>$F20*'기존수주 매출'!AM37</f>
        <v>0</v>
      </c>
      <c r="AZ20" s="311">
        <f t="shared" si="9"/>
        <v>64171.874999999993</v>
      </c>
    </row>
    <row r="21" spans="1:52" customFormat="1" ht="15" customHeight="1">
      <c r="A21" t="str">
        <f t="shared" si="6"/>
        <v/>
      </c>
      <c r="B21" s="139" t="s">
        <v>525</v>
      </c>
      <c r="C21" s="139" t="s">
        <v>524</v>
      </c>
      <c r="D21" s="59" t="s">
        <v>694</v>
      </c>
      <c r="E21" s="59">
        <v>525</v>
      </c>
      <c r="F21" s="140">
        <f t="shared" si="5"/>
        <v>64171.875</v>
      </c>
      <c r="G21" s="139">
        <f>G19</f>
        <v>122.23214285714286</v>
      </c>
      <c r="H21" s="139" t="s">
        <v>60</v>
      </c>
      <c r="I21" s="139">
        <f t="shared" si="7"/>
        <v>2025</v>
      </c>
      <c r="J21" s="139" t="s">
        <v>61</v>
      </c>
      <c r="K21" s="139" t="s">
        <v>449</v>
      </c>
      <c r="L21" s="139" t="s">
        <v>438</v>
      </c>
      <c r="M21" s="140">
        <f t="shared" si="8"/>
        <v>12</v>
      </c>
      <c r="N21" s="140">
        <v>3</v>
      </c>
      <c r="O21" s="774"/>
      <c r="P21" s="98"/>
      <c r="Q21" s="98"/>
      <c r="R21" s="490">
        <f>IF(R$2=$K21,$F21*CHOOSE($N21,'기존수주 매출'!$O$33,'기존수주 매출'!$O$35,'기존수주 매출'!$O$37,'기존수주 매출'!$O$39),0)</f>
        <v>0</v>
      </c>
      <c r="S21" s="490">
        <f>IF(S$2=$K21,$F21*CHOOSE($N21,'기존수주 매출'!$O$33,'기존수주 매출'!$O$35,'기존수주 매출'!$O$37,'기존수주 매출'!$O$39),0)</f>
        <v>0</v>
      </c>
      <c r="T21" s="490">
        <f>IF(T$2=$K21,$F21*CHOOSE($N21,'기존수주 매출'!$O$33,'기존수주 매출'!$O$35,'기존수주 매출'!$O$37,'기존수주 매출'!$O$39),0)</f>
        <v>2855.6484375</v>
      </c>
      <c r="U21" s="490">
        <f>$F21*'기존수주 매출'!P37</f>
        <v>2855.6484375</v>
      </c>
      <c r="V21" s="490">
        <f>$F21*'기존수주 매출'!Q37</f>
        <v>7315.5937500000009</v>
      </c>
      <c r="W21" s="490">
        <f>$F21*'기존수주 매출'!R37</f>
        <v>7315.5937499999991</v>
      </c>
      <c r="X21" s="490">
        <f>$F21*'기존수주 매출'!S37</f>
        <v>8502.7734375</v>
      </c>
      <c r="Y21" s="490">
        <f>$F21*'기존수주 매출'!T37</f>
        <v>8502.7734374999964</v>
      </c>
      <c r="Z21" s="490">
        <f>$F21*'기존수주 매출'!U37</f>
        <v>4909.1484375000009</v>
      </c>
      <c r="AA21" s="490">
        <f>$F21*'기존수주 매출'!V37</f>
        <v>4909.1484375000009</v>
      </c>
      <c r="AB21" s="490">
        <f>$F21*'기존수주 매출'!W37</f>
        <v>3529.4531250000032</v>
      </c>
      <c r="AC21" s="490">
        <f>$F21*'기존수주 매출'!X37</f>
        <v>3529.4531249999959</v>
      </c>
      <c r="AD21" s="490">
        <f>$F21*'기존수주 매출'!Y37</f>
        <v>4973.3203125000009</v>
      </c>
      <c r="AE21" s="490">
        <f>$F21*'기존수주 매출'!Z37</f>
        <v>4973.3203125000009</v>
      </c>
      <c r="AF21" s="490">
        <f>$F21*'기존수주 매출'!AA37</f>
        <v>0</v>
      </c>
      <c r="AG21" s="490">
        <f>$F21*'기존수주 매출'!AB37</f>
        <v>0</v>
      </c>
      <c r="AH21" s="490">
        <f>$F21*'기존수주 매출'!AC37</f>
        <v>0</v>
      </c>
      <c r="AI21" s="490">
        <f>$F21*'기존수주 매출'!AD37</f>
        <v>0</v>
      </c>
      <c r="AJ21" s="490">
        <f>$F21*'기존수주 매출'!AE37</f>
        <v>0</v>
      </c>
      <c r="AK21" s="490">
        <f>$F21*'기존수주 매출'!AF37</f>
        <v>0</v>
      </c>
      <c r="AL21" s="490">
        <f>$F21*'기존수주 매출'!AG37</f>
        <v>0</v>
      </c>
      <c r="AM21" s="490">
        <f>$F21*'기존수주 매출'!AH37</f>
        <v>0</v>
      </c>
      <c r="AN21" s="490">
        <f>$F21*'기존수주 매출'!AI37</f>
        <v>0</v>
      </c>
      <c r="AO21" s="490">
        <f>$F21*'기존수주 매출'!AJ37</f>
        <v>0</v>
      </c>
      <c r="AP21" s="490">
        <f>$F21*'기존수주 매출'!AK37</f>
        <v>0</v>
      </c>
      <c r="AQ21" s="490">
        <f>$F21*'기존수주 매출'!AL37</f>
        <v>0</v>
      </c>
      <c r="AR21" s="490">
        <f>$F21*'기존수주 매출'!AM37</f>
        <v>0</v>
      </c>
      <c r="AS21" s="490">
        <f>$F21*'기존수주 매출'!AN37</f>
        <v>0</v>
      </c>
      <c r="AT21" s="490">
        <f>$F21*'기존수주 매출'!AO37</f>
        <v>0</v>
      </c>
      <c r="AU21" s="490">
        <f>$F21*'기존수주 매출'!AP37</f>
        <v>0</v>
      </c>
      <c r="AV21" s="490">
        <f>$F21*'기존수주 매출'!AQ37</f>
        <v>0</v>
      </c>
      <c r="AW21" s="490">
        <f>$F21*'기존수주 매출'!AR37</f>
        <v>0</v>
      </c>
      <c r="AX21" s="490">
        <f>$F21*'기존수주 매출'!AS37</f>
        <v>0</v>
      </c>
      <c r="AY21" s="490">
        <f>$F21*'기존수주 매출'!AT37</f>
        <v>0</v>
      </c>
      <c r="AZ21" s="311">
        <f t="shared" si="9"/>
        <v>64171.874999999993</v>
      </c>
    </row>
    <row r="22" spans="1:52" customFormat="1" ht="15" customHeight="1">
      <c r="B22" s="79"/>
      <c r="C22" s="79"/>
      <c r="D22" s="6"/>
      <c r="E22" s="6"/>
      <c r="F22" s="121">
        <f>SUM(F16:F21)</f>
        <v>381000.89285714284</v>
      </c>
      <c r="G22" s="79"/>
      <c r="H22" s="79"/>
      <c r="I22" s="79"/>
      <c r="J22" s="79"/>
      <c r="K22" s="79"/>
      <c r="L22" s="79"/>
      <c r="M22" s="121"/>
      <c r="N22" s="121"/>
      <c r="O22" s="121"/>
      <c r="AZ22" s="311">
        <f t="shared" si="9"/>
        <v>0</v>
      </c>
    </row>
    <row r="23" spans="1:52" s="494" customFormat="1" ht="15" customHeight="1">
      <c r="B23" s="495"/>
      <c r="C23" s="495"/>
      <c r="D23" s="491" t="s">
        <v>979</v>
      </c>
      <c r="G23" s="496"/>
      <c r="H23" s="359"/>
      <c r="I23" s="359"/>
      <c r="K23" s="356"/>
      <c r="L23" s="357"/>
      <c r="P23" s="497"/>
      <c r="Q23" s="497"/>
      <c r="R23" s="498">
        <f t="shared" ref="R23" si="10">R24+SUMIF($B$16:$B$21,"잠재",R16:R21)</f>
        <v>0</v>
      </c>
      <c r="S23" s="498">
        <f t="shared" ref="S23:AY23" si="11">S24+SUMIF($B$16:$B$21,"잠재",S16:S21)</f>
        <v>0</v>
      </c>
      <c r="T23" s="498">
        <f t="shared" si="11"/>
        <v>2855.6484375</v>
      </c>
      <c r="U23" s="498">
        <f t="shared" si="11"/>
        <v>4790.2859374999998</v>
      </c>
      <c r="V23" s="498">
        <f t="shared" si="11"/>
        <v>11184.868750000001</v>
      </c>
      <c r="W23" s="498">
        <f t="shared" si="11"/>
        <v>14206.381249999999</v>
      </c>
      <c r="X23" s="498">
        <f t="shared" si="11"/>
        <v>18415.073437499999</v>
      </c>
      <c r="Y23" s="498">
        <f t="shared" si="11"/>
        <v>21153.998437499995</v>
      </c>
      <c r="Z23" s="498">
        <f t="shared" si="11"/>
        <v>23803.991294642856</v>
      </c>
      <c r="AA23" s="498">
        <f t="shared" si="11"/>
        <v>24526.887053571427</v>
      </c>
      <c r="AB23" s="498">
        <f t="shared" si="11"/>
        <v>20712.591741071432</v>
      </c>
      <c r="AC23" s="498">
        <f t="shared" si="11"/>
        <v>25042.112053571429</v>
      </c>
      <c r="AD23" s="498">
        <f t="shared" si="11"/>
        <v>29798.833705357145</v>
      </c>
      <c r="AE23" s="498">
        <f t="shared" si="11"/>
        <v>29529.600892857139</v>
      </c>
      <c r="AF23" s="498">
        <f t="shared" si="11"/>
        <v>25534.468080357139</v>
      </c>
      <c r="AG23" s="498">
        <f t="shared" si="11"/>
        <v>17636.818080357145</v>
      </c>
      <c r="AH23" s="498">
        <f t="shared" si="11"/>
        <v>15398.15290178571</v>
      </c>
      <c r="AI23" s="498">
        <f t="shared" si="11"/>
        <v>14996.645089285723</v>
      </c>
      <c r="AJ23" s="498">
        <f t="shared" si="11"/>
        <v>14996.645089285701</v>
      </c>
      <c r="AK23" s="498">
        <f t="shared" si="11"/>
        <v>13071.199776785719</v>
      </c>
      <c r="AL23" s="498">
        <f t="shared" si="11"/>
        <v>9648.6997767857156</v>
      </c>
      <c r="AM23" s="498">
        <f t="shared" si="11"/>
        <v>4675.3794642857147</v>
      </c>
      <c r="AN23" s="498">
        <f t="shared" si="11"/>
        <v>4675.3794642857147</v>
      </c>
      <c r="AO23" s="498">
        <f t="shared" si="11"/>
        <v>4675.3794642857147</v>
      </c>
      <c r="AP23" s="498">
        <f t="shared" si="11"/>
        <v>6722.7678571428632</v>
      </c>
      <c r="AQ23" s="498">
        <f t="shared" si="11"/>
        <v>6722.7678571428496</v>
      </c>
      <c r="AR23" s="498">
        <f t="shared" si="11"/>
        <v>9472.9910714285725</v>
      </c>
      <c r="AS23" s="498">
        <f t="shared" si="11"/>
        <v>9472.9910714285725</v>
      </c>
      <c r="AT23" s="498">
        <f t="shared" si="11"/>
        <v>0</v>
      </c>
      <c r="AU23" s="498">
        <f t="shared" si="11"/>
        <v>0</v>
      </c>
      <c r="AV23" s="498">
        <f t="shared" si="11"/>
        <v>0</v>
      </c>
      <c r="AW23" s="498">
        <f t="shared" si="11"/>
        <v>0</v>
      </c>
      <c r="AX23" s="498">
        <f t="shared" si="11"/>
        <v>0</v>
      </c>
      <c r="AY23" s="498">
        <f t="shared" si="11"/>
        <v>0</v>
      </c>
      <c r="AZ23" s="498" t="s">
        <v>959</v>
      </c>
    </row>
    <row r="24" spans="1:52" s="499" customFormat="1" ht="15" customHeight="1">
      <c r="B24" s="346"/>
      <c r="C24" s="346"/>
      <c r="D24" s="492" t="s">
        <v>981</v>
      </c>
      <c r="G24" s="500"/>
      <c r="H24" s="346"/>
      <c r="I24" s="346"/>
      <c r="K24" s="347"/>
      <c r="L24" s="348"/>
      <c r="P24" s="501"/>
      <c r="Q24" s="501"/>
      <c r="R24" s="502">
        <f t="shared" ref="R24" si="12">R25+SUMIF($B$16:$B$21,"가능",R16:R21)</f>
        <v>0</v>
      </c>
      <c r="S24" s="502">
        <f t="shared" ref="S24:AY24" si="13">S25+SUMIF($B$16:$B$21,"가능",S16:S21)</f>
        <v>0</v>
      </c>
      <c r="T24" s="502">
        <f t="shared" si="13"/>
        <v>0</v>
      </c>
      <c r="U24" s="502">
        <f t="shared" si="13"/>
        <v>1934.6374999999998</v>
      </c>
      <c r="V24" s="502">
        <f t="shared" si="13"/>
        <v>3869.2749999999996</v>
      </c>
      <c r="W24" s="502">
        <f t="shared" si="13"/>
        <v>6890.7875000000004</v>
      </c>
      <c r="X24" s="502">
        <f t="shared" si="13"/>
        <v>9912.2999999999993</v>
      </c>
      <c r="Y24" s="502">
        <f t="shared" si="13"/>
        <v>12651.224999999999</v>
      </c>
      <c r="Z24" s="502">
        <f t="shared" si="13"/>
        <v>18894.842857142856</v>
      </c>
      <c r="AA24" s="502">
        <f t="shared" si="13"/>
        <v>16762.090178571427</v>
      </c>
      <c r="AB24" s="502">
        <f t="shared" si="13"/>
        <v>14327.49017857143</v>
      </c>
      <c r="AC24" s="502">
        <f t="shared" si="13"/>
        <v>14197.065178571431</v>
      </c>
      <c r="AD24" s="502">
        <f t="shared" si="13"/>
        <v>17509.919642857145</v>
      </c>
      <c r="AE24" s="502">
        <f t="shared" si="13"/>
        <v>16053.507142857141</v>
      </c>
      <c r="AF24" s="502">
        <f t="shared" si="13"/>
        <v>17031.694642857143</v>
      </c>
      <c r="AG24" s="502">
        <f t="shared" si="13"/>
        <v>12727.669642857145</v>
      </c>
      <c r="AH24" s="502">
        <f t="shared" si="13"/>
        <v>10489.004464285708</v>
      </c>
      <c r="AI24" s="502">
        <f t="shared" si="13"/>
        <v>11467.191964285719</v>
      </c>
      <c r="AJ24" s="502">
        <f t="shared" si="13"/>
        <v>11467.191964285705</v>
      </c>
      <c r="AK24" s="502">
        <f t="shared" si="13"/>
        <v>8097.8794642857183</v>
      </c>
      <c r="AL24" s="502">
        <f t="shared" si="13"/>
        <v>4675.3794642857147</v>
      </c>
      <c r="AM24" s="502">
        <f t="shared" si="13"/>
        <v>4675.3794642857147</v>
      </c>
      <c r="AN24" s="502">
        <f t="shared" si="13"/>
        <v>4675.3794642857147</v>
      </c>
      <c r="AO24" s="502">
        <f t="shared" si="13"/>
        <v>4675.3794642857147</v>
      </c>
      <c r="AP24" s="502">
        <f t="shared" si="13"/>
        <v>6722.7678571428632</v>
      </c>
      <c r="AQ24" s="502">
        <f t="shared" si="13"/>
        <v>6722.7678571428496</v>
      </c>
      <c r="AR24" s="502">
        <f t="shared" si="13"/>
        <v>9472.9910714285725</v>
      </c>
      <c r="AS24" s="502">
        <f t="shared" si="13"/>
        <v>9472.9910714285725</v>
      </c>
      <c r="AT24" s="502">
        <f t="shared" si="13"/>
        <v>0</v>
      </c>
      <c r="AU24" s="502">
        <f t="shared" si="13"/>
        <v>0</v>
      </c>
      <c r="AV24" s="502">
        <f t="shared" si="13"/>
        <v>0</v>
      </c>
      <c r="AW24" s="502">
        <f t="shared" si="13"/>
        <v>0</v>
      </c>
      <c r="AX24" s="502">
        <f t="shared" si="13"/>
        <v>0</v>
      </c>
      <c r="AY24" s="502">
        <f t="shared" si="13"/>
        <v>0</v>
      </c>
      <c r="AZ24" s="502" t="s">
        <v>959</v>
      </c>
    </row>
    <row r="25" spans="1:52" s="62" customFormat="1" ht="15" customHeight="1">
      <c r="B25" s="129"/>
      <c r="C25" s="129"/>
      <c r="D25" s="493" t="s">
        <v>980</v>
      </c>
      <c r="G25" s="130"/>
      <c r="H25" s="129"/>
      <c r="I25" s="129"/>
      <c r="K25" s="134"/>
      <c r="L25" s="133"/>
      <c r="P25" s="503"/>
      <c r="Q25" s="503"/>
      <c r="R25" s="320">
        <f t="shared" ref="R25" si="14">SUMIF($B$16:$B$21,"확실", R16:R21)</f>
        <v>0</v>
      </c>
      <c r="S25" s="320">
        <f t="shared" ref="S25:AY25" si="15">SUMIF($B$16:$B$21,"확실", S16:S21)</f>
        <v>0</v>
      </c>
      <c r="T25" s="320">
        <f t="shared" si="15"/>
        <v>0</v>
      </c>
      <c r="U25" s="320">
        <f t="shared" si="15"/>
        <v>1934.6374999999998</v>
      </c>
      <c r="V25" s="320">
        <f t="shared" si="15"/>
        <v>3869.2749999999996</v>
      </c>
      <c r="W25" s="320">
        <f t="shared" si="15"/>
        <v>6890.7875000000004</v>
      </c>
      <c r="X25" s="320">
        <f t="shared" si="15"/>
        <v>9912.2999999999993</v>
      </c>
      <c r="Y25" s="320">
        <f t="shared" si="15"/>
        <v>10716.5875</v>
      </c>
      <c r="Z25" s="320">
        <f t="shared" si="15"/>
        <v>11520.874999999998</v>
      </c>
      <c r="AA25" s="320">
        <f t="shared" si="15"/>
        <v>9086.2749999999978</v>
      </c>
      <c r="AB25" s="320">
        <f t="shared" si="15"/>
        <v>6651.6750000000011</v>
      </c>
      <c r="AC25" s="320">
        <f t="shared" si="15"/>
        <v>5716.9625000000033</v>
      </c>
      <c r="AD25" s="320">
        <f t="shared" si="15"/>
        <v>4782.25</v>
      </c>
      <c r="AE25" s="320">
        <f t="shared" si="15"/>
        <v>5760.4374999999982</v>
      </c>
      <c r="AF25" s="320">
        <f t="shared" si="15"/>
        <v>6738.6250000000009</v>
      </c>
      <c r="AG25" s="320">
        <f t="shared" si="15"/>
        <v>3369.3125000000005</v>
      </c>
      <c r="AH25" s="320">
        <f t="shared" si="15"/>
        <v>0</v>
      </c>
      <c r="AI25" s="320">
        <f t="shared" si="15"/>
        <v>0</v>
      </c>
      <c r="AJ25" s="320">
        <f t="shared" si="15"/>
        <v>0</v>
      </c>
      <c r="AK25" s="320">
        <f t="shared" si="15"/>
        <v>0</v>
      </c>
      <c r="AL25" s="320">
        <f t="shared" si="15"/>
        <v>0</v>
      </c>
      <c r="AM25" s="320">
        <f t="shared" si="15"/>
        <v>0</v>
      </c>
      <c r="AN25" s="320">
        <f t="shared" si="15"/>
        <v>0</v>
      </c>
      <c r="AO25" s="320">
        <f t="shared" si="15"/>
        <v>0</v>
      </c>
      <c r="AP25" s="320">
        <f t="shared" si="15"/>
        <v>0</v>
      </c>
      <c r="AQ25" s="320">
        <f t="shared" si="15"/>
        <v>0</v>
      </c>
      <c r="AR25" s="320">
        <f t="shared" si="15"/>
        <v>0</v>
      </c>
      <c r="AS25" s="320">
        <f t="shared" si="15"/>
        <v>0</v>
      </c>
      <c r="AT25" s="320">
        <f t="shared" si="15"/>
        <v>0</v>
      </c>
      <c r="AU25" s="320">
        <f t="shared" si="15"/>
        <v>0</v>
      </c>
      <c r="AV25" s="320">
        <f t="shared" si="15"/>
        <v>0</v>
      </c>
      <c r="AW25" s="320">
        <f t="shared" si="15"/>
        <v>0</v>
      </c>
      <c r="AX25" s="320">
        <f t="shared" si="15"/>
        <v>0</v>
      </c>
      <c r="AY25" s="320">
        <f t="shared" si="15"/>
        <v>0</v>
      </c>
      <c r="AZ25" s="504" t="s">
        <v>959</v>
      </c>
    </row>
    <row r="26" spans="1:52" ht="15" customHeight="1">
      <c r="G26" s="121"/>
      <c r="H26" s="129"/>
      <c r="I26" s="129"/>
      <c r="K26" s="134"/>
      <c r="L26" s="133"/>
      <c r="M26" s="121"/>
      <c r="N26" s="121"/>
      <c r="O26" s="121"/>
      <c r="P26" s="283"/>
      <c r="Q26" s="283"/>
    </row>
    <row r="27" spans="1:52" s="144" customFormat="1" ht="15" customHeight="1">
      <c r="A27" s="8" t="s">
        <v>423</v>
      </c>
      <c r="B27" s="146" t="s">
        <v>427</v>
      </c>
      <c r="C27" s="146"/>
      <c r="D27" s="146"/>
      <c r="E27" s="146"/>
      <c r="F27" s="146"/>
      <c r="G27" s="146"/>
      <c r="H27" s="145"/>
      <c r="I27" s="145"/>
      <c r="J27" s="146"/>
      <c r="K27" s="145"/>
      <c r="L27" s="146"/>
      <c r="M27" s="335"/>
      <c r="N27" s="335"/>
      <c r="O27" s="335"/>
      <c r="AZ27" s="282" t="s">
        <v>959</v>
      </c>
    </row>
    <row r="28" spans="1:52" ht="15" customHeight="1" thickBot="1">
      <c r="B28" s="165"/>
      <c r="C28" s="165"/>
      <c r="D28" s="165"/>
      <c r="E28" s="165"/>
      <c r="F28" s="165"/>
      <c r="G28" s="165"/>
      <c r="H28" s="164"/>
      <c r="I28" s="164"/>
      <c r="J28" s="165"/>
      <c r="K28" s="164"/>
      <c r="L28" s="79"/>
      <c r="M28" s="306"/>
      <c r="N28" s="306"/>
      <c r="O28" s="306"/>
      <c r="AZ28" s="118" t="s">
        <v>959</v>
      </c>
    </row>
    <row r="29" spans="1:52" ht="15" customHeight="1">
      <c r="B29" s="163" t="s">
        <v>680</v>
      </c>
      <c r="C29" s="135" t="s">
        <v>528</v>
      </c>
      <c r="D29" s="136" t="s">
        <v>693</v>
      </c>
      <c r="E29" s="162">
        <v>1800</v>
      </c>
      <c r="F29" s="161">
        <f>수주내역!E26</f>
        <v>106211.19070200001</v>
      </c>
      <c r="G29" s="121"/>
      <c r="H29" s="121"/>
      <c r="I29" s="121"/>
      <c r="J29" s="79"/>
      <c r="K29" s="88"/>
      <c r="L29" s="79"/>
      <c r="M29" s="121"/>
      <c r="N29" s="121"/>
      <c r="O29" s="121"/>
      <c r="AZ29" s="118" t="s">
        <v>959</v>
      </c>
    </row>
    <row r="30" spans="1:52" ht="15" customHeight="1">
      <c r="B30" s="160" t="s">
        <v>680</v>
      </c>
      <c r="C30" s="79" t="s">
        <v>528</v>
      </c>
      <c r="D30" s="6" t="s">
        <v>692</v>
      </c>
      <c r="E30" s="147">
        <v>1800</v>
      </c>
      <c r="F30" s="159">
        <f>수주내역!E27</f>
        <v>99077.869154</v>
      </c>
      <c r="G30" s="121"/>
      <c r="H30" s="79"/>
      <c r="I30" s="79"/>
      <c r="J30" s="79"/>
      <c r="K30" s="88"/>
      <c r="L30" s="79"/>
      <c r="M30" s="121"/>
      <c r="N30" s="121"/>
      <c r="O30" s="121"/>
      <c r="AZ30" s="118" t="s">
        <v>959</v>
      </c>
    </row>
    <row r="31" spans="1:52" ht="15" customHeight="1">
      <c r="B31" s="160" t="s">
        <v>680</v>
      </c>
      <c r="C31" s="79" t="s">
        <v>528</v>
      </c>
      <c r="D31" s="6" t="s">
        <v>691</v>
      </c>
      <c r="E31" s="147">
        <v>1800</v>
      </c>
      <c r="F31" s="159">
        <f>수주내역!E14</f>
        <v>127090.973539</v>
      </c>
      <c r="G31" s="121"/>
      <c r="H31" s="79"/>
      <c r="I31" s="79"/>
      <c r="J31" s="79"/>
      <c r="K31" s="88"/>
      <c r="L31" s="79"/>
      <c r="M31" s="121"/>
      <c r="N31" s="121"/>
      <c r="O31" s="121"/>
      <c r="T31" s="58"/>
      <c r="U31" s="58"/>
      <c r="V31" s="312"/>
      <c r="W31" s="312"/>
      <c r="AZ31" s="118" t="s">
        <v>959</v>
      </c>
    </row>
    <row r="32" spans="1:52" ht="15" customHeight="1">
      <c r="B32" s="160" t="s">
        <v>680</v>
      </c>
      <c r="C32" s="79" t="s">
        <v>528</v>
      </c>
      <c r="D32" s="6" t="s">
        <v>690</v>
      </c>
      <c r="E32" s="147">
        <v>1800</v>
      </c>
      <c r="F32" s="159">
        <f>수주내역!E11</f>
        <v>148525.80976199999</v>
      </c>
      <c r="G32" s="121"/>
      <c r="H32" s="79" t="s">
        <v>58</v>
      </c>
      <c r="I32" s="79"/>
      <c r="J32" s="79" t="s">
        <v>59</v>
      </c>
      <c r="K32" s="88" t="s">
        <v>60</v>
      </c>
      <c r="L32" s="79" t="s">
        <v>447</v>
      </c>
      <c r="M32" s="121">
        <f>LEFT(L32)-LEFT(K32)+(RIGHT(L32,2)-RIGHT(K32,2))*4+1</f>
        <v>5</v>
      </c>
      <c r="N32" s="121"/>
      <c r="O32" s="121"/>
      <c r="U32" s="211"/>
      <c r="AZ32" s="118" t="s">
        <v>959</v>
      </c>
    </row>
    <row r="33" spans="1:52" ht="15" customHeight="1">
      <c r="B33" s="160" t="s">
        <v>680</v>
      </c>
      <c r="C33" s="79" t="s">
        <v>528</v>
      </c>
      <c r="D33" s="6" t="s">
        <v>689</v>
      </c>
      <c r="E33" s="147">
        <v>1800</v>
      </c>
      <c r="F33" s="159">
        <f>수주내역!E12</f>
        <v>144393.48183800001</v>
      </c>
      <c r="G33" s="121"/>
      <c r="H33" s="79" t="s">
        <v>58</v>
      </c>
      <c r="I33" s="79"/>
      <c r="J33" s="79" t="s">
        <v>59</v>
      </c>
      <c r="K33" s="88" t="s">
        <v>60</v>
      </c>
      <c r="L33" s="79" t="s">
        <v>447</v>
      </c>
      <c r="M33" s="121">
        <f>LEFT(L33)-LEFT(K33)+(RIGHT(L33,2)-RIGHT(K33,2))*4+1</f>
        <v>5</v>
      </c>
      <c r="N33" s="121"/>
      <c r="O33" s="121"/>
      <c r="AZ33" s="118" t="s">
        <v>959</v>
      </c>
    </row>
    <row r="34" spans="1:52" ht="15" customHeight="1">
      <c r="B34" s="158" t="s">
        <v>680</v>
      </c>
      <c r="C34" s="139" t="s">
        <v>528</v>
      </c>
      <c r="D34" s="59" t="s">
        <v>688</v>
      </c>
      <c r="E34" s="143">
        <v>2200</v>
      </c>
      <c r="F34" s="157">
        <f>수주내역!E7</f>
        <v>163173.5</v>
      </c>
      <c r="G34" s="121"/>
      <c r="H34" s="79" t="s">
        <v>59</v>
      </c>
      <c r="I34" s="79"/>
      <c r="J34" s="79" t="s">
        <v>60</v>
      </c>
      <c r="K34" s="88" t="s">
        <v>61</v>
      </c>
      <c r="L34" s="79" t="s">
        <v>445</v>
      </c>
      <c r="M34" s="121">
        <f>LEFT(L34)-LEFT(K34)+(RIGHT(L34,2)-RIGHT(K34,2))*4+1</f>
        <v>6</v>
      </c>
      <c r="N34" s="121"/>
      <c r="O34" s="121"/>
      <c r="AZ34" s="118" t="s">
        <v>959</v>
      </c>
    </row>
    <row r="35" spans="1:52" ht="15" customHeight="1">
      <c r="B35" s="156" t="s">
        <v>680</v>
      </c>
      <c r="C35" s="155" t="s">
        <v>528</v>
      </c>
      <c r="D35" s="154" t="s">
        <v>687</v>
      </c>
      <c r="E35" s="143">
        <v>2400</v>
      </c>
      <c r="F35" s="153">
        <f>수주내역!E4</f>
        <v>145773.29999999999</v>
      </c>
      <c r="G35" s="121"/>
      <c r="H35" s="79" t="s">
        <v>60</v>
      </c>
      <c r="I35" s="79"/>
      <c r="J35" s="79" t="s">
        <v>61</v>
      </c>
      <c r="K35" s="88" t="s">
        <v>449</v>
      </c>
      <c r="L35" s="79" t="s">
        <v>443</v>
      </c>
      <c r="M35" s="121">
        <f>LEFT(L35)-LEFT(K35)+(RIGHT(L35,2)-RIGHT(K35,2))*4+1</f>
        <v>7</v>
      </c>
      <c r="N35" s="121"/>
      <c r="O35" s="121"/>
      <c r="AZ35" s="118" t="s">
        <v>959</v>
      </c>
    </row>
    <row r="36" spans="1:52" ht="15" customHeight="1" thickBot="1">
      <c r="B36" s="152" t="s">
        <v>680</v>
      </c>
      <c r="C36" s="151" t="s">
        <v>528</v>
      </c>
      <c r="D36" s="150" t="s">
        <v>686</v>
      </c>
      <c r="E36" s="149">
        <v>900</v>
      </c>
      <c r="F36" s="148">
        <f>수주내역!E15</f>
        <v>51972.886413</v>
      </c>
      <c r="G36" s="121"/>
      <c r="H36" s="79" t="s">
        <v>25</v>
      </c>
      <c r="I36" s="79"/>
      <c r="J36" s="79" t="s">
        <v>58</v>
      </c>
      <c r="K36" s="88" t="s">
        <v>59</v>
      </c>
      <c r="L36" s="79" t="s">
        <v>449</v>
      </c>
      <c r="M36" s="121">
        <f>LEFT(L36)-LEFT(K36)+(RIGHT(L36,2)-RIGHT(K36,2))*4+1</f>
        <v>4</v>
      </c>
      <c r="N36" s="121"/>
      <c r="O36" s="121"/>
      <c r="AZ36" s="118" t="s">
        <v>959</v>
      </c>
    </row>
    <row r="37" spans="1:52" ht="15" customHeight="1">
      <c r="E37" s="147"/>
      <c r="F37" s="121"/>
      <c r="G37" s="121"/>
      <c r="H37" s="139"/>
      <c r="I37" s="139"/>
      <c r="J37" s="139"/>
      <c r="K37" s="138"/>
      <c r="L37" s="139"/>
      <c r="M37" s="140"/>
      <c r="N37" s="121"/>
      <c r="O37" s="770" t="s">
        <v>1548</v>
      </c>
    </row>
    <row r="38" spans="1:52" ht="15" customHeight="1">
      <c r="A38" t="str">
        <f>IF(F38=AZ38,"","F")</f>
        <v/>
      </c>
      <c r="B38" s="394" t="s">
        <v>527</v>
      </c>
      <c r="C38" s="394" t="s">
        <v>427</v>
      </c>
      <c r="D38" s="141" t="s">
        <v>1006</v>
      </c>
      <c r="E38" s="398">
        <v>2600</v>
      </c>
      <c r="F38" s="397">
        <f>E38*G38</f>
        <v>180642.02722077776</v>
      </c>
      <c r="G38" s="397">
        <f>SUM(F29:F33)/SUM(E29:E33)</f>
        <v>69.47770277722222</v>
      </c>
      <c r="H38" s="79" t="s">
        <v>447</v>
      </c>
      <c r="I38" s="79">
        <f>2000+RIGHT(H38,2)</f>
        <v>2026</v>
      </c>
      <c r="J38" s="79" t="str">
        <f>LEFT(H38)+1&amp;"Q"&amp;RIGHT(H38,2)</f>
        <v>4Q26</v>
      </c>
      <c r="K38" s="88" t="s">
        <v>445</v>
      </c>
      <c r="L38" s="79" t="s">
        <v>441</v>
      </c>
      <c r="M38" s="121">
        <f>LEFT(L38)-LEFT(K38)+(RIGHT(L38,2)-RIGHT(K38,2))*4+1</f>
        <v>5</v>
      </c>
      <c r="N38" s="397">
        <v>1</v>
      </c>
      <c r="O38" s="776" t="s">
        <v>1549</v>
      </c>
      <c r="P38" s="400"/>
      <c r="Q38" s="400"/>
      <c r="R38" s="489">
        <f>IF(R$2=$K38,$F38*CHOOSE($N38,'기존수주 매출'!$O$33,'기존수주 매출'!$O$35,'기존수주 매출'!$O$37,'기존수주 매출'!$O$39),0)</f>
        <v>0</v>
      </c>
      <c r="S38" s="489">
        <f>IF(S$2=$K38,$F38*CHOOSE($N38,'기존수주 매출'!$O$33,'기존수주 매출'!$O$35,'기존수주 매출'!$O$37,'기존수주 매출'!$O$39),0)</f>
        <v>0</v>
      </c>
      <c r="T38" s="489">
        <f>IF(T$2=$K38,$F38*CHOOSE($N38,'기존수주 매출'!$O$33,'기존수주 매출'!$O$35,'기존수주 매출'!$O$37,'기존수주 매출'!$O$39),0)</f>
        <v>0</v>
      </c>
      <c r="U38" s="489">
        <f>IF(U$2=$K38,$F38*CHOOSE($N38,'기존수주 매출'!$O$33,'기존수주 매출'!$O$35,'기존수주 매출'!$O$37,'기존수주 매출'!$O$39),0)</f>
        <v>0</v>
      </c>
      <c r="V38" s="489">
        <f>IF(V$2=$K38,$F38*CHOOSE($N38,'기존수주 매출'!$O$33,'기존수주 매출'!$O$35,'기존수주 매출'!$O$37,'기존수주 매출'!$O$39),0)</f>
        <v>0</v>
      </c>
      <c r="W38" s="489">
        <f>IF(W$2=$K38,$F38*CHOOSE($N38,'기존수주 매출'!$O$33,'기존수주 매출'!$O$35,'기존수주 매출'!$O$37,'기존수주 매출'!$O$39),0)</f>
        <v>0</v>
      </c>
      <c r="X38" s="489">
        <f>IF(X$2=$K38,$F38*CHOOSE($N38,'기존수주 매출'!$O$33,'기존수주 매출'!$O$35,'기존수주 매출'!$O$37,'기존수주 매출'!$O$39),0)</f>
        <v>6864.3970343895544</v>
      </c>
      <c r="Y38" s="489">
        <f>$F38*'기존수주 매출'!P33</f>
        <v>28902.724355324441</v>
      </c>
      <c r="Z38" s="489">
        <f>$F38*'기존수주 매출'!Q33</f>
        <v>30709.144627532216</v>
      </c>
      <c r="AA38" s="489">
        <f>$F38*'기존수주 매출'!R33</f>
        <v>32515.564899739995</v>
      </c>
      <c r="AB38" s="489">
        <f>$F38*'기존수주 매출'!S33</f>
        <v>31792.996790856894</v>
      </c>
      <c r="AC38" s="489">
        <f>$F38*'기존수주 매출'!T33</f>
        <v>31792.996790856872</v>
      </c>
      <c r="AD38" s="489">
        <f>$F38*'기존수주 매출'!U33</f>
        <v>18064.202722077771</v>
      </c>
      <c r="AE38" s="489">
        <f>$F38*'기존수주 매출'!V33</f>
        <v>0</v>
      </c>
      <c r="AF38" s="489">
        <f>$F38*'기존수주 매출'!W33</f>
        <v>0</v>
      </c>
      <c r="AG38" s="489">
        <f>$F38*'기존수주 매출'!X33</f>
        <v>0</v>
      </c>
      <c r="AH38" s="489">
        <f>$F38*'기존수주 매출'!Y33</f>
        <v>0</v>
      </c>
      <c r="AI38" s="489">
        <f>$F38*'기존수주 매출'!Z33</f>
        <v>0</v>
      </c>
      <c r="AJ38" s="489">
        <f>$F38*'기존수주 매출'!AA33</f>
        <v>0</v>
      </c>
      <c r="AK38" s="489">
        <f>$F38*'기존수주 매출'!AB33</f>
        <v>0</v>
      </c>
      <c r="AL38" s="489">
        <f>$F38*'기존수주 매출'!AC33</f>
        <v>0</v>
      </c>
      <c r="AM38" s="489">
        <f>$F38*'기존수주 매출'!AD33</f>
        <v>0</v>
      </c>
      <c r="AN38" s="489">
        <f>$F38*'기존수주 매출'!AE33</f>
        <v>0</v>
      </c>
      <c r="AO38" s="489">
        <f>$F38*'기존수주 매출'!AF33</f>
        <v>0</v>
      </c>
      <c r="AP38" s="489">
        <f>$F38*'기존수주 매출'!AG33</f>
        <v>0</v>
      </c>
      <c r="AQ38" s="489">
        <f>$F38*'기존수주 매출'!AH33</f>
        <v>0</v>
      </c>
      <c r="AR38" s="489">
        <f>$F38*'기존수주 매출'!AI33</f>
        <v>0</v>
      </c>
      <c r="AS38" s="489">
        <f>$F38*'기존수주 매출'!AJ33</f>
        <v>0</v>
      </c>
      <c r="AT38" s="489">
        <f>$F38*'기존수주 매출'!AK33</f>
        <v>0</v>
      </c>
      <c r="AU38" s="489">
        <f>$F38*'기존수주 매출'!AL33</f>
        <v>0</v>
      </c>
      <c r="AV38" s="489">
        <f>$F38*'기존수주 매출'!AM33</f>
        <v>0</v>
      </c>
      <c r="AW38" s="489">
        <f>$F38*'기존수주 매출'!AN33</f>
        <v>0</v>
      </c>
      <c r="AX38" s="489">
        <f>$F38*'기존수주 매출'!AO33</f>
        <v>0</v>
      </c>
      <c r="AY38" s="489">
        <f>$F38*'기존수주 매출'!AP33</f>
        <v>0</v>
      </c>
      <c r="AZ38" s="311">
        <f>SUM(R38:AY38)</f>
        <v>180642.02722077776</v>
      </c>
    </row>
    <row r="39" spans="1:52" ht="15" customHeight="1">
      <c r="A39" t="str">
        <f t="shared" ref="A39:A44" si="16">IF(F39=AZ39,"","F")</f>
        <v/>
      </c>
      <c r="B39" s="79" t="s">
        <v>526</v>
      </c>
      <c r="C39" s="79" t="s">
        <v>528</v>
      </c>
      <c r="D39" s="6" t="s">
        <v>1007</v>
      </c>
      <c r="E39" s="147">
        <v>2600</v>
      </c>
      <c r="F39" s="121">
        <f>F38</f>
        <v>180642.02722077776</v>
      </c>
      <c r="G39" s="121"/>
      <c r="H39" s="79" t="s">
        <v>447</v>
      </c>
      <c r="I39" s="79">
        <f>2000+RIGHT(H39,2)</f>
        <v>2026</v>
      </c>
      <c r="J39" s="79" t="str">
        <f>LEFT(H39)+1&amp;"Q"&amp;RIGHT(H39,2)</f>
        <v>4Q26</v>
      </c>
      <c r="K39" s="88" t="s">
        <v>445</v>
      </c>
      <c r="L39" s="79" t="s">
        <v>441</v>
      </c>
      <c r="M39" s="121">
        <f>LEFT(L39)-LEFT(K39)+(RIGHT(L39,2)-RIGHT(K39,2))*4+1</f>
        <v>5</v>
      </c>
      <c r="N39" s="121">
        <v>1</v>
      </c>
      <c r="O39" s="775" t="s">
        <v>1550</v>
      </c>
      <c r="R39" s="311">
        <f>IF(R$2=$K39,$F39*CHOOSE($N39,'기존수주 매출'!$O$33,'기존수주 매출'!$O$35,'기존수주 매출'!$O$37,'기존수주 매출'!$O$39),0)</f>
        <v>0</v>
      </c>
      <c r="S39" s="311">
        <f>IF(S$2=$K39,$F39*CHOOSE($N39,'기존수주 매출'!$O$33,'기존수주 매출'!$O$35,'기존수주 매출'!$O$37,'기존수주 매출'!$O$39),0)</f>
        <v>0</v>
      </c>
      <c r="T39" s="311">
        <f>IF(T$2=$K39,$F39*CHOOSE($N39,'기존수주 매출'!$O$33,'기존수주 매출'!$O$35,'기존수주 매출'!$O$37,'기존수주 매출'!$O$39),0)</f>
        <v>0</v>
      </c>
      <c r="U39" s="311">
        <f>IF(U$2=$K39,$F39*CHOOSE($N39,'기존수주 매출'!$O$33,'기존수주 매출'!$O$35,'기존수주 매출'!$O$37,'기존수주 매출'!$O$39),0)</f>
        <v>0</v>
      </c>
      <c r="V39" s="311">
        <f>IF(V$2=$K39,$F39*CHOOSE($N39,'기존수주 매출'!$O$33,'기존수주 매출'!$O$35,'기존수주 매출'!$O$37,'기존수주 매출'!$O$39),0)</f>
        <v>0</v>
      </c>
      <c r="W39" s="311">
        <f>IF(W$2=$K39,$F39*CHOOSE($N39,'기존수주 매출'!$O$33,'기존수주 매출'!$O$35,'기존수주 매출'!$O$37,'기존수주 매출'!$O$39),0)</f>
        <v>0</v>
      </c>
      <c r="X39" s="311">
        <f>IF(X$2=$K39,$F39*CHOOSE($N39,'기존수주 매출'!$O$33,'기존수주 매출'!$O$35,'기존수주 매출'!$O$37,'기존수주 매출'!$O$39),0)</f>
        <v>6864.3970343895544</v>
      </c>
      <c r="Y39" s="311">
        <f>$F39*'기존수주 매출'!P33</f>
        <v>28902.724355324441</v>
      </c>
      <c r="Z39" s="311">
        <f>$F39*'기존수주 매출'!Q33</f>
        <v>30709.144627532216</v>
      </c>
      <c r="AA39" s="311">
        <f>$F39*'기존수주 매출'!R33</f>
        <v>32515.564899739995</v>
      </c>
      <c r="AB39" s="311">
        <f>$F39*'기존수주 매출'!S33</f>
        <v>31792.996790856894</v>
      </c>
      <c r="AC39" s="311">
        <f>$F39*'기존수주 매출'!T33</f>
        <v>31792.996790856872</v>
      </c>
      <c r="AD39" s="311">
        <f>$F39*'기존수주 매출'!U33</f>
        <v>18064.202722077771</v>
      </c>
      <c r="AE39" s="311">
        <f>$F39*'기존수주 매출'!V33</f>
        <v>0</v>
      </c>
      <c r="AF39" s="311">
        <f>$F39*'기존수주 매출'!W33</f>
        <v>0</v>
      </c>
      <c r="AG39" s="311">
        <f>$F39*'기존수주 매출'!X33</f>
        <v>0</v>
      </c>
      <c r="AH39" s="311">
        <f>$F39*'기존수주 매출'!Y33</f>
        <v>0</v>
      </c>
      <c r="AI39" s="311">
        <f>$F39*'기존수주 매출'!Z33</f>
        <v>0</v>
      </c>
      <c r="AJ39" s="311">
        <f>$F39*'기존수주 매출'!AA33</f>
        <v>0</v>
      </c>
      <c r="AK39" s="311">
        <f>$F39*'기존수주 매출'!AB33</f>
        <v>0</v>
      </c>
      <c r="AL39" s="311">
        <f>$F39*'기존수주 매출'!AC33</f>
        <v>0</v>
      </c>
      <c r="AM39" s="311">
        <f>$F39*'기존수주 매출'!AD33</f>
        <v>0</v>
      </c>
      <c r="AN39" s="311">
        <f>$F39*'기존수주 매출'!AE33</f>
        <v>0</v>
      </c>
      <c r="AO39" s="311">
        <f>$F39*'기존수주 매출'!AF33</f>
        <v>0</v>
      </c>
      <c r="AP39" s="311">
        <f>$F39*'기존수주 매출'!AG33</f>
        <v>0</v>
      </c>
      <c r="AQ39" s="311">
        <f>$F39*'기존수주 매출'!AH33</f>
        <v>0</v>
      </c>
      <c r="AR39" s="311">
        <f>$F39*'기존수주 매출'!AI33</f>
        <v>0</v>
      </c>
      <c r="AS39" s="311">
        <f>$F39*'기존수주 매출'!AJ33</f>
        <v>0</v>
      </c>
      <c r="AT39" s="311">
        <f>$F39*'기존수주 매출'!AK33</f>
        <v>0</v>
      </c>
      <c r="AU39" s="311">
        <f>$F39*'기존수주 매출'!AL33</f>
        <v>0</v>
      </c>
      <c r="AV39" s="311">
        <f>$F39*'기존수주 매출'!AM33</f>
        <v>0</v>
      </c>
      <c r="AW39" s="311">
        <f>$F39*'기존수주 매출'!AN33</f>
        <v>0</v>
      </c>
      <c r="AX39" s="311">
        <f>$F39*'기존수주 매출'!AO33</f>
        <v>0</v>
      </c>
      <c r="AY39" s="311">
        <f>$F39*'기존수주 매출'!AP33</f>
        <v>0</v>
      </c>
      <c r="AZ39" s="311">
        <f t="shared" ref="AZ39:AZ44" si="17">SUM(R39:AY39)</f>
        <v>180642.02722077776</v>
      </c>
    </row>
    <row r="40" spans="1:52" ht="15" customHeight="1">
      <c r="A40" t="str">
        <f t="shared" si="16"/>
        <v/>
      </c>
      <c r="B40" s="79" t="s">
        <v>1008</v>
      </c>
      <c r="C40" s="79" t="s">
        <v>528</v>
      </c>
      <c r="D40" s="6" t="s">
        <v>1009</v>
      </c>
      <c r="E40" s="147">
        <f>7600*25%</f>
        <v>1900</v>
      </c>
      <c r="F40" s="121">
        <f>E40*G40</f>
        <v>140922.56818181818</v>
      </c>
      <c r="G40" s="121">
        <f>F34/E34</f>
        <v>74.169772727272729</v>
      </c>
      <c r="H40" s="79" t="s">
        <v>444</v>
      </c>
      <c r="I40" s="79">
        <f>2000+RIGHT(H40,2)</f>
        <v>2027</v>
      </c>
      <c r="J40" s="79" t="s">
        <v>443</v>
      </c>
      <c r="K40" s="88" t="s">
        <v>442</v>
      </c>
      <c r="L40" s="79" t="s">
        <v>438</v>
      </c>
      <c r="M40" s="121">
        <f>LEFT(L40)-LEFT(K40)+(RIGHT(L40,2)-RIGHT(K40,2))*4+1</f>
        <v>5</v>
      </c>
      <c r="N40" s="121">
        <v>1</v>
      </c>
      <c r="O40" s="773" t="s">
        <v>1551</v>
      </c>
      <c r="R40" s="311">
        <f>IF(R$2=$K40,$F40*CHOOSE($N40,'기존수주 매출'!$O$33,'기존수주 매출'!$O$35,'기존수주 매출'!$O$37,'기존수주 매출'!$O$39),0)</f>
        <v>0</v>
      </c>
      <c r="S40" s="311">
        <f>IF(S$2=$K40,$F40*CHOOSE($N40,'기존수주 매출'!$O$33,'기존수주 매출'!$O$35,'기존수주 매출'!$O$37,'기존수주 매출'!$O$39),0)</f>
        <v>0</v>
      </c>
      <c r="T40" s="311">
        <f>IF(T$2=$K40,$F40*CHOOSE($N40,'기존수주 매출'!$O$33,'기존수주 매출'!$O$35,'기존수주 매출'!$O$37,'기존수주 매출'!$O$39),0)</f>
        <v>0</v>
      </c>
      <c r="U40" s="311">
        <f>IF(U$2=$K40,$F40*CHOOSE($N40,'기존수주 매출'!$O$33,'기존수주 매출'!$O$35,'기존수주 매출'!$O$37,'기존수주 매출'!$O$39),0)</f>
        <v>0</v>
      </c>
      <c r="V40" s="311">
        <f>IF(V$2=$K40,$F40*CHOOSE($N40,'기존수주 매출'!$O$33,'기존수주 매출'!$O$35,'기존수주 매출'!$O$37,'기존수주 매출'!$O$39),0)</f>
        <v>0</v>
      </c>
      <c r="W40" s="311">
        <f>IF(W$2=$K40,$F40*CHOOSE($N40,'기존수주 매출'!$O$33,'기존수주 매출'!$O$35,'기존수주 매출'!$O$37,'기존수주 매출'!$O$39),0)</f>
        <v>0</v>
      </c>
      <c r="X40" s="311">
        <f>IF(X$2=$K40,$F40*CHOOSE($N40,'기존수주 매출'!$O$33,'기존수주 매출'!$O$35,'기존수주 매출'!$O$37,'기존수주 매출'!$O$39),0)</f>
        <v>0</v>
      </c>
      <c r="Y40" s="311">
        <f>IF(Y$2=$K40,$F40*CHOOSE($N40,'기존수주 매출'!$O$33,'기존수주 매출'!$O$35,'기존수주 매출'!$O$37,'기존수주 매출'!$O$39),0)</f>
        <v>0</v>
      </c>
      <c r="Z40" s="311">
        <f>IF(Z$2=$K40,$F40*CHOOSE($N40,'기존수주 매출'!$O$33,'기존수주 매출'!$O$35,'기존수주 매출'!$O$37,'기존수주 매출'!$O$39),0)</f>
        <v>0</v>
      </c>
      <c r="AA40" s="311">
        <f>IF(AA$2=$K40,$F40*CHOOSE($N40,'기존수주 매출'!$O$33,'기존수주 매출'!$O$35,'기존수주 매출'!$O$37,'기존수주 매출'!$O$39),0)</f>
        <v>5355.0575909090903</v>
      </c>
      <c r="AB40" s="311">
        <f>$F40*'기존수주 매출'!P33</f>
        <v>22547.610909090909</v>
      </c>
      <c r="AC40" s="311">
        <f>$F40*'기존수주 매출'!Q33</f>
        <v>23956.836590909086</v>
      </c>
      <c r="AD40" s="311">
        <f>$F40*'기존수주 매출'!R33</f>
        <v>25366.062272727271</v>
      </c>
      <c r="AE40" s="311">
        <f>$F40*'기존수주 매출'!S33</f>
        <v>24802.372000000007</v>
      </c>
      <c r="AF40" s="311">
        <f>$F40*'기존수주 매출'!T33</f>
        <v>24802.371999999988</v>
      </c>
      <c r="AG40" s="311">
        <f>$F40*'기존수주 매출'!U33</f>
        <v>14092.256818181815</v>
      </c>
      <c r="AH40" s="311">
        <f>$F40*'기존수주 매출'!V33</f>
        <v>0</v>
      </c>
      <c r="AI40" s="311">
        <f>$F40*'기존수주 매출'!W33</f>
        <v>0</v>
      </c>
      <c r="AJ40" s="311">
        <f>$F40*'기존수주 매출'!X33</f>
        <v>0</v>
      </c>
      <c r="AK40" s="311">
        <f>$F40*'기존수주 매출'!Y33</f>
        <v>0</v>
      </c>
      <c r="AL40" s="311">
        <f>$F40*'기존수주 매출'!Z33</f>
        <v>0</v>
      </c>
      <c r="AM40" s="311">
        <f>$F40*'기존수주 매출'!AA33</f>
        <v>0</v>
      </c>
      <c r="AN40" s="311">
        <f>$F40*'기존수주 매출'!AB33</f>
        <v>0</v>
      </c>
      <c r="AO40" s="311">
        <f>$F40*'기존수주 매출'!AC33</f>
        <v>0</v>
      </c>
      <c r="AP40" s="311">
        <f>$F40*'기존수주 매출'!AD33</f>
        <v>0</v>
      </c>
      <c r="AQ40" s="311">
        <f>$F40*'기존수주 매출'!AE33</f>
        <v>0</v>
      </c>
      <c r="AR40" s="311">
        <f>$F40*'기존수주 매출'!AF33</f>
        <v>0</v>
      </c>
      <c r="AS40" s="311">
        <f>$F40*'기존수주 매출'!AG33</f>
        <v>0</v>
      </c>
      <c r="AT40" s="311">
        <f>$F40*'기존수주 매출'!AH33</f>
        <v>0</v>
      </c>
      <c r="AU40" s="311">
        <f>$F40*'기존수주 매출'!AI33</f>
        <v>0</v>
      </c>
      <c r="AV40" s="311">
        <f>$F40*'기존수주 매출'!AJ33</f>
        <v>0</v>
      </c>
      <c r="AW40" s="311">
        <f>$F40*'기존수주 매출'!AK33</f>
        <v>0</v>
      </c>
      <c r="AX40" s="311">
        <f>$F40*'기존수주 매출'!AL33</f>
        <v>0</v>
      </c>
      <c r="AY40" s="311">
        <f>$F40*'기존수주 매출'!AM33</f>
        <v>0</v>
      </c>
      <c r="AZ40" s="311">
        <f t="shared" si="17"/>
        <v>140922.56818181818</v>
      </c>
    </row>
    <row r="41" spans="1:52" ht="15" customHeight="1">
      <c r="A41" t="str">
        <f t="shared" si="16"/>
        <v/>
      </c>
      <c r="B41" s="79" t="s">
        <v>527</v>
      </c>
      <c r="C41" s="79" t="s">
        <v>528</v>
      </c>
      <c r="D41" s="6" t="s">
        <v>685</v>
      </c>
      <c r="E41" s="147">
        <v>2700</v>
      </c>
      <c r="F41" s="121">
        <f>E41*G41</f>
        <v>163994.96249999999</v>
      </c>
      <c r="G41" s="121">
        <f>F35/E35</f>
        <v>60.738874999999993</v>
      </c>
      <c r="H41" s="79" t="s">
        <v>446</v>
      </c>
      <c r="I41" s="79">
        <f t="shared" ref="I41" si="18">2000+RIGHT(H41,2)</f>
        <v>2026</v>
      </c>
      <c r="J41" s="79" t="s">
        <v>445</v>
      </c>
      <c r="K41" s="88" t="s">
        <v>444</v>
      </c>
      <c r="L41" s="79" t="s">
        <v>440</v>
      </c>
      <c r="M41" s="121">
        <f t="shared" ref="M41:M44" si="19">LEFT(L41)-LEFT(K41)+(RIGHT(L41,2)-RIGHT(K41,2))*4+1</f>
        <v>5</v>
      </c>
      <c r="N41" s="121">
        <v>1</v>
      </c>
      <c r="O41" s="773" t="s">
        <v>1552</v>
      </c>
      <c r="R41" s="311">
        <f>IF(R$2=$K41,$F41*CHOOSE($N41,'기존수주 매출'!$O$33,'기존수주 매출'!$O$35,'기존수주 매출'!$O$37,'기존수주 매출'!$O$39),0)</f>
        <v>0</v>
      </c>
      <c r="S41" s="311">
        <f>IF(S$2=$K41,$F41*CHOOSE($N41,'기존수주 매출'!$O$33,'기존수주 매출'!$O$35,'기존수주 매출'!$O$37,'기존수주 매출'!$O$39),0)</f>
        <v>0</v>
      </c>
      <c r="T41" s="311">
        <f>IF(T$2=$K41,$F41*CHOOSE($N41,'기존수주 매출'!$O$33,'기존수주 매출'!$O$35,'기존수주 매출'!$O$37,'기존수주 매출'!$O$39),0)</f>
        <v>0</v>
      </c>
      <c r="U41" s="311">
        <f>IF(U$2=$K41,$F41*CHOOSE($N41,'기존수주 매출'!$O$33,'기존수주 매출'!$O$35,'기존수주 매출'!$O$37,'기존수주 매출'!$O$39),0)</f>
        <v>0</v>
      </c>
      <c r="V41" s="311">
        <f>IF(V$2=$K41,$F41*CHOOSE($N41,'기존수주 매출'!$O$33,'기존수주 매출'!$O$35,'기존수주 매출'!$O$37,'기존수주 매출'!$O$39),0)</f>
        <v>0</v>
      </c>
      <c r="W41" s="311">
        <f>IF(W$2=$K41,$F41*CHOOSE($N41,'기존수주 매출'!$O$33,'기존수주 매출'!$O$35,'기존수주 매출'!$O$37,'기존수주 매출'!$O$39),0)</f>
        <v>0</v>
      </c>
      <c r="X41" s="311">
        <f>IF(X$2=$K41,$F41*CHOOSE($N41,'기존수주 매출'!$O$33,'기존수주 매출'!$O$35,'기존수주 매출'!$O$37,'기존수주 매출'!$O$39),0)</f>
        <v>0</v>
      </c>
      <c r="Y41" s="311">
        <f>IF(Y$2=$K41,$F41*CHOOSE($N41,'기존수주 매출'!$O$33,'기존수주 매출'!$O$35,'기존수주 매출'!$O$37,'기존수주 매출'!$O$39),0)</f>
        <v>6231.808575</v>
      </c>
      <c r="Z41" s="311">
        <f>$F41*'기존수주 매출'!P33</f>
        <v>26239.194</v>
      </c>
      <c r="AA41" s="311">
        <f>$F41*'기존수주 매출'!Q33</f>
        <v>27879.143624999997</v>
      </c>
      <c r="AB41" s="311">
        <f>$F41*'기존수주 매출'!R33</f>
        <v>29519.093249999998</v>
      </c>
      <c r="AC41" s="311">
        <f>$F41*'기존수주 매출'!S33</f>
        <v>28863.113400000006</v>
      </c>
      <c r="AD41" s="311">
        <f>$F41*'기존수주 매출'!T33</f>
        <v>28863.113399999987</v>
      </c>
      <c r="AE41" s="311">
        <f>$F41*'기존수주 매출'!U33</f>
        <v>16399.496249999997</v>
      </c>
      <c r="AF41" s="311">
        <f>$F41*'기존수주 매출'!V33</f>
        <v>0</v>
      </c>
      <c r="AG41" s="311">
        <f>$F41*'기존수주 매출'!W33</f>
        <v>0</v>
      </c>
      <c r="AH41" s="311">
        <f>$F41*'기존수주 매출'!X33</f>
        <v>0</v>
      </c>
      <c r="AI41" s="311">
        <f>$F41*'기존수주 매출'!Y33</f>
        <v>0</v>
      </c>
      <c r="AJ41" s="311">
        <f>$F41*'기존수주 매출'!Z33</f>
        <v>0</v>
      </c>
      <c r="AK41" s="311">
        <f>$F41*'기존수주 매출'!AA33</f>
        <v>0</v>
      </c>
      <c r="AL41" s="311">
        <f>$F41*'기존수주 매출'!AB33</f>
        <v>0</v>
      </c>
      <c r="AM41" s="311">
        <f>$F41*'기존수주 매출'!AC33</f>
        <v>0</v>
      </c>
      <c r="AN41" s="311">
        <f>$F41*'기존수주 매출'!AD33</f>
        <v>0</v>
      </c>
      <c r="AO41" s="311">
        <f>$F41*'기존수주 매출'!AE33</f>
        <v>0</v>
      </c>
      <c r="AP41" s="311">
        <f>$F41*'기존수주 매출'!AF33</f>
        <v>0</v>
      </c>
      <c r="AQ41" s="311">
        <f>$F41*'기존수주 매출'!AG33</f>
        <v>0</v>
      </c>
      <c r="AR41" s="311">
        <f>$F41*'기존수주 매출'!AH33</f>
        <v>0</v>
      </c>
      <c r="AS41" s="311">
        <f>$F41*'기존수주 매출'!AI33</f>
        <v>0</v>
      </c>
      <c r="AT41" s="311">
        <f>$F41*'기존수주 매출'!AJ33</f>
        <v>0</v>
      </c>
      <c r="AU41" s="311">
        <f>$F41*'기존수주 매출'!AK33</f>
        <v>0</v>
      </c>
      <c r="AV41" s="311">
        <f>$F41*'기존수주 매출'!AL33</f>
        <v>0</v>
      </c>
      <c r="AW41" s="311">
        <f>$F41*'기존수주 매출'!AM33</f>
        <v>0</v>
      </c>
      <c r="AX41" s="311">
        <f>$F41*'기존수주 매출'!AN33</f>
        <v>0</v>
      </c>
      <c r="AY41" s="311">
        <f>$F41*'기존수주 매출'!AO33</f>
        <v>0</v>
      </c>
      <c r="AZ41" s="311">
        <f t="shared" si="17"/>
        <v>163994.96249999999</v>
      </c>
    </row>
    <row r="42" spans="1:52" ht="15" customHeight="1">
      <c r="A42" t="str">
        <f t="shared" si="16"/>
        <v/>
      </c>
      <c r="B42" s="79" t="s">
        <v>526</v>
      </c>
      <c r="C42" s="79" t="s">
        <v>528</v>
      </c>
      <c r="D42" s="6" t="s">
        <v>684</v>
      </c>
      <c r="E42" s="147">
        <v>1800</v>
      </c>
      <c r="F42" s="121">
        <f>E42*G42</f>
        <v>109329.97499999999</v>
      </c>
      <c r="G42" s="121">
        <f>G41</f>
        <v>60.738874999999993</v>
      </c>
      <c r="H42" s="79" t="s">
        <v>446</v>
      </c>
      <c r="I42" s="79">
        <f t="shared" ref="I42:I43" si="20">2000+RIGHT(H42,2)</f>
        <v>2026</v>
      </c>
      <c r="J42" s="79" t="s">
        <v>445</v>
      </c>
      <c r="K42" s="88" t="s">
        <v>444</v>
      </c>
      <c r="L42" s="79" t="s">
        <v>440</v>
      </c>
      <c r="M42" s="121">
        <f t="shared" si="19"/>
        <v>5</v>
      </c>
      <c r="N42" s="121">
        <v>1</v>
      </c>
      <c r="O42" s="773" t="s">
        <v>1553</v>
      </c>
      <c r="R42" s="311">
        <f>IF(R$2=$K42,$F42*CHOOSE($N42,'기존수주 매출'!$O$33,'기존수주 매출'!$O$35,'기존수주 매출'!$O$37,'기존수주 매출'!$O$39),0)</f>
        <v>0</v>
      </c>
      <c r="S42" s="311">
        <f>IF(S$2=$K42,$F42*CHOOSE($N42,'기존수주 매출'!$O$33,'기존수주 매출'!$O$35,'기존수주 매출'!$O$37,'기존수주 매출'!$O$39),0)</f>
        <v>0</v>
      </c>
      <c r="T42" s="311">
        <f>IF(T$2=$K42,$F42*CHOOSE($N42,'기존수주 매출'!$O$33,'기존수주 매출'!$O$35,'기존수주 매출'!$O$37,'기존수주 매출'!$O$39),0)</f>
        <v>0</v>
      </c>
      <c r="U42" s="311">
        <f>IF(U$2=$K42,$F42*CHOOSE($N42,'기존수주 매출'!$O$33,'기존수주 매출'!$O$35,'기존수주 매출'!$O$37,'기존수주 매출'!$O$39),0)</f>
        <v>0</v>
      </c>
      <c r="V42" s="311">
        <f>IF(V$2=$K42,$F42*CHOOSE($N42,'기존수주 매출'!$O$33,'기존수주 매출'!$O$35,'기존수주 매출'!$O$37,'기존수주 매출'!$O$39),0)</f>
        <v>0</v>
      </c>
      <c r="W42" s="311">
        <f>IF(W$2=$K42,$F42*CHOOSE($N42,'기존수주 매출'!$O$33,'기존수주 매출'!$O$35,'기존수주 매출'!$O$37,'기존수주 매출'!$O$39),0)</f>
        <v>0</v>
      </c>
      <c r="X42" s="311">
        <f>IF(X$2=$K42,$F42*CHOOSE($N42,'기존수주 매출'!$O$33,'기존수주 매출'!$O$35,'기존수주 매출'!$O$37,'기존수주 매출'!$O$39),0)</f>
        <v>0</v>
      </c>
      <c r="Y42" s="311">
        <f>IF(Y$2=$K42,$F42*CHOOSE($N42,'기존수주 매출'!$O$33,'기존수주 매출'!$O$35,'기존수주 매출'!$O$37,'기존수주 매출'!$O$39),0)</f>
        <v>4154.5390499999994</v>
      </c>
      <c r="Z42" s="311">
        <f>$F42*'기존수주 매출'!P33</f>
        <v>17492.795999999998</v>
      </c>
      <c r="AA42" s="311">
        <f>$F42*'기존수주 매출'!Q33</f>
        <v>18586.095749999997</v>
      </c>
      <c r="AB42" s="311">
        <f>$F42*'기존수주 매출'!R33</f>
        <v>19679.395499999999</v>
      </c>
      <c r="AC42" s="311">
        <f>$F42*'기존수주 매출'!S33</f>
        <v>19242.075600000004</v>
      </c>
      <c r="AD42" s="311">
        <f>$F42*'기존수주 매출'!T33</f>
        <v>19242.075599999993</v>
      </c>
      <c r="AE42" s="311">
        <f>$F42*'기존수주 매출'!U33</f>
        <v>10932.997499999996</v>
      </c>
      <c r="AF42" s="311">
        <f>$F42*'기존수주 매출'!V33</f>
        <v>0</v>
      </c>
      <c r="AG42" s="311">
        <f>$F42*'기존수주 매출'!W33</f>
        <v>0</v>
      </c>
      <c r="AH42" s="311">
        <f>$F42*'기존수주 매출'!X33</f>
        <v>0</v>
      </c>
      <c r="AI42" s="311">
        <f>$F42*'기존수주 매출'!Y33</f>
        <v>0</v>
      </c>
      <c r="AJ42" s="311">
        <f>$F42*'기존수주 매출'!Z33</f>
        <v>0</v>
      </c>
      <c r="AK42" s="311">
        <f>$F42*'기존수주 매출'!AA33</f>
        <v>0</v>
      </c>
      <c r="AL42" s="311">
        <f>$F42*'기존수주 매출'!AB33</f>
        <v>0</v>
      </c>
      <c r="AM42" s="311">
        <f>$F42*'기존수주 매출'!AC33</f>
        <v>0</v>
      </c>
      <c r="AN42" s="311">
        <f>$F42*'기존수주 매출'!AD33</f>
        <v>0</v>
      </c>
      <c r="AO42" s="311">
        <f>$F42*'기존수주 매출'!AE33</f>
        <v>0</v>
      </c>
      <c r="AP42" s="311">
        <f>$F42*'기존수주 매출'!AF33</f>
        <v>0</v>
      </c>
      <c r="AQ42" s="311">
        <f>$F42*'기존수주 매출'!AG33</f>
        <v>0</v>
      </c>
      <c r="AR42" s="311">
        <f>$F42*'기존수주 매출'!AH33</f>
        <v>0</v>
      </c>
      <c r="AS42" s="311">
        <f>$F42*'기존수주 매출'!AI33</f>
        <v>0</v>
      </c>
      <c r="AT42" s="311">
        <f>$F42*'기존수주 매출'!AJ33</f>
        <v>0</v>
      </c>
      <c r="AU42" s="311">
        <f>$F42*'기존수주 매출'!AK33</f>
        <v>0</v>
      </c>
      <c r="AV42" s="311">
        <f>$F42*'기존수주 매출'!AL33</f>
        <v>0</v>
      </c>
      <c r="AW42" s="311">
        <f>$F42*'기존수주 매출'!AM33</f>
        <v>0</v>
      </c>
      <c r="AX42" s="311">
        <f>$F42*'기존수주 매출'!AN33</f>
        <v>0</v>
      </c>
      <c r="AY42" s="311">
        <f>$F42*'기존수주 매출'!AO33</f>
        <v>0</v>
      </c>
      <c r="AZ42" s="311">
        <f t="shared" si="17"/>
        <v>109329.97499999999</v>
      </c>
    </row>
    <row r="43" spans="1:52" ht="15" customHeight="1">
      <c r="A43" t="str">
        <f t="shared" si="16"/>
        <v/>
      </c>
      <c r="B43" s="79" t="s">
        <v>526</v>
      </c>
      <c r="C43" s="79" t="s">
        <v>528</v>
      </c>
      <c r="D43" s="6" t="s">
        <v>683</v>
      </c>
      <c r="E43" s="147">
        <v>3600</v>
      </c>
      <c r="F43" s="121">
        <f>E43*G43</f>
        <v>218659.94999999998</v>
      </c>
      <c r="G43" s="121">
        <f>G42</f>
        <v>60.738874999999993</v>
      </c>
      <c r="H43" s="79" t="s">
        <v>442</v>
      </c>
      <c r="I43" s="79">
        <f t="shared" si="20"/>
        <v>2027</v>
      </c>
      <c r="J43" s="79" t="s">
        <v>441</v>
      </c>
      <c r="K43" s="88" t="s">
        <v>440</v>
      </c>
      <c r="L43" s="79" t="s">
        <v>984</v>
      </c>
      <c r="M43" s="121">
        <f t="shared" si="19"/>
        <v>5</v>
      </c>
      <c r="N43" s="121">
        <v>1</v>
      </c>
      <c r="O43" s="773" t="s">
        <v>1569</v>
      </c>
      <c r="R43" s="311">
        <f>IF(R$2=$K43,$F43*CHOOSE($N43,'기존수주 매출'!$O$33,'기존수주 매출'!$O$35,'기존수주 매출'!$O$37,'기존수주 매출'!$O$39),0)</f>
        <v>0</v>
      </c>
      <c r="S43" s="311">
        <f>IF(S$2=$K43,$F43*CHOOSE($N43,'기존수주 매출'!$O$33,'기존수주 매출'!$O$35,'기존수주 매출'!$O$37,'기존수주 매출'!$O$39),0)</f>
        <v>0</v>
      </c>
      <c r="T43" s="311">
        <f>IF(T$2=$K43,$F43*CHOOSE($N43,'기존수주 매출'!$O$33,'기존수주 매출'!$O$35,'기존수주 매출'!$O$37,'기존수주 매출'!$O$39),0)</f>
        <v>0</v>
      </c>
      <c r="U43" s="311">
        <f>IF(U$2=$K43,$F43*CHOOSE($N43,'기존수주 매출'!$O$33,'기존수주 매출'!$O$35,'기존수주 매출'!$O$37,'기존수주 매출'!$O$39),0)</f>
        <v>0</v>
      </c>
      <c r="V43" s="311">
        <f>IF(V$2=$K43,$F43*CHOOSE($N43,'기존수주 매출'!$O$33,'기존수주 매출'!$O$35,'기존수주 매출'!$O$37,'기존수주 매출'!$O$39),0)</f>
        <v>0</v>
      </c>
      <c r="W43" s="311">
        <f>IF(W$2=$K43,$F43*CHOOSE($N43,'기존수주 매출'!$O$33,'기존수주 매출'!$O$35,'기존수주 매출'!$O$37,'기존수주 매출'!$O$39),0)</f>
        <v>0</v>
      </c>
      <c r="X43" s="311">
        <f>IF(X$2=$K43,$F43*CHOOSE($N43,'기존수주 매출'!$O$33,'기존수주 매출'!$O$35,'기존수주 매출'!$O$37,'기존수주 매출'!$O$39),0)</f>
        <v>0</v>
      </c>
      <c r="Y43" s="311">
        <f>IF(Y$2=$K43,$F43*CHOOSE($N43,'기존수주 매출'!$O$33,'기존수주 매출'!$O$35,'기존수주 매출'!$O$37,'기존수주 매출'!$O$39),0)</f>
        <v>0</v>
      </c>
      <c r="Z43" s="311">
        <f>IF(Z$2=$K43,$F43*CHOOSE($N43,'기존수주 매출'!$O$33,'기존수주 매출'!$O$35,'기존수주 매출'!$O$37,'기존수주 매출'!$O$39),0)</f>
        <v>0</v>
      </c>
      <c r="AA43" s="311">
        <f>IF(AA$2=$K43,$F43*CHOOSE($N43,'기존수주 매출'!$O$33,'기존수주 매출'!$O$35,'기존수주 매출'!$O$37,'기존수주 매출'!$O$39),0)</f>
        <v>0</v>
      </c>
      <c r="AB43" s="311">
        <f>IF(AB$2=$K43,$F43*CHOOSE($N43,'기존수주 매출'!$O$33,'기존수주 매출'!$O$35,'기존수주 매출'!$O$37,'기존수주 매출'!$O$39),0)</f>
        <v>0</v>
      </c>
      <c r="AC43" s="311">
        <f>IF(AC$2=$K43,$F43*CHOOSE($N43,'기존수주 매출'!$O$33,'기존수주 매출'!$O$35,'기존수주 매출'!$O$37,'기존수주 매출'!$O$39),0)</f>
        <v>8309.0780999999988</v>
      </c>
      <c r="AD43" s="311">
        <f>$F43*'기존수주 매출'!P33</f>
        <v>34985.591999999997</v>
      </c>
      <c r="AE43" s="311">
        <f>$F43*'기존수주 매출'!Q33</f>
        <v>37172.191499999994</v>
      </c>
      <c r="AF43" s="311">
        <f>$F43*'기존수주 매출'!R33</f>
        <v>39358.790999999997</v>
      </c>
      <c r="AG43" s="311">
        <f>$F43*'기존수주 매출'!S33</f>
        <v>38484.151200000008</v>
      </c>
      <c r="AH43" s="311">
        <f>$F43*'기존수주 매출'!T33</f>
        <v>38484.151199999986</v>
      </c>
      <c r="AI43" s="311">
        <f>$F43*'기존수주 매출'!U33</f>
        <v>21865.994999999992</v>
      </c>
      <c r="AJ43" s="311">
        <f>$F43*'기존수주 매출'!V33</f>
        <v>0</v>
      </c>
      <c r="AK43" s="311">
        <f>$F43*'기존수주 매출'!W33</f>
        <v>0</v>
      </c>
      <c r="AL43" s="311">
        <f>$F43*'기존수주 매출'!X33</f>
        <v>0</v>
      </c>
      <c r="AM43" s="311">
        <f>$F43*'기존수주 매출'!Y33</f>
        <v>0</v>
      </c>
      <c r="AN43" s="311">
        <f>$F43*'기존수주 매출'!Z33</f>
        <v>0</v>
      </c>
      <c r="AO43" s="311">
        <f>$F43*'기존수주 매출'!AA33</f>
        <v>0</v>
      </c>
      <c r="AP43" s="311">
        <f>$F43*'기존수주 매출'!AB33</f>
        <v>0</v>
      </c>
      <c r="AQ43" s="311">
        <f>$F43*'기존수주 매출'!AC33</f>
        <v>0</v>
      </c>
      <c r="AR43" s="311">
        <f>$F43*'기존수주 매출'!AD33</f>
        <v>0</v>
      </c>
      <c r="AS43" s="311">
        <f>$F43*'기존수주 매출'!AE33</f>
        <v>0</v>
      </c>
      <c r="AT43" s="311">
        <f>$F43*'기존수주 매출'!AF33</f>
        <v>0</v>
      </c>
      <c r="AU43" s="311">
        <f>$F43*'기존수주 매출'!AG33</f>
        <v>0</v>
      </c>
      <c r="AV43" s="311">
        <f>$F43*'기존수주 매출'!AH33</f>
        <v>0</v>
      </c>
      <c r="AW43" s="311">
        <f>$F43*'기존수주 매출'!AI33</f>
        <v>0</v>
      </c>
      <c r="AX43" s="311">
        <f>$F43*'기존수주 매출'!AJ33</f>
        <v>0</v>
      </c>
      <c r="AY43" s="311">
        <f>$F43*'기존수주 매출'!AK33</f>
        <v>0</v>
      </c>
      <c r="AZ43" s="311">
        <f t="shared" si="17"/>
        <v>218659.94999999998</v>
      </c>
    </row>
    <row r="44" spans="1:52" ht="15" customHeight="1">
      <c r="A44" t="str">
        <f t="shared" si="16"/>
        <v/>
      </c>
      <c r="B44" s="139" t="s">
        <v>525</v>
      </c>
      <c r="C44" s="139" t="s">
        <v>528</v>
      </c>
      <c r="D44" s="59" t="s">
        <v>682</v>
      </c>
      <c r="E44" s="143">
        <v>152000</v>
      </c>
      <c r="F44" s="140">
        <f>10000*1350*7%*10%</f>
        <v>94500.000000000015</v>
      </c>
      <c r="G44" s="140">
        <f>F36/E36</f>
        <v>57.747651570000002</v>
      </c>
      <c r="H44" s="139" t="s">
        <v>442</v>
      </c>
      <c r="I44" s="139">
        <f t="shared" ref="I44" si="21">2000+RIGHT(H44,2)</f>
        <v>2027</v>
      </c>
      <c r="J44" s="139" t="s">
        <v>441</v>
      </c>
      <c r="K44" s="138" t="s">
        <v>440</v>
      </c>
      <c r="L44" s="139" t="s">
        <v>984</v>
      </c>
      <c r="M44" s="140">
        <f t="shared" si="19"/>
        <v>5</v>
      </c>
      <c r="N44" s="140">
        <v>1</v>
      </c>
      <c r="O44" s="774" t="s">
        <v>1570</v>
      </c>
      <c r="P44" s="401"/>
      <c r="Q44" s="401"/>
      <c r="R44" s="490">
        <f>IF(R$2=$K44,$F44*CHOOSE($N44,'기존수주 매출'!$O$33,'기존수주 매출'!$O$35,'기존수주 매출'!$O$37,'기존수주 매출'!$O$39),0)</f>
        <v>0</v>
      </c>
      <c r="S44" s="490">
        <f>IF(S$2=$K44,$F44*CHOOSE($N44,'기존수주 매출'!$O$33,'기존수주 매출'!$O$35,'기존수주 매출'!$O$37,'기존수주 매출'!$O$39),0)</f>
        <v>0</v>
      </c>
      <c r="T44" s="490">
        <f>IF(T$2=$K44,$F44*CHOOSE($N44,'기존수주 매출'!$O$33,'기존수주 매출'!$O$35,'기존수주 매출'!$O$37,'기존수주 매출'!$O$39),0)</f>
        <v>0</v>
      </c>
      <c r="U44" s="490">
        <f>IF(U$2=$K44,$F44*CHOOSE($N44,'기존수주 매출'!$O$33,'기존수주 매출'!$O$35,'기존수주 매출'!$O$37,'기존수주 매출'!$O$39),0)</f>
        <v>0</v>
      </c>
      <c r="V44" s="490">
        <f>IF(V$2=$K44,$F44*CHOOSE($N44,'기존수주 매출'!$O$33,'기존수주 매출'!$O$35,'기존수주 매출'!$O$37,'기존수주 매출'!$O$39),0)</f>
        <v>0</v>
      </c>
      <c r="W44" s="490">
        <f>IF(W$2=$K44,$F44*CHOOSE($N44,'기존수주 매출'!$O$33,'기존수주 매출'!$O$35,'기존수주 매출'!$O$37,'기존수주 매출'!$O$39),0)</f>
        <v>0</v>
      </c>
      <c r="X44" s="490">
        <f>IF(X$2=$K44,$F44*CHOOSE($N44,'기존수주 매출'!$O$33,'기존수주 매출'!$O$35,'기존수주 매출'!$O$37,'기존수주 매출'!$O$39),0)</f>
        <v>0</v>
      </c>
      <c r="Y44" s="490">
        <f>IF(Y$2=$K44,$F44*CHOOSE($N44,'기존수주 매출'!$O$33,'기존수주 매출'!$O$35,'기존수주 매출'!$O$37,'기존수주 매출'!$O$39),0)</f>
        <v>0</v>
      </c>
      <c r="Z44" s="490">
        <f>IF(Z$2=$K44,$F44*CHOOSE($N44,'기존수주 매출'!$O$33,'기존수주 매출'!$O$35,'기존수주 매출'!$O$37,'기존수주 매출'!$O$39),0)</f>
        <v>0</v>
      </c>
      <c r="AA44" s="490">
        <f>IF(AA$2=$K44,$F44*CHOOSE($N44,'기존수주 매출'!$O$33,'기존수주 매출'!$O$35,'기존수주 매출'!$O$37,'기존수주 매출'!$O$39),0)</f>
        <v>0</v>
      </c>
      <c r="AB44" s="490">
        <f>IF(AB$2=$K44,$F44*CHOOSE($N44,'기존수주 매출'!$O$33,'기존수주 매출'!$O$35,'기존수주 매출'!$O$37,'기존수주 매출'!$O$39),0)</f>
        <v>0</v>
      </c>
      <c r="AC44" s="490">
        <f>IF(AC$2=$K44,$F44*CHOOSE($N44,'기존수주 매출'!$O$33,'기존수주 매출'!$O$35,'기존수주 매출'!$O$37,'기존수주 매출'!$O$39),0)</f>
        <v>3591.0000000000005</v>
      </c>
      <c r="AD44" s="490">
        <f>$F44*'기존수주 매출'!P33</f>
        <v>15120.000000000002</v>
      </c>
      <c r="AE44" s="490">
        <f>$F44*'기존수주 매출'!Q33</f>
        <v>16065.000000000002</v>
      </c>
      <c r="AF44" s="490">
        <f>$F44*'기존수주 매출'!R33</f>
        <v>17010.000000000004</v>
      </c>
      <c r="AG44" s="490">
        <f>$F44*'기존수주 매출'!S33</f>
        <v>16632.000000000007</v>
      </c>
      <c r="AH44" s="490">
        <f>$F44*'기존수주 매출'!T33</f>
        <v>16631.999999999996</v>
      </c>
      <c r="AI44" s="490">
        <f>$F44*'기존수주 매출'!U33</f>
        <v>9450</v>
      </c>
      <c r="AJ44" s="490">
        <f>$F44*'기존수주 매출'!V33</f>
        <v>0</v>
      </c>
      <c r="AK44" s="490">
        <f>$F44*'기존수주 매출'!W33</f>
        <v>0</v>
      </c>
      <c r="AL44" s="490">
        <f>$F44*'기존수주 매출'!X33</f>
        <v>0</v>
      </c>
      <c r="AM44" s="490">
        <f>$F44*'기존수주 매출'!Y33</f>
        <v>0</v>
      </c>
      <c r="AN44" s="490">
        <f>$F44*'기존수주 매출'!Z33</f>
        <v>0</v>
      </c>
      <c r="AO44" s="490">
        <f>$F44*'기존수주 매출'!AA33</f>
        <v>0</v>
      </c>
      <c r="AP44" s="490">
        <f>$F44*'기존수주 매출'!AB33</f>
        <v>0</v>
      </c>
      <c r="AQ44" s="490">
        <f>$F44*'기존수주 매출'!AC33</f>
        <v>0</v>
      </c>
      <c r="AR44" s="490">
        <f>$F44*'기존수주 매출'!AD33</f>
        <v>0</v>
      </c>
      <c r="AS44" s="490">
        <f>$F44*'기존수주 매출'!AE33</f>
        <v>0</v>
      </c>
      <c r="AT44" s="490">
        <f>$F44*'기존수주 매출'!AF33</f>
        <v>0</v>
      </c>
      <c r="AU44" s="490">
        <f>$F44*'기존수주 매출'!AG33</f>
        <v>0</v>
      </c>
      <c r="AV44" s="490">
        <f>$F44*'기존수주 매출'!AH33</f>
        <v>0</v>
      </c>
      <c r="AW44" s="490">
        <f>$F44*'기존수주 매출'!AI33</f>
        <v>0</v>
      </c>
      <c r="AX44" s="490">
        <f>$F44*'기존수주 매출'!AJ33</f>
        <v>0</v>
      </c>
      <c r="AY44" s="490">
        <f>$F44*'기존수주 매출'!AK33</f>
        <v>0</v>
      </c>
      <c r="AZ44" s="311">
        <f t="shared" si="17"/>
        <v>94500.000000000029</v>
      </c>
    </row>
    <row r="45" spans="1:52" s="8" customFormat="1" ht="15" customHeight="1">
      <c r="A45" s="412"/>
      <c r="B45" s="89"/>
      <c r="E45" s="413"/>
      <c r="F45" s="87">
        <f>SUM(F38:F44)</f>
        <v>1088691.5101233737</v>
      </c>
      <c r="G45" s="87"/>
      <c r="H45" s="89"/>
      <c r="I45" s="89"/>
      <c r="J45" s="89"/>
      <c r="K45" s="272"/>
      <c r="L45" s="89"/>
      <c r="M45" s="87"/>
      <c r="N45" s="87"/>
      <c r="O45" s="87"/>
      <c r="P45" s="414"/>
      <c r="Q45" s="414"/>
      <c r="AZ45" s="311">
        <f t="shared" ref="AZ45" si="22">SUM(R45:AY45)</f>
        <v>0</v>
      </c>
    </row>
    <row r="46" spans="1:52" s="494" customFormat="1" ht="15" customHeight="1">
      <c r="B46" s="495"/>
      <c r="C46" s="495"/>
      <c r="D46" s="491" t="s">
        <v>979</v>
      </c>
      <c r="G46" s="496"/>
      <c r="H46" s="359"/>
      <c r="I46" s="359"/>
      <c r="K46" s="356"/>
      <c r="L46" s="357"/>
      <c r="M46" s="496"/>
      <c r="N46" s="496"/>
      <c r="O46" s="496"/>
      <c r="P46" s="497"/>
      <c r="Q46" s="497"/>
      <c r="R46" s="498">
        <f t="shared" ref="R46" si="23">R47+SUMIF($B37:$B44,"잠재",R37:R44)</f>
        <v>0</v>
      </c>
      <c r="S46" s="498">
        <f t="shared" ref="S46:AY46" si="24">S47+SUMIF($B37:$B44,"잠재",S37:S44)</f>
        <v>0</v>
      </c>
      <c r="T46" s="498">
        <f t="shared" si="24"/>
        <v>0</v>
      </c>
      <c r="U46" s="498">
        <f t="shared" si="24"/>
        <v>0</v>
      </c>
      <c r="V46" s="498">
        <f t="shared" si="24"/>
        <v>0</v>
      </c>
      <c r="W46" s="498">
        <f t="shared" si="24"/>
        <v>0</v>
      </c>
      <c r="X46" s="498">
        <f t="shared" si="24"/>
        <v>13728.794068779109</v>
      </c>
      <c r="Y46" s="498">
        <f t="shared" si="24"/>
        <v>68191.796335648891</v>
      </c>
      <c r="Z46" s="498">
        <f t="shared" si="24"/>
        <v>105150.27925506442</v>
      </c>
      <c r="AA46" s="498">
        <f t="shared" si="24"/>
        <v>116851.42676538907</v>
      </c>
      <c r="AB46" s="498">
        <f t="shared" si="24"/>
        <v>135332.09324080468</v>
      </c>
      <c r="AC46" s="498">
        <f t="shared" si="24"/>
        <v>147548.09727262284</v>
      </c>
      <c r="AD46" s="498">
        <f t="shared" si="24"/>
        <v>159705.24871688278</v>
      </c>
      <c r="AE46" s="498">
        <f t="shared" si="24"/>
        <v>105372.05724999998</v>
      </c>
      <c r="AF46" s="498">
        <f t="shared" si="24"/>
        <v>81171.162999999986</v>
      </c>
      <c r="AG46" s="498">
        <f t="shared" si="24"/>
        <v>69208.408018181828</v>
      </c>
      <c r="AH46" s="498">
        <f t="shared" si="24"/>
        <v>55116.151199999978</v>
      </c>
      <c r="AI46" s="498">
        <f t="shared" si="24"/>
        <v>31315.994999999992</v>
      </c>
      <c r="AJ46" s="498">
        <f t="shared" si="24"/>
        <v>0</v>
      </c>
      <c r="AK46" s="498">
        <f t="shared" si="24"/>
        <v>0</v>
      </c>
      <c r="AL46" s="498">
        <f t="shared" si="24"/>
        <v>0</v>
      </c>
      <c r="AM46" s="498">
        <f t="shared" si="24"/>
        <v>0</v>
      </c>
      <c r="AN46" s="498">
        <f t="shared" si="24"/>
        <v>0</v>
      </c>
      <c r="AO46" s="498">
        <f t="shared" si="24"/>
        <v>0</v>
      </c>
      <c r="AP46" s="498">
        <f t="shared" si="24"/>
        <v>0</v>
      </c>
      <c r="AQ46" s="498">
        <f t="shared" si="24"/>
        <v>0</v>
      </c>
      <c r="AR46" s="498">
        <f t="shared" si="24"/>
        <v>0</v>
      </c>
      <c r="AS46" s="498">
        <f t="shared" si="24"/>
        <v>0</v>
      </c>
      <c r="AT46" s="498">
        <f t="shared" si="24"/>
        <v>0</v>
      </c>
      <c r="AU46" s="498">
        <f t="shared" si="24"/>
        <v>0</v>
      </c>
      <c r="AV46" s="498">
        <f t="shared" si="24"/>
        <v>0</v>
      </c>
      <c r="AW46" s="498">
        <f t="shared" si="24"/>
        <v>0</v>
      </c>
      <c r="AX46" s="498">
        <f t="shared" si="24"/>
        <v>0</v>
      </c>
      <c r="AY46" s="498">
        <f t="shared" si="24"/>
        <v>0</v>
      </c>
      <c r="AZ46" s="504" t="s">
        <v>959</v>
      </c>
    </row>
    <row r="47" spans="1:52" s="499" customFormat="1" ht="15" customHeight="1">
      <c r="B47" s="346"/>
      <c r="C47" s="346"/>
      <c r="D47" s="492" t="s">
        <v>981</v>
      </c>
      <c r="G47" s="500"/>
      <c r="H47" s="346"/>
      <c r="I47" s="346"/>
      <c r="K47" s="347"/>
      <c r="L47" s="348"/>
      <c r="M47" s="500"/>
      <c r="N47" s="500"/>
      <c r="O47" s="500"/>
      <c r="P47" s="501"/>
      <c r="Q47" s="501"/>
      <c r="R47" s="502">
        <f t="shared" ref="R47" si="25">R48+SUMIF($B37:$B44,"가능",R37:R44)</f>
        <v>0</v>
      </c>
      <c r="S47" s="502">
        <f t="shared" ref="S47:AY47" si="26">S48+SUMIF($B37:$B44,"가능",S37:S44)</f>
        <v>0</v>
      </c>
      <c r="T47" s="502">
        <f t="shared" si="26"/>
        <v>0</v>
      </c>
      <c r="U47" s="502">
        <f t="shared" si="26"/>
        <v>0</v>
      </c>
      <c r="V47" s="502">
        <f t="shared" si="26"/>
        <v>0</v>
      </c>
      <c r="W47" s="502">
        <f t="shared" si="26"/>
        <v>0</v>
      </c>
      <c r="X47" s="502">
        <f t="shared" si="26"/>
        <v>13728.794068779109</v>
      </c>
      <c r="Y47" s="502">
        <f t="shared" si="26"/>
        <v>68191.796335648891</v>
      </c>
      <c r="Z47" s="502">
        <f t="shared" si="26"/>
        <v>105150.27925506442</v>
      </c>
      <c r="AA47" s="502">
        <f t="shared" si="26"/>
        <v>116851.42676538907</v>
      </c>
      <c r="AB47" s="502">
        <f t="shared" si="26"/>
        <v>135332.09324080468</v>
      </c>
      <c r="AC47" s="502">
        <f t="shared" si="26"/>
        <v>143957.09727262284</v>
      </c>
      <c r="AD47" s="502">
        <f t="shared" si="26"/>
        <v>144585.24871688278</v>
      </c>
      <c r="AE47" s="502">
        <f t="shared" si="26"/>
        <v>89307.057249999983</v>
      </c>
      <c r="AF47" s="502">
        <f t="shared" si="26"/>
        <v>64161.162999999986</v>
      </c>
      <c r="AG47" s="502">
        <f t="shared" si="26"/>
        <v>52576.408018181821</v>
      </c>
      <c r="AH47" s="502">
        <f t="shared" si="26"/>
        <v>38484.151199999986</v>
      </c>
      <c r="AI47" s="502">
        <f t="shared" si="26"/>
        <v>21865.994999999992</v>
      </c>
      <c r="AJ47" s="502">
        <f t="shared" si="26"/>
        <v>0</v>
      </c>
      <c r="AK47" s="502">
        <f t="shared" si="26"/>
        <v>0</v>
      </c>
      <c r="AL47" s="502">
        <f t="shared" si="26"/>
        <v>0</v>
      </c>
      <c r="AM47" s="502">
        <f t="shared" si="26"/>
        <v>0</v>
      </c>
      <c r="AN47" s="502">
        <f t="shared" si="26"/>
        <v>0</v>
      </c>
      <c r="AO47" s="502">
        <f t="shared" si="26"/>
        <v>0</v>
      </c>
      <c r="AP47" s="502">
        <f t="shared" si="26"/>
        <v>0</v>
      </c>
      <c r="AQ47" s="502">
        <f t="shared" si="26"/>
        <v>0</v>
      </c>
      <c r="AR47" s="502">
        <f t="shared" si="26"/>
        <v>0</v>
      </c>
      <c r="AS47" s="502">
        <f t="shared" si="26"/>
        <v>0</v>
      </c>
      <c r="AT47" s="502">
        <f t="shared" si="26"/>
        <v>0</v>
      </c>
      <c r="AU47" s="502">
        <f t="shared" si="26"/>
        <v>0</v>
      </c>
      <c r="AV47" s="502">
        <f t="shared" si="26"/>
        <v>0</v>
      </c>
      <c r="AW47" s="502">
        <f t="shared" si="26"/>
        <v>0</v>
      </c>
      <c r="AX47" s="502">
        <f t="shared" si="26"/>
        <v>0</v>
      </c>
      <c r="AY47" s="502">
        <f t="shared" si="26"/>
        <v>0</v>
      </c>
      <c r="AZ47" s="504" t="s">
        <v>959</v>
      </c>
    </row>
    <row r="48" spans="1:52" s="62" customFormat="1" ht="15" customHeight="1">
      <c r="B48" s="129"/>
      <c r="C48" s="129"/>
      <c r="D48" s="493" t="s">
        <v>980</v>
      </c>
      <c r="G48" s="130"/>
      <c r="H48" s="129"/>
      <c r="I48" s="129"/>
      <c r="K48" s="134"/>
      <c r="L48" s="133"/>
      <c r="M48" s="130"/>
      <c r="N48" s="130"/>
      <c r="O48" s="130"/>
      <c r="P48" s="503"/>
      <c r="Q48" s="503"/>
      <c r="R48" s="320">
        <f t="shared" ref="R48:AY48" si="27">SUMIF($B37:$B44,"확실", R37:R44)</f>
        <v>0</v>
      </c>
      <c r="S48" s="320">
        <f t="shared" si="27"/>
        <v>0</v>
      </c>
      <c r="T48" s="320">
        <f t="shared" si="27"/>
        <v>0</v>
      </c>
      <c r="U48" s="320">
        <f t="shared" si="27"/>
        <v>0</v>
      </c>
      <c r="V48" s="320">
        <f t="shared" si="27"/>
        <v>0</v>
      </c>
      <c r="W48" s="320">
        <f t="shared" si="27"/>
        <v>0</v>
      </c>
      <c r="X48" s="320">
        <f t="shared" si="27"/>
        <v>6864.3970343895544</v>
      </c>
      <c r="Y48" s="320">
        <f t="shared" si="27"/>
        <v>35134.532930324443</v>
      </c>
      <c r="Z48" s="320">
        <f t="shared" si="27"/>
        <v>56948.338627532212</v>
      </c>
      <c r="AA48" s="320">
        <f t="shared" si="27"/>
        <v>65749.766115649079</v>
      </c>
      <c r="AB48" s="320">
        <f t="shared" si="27"/>
        <v>83859.700949947801</v>
      </c>
      <c r="AC48" s="320">
        <f t="shared" si="27"/>
        <v>84612.946781765961</v>
      </c>
      <c r="AD48" s="320">
        <f t="shared" si="27"/>
        <v>72293.378394805026</v>
      </c>
      <c r="AE48" s="320">
        <f t="shared" si="27"/>
        <v>41201.86825</v>
      </c>
      <c r="AF48" s="320">
        <f t="shared" si="27"/>
        <v>24802.371999999988</v>
      </c>
      <c r="AG48" s="320">
        <f t="shared" si="27"/>
        <v>14092.256818181815</v>
      </c>
      <c r="AH48" s="320">
        <f t="shared" si="27"/>
        <v>0</v>
      </c>
      <c r="AI48" s="320">
        <f t="shared" si="27"/>
        <v>0</v>
      </c>
      <c r="AJ48" s="320">
        <f t="shared" si="27"/>
        <v>0</v>
      </c>
      <c r="AK48" s="320">
        <f t="shared" si="27"/>
        <v>0</v>
      </c>
      <c r="AL48" s="320">
        <f t="shared" si="27"/>
        <v>0</v>
      </c>
      <c r="AM48" s="320">
        <f t="shared" si="27"/>
        <v>0</v>
      </c>
      <c r="AN48" s="320">
        <f t="shared" si="27"/>
        <v>0</v>
      </c>
      <c r="AO48" s="320">
        <f t="shared" si="27"/>
        <v>0</v>
      </c>
      <c r="AP48" s="320">
        <f t="shared" si="27"/>
        <v>0</v>
      </c>
      <c r="AQ48" s="320">
        <f t="shared" si="27"/>
        <v>0</v>
      </c>
      <c r="AR48" s="320">
        <f t="shared" si="27"/>
        <v>0</v>
      </c>
      <c r="AS48" s="320">
        <f t="shared" si="27"/>
        <v>0</v>
      </c>
      <c r="AT48" s="320">
        <f t="shared" si="27"/>
        <v>0</v>
      </c>
      <c r="AU48" s="320">
        <f t="shared" si="27"/>
        <v>0</v>
      </c>
      <c r="AV48" s="320">
        <f t="shared" si="27"/>
        <v>0</v>
      </c>
      <c r="AW48" s="320">
        <f t="shared" si="27"/>
        <v>0</v>
      </c>
      <c r="AX48" s="320">
        <f t="shared" si="27"/>
        <v>0</v>
      </c>
      <c r="AY48" s="320">
        <f t="shared" si="27"/>
        <v>0</v>
      </c>
      <c r="AZ48" s="504" t="s">
        <v>959</v>
      </c>
    </row>
    <row r="49" spans="1:52" ht="15" customHeight="1">
      <c r="B49" s="129"/>
      <c r="C49" s="6"/>
      <c r="D49" s="134"/>
      <c r="E49" s="133"/>
      <c r="F49" s="121"/>
      <c r="G49" s="121"/>
      <c r="H49" s="79"/>
      <c r="I49" s="79"/>
      <c r="J49" s="79"/>
      <c r="K49" s="88"/>
      <c r="L49" s="79"/>
      <c r="M49" s="121"/>
      <c r="N49" s="121"/>
      <c r="O49" s="121"/>
      <c r="P49" s="283"/>
      <c r="Q49" s="283"/>
      <c r="AZ49" s="118" t="s">
        <v>959</v>
      </c>
    </row>
    <row r="50" spans="1:52" s="144" customFormat="1" ht="15" customHeight="1">
      <c r="A50" s="8" t="s">
        <v>423</v>
      </c>
      <c r="B50" s="146" t="s">
        <v>450</v>
      </c>
      <c r="C50" s="146"/>
      <c r="D50" s="146"/>
      <c r="E50" s="146"/>
      <c r="F50" s="146"/>
      <c r="G50" s="146"/>
      <c r="H50" s="145"/>
      <c r="I50" s="145"/>
      <c r="J50" s="146"/>
      <c r="K50" s="145"/>
      <c r="L50" s="146"/>
      <c r="M50" s="335"/>
      <c r="N50" s="335"/>
      <c r="O50" s="335"/>
      <c r="AZ50" s="282" t="s">
        <v>959</v>
      </c>
    </row>
    <row r="51" spans="1:52" ht="15" customHeight="1" thickBot="1">
      <c r="B51" s="129"/>
      <c r="C51" s="129"/>
      <c r="D51" s="62"/>
      <c r="E51" s="62"/>
      <c r="F51" s="130"/>
      <c r="G51" s="130"/>
      <c r="H51" s="129"/>
      <c r="I51" s="129"/>
      <c r="J51" s="129"/>
      <c r="K51" s="128"/>
      <c r="L51" s="129"/>
      <c r="M51" s="121"/>
      <c r="N51" s="121"/>
      <c r="O51" s="121"/>
      <c r="AZ51" s="118" t="s">
        <v>959</v>
      </c>
    </row>
    <row r="52" spans="1:52" ht="15" customHeight="1" thickBot="1">
      <c r="B52" s="301" t="s">
        <v>680</v>
      </c>
      <c r="C52" s="302" t="s">
        <v>927</v>
      </c>
      <c r="D52" s="303" t="s">
        <v>928</v>
      </c>
      <c r="E52" s="303">
        <v>650</v>
      </c>
      <c r="F52" s="304">
        <f>VLOOKUP($D$52,수주내역!$B$4:$E$68,4,FALSE)</f>
        <v>45092.158260999997</v>
      </c>
      <c r="G52" s="121">
        <f>F52/E52</f>
        <v>69.372551170769228</v>
      </c>
      <c r="H52" s="79" t="s">
        <v>985</v>
      </c>
      <c r="I52" s="79"/>
      <c r="J52" s="79" t="s">
        <v>986</v>
      </c>
      <c r="K52" s="88" t="s">
        <v>987</v>
      </c>
      <c r="L52" s="79" t="s">
        <v>15</v>
      </c>
      <c r="M52" s="121">
        <f>LEFT(L52)-LEFT(K52)+(RIGHT(L52,2)-RIGHT(K52,2))*4+1</f>
        <v>8</v>
      </c>
      <c r="N52" s="121"/>
      <c r="O52" s="121"/>
      <c r="AZ52" s="118" t="s">
        <v>959</v>
      </c>
    </row>
    <row r="53" spans="1:52" ht="15" customHeight="1">
      <c r="B53" s="129"/>
      <c r="C53" s="129"/>
      <c r="D53" s="62"/>
      <c r="E53" s="62"/>
      <c r="F53" s="130"/>
      <c r="G53" s="130"/>
      <c r="H53" s="129"/>
      <c r="I53" s="129"/>
      <c r="J53" s="129"/>
      <c r="K53" s="128"/>
      <c r="L53" s="129"/>
      <c r="M53" s="121"/>
      <c r="N53" s="121"/>
      <c r="O53" s="770" t="s">
        <v>1571</v>
      </c>
      <c r="AZ53" s="118" t="s">
        <v>959</v>
      </c>
    </row>
    <row r="54" spans="1:52" s="8" customFormat="1" ht="15" customHeight="1">
      <c r="A54" t="str">
        <f t="shared" ref="A54:A56" si="28">IF(F54=AZ54,"","F")</f>
        <v/>
      </c>
      <c r="B54" s="402" t="s">
        <v>526</v>
      </c>
      <c r="C54" s="402" t="s">
        <v>927</v>
      </c>
      <c r="D54" s="402" t="str">
        <f>'CCPP 프로젝트 목록'!C67</f>
        <v>Duke Energy Roxboro (노스캐롤라이나)</v>
      </c>
      <c r="E54" s="403">
        <f>'CCPP 프로젝트 목록'!E67</f>
        <v>1360</v>
      </c>
      <c r="F54" s="403">
        <f>E54*$G$52</f>
        <v>94346.669592246151</v>
      </c>
      <c r="G54" s="402"/>
      <c r="H54" s="404" t="s">
        <v>446</v>
      </c>
      <c r="I54" s="394">
        <f t="shared" ref="I54:I56" si="29">2000+RIGHT(H54,2)</f>
        <v>2026</v>
      </c>
      <c r="J54" s="402" t="s">
        <v>445</v>
      </c>
      <c r="K54" s="404" t="s">
        <v>444</v>
      </c>
      <c r="L54" s="402" t="s">
        <v>948</v>
      </c>
      <c r="M54" s="397">
        <f>LEFT(L54)-LEFT(K54)+(RIGHT(L54,2)-RIGHT(K54,2))*4+1</f>
        <v>8</v>
      </c>
      <c r="N54" s="397">
        <v>1</v>
      </c>
      <c r="O54" s="776" t="s">
        <v>1572</v>
      </c>
      <c r="P54" s="405"/>
      <c r="Q54" s="405"/>
      <c r="R54" s="489">
        <f>IF(R$2=$K54,$F54*CHOOSE($N54,'기존수주 매출'!$O$33,'기존수주 매출'!$O$35,'기존수주 매출'!$O$37,'기존수주 매출'!$O$39),0)</f>
        <v>0</v>
      </c>
      <c r="S54" s="489">
        <f>IF(S$2=$K54,$F54*CHOOSE($N54,'기존수주 매출'!$O$33,'기존수주 매출'!$O$35,'기존수주 매출'!$O$37,'기존수주 매출'!$O$39),0)</f>
        <v>0</v>
      </c>
      <c r="T54" s="489">
        <f>IF(T$2=$K54,$F54*CHOOSE($N54,'기존수주 매출'!$O$33,'기존수주 매출'!$O$35,'기존수주 매출'!$O$37,'기존수주 매출'!$O$39),0)</f>
        <v>0</v>
      </c>
      <c r="U54" s="489">
        <f>IF(U$2=$K54,$F54*CHOOSE($N54,'기존수주 매출'!$O$33,'기존수주 매출'!$O$35,'기존수주 매출'!$O$37,'기존수주 매출'!$O$39),0)</f>
        <v>0</v>
      </c>
      <c r="V54" s="489">
        <f>IF(V$2=$K54,$F54*CHOOSE($N54,'기존수주 매출'!$O$33,'기존수주 매출'!$O$35,'기존수주 매출'!$O$37,'기존수주 매출'!$O$39),0)</f>
        <v>0</v>
      </c>
      <c r="W54" s="489">
        <f>IF(W$2=$K54,$F54*CHOOSE($N54,'기존수주 매출'!$O$33,'기존수주 매출'!$O$35,'기존수주 매출'!$O$37,'기존수주 매출'!$O$39),0)</f>
        <v>0</v>
      </c>
      <c r="X54" s="489">
        <f>IF(X$2=$K54,$F54*CHOOSE($N54,'기존수주 매출'!$O$33,'기존수주 매출'!$O$35,'기존수주 매출'!$O$37,'기존수주 매출'!$O$39),0)</f>
        <v>0</v>
      </c>
      <c r="Y54" s="489">
        <f>IF(Y$2=$K54,$F54*CHOOSE($N54,'기존수주 매출'!$O$33,'기존수주 매출'!$O$35,'기존수주 매출'!$O$37,'기존수주 매출'!$O$39),0)</f>
        <v>3585.1734445053535</v>
      </c>
      <c r="Z54" s="489">
        <f>$F54*'기존수주 매출'!P33</f>
        <v>15095.467134759385</v>
      </c>
      <c r="AA54" s="489">
        <f>$F54*'기존수주 매출'!Q33</f>
        <v>16038.933830681844</v>
      </c>
      <c r="AB54" s="489">
        <f>$F54*'기존수주 매출'!R33</f>
        <v>16982.400526604306</v>
      </c>
      <c r="AC54" s="489">
        <f>$F54*'기존수주 매출'!S33</f>
        <v>16605.013848235329</v>
      </c>
      <c r="AD54" s="489">
        <f>$F54*'기존수주 매출'!T33</f>
        <v>16605.013848235318</v>
      </c>
      <c r="AE54" s="489">
        <f>$F54*'기존수주 매출'!U33</f>
        <v>9434.6669592246126</v>
      </c>
      <c r="AF54" s="489">
        <f>$F54*'기존수주 매출'!V33</f>
        <v>0</v>
      </c>
      <c r="AG54" s="489">
        <f>$F54*'기존수주 매출'!W33</f>
        <v>0</v>
      </c>
      <c r="AH54" s="489">
        <f>$F54*'기존수주 매출'!X33</f>
        <v>0</v>
      </c>
      <c r="AI54" s="489">
        <f>$F54*'기존수주 매출'!Y33</f>
        <v>0</v>
      </c>
      <c r="AJ54" s="489">
        <f>$F54*'기존수주 매출'!Z33</f>
        <v>0</v>
      </c>
      <c r="AK54" s="489">
        <f>$F54*'기존수주 매출'!AA33</f>
        <v>0</v>
      </c>
      <c r="AL54" s="489">
        <f>$F54*'기존수주 매출'!AB33</f>
        <v>0</v>
      </c>
      <c r="AM54" s="489">
        <f>$F54*'기존수주 매출'!AC33</f>
        <v>0</v>
      </c>
      <c r="AN54" s="489">
        <f>$F54*'기존수주 매출'!AD33</f>
        <v>0</v>
      </c>
      <c r="AO54" s="489">
        <f>$F54*'기존수주 매출'!AE33</f>
        <v>0</v>
      </c>
      <c r="AP54" s="489">
        <f>$F54*'기존수주 매출'!AF33</f>
        <v>0</v>
      </c>
      <c r="AQ54" s="489">
        <f>$F54*'기존수주 매출'!AG33</f>
        <v>0</v>
      </c>
      <c r="AR54" s="489">
        <f>$F54*'기존수주 매출'!AH33</f>
        <v>0</v>
      </c>
      <c r="AS54" s="489">
        <f>$F54*'기존수주 매출'!AI33</f>
        <v>0</v>
      </c>
      <c r="AT54" s="489">
        <f>$F54*'기존수주 매출'!AJ33</f>
        <v>0</v>
      </c>
      <c r="AU54" s="489">
        <f>$F54*'기존수주 매출'!AK33</f>
        <v>0</v>
      </c>
      <c r="AV54" s="489">
        <f>$F54*'기존수주 매출'!AL33</f>
        <v>0</v>
      </c>
      <c r="AW54" s="489">
        <f>$F54*'기존수주 매출'!AM33</f>
        <v>0</v>
      </c>
      <c r="AX54" s="489">
        <f>$F54*'기존수주 매출'!AN33</f>
        <v>0</v>
      </c>
      <c r="AY54" s="489">
        <f>$F54*'기존수주 매출'!AO33</f>
        <v>0</v>
      </c>
      <c r="AZ54" s="311">
        <f>SUM(R54:AY54)</f>
        <v>94346.669592246166</v>
      </c>
    </row>
    <row r="55" spans="1:52" s="8" customFormat="1" ht="15" customHeight="1">
      <c r="A55" t="str">
        <f t="shared" si="28"/>
        <v/>
      </c>
      <c r="B55" s="89" t="s">
        <v>525</v>
      </c>
      <c r="C55" s="89" t="s">
        <v>927</v>
      </c>
      <c r="D55" s="89" t="str">
        <f>'CCPP 프로젝트 목록'!C68</f>
        <v>Monroe County CCPP (조지아)</v>
      </c>
      <c r="E55" s="87">
        <f>'CCPP 프로젝트 목록'!E68</f>
        <v>1200</v>
      </c>
      <c r="F55" s="87">
        <f>E55*$G$52</f>
        <v>83247.061404923079</v>
      </c>
      <c r="G55" s="89"/>
      <c r="H55" s="90" t="s">
        <v>442</v>
      </c>
      <c r="I55" s="79">
        <f t="shared" si="29"/>
        <v>2027</v>
      </c>
      <c r="J55" s="89" t="s">
        <v>441</v>
      </c>
      <c r="K55" s="90" t="s">
        <v>440</v>
      </c>
      <c r="L55" s="89" t="s">
        <v>988</v>
      </c>
      <c r="M55" s="121">
        <f>LEFT(L55)-LEFT(K55)+(RIGHT(L55,2)-RIGHT(K55,2))*4+1</f>
        <v>8</v>
      </c>
      <c r="N55" s="121">
        <v>1</v>
      </c>
      <c r="O55" s="775" t="s">
        <v>1573</v>
      </c>
      <c r="R55" s="311">
        <f>IF(R$2=$K55,$F55*CHOOSE($N55,'기존수주 매출'!$O$33,'기존수주 매출'!$O$35,'기존수주 매출'!$O$37,'기존수주 매출'!$O$39),0)</f>
        <v>0</v>
      </c>
      <c r="S55" s="311">
        <f>IF(S$2=$K55,$F55*CHOOSE($N55,'기존수주 매출'!$O$33,'기존수주 매출'!$O$35,'기존수주 매출'!$O$37,'기존수주 매출'!$O$39),0)</f>
        <v>0</v>
      </c>
      <c r="T55" s="311">
        <f>IF(T$2=$K55,$F55*CHOOSE($N55,'기존수주 매출'!$O$33,'기존수주 매출'!$O$35,'기존수주 매출'!$O$37,'기존수주 매출'!$O$39),0)</f>
        <v>0</v>
      </c>
      <c r="U55" s="311">
        <f>IF(U$2=$K55,$F55*CHOOSE($N55,'기존수주 매출'!$O$33,'기존수주 매출'!$O$35,'기존수주 매출'!$O$37,'기존수주 매출'!$O$39),0)</f>
        <v>0</v>
      </c>
      <c r="V55" s="311">
        <f>IF(V$2=$K55,$F55*CHOOSE($N55,'기존수주 매출'!$O$33,'기존수주 매출'!$O$35,'기존수주 매출'!$O$37,'기존수주 매출'!$O$39),0)</f>
        <v>0</v>
      </c>
      <c r="W55" s="311">
        <f>IF(W$2=$K55,$F55*CHOOSE($N55,'기존수주 매출'!$O$33,'기존수주 매출'!$O$35,'기존수주 매출'!$O$37,'기존수주 매출'!$O$39),0)</f>
        <v>0</v>
      </c>
      <c r="X55" s="311">
        <f>IF(X$2=$K55,$F55*CHOOSE($N55,'기존수주 매출'!$O$33,'기존수주 매출'!$O$35,'기존수주 매출'!$O$37,'기존수주 매출'!$O$39),0)</f>
        <v>0</v>
      </c>
      <c r="Y55" s="311">
        <f>IF(Y$2=$K55,$F55*CHOOSE($N55,'기존수주 매출'!$O$33,'기존수주 매출'!$O$35,'기존수주 매출'!$O$37,'기존수주 매출'!$O$39),0)</f>
        <v>0</v>
      </c>
      <c r="Z55" s="311">
        <f>IF(Z$2=$K55,$F55*CHOOSE($N55,'기존수주 매출'!$O$33,'기존수주 매출'!$O$35,'기존수주 매출'!$O$37,'기존수주 매출'!$O$39),0)</f>
        <v>0</v>
      </c>
      <c r="AA55" s="311">
        <f>IF(AA$2=$K55,$F55*CHOOSE($N55,'기존수주 매출'!$O$33,'기존수주 매출'!$O$35,'기존수주 매출'!$O$37,'기존수주 매출'!$O$39),0)</f>
        <v>0</v>
      </c>
      <c r="AB55" s="311">
        <f>IF(AB$2=$K55,$F55*CHOOSE($N55,'기존수주 매출'!$O$33,'기존수주 매출'!$O$35,'기존수주 매출'!$O$37,'기존수주 매출'!$O$39),0)</f>
        <v>0</v>
      </c>
      <c r="AC55" s="311">
        <f>IF(AC$2=$K55,$F55*CHOOSE($N55,'기존수주 매출'!$O$33,'기존수주 매출'!$O$35,'기존수주 매출'!$O$37,'기존수주 매출'!$O$39),0)</f>
        <v>3163.3883333870767</v>
      </c>
      <c r="AD55" s="311">
        <f>$F55*'기존수주 매출'!P33</f>
        <v>13319.529824787693</v>
      </c>
      <c r="AE55" s="311">
        <f>$F55*'기존수주 매출'!Q33</f>
        <v>14152.000438836922</v>
      </c>
      <c r="AF55" s="311">
        <f>$F55*'기존수주 매출'!R33</f>
        <v>14984.471052886154</v>
      </c>
      <c r="AG55" s="311">
        <f>$F55*'기존수주 매출'!S33</f>
        <v>14651.482807266466</v>
      </c>
      <c r="AH55" s="311">
        <f>$F55*'기존수주 매출'!T33</f>
        <v>14651.482807266457</v>
      </c>
      <c r="AI55" s="311">
        <f>$F55*'기존수주 매출'!U33</f>
        <v>8324.7061404923061</v>
      </c>
      <c r="AJ55" s="311">
        <f>$F55*'기존수주 매출'!V33</f>
        <v>0</v>
      </c>
      <c r="AK55" s="311">
        <f>$F55*'기존수주 매출'!W33</f>
        <v>0</v>
      </c>
      <c r="AL55" s="311">
        <f>$F55*'기존수주 매출'!X33</f>
        <v>0</v>
      </c>
      <c r="AM55" s="311">
        <f>$F55*'기존수주 매출'!Y33</f>
        <v>0</v>
      </c>
      <c r="AN55" s="311">
        <f>$F55*'기존수주 매출'!Z33</f>
        <v>0</v>
      </c>
      <c r="AO55" s="311">
        <f>$F55*'기존수주 매출'!AA33</f>
        <v>0</v>
      </c>
      <c r="AP55" s="311">
        <f>$F55*'기존수주 매출'!AB33</f>
        <v>0</v>
      </c>
      <c r="AQ55" s="311">
        <f>$F55*'기존수주 매출'!AC33</f>
        <v>0</v>
      </c>
      <c r="AR55" s="311">
        <f>$F55*'기존수주 매출'!AD33</f>
        <v>0</v>
      </c>
      <c r="AS55" s="311">
        <f>$F55*'기존수주 매출'!AE33</f>
        <v>0</v>
      </c>
      <c r="AT55" s="311">
        <f>$F55*'기존수주 매출'!AF33</f>
        <v>0</v>
      </c>
      <c r="AU55" s="311">
        <f>$F55*'기존수주 매출'!AG33</f>
        <v>0</v>
      </c>
      <c r="AV55" s="311">
        <f>$F55*'기존수주 매출'!AH33</f>
        <v>0</v>
      </c>
      <c r="AW55" s="311">
        <f>$F55*'기존수주 매출'!AI33</f>
        <v>0</v>
      </c>
      <c r="AX55" s="311">
        <f>$F55*'기존수주 매출'!AJ33</f>
        <v>0</v>
      </c>
      <c r="AY55" s="311">
        <f>$F55*'기존수주 매출'!AK33</f>
        <v>0</v>
      </c>
      <c r="AZ55" s="311">
        <f t="shared" ref="AZ55:AZ56" si="30">SUM(R55:AY55)</f>
        <v>83247.061404923064</v>
      </c>
    </row>
    <row r="56" spans="1:52" s="8" customFormat="1" ht="15" customHeight="1">
      <c r="A56" t="str">
        <f t="shared" si="28"/>
        <v/>
      </c>
      <c r="B56" s="406" t="s">
        <v>526</v>
      </c>
      <c r="C56" s="406" t="s">
        <v>927</v>
      </c>
      <c r="D56" s="406" t="str">
        <f>'CCPP 프로젝트 목록'!C69</f>
        <v>Duke Energy Anderson</v>
      </c>
      <c r="E56" s="407">
        <f>'CCPP 프로젝트 목록'!E69</f>
        <v>1400</v>
      </c>
      <c r="F56" s="407">
        <f>E56*$G$52</f>
        <v>97121.571639076923</v>
      </c>
      <c r="G56" s="406"/>
      <c r="H56" s="408" t="s">
        <v>442</v>
      </c>
      <c r="I56" s="139">
        <f t="shared" si="29"/>
        <v>2027</v>
      </c>
      <c r="J56" s="406" t="s">
        <v>441</v>
      </c>
      <c r="K56" s="408" t="s">
        <v>440</v>
      </c>
      <c r="L56" s="406" t="s">
        <v>988</v>
      </c>
      <c r="M56" s="140">
        <f>LEFT(L56)-LEFT(K56)+(RIGHT(L56,2)-RIGHT(K56,2))*4+1</f>
        <v>8</v>
      </c>
      <c r="N56" s="140">
        <v>1</v>
      </c>
      <c r="O56" s="774" t="s">
        <v>1574</v>
      </c>
      <c r="P56" s="409"/>
      <c r="Q56" s="409"/>
      <c r="R56" s="490">
        <f>IF(R$2=$K56,$F56*CHOOSE($N56,'기존수주 매출'!$O$33,'기존수주 매출'!$O$35,'기존수주 매출'!$O$37,'기존수주 매출'!$O$39),0)</f>
        <v>0</v>
      </c>
      <c r="S56" s="490">
        <f>IF(S$2=$K56,$F56*CHOOSE($N56,'기존수주 매출'!$O$33,'기존수주 매출'!$O$35,'기존수주 매출'!$O$37,'기존수주 매출'!$O$39),0)</f>
        <v>0</v>
      </c>
      <c r="T56" s="490">
        <f>IF(T$2=$K56,$F56*CHOOSE($N56,'기존수주 매출'!$O$33,'기존수주 매출'!$O$35,'기존수주 매출'!$O$37,'기존수주 매출'!$O$39),0)</f>
        <v>0</v>
      </c>
      <c r="U56" s="490">
        <f>IF(U$2=$K56,$F56*CHOOSE($N56,'기존수주 매출'!$O$33,'기존수주 매출'!$O$35,'기존수주 매출'!$O$37,'기존수주 매출'!$O$39),0)</f>
        <v>0</v>
      </c>
      <c r="V56" s="490">
        <f>IF(V$2=$K56,$F56*CHOOSE($N56,'기존수주 매출'!$O$33,'기존수주 매출'!$O$35,'기존수주 매출'!$O$37,'기존수주 매출'!$O$39),0)</f>
        <v>0</v>
      </c>
      <c r="W56" s="490">
        <f>IF(W$2=$K56,$F56*CHOOSE($N56,'기존수주 매출'!$O$33,'기존수주 매출'!$O$35,'기존수주 매출'!$O$37,'기존수주 매출'!$O$39),0)</f>
        <v>0</v>
      </c>
      <c r="X56" s="490">
        <f>IF(X$2=$K56,$F56*CHOOSE($N56,'기존수주 매출'!$O$33,'기존수주 매출'!$O$35,'기존수주 매출'!$O$37,'기존수주 매출'!$O$39),0)</f>
        <v>0</v>
      </c>
      <c r="Y56" s="490">
        <f>IF(Y$2=$K56,$F56*CHOOSE($N56,'기존수주 매출'!$O$33,'기존수주 매출'!$O$35,'기존수주 매출'!$O$37,'기존수주 매출'!$O$39),0)</f>
        <v>0</v>
      </c>
      <c r="Z56" s="490">
        <f>IF(Z$2=$K56,$F56*CHOOSE($N56,'기존수주 매출'!$O$33,'기존수주 매출'!$O$35,'기존수주 매출'!$O$37,'기존수주 매출'!$O$39),0)</f>
        <v>0</v>
      </c>
      <c r="AA56" s="490">
        <f>IF(AA$2=$K56,$F56*CHOOSE($N56,'기존수주 매출'!$O$33,'기존수주 매출'!$O$35,'기존수주 매출'!$O$37,'기존수주 매출'!$O$39),0)</f>
        <v>0</v>
      </c>
      <c r="AB56" s="490">
        <f>IF(AB$2=$K56,$F56*CHOOSE($N56,'기존수주 매출'!$O$33,'기존수주 매출'!$O$35,'기존수주 매출'!$O$37,'기존수주 매출'!$O$39),0)</f>
        <v>0</v>
      </c>
      <c r="AC56" s="490">
        <f>IF(AC$2=$K56,$F56*CHOOSE($N56,'기존수주 매출'!$O$33,'기존수주 매출'!$O$35,'기존수주 매출'!$O$37,'기존수주 매출'!$O$39),0)</f>
        <v>3690.6197222849228</v>
      </c>
      <c r="AD56" s="490">
        <f>$F56*'기존수주 매출'!P33</f>
        <v>15539.451462252307</v>
      </c>
      <c r="AE56" s="490">
        <f>$F56*'기존수주 매출'!Q33</f>
        <v>16510.667178643074</v>
      </c>
      <c r="AF56" s="490">
        <f>$F56*'기존수주 매출'!R33</f>
        <v>17481.882895033847</v>
      </c>
      <c r="AG56" s="490">
        <f>$F56*'기존수주 매출'!S33</f>
        <v>17093.396608477542</v>
      </c>
      <c r="AH56" s="490">
        <f>$F56*'기존수주 매출'!T33</f>
        <v>17093.396608477531</v>
      </c>
      <c r="AI56" s="490">
        <f>$F56*'기존수주 매출'!U33</f>
        <v>9712.1571639076901</v>
      </c>
      <c r="AJ56" s="490">
        <f>$F56*'기존수주 매출'!V33</f>
        <v>0</v>
      </c>
      <c r="AK56" s="490">
        <f>$F56*'기존수주 매출'!W33</f>
        <v>0</v>
      </c>
      <c r="AL56" s="490">
        <f>$F56*'기존수주 매출'!X33</f>
        <v>0</v>
      </c>
      <c r="AM56" s="490">
        <f>$F56*'기존수주 매출'!Y33</f>
        <v>0</v>
      </c>
      <c r="AN56" s="490">
        <f>$F56*'기존수주 매출'!Z33</f>
        <v>0</v>
      </c>
      <c r="AO56" s="490">
        <f>$F56*'기존수주 매출'!AA33</f>
        <v>0</v>
      </c>
      <c r="AP56" s="490">
        <f>$F56*'기존수주 매출'!AB33</f>
        <v>0</v>
      </c>
      <c r="AQ56" s="490">
        <f>$F56*'기존수주 매출'!AC33</f>
        <v>0</v>
      </c>
      <c r="AR56" s="490">
        <f>$F56*'기존수주 매출'!AD33</f>
        <v>0</v>
      </c>
      <c r="AS56" s="490">
        <f>$F56*'기존수주 매출'!AE33</f>
        <v>0</v>
      </c>
      <c r="AT56" s="490">
        <f>$F56*'기존수주 매출'!AF33</f>
        <v>0</v>
      </c>
      <c r="AU56" s="490">
        <f>$F56*'기존수주 매출'!AG33</f>
        <v>0</v>
      </c>
      <c r="AV56" s="490">
        <f>$F56*'기존수주 매출'!AH33</f>
        <v>0</v>
      </c>
      <c r="AW56" s="490">
        <f>$F56*'기존수주 매출'!AI33</f>
        <v>0</v>
      </c>
      <c r="AX56" s="490">
        <f>$F56*'기존수주 매출'!AJ33</f>
        <v>0</v>
      </c>
      <c r="AY56" s="490">
        <f>$F56*'기존수주 매출'!AK33</f>
        <v>0</v>
      </c>
      <c r="AZ56" s="311">
        <f t="shared" si="30"/>
        <v>97121.571639076923</v>
      </c>
    </row>
    <row r="57" spans="1:52" s="8" customFormat="1" ht="15" customHeight="1">
      <c r="A57"/>
      <c r="B57" s="89"/>
      <c r="C57" s="89"/>
      <c r="D57" s="89"/>
      <c r="E57" s="89"/>
      <c r="F57" s="87">
        <f>SUM(F54:F56)</f>
        <v>274715.30263624614</v>
      </c>
      <c r="G57" s="89"/>
      <c r="H57" s="90"/>
      <c r="I57" s="90"/>
      <c r="J57" s="89"/>
      <c r="K57" s="90"/>
      <c r="L57" s="89"/>
      <c r="M57" s="87"/>
      <c r="N57" s="87"/>
      <c r="O57" s="87"/>
      <c r="AZ57" s="311">
        <f t="shared" ref="AZ57" si="31">SUM(R57:AY57)</f>
        <v>0</v>
      </c>
    </row>
    <row r="58" spans="1:52" s="494" customFormat="1" ht="15" customHeight="1">
      <c r="A58" s="505"/>
      <c r="B58" s="495"/>
      <c r="C58" s="495"/>
      <c r="D58" s="491" t="s">
        <v>979</v>
      </c>
      <c r="G58" s="496"/>
      <c r="H58" s="359"/>
      <c r="I58" s="359"/>
      <c r="K58" s="356"/>
      <c r="L58" s="357"/>
      <c r="M58" s="496"/>
      <c r="N58" s="496"/>
      <c r="O58" s="496"/>
      <c r="P58" s="497"/>
      <c r="Q58" s="497"/>
      <c r="R58" s="498">
        <f>R59+SUMIF($B54:$B56,"잠재",R54:R56)</f>
        <v>0</v>
      </c>
      <c r="S58" s="498">
        <f t="shared" ref="S58:AY58" si="32">S59+SUMIF($B54:$B56,"잠재",S54:S56)</f>
        <v>0</v>
      </c>
      <c r="T58" s="498">
        <f t="shared" si="32"/>
        <v>0</v>
      </c>
      <c r="U58" s="498">
        <f t="shared" si="32"/>
        <v>0</v>
      </c>
      <c r="V58" s="498">
        <f t="shared" si="32"/>
        <v>0</v>
      </c>
      <c r="W58" s="498">
        <f t="shared" si="32"/>
        <v>0</v>
      </c>
      <c r="X58" s="498">
        <f t="shared" si="32"/>
        <v>0</v>
      </c>
      <c r="Y58" s="498">
        <f t="shared" si="32"/>
        <v>3585.1734445053535</v>
      </c>
      <c r="Z58" s="498">
        <f t="shared" si="32"/>
        <v>15095.467134759385</v>
      </c>
      <c r="AA58" s="498">
        <f t="shared" si="32"/>
        <v>16038.933830681844</v>
      </c>
      <c r="AB58" s="498">
        <f t="shared" si="32"/>
        <v>16982.400526604306</v>
      </c>
      <c r="AC58" s="498">
        <f t="shared" si="32"/>
        <v>23459.021903907327</v>
      </c>
      <c r="AD58" s="498">
        <f t="shared" si="32"/>
        <v>45463.99513527532</v>
      </c>
      <c r="AE58" s="498">
        <f t="shared" si="32"/>
        <v>40097.334576704605</v>
      </c>
      <c r="AF58" s="498">
        <f t="shared" si="32"/>
        <v>32466.353947920001</v>
      </c>
      <c r="AG58" s="498">
        <f t="shared" si="32"/>
        <v>31744.879415744006</v>
      </c>
      <c r="AH58" s="498">
        <f t="shared" si="32"/>
        <v>31744.879415743988</v>
      </c>
      <c r="AI58" s="498">
        <f t="shared" si="32"/>
        <v>18036.863304399994</v>
      </c>
      <c r="AJ58" s="498">
        <f t="shared" si="32"/>
        <v>0</v>
      </c>
      <c r="AK58" s="498">
        <f t="shared" si="32"/>
        <v>0</v>
      </c>
      <c r="AL58" s="498">
        <f t="shared" si="32"/>
        <v>0</v>
      </c>
      <c r="AM58" s="498">
        <f t="shared" si="32"/>
        <v>0</v>
      </c>
      <c r="AN58" s="498">
        <f t="shared" si="32"/>
        <v>0</v>
      </c>
      <c r="AO58" s="498">
        <f t="shared" si="32"/>
        <v>0</v>
      </c>
      <c r="AP58" s="498">
        <f t="shared" si="32"/>
        <v>0</v>
      </c>
      <c r="AQ58" s="498">
        <f t="shared" si="32"/>
        <v>0</v>
      </c>
      <c r="AR58" s="498">
        <f t="shared" si="32"/>
        <v>0</v>
      </c>
      <c r="AS58" s="498">
        <f t="shared" si="32"/>
        <v>0</v>
      </c>
      <c r="AT58" s="498">
        <f t="shared" si="32"/>
        <v>0</v>
      </c>
      <c r="AU58" s="498">
        <f t="shared" si="32"/>
        <v>0</v>
      </c>
      <c r="AV58" s="498">
        <f t="shared" si="32"/>
        <v>0</v>
      </c>
      <c r="AW58" s="498">
        <f t="shared" si="32"/>
        <v>0</v>
      </c>
      <c r="AX58" s="498">
        <f t="shared" si="32"/>
        <v>0</v>
      </c>
      <c r="AY58" s="498">
        <f t="shared" si="32"/>
        <v>0</v>
      </c>
      <c r="AZ58" s="506"/>
    </row>
    <row r="59" spans="1:52" s="499" customFormat="1" ht="15" customHeight="1">
      <c r="A59" s="505"/>
      <c r="B59" s="346"/>
      <c r="C59" s="346"/>
      <c r="D59" s="492" t="s">
        <v>981</v>
      </c>
      <c r="G59" s="500"/>
      <c r="H59" s="346"/>
      <c r="I59" s="346"/>
      <c r="K59" s="347"/>
      <c r="L59" s="348"/>
      <c r="M59" s="500"/>
      <c r="N59" s="500"/>
      <c r="O59" s="500"/>
      <c r="P59" s="501"/>
      <c r="Q59" s="501"/>
      <c r="R59" s="502">
        <f>R60+SUMIF($B54:$B56,"가능",R54:R56)</f>
        <v>0</v>
      </c>
      <c r="S59" s="502">
        <f t="shared" ref="S59:AY59" si="33">S60+SUMIF($B54:$B56,"가능",S54:S56)</f>
        <v>0</v>
      </c>
      <c r="T59" s="502">
        <f t="shared" si="33"/>
        <v>0</v>
      </c>
      <c r="U59" s="502">
        <f t="shared" si="33"/>
        <v>0</v>
      </c>
      <c r="V59" s="502">
        <f t="shared" si="33"/>
        <v>0</v>
      </c>
      <c r="W59" s="502">
        <f t="shared" si="33"/>
        <v>0</v>
      </c>
      <c r="X59" s="502">
        <f t="shared" si="33"/>
        <v>0</v>
      </c>
      <c r="Y59" s="502">
        <f t="shared" si="33"/>
        <v>3585.1734445053535</v>
      </c>
      <c r="Z59" s="502">
        <f t="shared" si="33"/>
        <v>15095.467134759385</v>
      </c>
      <c r="AA59" s="502">
        <f t="shared" si="33"/>
        <v>16038.933830681844</v>
      </c>
      <c r="AB59" s="502">
        <f t="shared" si="33"/>
        <v>16982.400526604306</v>
      </c>
      <c r="AC59" s="502">
        <f t="shared" si="33"/>
        <v>20295.633570520251</v>
      </c>
      <c r="AD59" s="502">
        <f t="shared" si="33"/>
        <v>32144.465310487627</v>
      </c>
      <c r="AE59" s="502">
        <f t="shared" si="33"/>
        <v>25945.334137867685</v>
      </c>
      <c r="AF59" s="502">
        <f t="shared" si="33"/>
        <v>17481.882895033847</v>
      </c>
      <c r="AG59" s="502">
        <f t="shared" si="33"/>
        <v>17093.396608477542</v>
      </c>
      <c r="AH59" s="502">
        <f t="shared" si="33"/>
        <v>17093.396608477531</v>
      </c>
      <c r="AI59" s="502">
        <f t="shared" si="33"/>
        <v>9712.1571639076901</v>
      </c>
      <c r="AJ59" s="502">
        <f t="shared" si="33"/>
        <v>0</v>
      </c>
      <c r="AK59" s="502">
        <f t="shared" si="33"/>
        <v>0</v>
      </c>
      <c r="AL59" s="502">
        <f t="shared" si="33"/>
        <v>0</v>
      </c>
      <c r="AM59" s="502">
        <f t="shared" si="33"/>
        <v>0</v>
      </c>
      <c r="AN59" s="502">
        <f t="shared" si="33"/>
        <v>0</v>
      </c>
      <c r="AO59" s="502">
        <f t="shared" si="33"/>
        <v>0</v>
      </c>
      <c r="AP59" s="502">
        <f t="shared" si="33"/>
        <v>0</v>
      </c>
      <c r="AQ59" s="502">
        <f t="shared" si="33"/>
        <v>0</v>
      </c>
      <c r="AR59" s="502">
        <f t="shared" si="33"/>
        <v>0</v>
      </c>
      <c r="AS59" s="502">
        <f t="shared" si="33"/>
        <v>0</v>
      </c>
      <c r="AT59" s="502">
        <f t="shared" si="33"/>
        <v>0</v>
      </c>
      <c r="AU59" s="502">
        <f t="shared" si="33"/>
        <v>0</v>
      </c>
      <c r="AV59" s="502">
        <f t="shared" si="33"/>
        <v>0</v>
      </c>
      <c r="AW59" s="502">
        <f t="shared" si="33"/>
        <v>0</v>
      </c>
      <c r="AX59" s="502">
        <f t="shared" si="33"/>
        <v>0</v>
      </c>
      <c r="AY59" s="502">
        <f t="shared" si="33"/>
        <v>0</v>
      </c>
      <c r="AZ59" s="506"/>
    </row>
    <row r="60" spans="1:52" s="62" customFormat="1" ht="15" customHeight="1">
      <c r="B60" s="129"/>
      <c r="C60" s="129"/>
      <c r="D60" s="493" t="s">
        <v>980</v>
      </c>
      <c r="G60" s="130"/>
      <c r="H60" s="129"/>
      <c r="I60" s="129"/>
      <c r="K60" s="134"/>
      <c r="L60" s="133"/>
      <c r="M60" s="130"/>
      <c r="N60" s="130"/>
      <c r="O60" s="130"/>
      <c r="P60" s="503"/>
      <c r="Q60" s="503"/>
      <c r="R60" s="320">
        <f>SUMIF($B54:$B56,"확실", R54:R56)</f>
        <v>0</v>
      </c>
      <c r="S60" s="320">
        <f t="shared" ref="S60:AY60" si="34">SUMIF($B54:$B56,"확실", S54:S56)</f>
        <v>0</v>
      </c>
      <c r="T60" s="320">
        <f t="shared" si="34"/>
        <v>0</v>
      </c>
      <c r="U60" s="320">
        <f t="shared" si="34"/>
        <v>0</v>
      </c>
      <c r="V60" s="320">
        <f t="shared" si="34"/>
        <v>0</v>
      </c>
      <c r="W60" s="320">
        <f t="shared" si="34"/>
        <v>0</v>
      </c>
      <c r="X60" s="320">
        <f t="shared" si="34"/>
        <v>0</v>
      </c>
      <c r="Y60" s="320">
        <f t="shared" si="34"/>
        <v>0</v>
      </c>
      <c r="Z60" s="320">
        <f t="shared" si="34"/>
        <v>0</v>
      </c>
      <c r="AA60" s="320">
        <f t="shared" si="34"/>
        <v>0</v>
      </c>
      <c r="AB60" s="320">
        <f t="shared" si="34"/>
        <v>0</v>
      </c>
      <c r="AC60" s="320">
        <f t="shared" si="34"/>
        <v>0</v>
      </c>
      <c r="AD60" s="320">
        <f t="shared" si="34"/>
        <v>0</v>
      </c>
      <c r="AE60" s="320">
        <f t="shared" si="34"/>
        <v>0</v>
      </c>
      <c r="AF60" s="320">
        <f t="shared" si="34"/>
        <v>0</v>
      </c>
      <c r="AG60" s="320">
        <f t="shared" si="34"/>
        <v>0</v>
      </c>
      <c r="AH60" s="320">
        <f t="shared" si="34"/>
        <v>0</v>
      </c>
      <c r="AI60" s="320">
        <f t="shared" si="34"/>
        <v>0</v>
      </c>
      <c r="AJ60" s="320">
        <f t="shared" si="34"/>
        <v>0</v>
      </c>
      <c r="AK60" s="320">
        <f t="shared" si="34"/>
        <v>0</v>
      </c>
      <c r="AL60" s="320">
        <f t="shared" si="34"/>
        <v>0</v>
      </c>
      <c r="AM60" s="320">
        <f t="shared" si="34"/>
        <v>0</v>
      </c>
      <c r="AN60" s="320">
        <f t="shared" si="34"/>
        <v>0</v>
      </c>
      <c r="AO60" s="320">
        <f t="shared" si="34"/>
        <v>0</v>
      </c>
      <c r="AP60" s="320">
        <f t="shared" si="34"/>
        <v>0</v>
      </c>
      <c r="AQ60" s="320">
        <f t="shared" si="34"/>
        <v>0</v>
      </c>
      <c r="AR60" s="320">
        <f t="shared" si="34"/>
        <v>0</v>
      </c>
      <c r="AS60" s="320">
        <f t="shared" si="34"/>
        <v>0</v>
      </c>
      <c r="AT60" s="320">
        <f t="shared" si="34"/>
        <v>0</v>
      </c>
      <c r="AU60" s="320">
        <f t="shared" si="34"/>
        <v>0</v>
      </c>
      <c r="AV60" s="320">
        <f t="shared" si="34"/>
        <v>0</v>
      </c>
      <c r="AW60" s="320">
        <f t="shared" si="34"/>
        <v>0</v>
      </c>
      <c r="AX60" s="320">
        <f t="shared" si="34"/>
        <v>0</v>
      </c>
      <c r="AY60" s="320">
        <f t="shared" si="34"/>
        <v>0</v>
      </c>
      <c r="AZ60" s="504" t="s">
        <v>959</v>
      </c>
    </row>
    <row r="61" spans="1:52" ht="15" customHeight="1">
      <c r="D61" s="337"/>
      <c r="G61" s="121"/>
      <c r="H61" s="129"/>
      <c r="I61" s="129"/>
      <c r="K61" s="134"/>
      <c r="L61" s="133"/>
      <c r="M61" s="121"/>
      <c r="N61" s="121"/>
      <c r="O61" s="121"/>
      <c r="P61" s="283"/>
      <c r="Q61" s="283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</row>
    <row r="62" spans="1:52" s="144" customFormat="1" ht="15" customHeight="1">
      <c r="A62" s="8" t="s">
        <v>423</v>
      </c>
      <c r="B62" s="146" t="s">
        <v>428</v>
      </c>
      <c r="C62" s="146"/>
      <c r="D62" s="146"/>
      <c r="E62" s="146"/>
      <c r="F62" s="146"/>
      <c r="G62" s="146"/>
      <c r="H62" s="145"/>
      <c r="I62" s="145"/>
      <c r="J62" s="146"/>
      <c r="K62" s="145"/>
      <c r="L62" s="146"/>
      <c r="M62" s="335"/>
      <c r="N62" s="335"/>
      <c r="O62" s="335"/>
      <c r="AZ62" s="282" t="s">
        <v>959</v>
      </c>
    </row>
    <row r="63" spans="1:52" s="8" customFormat="1" ht="15" customHeight="1" thickBot="1">
      <c r="B63" s="89"/>
      <c r="C63" s="89"/>
      <c r="D63" s="89"/>
      <c r="E63" s="89"/>
      <c r="F63" s="89"/>
      <c r="G63" s="89"/>
      <c r="H63" s="90"/>
      <c r="I63" s="90"/>
      <c r="J63" s="89"/>
      <c r="K63" s="90"/>
      <c r="L63" s="89"/>
      <c r="M63" s="87"/>
      <c r="N63" s="87"/>
      <c r="O63" s="87"/>
      <c r="AZ63" s="118" t="s">
        <v>959</v>
      </c>
    </row>
    <row r="64" spans="1:52" s="8" customFormat="1" ht="15" customHeight="1">
      <c r="B64" s="163" t="s">
        <v>680</v>
      </c>
      <c r="C64" s="135" t="s">
        <v>676</v>
      </c>
      <c r="D64" s="136" t="s">
        <v>681</v>
      </c>
      <c r="E64" s="162">
        <v>3000</v>
      </c>
      <c r="F64" s="161">
        <f>VLOOKUP("Toshiba-TPSC",수주내역!$B$4:$E$68,4,FALSE)+VLOOKUP("Toshiba-TPSC(2)",수주내역!$B$4:$E$68,4,FALSE)</f>
        <v>389896.53363399999</v>
      </c>
      <c r="G64" s="121"/>
      <c r="H64" s="90" t="s">
        <v>1</v>
      </c>
      <c r="I64" s="90"/>
      <c r="J64" s="89" t="s">
        <v>2</v>
      </c>
      <c r="K64" s="90" t="s">
        <v>25</v>
      </c>
      <c r="L64" s="89" t="s">
        <v>678</v>
      </c>
      <c r="M64" s="121">
        <f>LEFT(L64)-LEFT(K64)+(RIGHT(L64,2)-RIGHT(K64,2))*4+1</f>
        <v>23</v>
      </c>
      <c r="N64" s="121"/>
      <c r="O64" s="121"/>
      <c r="AZ64" s="118" t="s">
        <v>959</v>
      </c>
    </row>
    <row r="65" spans="1:52" s="8" customFormat="1" ht="15" customHeight="1" thickBot="1">
      <c r="B65" s="84" t="s">
        <v>680</v>
      </c>
      <c r="C65" s="131" t="s">
        <v>676</v>
      </c>
      <c r="D65" s="132" t="s">
        <v>679</v>
      </c>
      <c r="E65" s="149">
        <v>570</v>
      </c>
      <c r="F65" s="305">
        <f>VLOOKUP("FuJi Electric",수주내역!$B$4:$E$68,4,FALSE)</f>
        <v>66187.838111999998</v>
      </c>
      <c r="H65" s="79" t="s">
        <v>58</v>
      </c>
      <c r="I65" s="79"/>
      <c r="J65" s="89" t="s">
        <v>59</v>
      </c>
      <c r="K65" s="90" t="s">
        <v>60</v>
      </c>
      <c r="L65" s="89" t="s">
        <v>678</v>
      </c>
      <c r="M65" s="121">
        <f>LEFT(L65)-LEFT(K65)+(RIGHT(L65,2)-RIGHT(K65,2))*4+1</f>
        <v>20</v>
      </c>
      <c r="N65" s="121"/>
      <c r="O65" s="121"/>
      <c r="AZ65" s="118" t="s">
        <v>959</v>
      </c>
    </row>
    <row r="66" spans="1:52" ht="15" customHeight="1">
      <c r="B66" s="129"/>
      <c r="C66" s="129"/>
      <c r="D66" s="62"/>
      <c r="E66" s="62"/>
      <c r="F66" s="130"/>
      <c r="G66" s="130"/>
      <c r="H66" s="129"/>
      <c r="I66" s="129"/>
      <c r="J66" s="129"/>
      <c r="K66" s="128"/>
      <c r="L66" s="129"/>
      <c r="M66" s="121"/>
      <c r="N66" s="121"/>
      <c r="O66" s="770" t="s">
        <v>1575</v>
      </c>
      <c r="AZ66" s="118" t="s">
        <v>959</v>
      </c>
    </row>
    <row r="67" spans="1:52" ht="15" customHeight="1">
      <c r="A67" t="str">
        <f t="shared" ref="A67:A70" si="35">IF(F67=AZ67,"","F")</f>
        <v/>
      </c>
      <c r="B67" s="394" t="s">
        <v>526</v>
      </c>
      <c r="C67" s="394" t="s">
        <v>676</v>
      </c>
      <c r="D67" s="141" t="s">
        <v>677</v>
      </c>
      <c r="E67" s="398">
        <f>$E$65</f>
        <v>570</v>
      </c>
      <c r="F67" s="397">
        <f>E67*G67</f>
        <v>66187.838111999998</v>
      </c>
      <c r="G67" s="397">
        <f>SUM($F$65)/SUM($E$65)</f>
        <v>116.11901423157894</v>
      </c>
      <c r="H67" s="394" t="s">
        <v>61</v>
      </c>
      <c r="I67" s="394">
        <f t="shared" ref="I67" si="36">2000+RIGHT(H67,2)</f>
        <v>2025</v>
      </c>
      <c r="J67" s="394" t="s">
        <v>449</v>
      </c>
      <c r="K67" s="399" t="s">
        <v>448</v>
      </c>
      <c r="L67" s="394" t="s">
        <v>1024</v>
      </c>
      <c r="M67" s="397">
        <f>LEFT(L67)-LEFT(K67)+(RIGHT(L67,2)-RIGHT(K67,2))*4+1</f>
        <v>20</v>
      </c>
      <c r="N67" s="397">
        <v>4</v>
      </c>
      <c r="O67" s="790" t="s">
        <v>1576</v>
      </c>
      <c r="P67" s="400"/>
      <c r="Q67" s="400"/>
      <c r="R67" s="489">
        <f>IF(R$2=$K67,$F67*CHOOSE($N67,'기존수주 매출'!$O$33,'기존수주 매출'!$O$35,'기존수주 매출'!$O$37,'기존수주 매출'!$O$39),0)</f>
        <v>0</v>
      </c>
      <c r="S67" s="489">
        <f>IF(S$2=$K67,$F67*CHOOSE($N67,'기존수주 매출'!$O$33,'기존수주 매출'!$O$35,'기존수주 매출'!$O$37,'기존수주 매출'!$O$39),0)</f>
        <v>0</v>
      </c>
      <c r="T67" s="489">
        <f>IF(T$2=$K67,$F67*CHOOSE($N67,'기존수주 매출'!$O$33,'기존수주 매출'!$O$35,'기존수주 매출'!$O$37,'기존수주 매출'!$O$39),0)</f>
        <v>0</v>
      </c>
      <c r="U67" s="489">
        <f>IF(U$2=$K67,$F67*CHOOSE($N67,'기존수주 매출'!$O$33,'기존수주 매출'!$O$35,'기존수주 매출'!$O$37,'기존수주 매출'!$O$39),0)</f>
        <v>1472.6793979919998</v>
      </c>
      <c r="V67" s="489">
        <f>$F67*'기존수주 매출'!P$39</f>
        <v>1472.6793979919998</v>
      </c>
      <c r="W67" s="489">
        <f>$F67*'기존수주 매출'!Q$39</f>
        <v>1472.6793979920003</v>
      </c>
      <c r="X67" s="489">
        <f>$F67*'기존수주 매출'!R$39</f>
        <v>1472.6793979919994</v>
      </c>
      <c r="Y67" s="489">
        <f>$F67*'기존수주 매출'!S$39</f>
        <v>3772.7067723840014</v>
      </c>
      <c r="Z67" s="489">
        <f>$F67*'기존수주 매출'!T$39</f>
        <v>3772.7067723839996</v>
      </c>
      <c r="AA67" s="489">
        <f>$F67*'기존수주 매출'!U$39</f>
        <v>3772.7067723839996</v>
      </c>
      <c r="AB67" s="489">
        <f>$F67*'기존수주 매출'!V$39</f>
        <v>3772.7067723839996</v>
      </c>
      <c r="AC67" s="489">
        <f>$F67*'기존수주 매출'!W$39</f>
        <v>4384.944274919998</v>
      </c>
      <c r="AD67" s="489">
        <f>$F67*'기존수주 매출'!X$39</f>
        <v>4384.9442749200016</v>
      </c>
      <c r="AE67" s="489">
        <f>$F67*'기존수주 매출'!Y$39</f>
        <v>4384.9442749199943</v>
      </c>
      <c r="AF67" s="489">
        <f>$F67*'기존수주 매출'!Z$39</f>
        <v>4384.9442749200016</v>
      </c>
      <c r="AG67" s="489">
        <f>$F67*'기존수주 매출'!AA$39</f>
        <v>2531.6848077840004</v>
      </c>
      <c r="AH67" s="489">
        <f>$F67*'기존수주 매출'!AB$39</f>
        <v>2531.6848077840004</v>
      </c>
      <c r="AI67" s="489">
        <f>$F67*'기존수주 매출'!AC$39</f>
        <v>2531.6848077840004</v>
      </c>
      <c r="AJ67" s="489">
        <f>$F67*'기존수주 매출'!AD$39</f>
        <v>2531.6848077840004</v>
      </c>
      <c r="AK67" s="489">
        <f>$F67*'기존수주 매출'!AE$39</f>
        <v>3640.3310961600032</v>
      </c>
      <c r="AL67" s="489">
        <f>$F67*'기존수주 매출'!AF$39</f>
        <v>3640.3310961599959</v>
      </c>
      <c r="AM67" s="489">
        <f>$F67*'기존수주 매출'!AG$39</f>
        <v>5129.5574536800004</v>
      </c>
      <c r="AN67" s="489">
        <f>$F67*'기존수주 매출'!AH$39</f>
        <v>5129.5574536800004</v>
      </c>
      <c r="AO67" s="489">
        <f>$F67*'기존수주 매출'!AI$39</f>
        <v>0</v>
      </c>
      <c r="AP67" s="489">
        <f>$F67*'기존수주 매출'!AJ$39</f>
        <v>0</v>
      </c>
      <c r="AQ67" s="489">
        <f>$F67*'기존수주 매출'!AK$39</f>
        <v>0</v>
      </c>
      <c r="AR67" s="489">
        <f>$F67*'기존수주 매출'!AL$39</f>
        <v>0</v>
      </c>
      <c r="AS67" s="489">
        <f>$F67*'기존수주 매출'!AM$39</f>
        <v>0</v>
      </c>
      <c r="AT67" s="489">
        <f>$F67*'기존수주 매출'!AN$39</f>
        <v>0</v>
      </c>
      <c r="AU67" s="489">
        <f>$F67*'기존수주 매출'!AO$39</f>
        <v>0</v>
      </c>
      <c r="AV67" s="489">
        <f>$F67*'기존수주 매출'!AP$39</f>
        <v>0</v>
      </c>
      <c r="AW67" s="489">
        <f>$F67*'기존수주 매출'!AQ$39</f>
        <v>0</v>
      </c>
      <c r="AX67" s="489">
        <f>$F67*'기존수주 매출'!AR$39</f>
        <v>0</v>
      </c>
      <c r="AY67" s="489">
        <f>$F67*'기존수주 매출'!AS$39</f>
        <v>0</v>
      </c>
      <c r="AZ67" s="311">
        <f>SUM(R67:AY67)</f>
        <v>66187.838111999983</v>
      </c>
    </row>
    <row r="68" spans="1:52" ht="15" customHeight="1">
      <c r="A68" t="str">
        <f t="shared" si="35"/>
        <v/>
      </c>
      <c r="B68" s="79" t="s">
        <v>526</v>
      </c>
      <c r="C68" s="79" t="s">
        <v>676</v>
      </c>
      <c r="D68" s="6" t="s">
        <v>677</v>
      </c>
      <c r="E68" s="147">
        <f t="shared" ref="E68:E70" si="37">$E$65</f>
        <v>570</v>
      </c>
      <c r="F68" s="121">
        <f t="shared" ref="F68:F70" si="38">E68*G68</f>
        <v>66187.838111999998</v>
      </c>
      <c r="G68" s="121">
        <f t="shared" ref="G68:G70" si="39">SUM($F$65)/SUM($E$65)</f>
        <v>116.11901423157894</v>
      </c>
      <c r="H68" s="79" t="s">
        <v>446</v>
      </c>
      <c r="I68" s="79">
        <f t="shared" ref="I68:I70" si="40">2000+RIGHT(H68,2)</f>
        <v>2026</v>
      </c>
      <c r="J68" s="79" t="s">
        <v>445</v>
      </c>
      <c r="K68" s="88" t="s">
        <v>444</v>
      </c>
      <c r="L68" s="79" t="s">
        <v>977</v>
      </c>
      <c r="M68" s="121">
        <f t="shared" ref="M68:M70" si="41">LEFT(L68)-LEFT(K68)+(RIGHT(L68,2)-RIGHT(K68,2))*4+1</f>
        <v>20</v>
      </c>
      <c r="N68" s="121">
        <v>4</v>
      </c>
      <c r="O68" s="773" t="s">
        <v>1577</v>
      </c>
      <c r="R68" s="311">
        <f>IF(R$2=$K68,$F68*CHOOSE($N68,'기존수주 매출'!$O$33,'기존수주 매출'!$O$35,'기존수주 매출'!$O$37,'기존수주 매출'!$O$39),0)</f>
        <v>0</v>
      </c>
      <c r="S68" s="311">
        <f>IF(S$2=$K68,$F68*CHOOSE($N68,'기존수주 매출'!$O$33,'기존수주 매출'!$O$35,'기존수주 매출'!$O$37,'기존수주 매출'!$O$39),0)</f>
        <v>0</v>
      </c>
      <c r="T68" s="311">
        <f>IF(T$2=$K68,$F68*CHOOSE($N68,'기존수주 매출'!$O$33,'기존수주 매출'!$O$35,'기존수주 매출'!$O$37,'기존수주 매출'!$O$39),0)</f>
        <v>0</v>
      </c>
      <c r="U68" s="311">
        <f>IF(U$2=$K68,$F68*CHOOSE($N68,'기존수주 매출'!$O$33,'기존수주 매출'!$O$35,'기존수주 매출'!$O$37,'기존수주 매출'!$O$39),0)</f>
        <v>0</v>
      </c>
      <c r="V68" s="311">
        <f>IF(V$2=$K68,$F68*CHOOSE($N68,'기존수주 매출'!$O$33,'기존수주 매출'!$O$35,'기존수주 매출'!$O$37,'기존수주 매출'!$O$39),0)</f>
        <v>0</v>
      </c>
      <c r="W68" s="311">
        <f>IF(W$2=$K68,$F68*CHOOSE($N68,'기존수주 매출'!$O$33,'기존수주 매출'!$O$35,'기존수주 매출'!$O$37,'기존수주 매출'!$O$39),0)</f>
        <v>0</v>
      </c>
      <c r="X68" s="311">
        <f>IF(X$2=$K68,$F68*CHOOSE($N68,'기존수주 매출'!$O$33,'기존수주 매출'!$O$35,'기존수주 매출'!$O$37,'기존수주 매출'!$O$39),0)</f>
        <v>0</v>
      </c>
      <c r="Y68" s="311">
        <f>IF(Y$2=$K68,$F68*CHOOSE($N68,'기존수주 매출'!$O$33,'기존수주 매출'!$O$35,'기존수주 매출'!$O$37,'기존수주 매출'!$O$39),0)</f>
        <v>1472.6793979919998</v>
      </c>
      <c r="Z68" s="311">
        <f>$F68*'기존수주 매출'!P$39</f>
        <v>1472.6793979919998</v>
      </c>
      <c r="AA68" s="311">
        <f>$F68*'기존수주 매출'!Q$39</f>
        <v>1472.6793979920003</v>
      </c>
      <c r="AB68" s="311">
        <f>$F68*'기존수주 매출'!R$39</f>
        <v>1472.6793979919994</v>
      </c>
      <c r="AC68" s="311">
        <f>$F68*'기존수주 매출'!S$39</f>
        <v>3772.7067723840014</v>
      </c>
      <c r="AD68" s="311">
        <f>$F68*'기존수주 매출'!T$39</f>
        <v>3772.7067723839996</v>
      </c>
      <c r="AE68" s="311">
        <f>$F68*'기존수주 매출'!U$39</f>
        <v>3772.7067723839996</v>
      </c>
      <c r="AF68" s="311">
        <f>$F68*'기존수주 매출'!V$39</f>
        <v>3772.7067723839996</v>
      </c>
      <c r="AG68" s="311">
        <f>$F68*'기존수주 매출'!W$39</f>
        <v>4384.944274919998</v>
      </c>
      <c r="AH68" s="311">
        <f>$F68*'기존수주 매출'!X$39</f>
        <v>4384.9442749200016</v>
      </c>
      <c r="AI68" s="311">
        <f>$F68*'기존수주 매출'!Y$39</f>
        <v>4384.9442749199943</v>
      </c>
      <c r="AJ68" s="311">
        <f>$F68*'기존수주 매출'!Z$39</f>
        <v>4384.9442749200016</v>
      </c>
      <c r="AK68" s="311">
        <f>$F68*'기존수주 매출'!AA$39</f>
        <v>2531.6848077840004</v>
      </c>
      <c r="AL68" s="311">
        <f>$F68*'기존수주 매출'!AB$39</f>
        <v>2531.6848077840004</v>
      </c>
      <c r="AM68" s="311">
        <f>$F68*'기존수주 매출'!AC$39</f>
        <v>2531.6848077840004</v>
      </c>
      <c r="AN68" s="311">
        <f>$F68*'기존수주 매출'!AD$39</f>
        <v>2531.6848077840004</v>
      </c>
      <c r="AO68" s="311">
        <f>$F68*'기존수주 매출'!AE$39</f>
        <v>3640.3310961600032</v>
      </c>
      <c r="AP68" s="311">
        <f>$F68*'기존수주 매출'!AF$39</f>
        <v>3640.3310961599959</v>
      </c>
      <c r="AQ68" s="311">
        <f>$F68*'기존수주 매출'!AG$39</f>
        <v>5129.5574536800004</v>
      </c>
      <c r="AR68" s="311">
        <f>$F68*'기존수주 매출'!AH$39</f>
        <v>5129.5574536800004</v>
      </c>
      <c r="AS68" s="311">
        <f>$F68*'기존수주 매출'!AI$39</f>
        <v>0</v>
      </c>
      <c r="AT68" s="311">
        <f>$F68*'기존수주 매출'!AJ$39</f>
        <v>0</v>
      </c>
      <c r="AU68" s="311">
        <f>$F68*'기존수주 매출'!AK$39</f>
        <v>0</v>
      </c>
      <c r="AV68" s="311">
        <f>$F68*'기존수주 매출'!AL$39</f>
        <v>0</v>
      </c>
      <c r="AW68" s="311">
        <f>$F68*'기존수주 매출'!AM$39</f>
        <v>0</v>
      </c>
      <c r="AX68" s="311">
        <f>$F68*'기존수주 매출'!AN$39</f>
        <v>0</v>
      </c>
      <c r="AY68" s="311">
        <f>$F68*'기존수주 매출'!AO$39</f>
        <v>0</v>
      </c>
      <c r="AZ68" s="311">
        <f t="shared" ref="AZ68:AZ70" si="42">SUM(R68:AY68)</f>
        <v>66187.838111999983</v>
      </c>
    </row>
    <row r="69" spans="1:52" ht="15" customHeight="1">
      <c r="A69" t="str">
        <f t="shared" si="35"/>
        <v/>
      </c>
      <c r="B69" s="79" t="s">
        <v>526</v>
      </c>
      <c r="C69" s="79" t="s">
        <v>676</v>
      </c>
      <c r="D69" s="6" t="s">
        <v>677</v>
      </c>
      <c r="E69" s="147">
        <f t="shared" si="37"/>
        <v>570</v>
      </c>
      <c r="F69" s="121">
        <f t="shared" si="38"/>
        <v>66187.838111999998</v>
      </c>
      <c r="G69" s="121">
        <f t="shared" si="39"/>
        <v>116.11901423157894</v>
      </c>
      <c r="H69" s="79" t="s">
        <v>442</v>
      </c>
      <c r="I69" s="79">
        <f t="shared" si="40"/>
        <v>2027</v>
      </c>
      <c r="J69" s="79" t="s">
        <v>441</v>
      </c>
      <c r="K69" s="88" t="s">
        <v>440</v>
      </c>
      <c r="L69" s="79" t="s">
        <v>1026</v>
      </c>
      <c r="M69" s="121">
        <f t="shared" si="41"/>
        <v>20</v>
      </c>
      <c r="N69" s="121">
        <v>4</v>
      </c>
      <c r="O69" s="773" t="s">
        <v>1578</v>
      </c>
      <c r="R69" s="311">
        <f>IF(R$2=$K69,$F69*CHOOSE($N69,'기존수주 매출'!$O$33,'기존수주 매출'!$O$35,'기존수주 매출'!$O$37,'기존수주 매출'!$O$39),0)</f>
        <v>0</v>
      </c>
      <c r="S69" s="311">
        <f>IF(S$2=$K69,$F69*CHOOSE($N69,'기존수주 매출'!$O$33,'기존수주 매출'!$O$35,'기존수주 매출'!$O$37,'기존수주 매출'!$O$39),0)</f>
        <v>0</v>
      </c>
      <c r="T69" s="311">
        <f>IF(T$2=$K69,$F69*CHOOSE($N69,'기존수주 매출'!$O$33,'기존수주 매출'!$O$35,'기존수주 매출'!$O$37,'기존수주 매출'!$O$39),0)</f>
        <v>0</v>
      </c>
      <c r="U69" s="311">
        <f>IF(U$2=$K69,$F69*CHOOSE($N69,'기존수주 매출'!$O$33,'기존수주 매출'!$O$35,'기존수주 매출'!$O$37,'기존수주 매출'!$O$39),0)</f>
        <v>0</v>
      </c>
      <c r="V69" s="311">
        <f>IF(V$2=$K69,$F69*CHOOSE($N69,'기존수주 매출'!$O$33,'기존수주 매출'!$O$35,'기존수주 매출'!$O$37,'기존수주 매출'!$O$39),0)</f>
        <v>0</v>
      </c>
      <c r="W69" s="311">
        <f>IF(W$2=$K69,$F69*CHOOSE($N69,'기존수주 매출'!$O$33,'기존수주 매출'!$O$35,'기존수주 매출'!$O$37,'기존수주 매출'!$O$39),0)</f>
        <v>0</v>
      </c>
      <c r="X69" s="311">
        <f>IF(X$2=$K69,$F69*CHOOSE($N69,'기존수주 매출'!$O$33,'기존수주 매출'!$O$35,'기존수주 매출'!$O$37,'기존수주 매출'!$O$39),0)</f>
        <v>0</v>
      </c>
      <c r="Y69" s="311">
        <f>IF(Y$2=$K69,$F69*CHOOSE($N69,'기존수주 매출'!$O$33,'기존수주 매출'!$O$35,'기존수주 매출'!$O$37,'기존수주 매출'!$O$39),0)</f>
        <v>0</v>
      </c>
      <c r="Z69" s="311">
        <f>IF(Z$2=$K69,$F69*CHOOSE($N69,'기존수주 매출'!$O$33,'기존수주 매출'!$O$35,'기존수주 매출'!$O$37,'기존수주 매출'!$O$39),0)</f>
        <v>0</v>
      </c>
      <c r="AA69" s="311">
        <f>IF(AA$2=$K69,$F69*CHOOSE($N69,'기존수주 매출'!$O$33,'기존수주 매출'!$O$35,'기존수주 매출'!$O$37,'기존수주 매출'!$O$39),0)</f>
        <v>0</v>
      </c>
      <c r="AB69" s="311">
        <f>IF(AB$2=$K69,$F69*CHOOSE($N69,'기존수주 매출'!$O$33,'기존수주 매출'!$O$35,'기존수주 매출'!$O$37,'기존수주 매출'!$O$39),0)</f>
        <v>0</v>
      </c>
      <c r="AC69" s="311">
        <f>IF(AC$2=$K69,$F69*CHOOSE($N69,'기존수주 매출'!$O$33,'기존수주 매출'!$O$35,'기존수주 매출'!$O$37,'기존수주 매출'!$O$39),0)</f>
        <v>1472.6793979919998</v>
      </c>
      <c r="AD69" s="311">
        <f>$F69*'기존수주 매출'!P$39</f>
        <v>1472.6793979919998</v>
      </c>
      <c r="AE69" s="311">
        <f>$F69*'기존수주 매출'!Q$39</f>
        <v>1472.6793979920003</v>
      </c>
      <c r="AF69" s="311">
        <f>$F69*'기존수주 매출'!R$39</f>
        <v>1472.6793979919994</v>
      </c>
      <c r="AG69" s="311">
        <f>$F69*'기존수주 매출'!S$39</f>
        <v>3772.7067723840014</v>
      </c>
      <c r="AH69" s="311">
        <f>$F69*'기존수주 매출'!T$39</f>
        <v>3772.7067723839996</v>
      </c>
      <c r="AI69" s="311">
        <f>$F69*'기존수주 매출'!U$39</f>
        <v>3772.7067723839996</v>
      </c>
      <c r="AJ69" s="311">
        <f>$F69*'기존수주 매출'!V$39</f>
        <v>3772.7067723839996</v>
      </c>
      <c r="AK69" s="311">
        <f>$F69*'기존수주 매출'!W$39</f>
        <v>4384.944274919998</v>
      </c>
      <c r="AL69" s="311">
        <f>$F69*'기존수주 매출'!X$39</f>
        <v>4384.9442749200016</v>
      </c>
      <c r="AM69" s="311">
        <f>$F69*'기존수주 매출'!Y$39</f>
        <v>4384.9442749199943</v>
      </c>
      <c r="AN69" s="311">
        <f>$F69*'기존수주 매출'!Z$39</f>
        <v>4384.9442749200016</v>
      </c>
      <c r="AO69" s="311">
        <f>$F69*'기존수주 매출'!AA$39</f>
        <v>2531.6848077840004</v>
      </c>
      <c r="AP69" s="311">
        <f>$F69*'기존수주 매출'!AB$39</f>
        <v>2531.6848077840004</v>
      </c>
      <c r="AQ69" s="311">
        <f>$F69*'기존수주 매출'!AC$39</f>
        <v>2531.6848077840004</v>
      </c>
      <c r="AR69" s="311">
        <f>$F69*'기존수주 매출'!AD$39</f>
        <v>2531.6848077840004</v>
      </c>
      <c r="AS69" s="311">
        <f>$F69*'기존수주 매출'!AE$39</f>
        <v>3640.3310961600032</v>
      </c>
      <c r="AT69" s="311">
        <f>$F69*'기존수주 매출'!AF$39</f>
        <v>3640.3310961599959</v>
      </c>
      <c r="AU69" s="311">
        <f>$F69*'기존수주 매출'!AG$39</f>
        <v>5129.5574536800004</v>
      </c>
      <c r="AV69" s="311">
        <f>$F69*'기존수주 매출'!AH$39</f>
        <v>5129.5574536800004</v>
      </c>
      <c r="AW69" s="311">
        <f>$F69*'기존수주 매출'!AI$39</f>
        <v>0</v>
      </c>
      <c r="AX69" s="311">
        <f>$F69*'기존수주 매출'!AJ$39</f>
        <v>0</v>
      </c>
      <c r="AY69" s="311">
        <f>$F69*'기존수주 매출'!AK$39</f>
        <v>0</v>
      </c>
      <c r="AZ69" s="311">
        <f t="shared" si="42"/>
        <v>66187.838111999983</v>
      </c>
    </row>
    <row r="70" spans="1:52" ht="15" customHeight="1">
      <c r="A70" t="str">
        <f t="shared" si="35"/>
        <v>F</v>
      </c>
      <c r="B70" s="139" t="s">
        <v>526</v>
      </c>
      <c r="C70" s="139" t="s">
        <v>676</v>
      </c>
      <c r="D70" s="59" t="s">
        <v>677</v>
      </c>
      <c r="E70" s="143">
        <f t="shared" si="37"/>
        <v>570</v>
      </c>
      <c r="F70" s="140">
        <f t="shared" si="38"/>
        <v>66187.838111999998</v>
      </c>
      <c r="G70" s="140">
        <f t="shared" si="39"/>
        <v>116.11901423157894</v>
      </c>
      <c r="H70" s="139" t="s">
        <v>438</v>
      </c>
      <c r="I70" s="139">
        <f t="shared" si="40"/>
        <v>2028</v>
      </c>
      <c r="J70" s="139" t="s">
        <v>948</v>
      </c>
      <c r="K70" s="138" t="s">
        <v>984</v>
      </c>
      <c r="L70" s="139" t="s">
        <v>1027</v>
      </c>
      <c r="M70" s="140">
        <f t="shared" si="41"/>
        <v>20</v>
      </c>
      <c r="N70" s="140">
        <v>4</v>
      </c>
      <c r="O70" s="774"/>
      <c r="P70" s="279"/>
      <c r="Q70" s="279"/>
      <c r="R70" s="490">
        <f>IF(R$2=$K70,$F70*CHOOSE($N70,'기존수주 매출'!$O$33,'기존수주 매출'!$O$35,'기존수주 매출'!$O$37,'기존수주 매출'!$O$39),0)</f>
        <v>0</v>
      </c>
      <c r="S70" s="490">
        <f>IF(S$2=$K70,$F70*CHOOSE($N70,'기존수주 매출'!$O$33,'기존수주 매출'!$O$35,'기존수주 매출'!$O$37,'기존수주 매출'!$O$39),0)</f>
        <v>0</v>
      </c>
      <c r="T70" s="490">
        <f>IF(T$2=$K70,$F70*CHOOSE($N70,'기존수주 매출'!$O$33,'기존수주 매출'!$O$35,'기존수주 매출'!$O$37,'기존수주 매출'!$O$39),0)</f>
        <v>0</v>
      </c>
      <c r="U70" s="490">
        <f>IF(U$2=$K70,$F70*CHOOSE($N70,'기존수주 매출'!$O$33,'기존수주 매출'!$O$35,'기존수주 매출'!$O$37,'기존수주 매출'!$O$39),0)</f>
        <v>0</v>
      </c>
      <c r="V70" s="490">
        <f>IF(V$2=$K70,$F70*CHOOSE($N70,'기존수주 매출'!$O$33,'기존수주 매출'!$O$35,'기존수주 매출'!$O$37,'기존수주 매출'!$O$39),0)</f>
        <v>0</v>
      </c>
      <c r="W70" s="490">
        <f>IF(W$2=$K70,$F70*CHOOSE($N70,'기존수주 매출'!$O$33,'기존수주 매출'!$O$35,'기존수주 매출'!$O$37,'기존수주 매출'!$O$39),0)</f>
        <v>0</v>
      </c>
      <c r="X70" s="490">
        <f>IF(X$2=$K70,$F70*CHOOSE($N70,'기존수주 매출'!$O$33,'기존수주 매출'!$O$35,'기존수주 매출'!$O$37,'기존수주 매출'!$O$39),0)</f>
        <v>0</v>
      </c>
      <c r="Y70" s="490">
        <f>IF(Y$2=$K70,$F70*CHOOSE($N70,'기존수주 매출'!$O$33,'기존수주 매출'!$O$35,'기존수주 매출'!$O$37,'기존수주 매출'!$O$39),0)</f>
        <v>0</v>
      </c>
      <c r="Z70" s="490">
        <f>IF(Z$2=$K70,$F70*CHOOSE($N70,'기존수주 매출'!$O$33,'기존수주 매출'!$O$35,'기존수주 매출'!$O$37,'기존수주 매출'!$O$39),0)</f>
        <v>0</v>
      </c>
      <c r="AA70" s="490">
        <f>IF(AA$2=$K70,$F70*CHOOSE($N70,'기존수주 매출'!$O$33,'기존수주 매출'!$O$35,'기존수주 매출'!$O$37,'기존수주 매출'!$O$39),0)</f>
        <v>0</v>
      </c>
      <c r="AB70" s="490">
        <f>IF(AB$2=$K70,$F70*CHOOSE($N70,'기존수주 매출'!$O$33,'기존수주 매출'!$O$35,'기존수주 매출'!$O$37,'기존수주 매출'!$O$39),0)</f>
        <v>0</v>
      </c>
      <c r="AC70" s="490">
        <f>IF(AC$2=$K70,$F70*CHOOSE($N70,'기존수주 매출'!$O$33,'기존수주 매출'!$O$35,'기존수주 매출'!$O$37,'기존수주 매출'!$O$39),0)</f>
        <v>0</v>
      </c>
      <c r="AD70" s="490">
        <f>IF(AD$2=$K70,$F70*CHOOSE($N70,'기존수주 매출'!$O$33,'기존수주 매출'!$O$35,'기존수주 매출'!$O$37,'기존수주 매출'!$O$39),0)</f>
        <v>0</v>
      </c>
      <c r="AE70" s="490">
        <f>IF(AE$2=$K70,$F70*CHOOSE($N70,'기존수주 매출'!$O$33,'기존수주 매출'!$O$35,'기존수주 매출'!$O$37,'기존수주 매출'!$O$39),0)</f>
        <v>0</v>
      </c>
      <c r="AF70" s="490">
        <f>IF(AF$2=$K70,$F70*CHOOSE($N70,'기존수주 매출'!$O$33,'기존수주 매출'!$O$35,'기존수주 매출'!$O$37,'기존수주 매출'!$O$39),0)</f>
        <v>0</v>
      </c>
      <c r="AG70" s="490">
        <f>IF(AG$2=$K70,$F70*CHOOSE($N70,'기존수주 매출'!$O$33,'기존수주 매출'!$O$35,'기존수주 매출'!$O$37,'기존수주 매출'!$O$39),0)</f>
        <v>1472.6793979919998</v>
      </c>
      <c r="AH70" s="490">
        <f>$F70*'기존수주 매출'!P$39</f>
        <v>1472.6793979919998</v>
      </c>
      <c r="AI70" s="490">
        <f>$F70*'기존수주 매출'!Q$39</f>
        <v>1472.6793979920003</v>
      </c>
      <c r="AJ70" s="490">
        <f>$F70*'기존수주 매출'!R$39</f>
        <v>1472.6793979919994</v>
      </c>
      <c r="AK70" s="490">
        <f>$F70*'기존수주 매출'!S$39</f>
        <v>3772.7067723840014</v>
      </c>
      <c r="AL70" s="490">
        <f>$F70*'기존수주 매출'!T$39</f>
        <v>3772.7067723839996</v>
      </c>
      <c r="AM70" s="490">
        <f>$F70*'기존수주 매출'!U$39</f>
        <v>3772.7067723839996</v>
      </c>
      <c r="AN70" s="490">
        <f>$F70*'기존수주 매출'!V$39</f>
        <v>3772.7067723839996</v>
      </c>
      <c r="AO70" s="490">
        <f>$F70*'기존수주 매출'!W$39</f>
        <v>4384.944274919998</v>
      </c>
      <c r="AP70" s="490">
        <f>$F70*'기존수주 매출'!X$39</f>
        <v>4384.9442749200016</v>
      </c>
      <c r="AQ70" s="490">
        <f>$F70*'기존수주 매출'!Y$39</f>
        <v>4384.9442749199943</v>
      </c>
      <c r="AR70" s="490">
        <f>$F70*'기존수주 매출'!Z$39</f>
        <v>4384.9442749200016</v>
      </c>
      <c r="AS70" s="490">
        <f>$F70*'기존수주 매출'!AA$39</f>
        <v>2531.6848077840004</v>
      </c>
      <c r="AT70" s="490">
        <f>$F70*'기존수주 매출'!AB$39</f>
        <v>2531.6848077840004</v>
      </c>
      <c r="AU70" s="490">
        <f>$F70*'기존수주 매출'!AC$39</f>
        <v>2531.6848077840004</v>
      </c>
      <c r="AV70" s="490">
        <f>$F70*'기존수주 매출'!AD$39</f>
        <v>2531.6848077840004</v>
      </c>
      <c r="AW70" s="490">
        <f>$F70*'기존수주 매출'!AE$39</f>
        <v>3640.3310961600032</v>
      </c>
      <c r="AX70" s="490">
        <f>$F70*'기존수주 매출'!AF$39</f>
        <v>3640.3310961599959</v>
      </c>
      <c r="AY70" s="490">
        <f>$F70*'기존수주 매출'!AG$39</f>
        <v>5129.5574536800004</v>
      </c>
      <c r="AZ70" s="311">
        <f t="shared" si="42"/>
        <v>61058.280658319978</v>
      </c>
    </row>
    <row r="71" spans="1:52" ht="15" customHeight="1">
      <c r="A71"/>
      <c r="E71" s="147"/>
      <c r="F71" s="121">
        <f>SUM(F67:F70)</f>
        <v>264751.35244799999</v>
      </c>
      <c r="G71" s="121"/>
      <c r="H71" s="79"/>
      <c r="I71" s="79"/>
      <c r="J71" s="79"/>
      <c r="K71" s="88"/>
      <c r="L71" s="79"/>
      <c r="M71" s="121"/>
      <c r="N71" s="121"/>
      <c r="O71" s="121"/>
      <c r="AZ71" s="311"/>
    </row>
    <row r="72" spans="1:52" s="494" customFormat="1" ht="15" customHeight="1">
      <c r="A72" s="505" t="str">
        <f t="shared" ref="A72:A74" si="43">IF(F72=AY72,"","F")</f>
        <v>F</v>
      </c>
      <c r="B72" s="495"/>
      <c r="C72" s="495"/>
      <c r="D72" s="491" t="s">
        <v>979</v>
      </c>
      <c r="G72" s="496"/>
      <c r="H72" s="359"/>
      <c r="I72" s="359"/>
      <c r="K72" s="356"/>
      <c r="L72" s="357"/>
      <c r="M72" s="496"/>
      <c r="N72" s="496"/>
      <c r="O72" s="496"/>
      <c r="P72" s="497"/>
      <c r="Q72" s="277"/>
      <c r="R72" s="498">
        <f>R73+SUMIF($B67:$B70,"잠재",R67:R70)</f>
        <v>0</v>
      </c>
      <c r="S72" s="498">
        <f t="shared" ref="S72:AY72" si="44">S73+SUMIF($B67:$B70,"잠재",S67:S70)</f>
        <v>0</v>
      </c>
      <c r="T72" s="498">
        <f t="shared" si="44"/>
        <v>0</v>
      </c>
      <c r="U72" s="498">
        <f t="shared" si="44"/>
        <v>1472.6793979919998</v>
      </c>
      <c r="V72" s="498">
        <f t="shared" si="44"/>
        <v>1472.6793979919998</v>
      </c>
      <c r="W72" s="498">
        <f t="shared" si="44"/>
        <v>1472.6793979920003</v>
      </c>
      <c r="X72" s="498">
        <f t="shared" si="44"/>
        <v>1472.6793979919994</v>
      </c>
      <c r="Y72" s="498">
        <f t="shared" si="44"/>
        <v>5245.3861703760012</v>
      </c>
      <c r="Z72" s="498">
        <f t="shared" si="44"/>
        <v>5245.3861703759994</v>
      </c>
      <c r="AA72" s="498">
        <f t="shared" si="44"/>
        <v>5245.3861703759994</v>
      </c>
      <c r="AB72" s="498">
        <f t="shared" si="44"/>
        <v>5245.3861703759994</v>
      </c>
      <c r="AC72" s="498">
        <f t="shared" si="44"/>
        <v>9630.3304452960001</v>
      </c>
      <c r="AD72" s="498">
        <f t="shared" si="44"/>
        <v>9630.3304452960019</v>
      </c>
      <c r="AE72" s="498">
        <f t="shared" si="44"/>
        <v>9630.3304452959947</v>
      </c>
      <c r="AF72" s="498">
        <f t="shared" si="44"/>
        <v>9630.3304452960001</v>
      </c>
      <c r="AG72" s="498">
        <f t="shared" si="44"/>
        <v>12162.015253080001</v>
      </c>
      <c r="AH72" s="498">
        <f t="shared" si="44"/>
        <v>12162.015253080002</v>
      </c>
      <c r="AI72" s="498">
        <f t="shared" si="44"/>
        <v>12162.015253079995</v>
      </c>
      <c r="AJ72" s="498">
        <f t="shared" si="44"/>
        <v>12162.015253080001</v>
      </c>
      <c r="AK72" s="498">
        <f t="shared" si="44"/>
        <v>14329.666951248004</v>
      </c>
      <c r="AL72" s="498">
        <f t="shared" si="44"/>
        <v>14329.666951247998</v>
      </c>
      <c r="AM72" s="498">
        <f t="shared" si="44"/>
        <v>15818.893308767994</v>
      </c>
      <c r="AN72" s="498">
        <f t="shared" si="44"/>
        <v>15818.893308768002</v>
      </c>
      <c r="AO72" s="498">
        <f t="shared" si="44"/>
        <v>10556.960178864003</v>
      </c>
      <c r="AP72" s="498">
        <f t="shared" si="44"/>
        <v>10556.960178863999</v>
      </c>
      <c r="AQ72" s="498">
        <f t="shared" si="44"/>
        <v>12046.186536383995</v>
      </c>
      <c r="AR72" s="498">
        <f t="shared" si="44"/>
        <v>12046.186536384002</v>
      </c>
      <c r="AS72" s="498">
        <f t="shared" si="44"/>
        <v>6172.0159039440041</v>
      </c>
      <c r="AT72" s="498">
        <f t="shared" si="44"/>
        <v>6172.0159039439968</v>
      </c>
      <c r="AU72" s="498">
        <f t="shared" si="44"/>
        <v>7661.2422614640009</v>
      </c>
      <c r="AV72" s="498">
        <f t="shared" si="44"/>
        <v>7661.2422614640009</v>
      </c>
      <c r="AW72" s="498">
        <f t="shared" si="44"/>
        <v>3640.3310961600032</v>
      </c>
      <c r="AX72" s="498">
        <f t="shared" si="44"/>
        <v>3640.3310961599959</v>
      </c>
      <c r="AY72" s="498">
        <f t="shared" si="44"/>
        <v>5129.5574536800004</v>
      </c>
      <c r="AZ72" s="504" t="s">
        <v>959</v>
      </c>
    </row>
    <row r="73" spans="1:52" s="499" customFormat="1" ht="15" customHeight="1">
      <c r="A73" s="505" t="str">
        <f t="shared" si="43"/>
        <v>F</v>
      </c>
      <c r="B73" s="346"/>
      <c r="C73" s="346"/>
      <c r="D73" s="492" t="s">
        <v>981</v>
      </c>
      <c r="G73" s="500"/>
      <c r="H73" s="346"/>
      <c r="I73" s="346"/>
      <c r="K73" s="347"/>
      <c r="L73" s="348"/>
      <c r="M73" s="500"/>
      <c r="N73" s="500"/>
      <c r="O73" s="500"/>
      <c r="P73" s="501"/>
      <c r="Q73" s="277"/>
      <c r="R73" s="502">
        <f>R74+SUMIF($B67:$B70,"가능",R67:R70)</f>
        <v>0</v>
      </c>
      <c r="S73" s="502">
        <f t="shared" ref="S73:AY73" si="45">S74+SUMIF($B67:$B70,"가능",S67:S70)</f>
        <v>0</v>
      </c>
      <c r="T73" s="502">
        <f t="shared" si="45"/>
        <v>0</v>
      </c>
      <c r="U73" s="502">
        <f t="shared" si="45"/>
        <v>1472.6793979919998</v>
      </c>
      <c r="V73" s="502">
        <f t="shared" si="45"/>
        <v>1472.6793979919998</v>
      </c>
      <c r="W73" s="502">
        <f t="shared" si="45"/>
        <v>1472.6793979920003</v>
      </c>
      <c r="X73" s="502">
        <f t="shared" si="45"/>
        <v>1472.6793979919994</v>
      </c>
      <c r="Y73" s="502">
        <f t="shared" si="45"/>
        <v>5245.3861703760012</v>
      </c>
      <c r="Z73" s="502">
        <f t="shared" si="45"/>
        <v>5245.3861703759994</v>
      </c>
      <c r="AA73" s="502">
        <f t="shared" si="45"/>
        <v>5245.3861703759994</v>
      </c>
      <c r="AB73" s="502">
        <f t="shared" si="45"/>
        <v>5245.3861703759994</v>
      </c>
      <c r="AC73" s="502">
        <f t="shared" si="45"/>
        <v>9630.3304452960001</v>
      </c>
      <c r="AD73" s="502">
        <f t="shared" si="45"/>
        <v>9630.3304452960019</v>
      </c>
      <c r="AE73" s="502">
        <f t="shared" si="45"/>
        <v>9630.3304452959947</v>
      </c>
      <c r="AF73" s="502">
        <f t="shared" si="45"/>
        <v>9630.3304452960001</v>
      </c>
      <c r="AG73" s="502">
        <f t="shared" si="45"/>
        <v>12162.015253080001</v>
      </c>
      <c r="AH73" s="502">
        <f t="shared" si="45"/>
        <v>12162.015253080002</v>
      </c>
      <c r="AI73" s="502">
        <f t="shared" si="45"/>
        <v>12162.015253079995</v>
      </c>
      <c r="AJ73" s="502">
        <f t="shared" si="45"/>
        <v>12162.015253080001</v>
      </c>
      <c r="AK73" s="502">
        <f t="shared" si="45"/>
        <v>14329.666951248004</v>
      </c>
      <c r="AL73" s="502">
        <f t="shared" si="45"/>
        <v>14329.666951247998</v>
      </c>
      <c r="AM73" s="502">
        <f t="shared" si="45"/>
        <v>15818.893308767994</v>
      </c>
      <c r="AN73" s="502">
        <f t="shared" si="45"/>
        <v>15818.893308768002</v>
      </c>
      <c r="AO73" s="502">
        <f t="shared" si="45"/>
        <v>10556.960178864003</v>
      </c>
      <c r="AP73" s="502">
        <f t="shared" si="45"/>
        <v>10556.960178863999</v>
      </c>
      <c r="AQ73" s="502">
        <f t="shared" si="45"/>
        <v>12046.186536383995</v>
      </c>
      <c r="AR73" s="502">
        <f t="shared" si="45"/>
        <v>12046.186536384002</v>
      </c>
      <c r="AS73" s="502">
        <f t="shared" si="45"/>
        <v>6172.0159039440041</v>
      </c>
      <c r="AT73" s="502">
        <f t="shared" si="45"/>
        <v>6172.0159039439968</v>
      </c>
      <c r="AU73" s="502">
        <f t="shared" si="45"/>
        <v>7661.2422614640009</v>
      </c>
      <c r="AV73" s="502">
        <f t="shared" si="45"/>
        <v>7661.2422614640009</v>
      </c>
      <c r="AW73" s="502">
        <f t="shared" si="45"/>
        <v>3640.3310961600032</v>
      </c>
      <c r="AX73" s="502">
        <f t="shared" si="45"/>
        <v>3640.3310961599959</v>
      </c>
      <c r="AY73" s="502">
        <f t="shared" si="45"/>
        <v>5129.5574536800004</v>
      </c>
      <c r="AZ73" s="504" t="s">
        <v>959</v>
      </c>
    </row>
    <row r="74" spans="1:52" s="62" customFormat="1" ht="15" customHeight="1">
      <c r="A74" s="505" t="str">
        <f t="shared" si="43"/>
        <v/>
      </c>
      <c r="B74" s="129"/>
      <c r="C74" s="129"/>
      <c r="D74" s="493" t="s">
        <v>980</v>
      </c>
      <c r="G74" s="130"/>
      <c r="H74" s="129"/>
      <c r="I74" s="129"/>
      <c r="K74" s="134"/>
      <c r="L74" s="133"/>
      <c r="M74" s="130"/>
      <c r="N74" s="130"/>
      <c r="O74" s="130"/>
      <c r="P74" s="503"/>
      <c r="Q74" s="277"/>
      <c r="R74" s="320">
        <f>SUMIF($B67:$B70,"확실", R67:R70)</f>
        <v>0</v>
      </c>
      <c r="S74" s="320">
        <f t="shared" ref="S74:AY74" si="46">SUMIF($B67:$B70,"확실", S67:S70)</f>
        <v>0</v>
      </c>
      <c r="T74" s="320">
        <f t="shared" si="46"/>
        <v>0</v>
      </c>
      <c r="U74" s="320">
        <f t="shared" si="46"/>
        <v>0</v>
      </c>
      <c r="V74" s="320">
        <f t="shared" si="46"/>
        <v>0</v>
      </c>
      <c r="W74" s="320">
        <f t="shared" si="46"/>
        <v>0</v>
      </c>
      <c r="X74" s="320">
        <f t="shared" si="46"/>
        <v>0</v>
      </c>
      <c r="Y74" s="320">
        <f t="shared" si="46"/>
        <v>0</v>
      </c>
      <c r="Z74" s="320">
        <f t="shared" si="46"/>
        <v>0</v>
      </c>
      <c r="AA74" s="320">
        <f t="shared" si="46"/>
        <v>0</v>
      </c>
      <c r="AB74" s="320">
        <f t="shared" si="46"/>
        <v>0</v>
      </c>
      <c r="AC74" s="320">
        <f t="shared" si="46"/>
        <v>0</v>
      </c>
      <c r="AD74" s="320">
        <f t="shared" si="46"/>
        <v>0</v>
      </c>
      <c r="AE74" s="320">
        <f t="shared" si="46"/>
        <v>0</v>
      </c>
      <c r="AF74" s="320">
        <f t="shared" si="46"/>
        <v>0</v>
      </c>
      <c r="AG74" s="320">
        <f t="shared" si="46"/>
        <v>0</v>
      </c>
      <c r="AH74" s="320">
        <f t="shared" si="46"/>
        <v>0</v>
      </c>
      <c r="AI74" s="320">
        <f t="shared" si="46"/>
        <v>0</v>
      </c>
      <c r="AJ74" s="320">
        <f t="shared" si="46"/>
        <v>0</v>
      </c>
      <c r="AK74" s="320">
        <f t="shared" si="46"/>
        <v>0</v>
      </c>
      <c r="AL74" s="320">
        <f t="shared" si="46"/>
        <v>0</v>
      </c>
      <c r="AM74" s="320">
        <f t="shared" si="46"/>
        <v>0</v>
      </c>
      <c r="AN74" s="320">
        <f t="shared" si="46"/>
        <v>0</v>
      </c>
      <c r="AO74" s="320">
        <f t="shared" si="46"/>
        <v>0</v>
      </c>
      <c r="AP74" s="320">
        <f t="shared" si="46"/>
        <v>0</v>
      </c>
      <c r="AQ74" s="320">
        <f t="shared" si="46"/>
        <v>0</v>
      </c>
      <c r="AR74" s="320">
        <f t="shared" si="46"/>
        <v>0</v>
      </c>
      <c r="AS74" s="320">
        <f t="shared" si="46"/>
        <v>0</v>
      </c>
      <c r="AT74" s="320">
        <f t="shared" si="46"/>
        <v>0</v>
      </c>
      <c r="AU74" s="320">
        <f t="shared" si="46"/>
        <v>0</v>
      </c>
      <c r="AV74" s="320">
        <f t="shared" si="46"/>
        <v>0</v>
      </c>
      <c r="AW74" s="320">
        <f t="shared" si="46"/>
        <v>0</v>
      </c>
      <c r="AX74" s="320">
        <f t="shared" si="46"/>
        <v>0</v>
      </c>
      <c r="AY74" s="320">
        <f t="shared" si="46"/>
        <v>0</v>
      </c>
      <c r="AZ74" s="504" t="s">
        <v>959</v>
      </c>
    </row>
    <row r="75" spans="1:52" s="59" customFormat="1" ht="15" customHeight="1">
      <c r="B75" s="139"/>
      <c r="C75" s="139"/>
      <c r="M75" s="71"/>
      <c r="N75" s="71"/>
      <c r="O75" s="71"/>
      <c r="P75" s="279"/>
      <c r="Q75" s="279"/>
      <c r="AZ75" s="279"/>
    </row>
  </sheetData>
  <phoneticPr fontId="2" type="noConversion"/>
  <conditionalFormatting sqref="B3:N4 D5:D7 B9:N74">
    <cfRule type="expression" dxfId="12" priority="32">
      <formula>$B3="잠재"</formula>
    </cfRule>
    <cfRule type="expression" dxfId="11" priority="34">
      <formula>$B3="가능"</formula>
    </cfRule>
  </conditionalFormatting>
  <conditionalFormatting sqref="P72:P74">
    <cfRule type="colorScale" priority="26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P23:Q26">
    <cfRule type="colorScale" priority="36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P44:Q49">
    <cfRule type="colorScale" priority="59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P58:Q61">
    <cfRule type="colorScale" priority="31">
      <colorScale>
        <cfvo type="min"/>
        <cfvo type="percentile" val="50"/>
        <cfvo type="max"/>
        <color theme="0"/>
        <color theme="4" tint="0.79998168889431442"/>
        <color rgb="FF2F5597"/>
      </colorScale>
    </cfRule>
  </conditionalFormatting>
  <conditionalFormatting sqref="P26:S26 P23:Q25">
    <cfRule type="expression" dxfId="10" priority="35">
      <formula>"$B3!=$C3"</formula>
    </cfRule>
  </conditionalFormatting>
  <conditionalFormatting sqref="P45:S45 P49:S49 P44:Q44 P46:Q48">
    <cfRule type="expression" dxfId="9" priority="46">
      <formula>"$B3!=$C3"</formula>
    </cfRule>
  </conditionalFormatting>
  <conditionalFormatting sqref="P61:S61 P58:Q60">
    <cfRule type="expression" dxfId="8" priority="30">
      <formula>"$B3!=$C3"</formula>
    </cfRule>
  </conditionalFormatting>
  <conditionalFormatting sqref="R38:X39 R40:AA40 R41:Y42 R43:AC44">
    <cfRule type="colorScale" priority="82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R54:Y54 R55:AC56">
    <cfRule type="colorScale" priority="8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R70:AG70 R67:U67 R68:Y68 R69:AC69">
    <cfRule type="colorScale" priority="5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R10:AY15 R22:AY29 R34:AY37 R45:AY53 R57:AY66 R71:AY75 R30:S33 W32:AY33 X30:AY31">
    <cfRule type="colorScale" priority="19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R16:AY21">
    <cfRule type="colorScale" priority="17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R72:AY74 P72:P74">
    <cfRule type="expression" dxfId="7" priority="25">
      <formula>"$B3!=$C3"</formula>
    </cfRule>
  </conditionalFormatting>
  <conditionalFormatting sqref="V67:AY67">
    <cfRule type="colorScale" priority="4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Y38:AY38">
    <cfRule type="colorScale" priority="15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Y39:AY39">
    <cfRule type="colorScale" priority="14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Z41:AY41">
    <cfRule type="colorScale" priority="88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Z42:AY42">
    <cfRule type="colorScale" priority="76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Z54:AY54">
    <cfRule type="colorScale" priority="7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Z68:AY68">
    <cfRule type="colorScale" priority="3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AB40:AY40">
    <cfRule type="colorScale" priority="13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AD43:AY43">
    <cfRule type="colorScale" priority="10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AD44:AY44">
    <cfRule type="colorScale" priority="9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AD55:AY56">
    <cfRule type="colorScale" priority="6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AD69:AY69">
    <cfRule type="colorScale" priority="2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conditionalFormatting sqref="AH70:AY70">
    <cfRule type="colorScale" priority="1">
      <colorScale>
        <cfvo type="min"/>
        <cfvo type="percentile" val="50"/>
        <cfvo type="max"/>
        <color theme="0"/>
        <color theme="6" tint="0.59999389629810485"/>
        <color theme="6" tint="-0.249977111117893"/>
      </colorScale>
    </cfRule>
  </conditionalFormatting>
  <dataValidations disablePrompts="1" count="1">
    <dataValidation type="list" allowBlank="1" showInputMessage="1" showErrorMessage="1" sqref="J58:J61 J46:J48 J23:J26 J72:J74" xr:uid="{6F5D4893-421E-4D04-97E9-77353F2C7DFD}">
      <formula1>"중동, 미국, 일본, 동남아, 국내"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9F0B-5164-4B16-B0BC-00431CBDA43C}">
  <sheetPr>
    <tabColor theme="2" tint="-9.9978637043366805E-2"/>
  </sheetPr>
  <dimension ref="A1:AQ47"/>
  <sheetViews>
    <sheetView zoomScale="85" zoomScaleNormal="85" workbookViewId="0">
      <pane xSplit="2" ySplit="4" topLeftCell="P24" activePane="bottomRight" state="frozen"/>
      <selection pane="topRight"/>
      <selection pane="bottomLeft"/>
      <selection pane="bottomRight" activeCell="Z42" sqref="Z42"/>
    </sheetView>
  </sheetViews>
  <sheetFormatPr defaultRowHeight="15"/>
  <cols>
    <col min="1" max="1" width="1.69921875" style="6" customWidth="1"/>
    <col min="2" max="2" width="12.09765625" style="6" customWidth="1"/>
    <col min="3" max="15" width="9.69921875" style="6" hidden="1" customWidth="1"/>
    <col min="16" max="34" width="9.69921875" style="6" customWidth="1"/>
    <col min="35" max="16384" width="8.796875" style="6"/>
  </cols>
  <sheetData>
    <row r="1" spans="1:43" s="57" customFormat="1" ht="16.8" customHeight="1">
      <c r="A1" s="196"/>
      <c r="B1" s="1073"/>
      <c r="C1" s="1074"/>
      <c r="D1" s="1074"/>
      <c r="E1" s="1074"/>
    </row>
    <row r="2" spans="1:43" s="57" customFormat="1" ht="17.399999999999999">
      <c r="A2" s="196"/>
      <c r="B2" s="1074"/>
      <c r="C2" s="1074"/>
      <c r="D2" s="1074"/>
      <c r="E2" s="1074"/>
    </row>
    <row r="3" spans="1:43">
      <c r="AA3" s="79" t="s">
        <v>58</v>
      </c>
    </row>
    <row r="4" spans="1:43" ht="15.6" thickBot="1">
      <c r="A4" s="6" t="s">
        <v>423</v>
      </c>
      <c r="B4" s="70" t="s">
        <v>3</v>
      </c>
      <c r="C4" s="69">
        <v>2008</v>
      </c>
      <c r="D4" s="69">
        <f>C4+1</f>
        <v>2009</v>
      </c>
      <c r="E4" s="69">
        <v>2009</v>
      </c>
      <c r="F4" s="69">
        <f>E4+1</f>
        <v>2010</v>
      </c>
      <c r="G4" s="69">
        <v>2010</v>
      </c>
      <c r="H4" s="69">
        <f>G4+1</f>
        <v>2011</v>
      </c>
      <c r="I4" s="69">
        <v>2011</v>
      </c>
      <c r="J4" s="69">
        <f>I4+1</f>
        <v>2012</v>
      </c>
      <c r="K4" s="69">
        <v>2012</v>
      </c>
      <c r="L4" s="69">
        <f>K4+1</f>
        <v>2013</v>
      </c>
      <c r="M4" s="69">
        <v>2013</v>
      </c>
      <c r="N4" s="69">
        <f>M4+1</f>
        <v>2014</v>
      </c>
      <c r="O4" s="69">
        <v>2014</v>
      </c>
      <c r="P4" s="69">
        <v>2014</v>
      </c>
      <c r="Q4" s="69">
        <v>2015</v>
      </c>
      <c r="R4" s="69">
        <f t="shared" ref="R4:Z4" si="0">Q4+1</f>
        <v>2016</v>
      </c>
      <c r="S4" s="69">
        <f t="shared" si="0"/>
        <v>2017</v>
      </c>
      <c r="T4" s="69">
        <f t="shared" si="0"/>
        <v>2018</v>
      </c>
      <c r="U4" s="69">
        <f t="shared" si="0"/>
        <v>2019</v>
      </c>
      <c r="V4" s="69">
        <f t="shared" si="0"/>
        <v>2020</v>
      </c>
      <c r="W4" s="69">
        <f t="shared" si="0"/>
        <v>2021</v>
      </c>
      <c r="X4" s="69">
        <f t="shared" si="0"/>
        <v>2022</v>
      </c>
      <c r="Y4" s="69">
        <f t="shared" si="0"/>
        <v>2023</v>
      </c>
      <c r="Z4" s="69">
        <f t="shared" si="0"/>
        <v>2024</v>
      </c>
      <c r="AA4" s="78">
        <v>2025</v>
      </c>
    </row>
    <row r="5" spans="1:43" ht="15.6" thickTop="1">
      <c r="B5" s="77" t="s">
        <v>436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6">
        <f t="shared" ref="Q5:AA5" si="1">SUM(Q7:Q8)</f>
        <v>652976</v>
      </c>
      <c r="R5" s="76">
        <f t="shared" si="1"/>
        <v>672929</v>
      </c>
      <c r="S5" s="76">
        <f t="shared" si="1"/>
        <v>577829</v>
      </c>
      <c r="T5" s="76">
        <f t="shared" si="1"/>
        <v>508000</v>
      </c>
      <c r="U5" s="76">
        <f t="shared" si="1"/>
        <v>427295</v>
      </c>
      <c r="V5" s="76">
        <f t="shared" si="1"/>
        <v>415073</v>
      </c>
      <c r="W5" s="76">
        <f t="shared" si="1"/>
        <v>703863</v>
      </c>
      <c r="X5" s="76">
        <f t="shared" si="1"/>
        <v>635412</v>
      </c>
      <c r="Y5" s="76">
        <f t="shared" si="1"/>
        <v>687257</v>
      </c>
      <c r="Z5" s="76">
        <f t="shared" si="1"/>
        <v>1396167</v>
      </c>
      <c r="AA5" s="76">
        <f t="shared" si="1"/>
        <v>1862298</v>
      </c>
    </row>
    <row r="6" spans="1:43" ht="17.399999999999999">
      <c r="B6" s="66" t="s">
        <v>432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7">
        <f t="shared" ref="R6:AA6" si="2">R5/Q5-1</f>
        <v>3.0557018940971847E-2</v>
      </c>
      <c r="S6" s="67">
        <f t="shared" si="2"/>
        <v>-0.14132248721633334</v>
      </c>
      <c r="T6" s="67">
        <f t="shared" si="2"/>
        <v>-0.12084717104887432</v>
      </c>
      <c r="U6" s="67">
        <f t="shared" si="2"/>
        <v>-0.15886811023622049</v>
      </c>
      <c r="V6" s="67">
        <f t="shared" si="2"/>
        <v>-2.8603189833721454E-2</v>
      </c>
      <c r="W6" s="67">
        <f t="shared" si="2"/>
        <v>0.69575713187800692</v>
      </c>
      <c r="X6" s="67">
        <f t="shared" si="2"/>
        <v>-9.7250459251303156E-2</v>
      </c>
      <c r="Y6" s="67">
        <f t="shared" si="2"/>
        <v>8.1592730385954271E-2</v>
      </c>
      <c r="Z6" s="67">
        <f t="shared" si="2"/>
        <v>1.031506408810678</v>
      </c>
      <c r="AA6" s="67">
        <f t="shared" si="2"/>
        <v>0.3338647883813326</v>
      </c>
      <c r="AN6">
        <v>251</v>
      </c>
      <c r="AO6" s="50">
        <v>226</v>
      </c>
      <c r="AP6">
        <v>169</v>
      </c>
      <c r="AQ6" s="51"/>
    </row>
    <row r="7" spans="1:43" ht="17.399999999999999">
      <c r="B7" s="73" t="s">
        <v>430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58">
        <v>450767</v>
      </c>
      <c r="R7" s="58">
        <v>459991</v>
      </c>
      <c r="S7" s="58">
        <v>387797</v>
      </c>
      <c r="T7" s="58">
        <v>377424</v>
      </c>
      <c r="U7" s="58">
        <v>356960</v>
      </c>
      <c r="V7" s="58">
        <v>406724</v>
      </c>
      <c r="W7" s="58">
        <v>567869</v>
      </c>
      <c r="X7" s="58">
        <v>584895</v>
      </c>
      <c r="Y7" s="58">
        <v>429436</v>
      </c>
      <c r="Z7" s="58">
        <v>830280</v>
      </c>
      <c r="AA7" s="58">
        <v>954848</v>
      </c>
      <c r="AN7">
        <v>250</v>
      </c>
      <c r="AO7" s="50">
        <v>218</v>
      </c>
      <c r="AP7">
        <v>135</v>
      </c>
      <c r="AQ7" s="52"/>
    </row>
    <row r="8" spans="1:43" ht="17.399999999999999">
      <c r="B8" s="73" t="s">
        <v>429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58">
        <v>202209</v>
      </c>
      <c r="R8" s="58">
        <v>212938</v>
      </c>
      <c r="S8" s="58">
        <v>190032</v>
      </c>
      <c r="T8" s="58">
        <v>130576</v>
      </c>
      <c r="U8" s="58">
        <v>70335</v>
      </c>
      <c r="V8" s="58">
        <v>8349</v>
      </c>
      <c r="W8" s="58">
        <v>135994</v>
      </c>
      <c r="X8" s="58">
        <v>50517</v>
      </c>
      <c r="Y8" s="58">
        <v>257821</v>
      </c>
      <c r="Z8" s="58">
        <v>565887</v>
      </c>
      <c r="AA8" s="58">
        <v>907450</v>
      </c>
      <c r="AN8">
        <v>249</v>
      </c>
      <c r="AO8" s="50">
        <v>210</v>
      </c>
      <c r="AP8">
        <v>104</v>
      </c>
      <c r="AQ8" s="53"/>
    </row>
    <row r="9" spans="1:43" ht="17.399999999999999">
      <c r="B9" s="74" t="s">
        <v>435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2">
        <f t="shared" ref="Q9:Z9" si="3">SUM(Q11,Q13)</f>
        <v>0</v>
      </c>
      <c r="R9" s="72">
        <f t="shared" si="3"/>
        <v>0</v>
      </c>
      <c r="S9" s="72">
        <f t="shared" si="3"/>
        <v>0</v>
      </c>
      <c r="T9" s="72">
        <f t="shared" si="3"/>
        <v>0</v>
      </c>
      <c r="U9" s="72">
        <f t="shared" si="3"/>
        <v>0</v>
      </c>
      <c r="V9" s="72">
        <f t="shared" si="3"/>
        <v>775748</v>
      </c>
      <c r="W9" s="72">
        <f t="shared" si="3"/>
        <v>1180045</v>
      </c>
      <c r="X9" s="72">
        <f t="shared" si="3"/>
        <v>1175426</v>
      </c>
      <c r="Y9" s="72">
        <f t="shared" si="3"/>
        <v>1132359</v>
      </c>
      <c r="Z9" s="72">
        <f t="shared" si="3"/>
        <v>1939078</v>
      </c>
      <c r="AA9" s="72">
        <f>SUM(AA11,AA13)</f>
        <v>2535086</v>
      </c>
      <c r="AN9">
        <v>216</v>
      </c>
      <c r="AO9" s="50">
        <v>203</v>
      </c>
      <c r="AP9">
        <v>96</v>
      </c>
      <c r="AQ9" s="54"/>
    </row>
    <row r="10" spans="1:43" ht="17.399999999999999">
      <c r="B10" s="66" t="s">
        <v>432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7" t="e">
        <f t="shared" ref="R10:AA10" si="4">R9/Q9-1</f>
        <v>#DIV/0!</v>
      </c>
      <c r="S10" s="67" t="e">
        <f t="shared" si="4"/>
        <v>#DIV/0!</v>
      </c>
      <c r="T10" s="67" t="e">
        <f t="shared" si="4"/>
        <v>#DIV/0!</v>
      </c>
      <c r="U10" s="67" t="e">
        <f t="shared" si="4"/>
        <v>#DIV/0!</v>
      </c>
      <c r="V10" s="67" t="e">
        <f t="shared" si="4"/>
        <v>#DIV/0!</v>
      </c>
      <c r="W10" s="67">
        <f t="shared" si="4"/>
        <v>0.5211705347612885</v>
      </c>
      <c r="X10" s="67">
        <f t="shared" si="4"/>
        <v>-3.9142575071289265E-3</v>
      </c>
      <c r="Y10" s="67">
        <f t="shared" si="4"/>
        <v>-3.6639482196242024E-2</v>
      </c>
      <c r="Z10" s="67">
        <f t="shared" si="4"/>
        <v>0.71242335690359693</v>
      </c>
      <c r="AA10" s="67">
        <f t="shared" si="4"/>
        <v>0.30736669695597607</v>
      </c>
      <c r="AN10">
        <v>185</v>
      </c>
      <c r="AO10" s="50">
        <v>196</v>
      </c>
      <c r="AP10">
        <v>91</v>
      </c>
      <c r="AQ10" s="55"/>
    </row>
    <row r="11" spans="1:43" ht="17.399999999999999">
      <c r="B11" s="73" t="s">
        <v>430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58"/>
      <c r="R11" s="58"/>
      <c r="S11" s="58"/>
      <c r="T11" s="58"/>
      <c r="U11" s="58"/>
      <c r="V11" s="58">
        <v>718156</v>
      </c>
      <c r="W11" s="58">
        <v>995447</v>
      </c>
      <c r="X11" s="58">
        <v>981924</v>
      </c>
      <c r="Y11" s="58">
        <v>769519</v>
      </c>
      <c r="Z11" s="58">
        <v>1184074</v>
      </c>
      <c r="AA11" s="58">
        <v>1383007</v>
      </c>
      <c r="AN11">
        <v>163</v>
      </c>
      <c r="AO11" s="50">
        <v>193</v>
      </c>
      <c r="AP11">
        <v>89</v>
      </c>
      <c r="AQ11" s="56"/>
    </row>
    <row r="12" spans="1:43" ht="17.399999999999999">
      <c r="B12" s="75" t="s">
        <v>434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58"/>
      <c r="R12" s="58"/>
      <c r="S12" s="58"/>
      <c r="T12" s="58"/>
      <c r="U12" s="58"/>
      <c r="V12" s="58">
        <v>31</v>
      </c>
      <c r="W12" s="58">
        <v>56</v>
      </c>
      <c r="X12" s="58">
        <v>49</v>
      </c>
      <c r="Y12" s="58">
        <v>38</v>
      </c>
      <c r="Z12" s="58">
        <v>33</v>
      </c>
      <c r="AA12" s="58"/>
      <c r="AN12">
        <v>60</v>
      </c>
      <c r="AO12" s="50">
        <v>125</v>
      </c>
      <c r="AP12">
        <v>34</v>
      </c>
      <c r="AQ12" s="57"/>
    </row>
    <row r="13" spans="1:43">
      <c r="B13" s="73" t="s">
        <v>429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58"/>
      <c r="R13" s="58"/>
      <c r="S13" s="58"/>
      <c r="T13" s="58"/>
      <c r="U13" s="58"/>
      <c r="V13" s="58">
        <v>57592</v>
      </c>
      <c r="W13" s="58">
        <v>184598</v>
      </c>
      <c r="X13" s="58">
        <v>193502</v>
      </c>
      <c r="Y13" s="58">
        <v>362840</v>
      </c>
      <c r="Z13" s="58">
        <v>755004</v>
      </c>
      <c r="AA13" s="58">
        <v>1152079</v>
      </c>
    </row>
    <row r="14" spans="1:43">
      <c r="B14" s="75" t="s">
        <v>434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58"/>
      <c r="R14" s="58"/>
      <c r="S14" s="58"/>
      <c r="T14" s="58"/>
      <c r="U14" s="58"/>
      <c r="V14" s="58">
        <v>26</v>
      </c>
      <c r="W14" s="58">
        <v>22</v>
      </c>
      <c r="X14" s="58">
        <v>24</v>
      </c>
      <c r="Y14" s="58">
        <v>18</v>
      </c>
      <c r="Z14" s="58">
        <v>16</v>
      </c>
      <c r="AA14" s="58"/>
    </row>
    <row r="15" spans="1:43">
      <c r="B15" s="74" t="s">
        <v>433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2">
        <f t="shared" ref="Q15:AA15" si="5">SUM(Q17:Q18)</f>
        <v>-652976</v>
      </c>
      <c r="R15" s="72">
        <f t="shared" si="5"/>
        <v>-672929</v>
      </c>
      <c r="S15" s="72">
        <f t="shared" si="5"/>
        <v>-577829</v>
      </c>
      <c r="T15" s="72">
        <f t="shared" si="5"/>
        <v>-508000</v>
      </c>
      <c r="U15" s="72">
        <f t="shared" si="5"/>
        <v>-427295</v>
      </c>
      <c r="V15" s="72">
        <f t="shared" si="5"/>
        <v>360675</v>
      </c>
      <c r="W15" s="72">
        <f t="shared" si="5"/>
        <v>476182</v>
      </c>
      <c r="X15" s="72">
        <f t="shared" si="5"/>
        <v>540014</v>
      </c>
      <c r="Y15" s="72">
        <f t="shared" si="5"/>
        <v>445102</v>
      </c>
      <c r="Z15" s="72">
        <f t="shared" si="5"/>
        <v>486784</v>
      </c>
      <c r="AA15" s="72">
        <f t="shared" si="5"/>
        <v>672788</v>
      </c>
    </row>
    <row r="16" spans="1:43">
      <c r="B16" s="66" t="s">
        <v>432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7">
        <f t="shared" ref="R16:AA16" si="6">R15/Q15-1</f>
        <v>3.0557018940971847E-2</v>
      </c>
      <c r="S16" s="67">
        <f t="shared" si="6"/>
        <v>-0.14132248721633334</v>
      </c>
      <c r="T16" s="67">
        <f t="shared" si="6"/>
        <v>-0.12084717104887432</v>
      </c>
      <c r="U16" s="67">
        <f t="shared" si="6"/>
        <v>-0.15886811023622049</v>
      </c>
      <c r="V16" s="67">
        <f t="shared" si="6"/>
        <v>-1.8440889783404908</v>
      </c>
      <c r="W16" s="67">
        <f t="shared" si="6"/>
        <v>0.32025230470645316</v>
      </c>
      <c r="X16" s="67">
        <f t="shared" si="6"/>
        <v>0.13404958608263229</v>
      </c>
      <c r="Y16" s="67">
        <f t="shared" si="6"/>
        <v>-0.17575840626354133</v>
      </c>
      <c r="Z16" s="67">
        <f t="shared" si="6"/>
        <v>9.3645950815768098E-2</v>
      </c>
      <c r="AA16" s="67">
        <f t="shared" si="6"/>
        <v>0.38210787536155677</v>
      </c>
    </row>
    <row r="17" spans="1:27">
      <c r="B17" s="73" t="s">
        <v>430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58">
        <f t="shared" ref="Q17:Y17" si="7">Q11-Q7</f>
        <v>-450767</v>
      </c>
      <c r="R17" s="58">
        <f t="shared" si="7"/>
        <v>-459991</v>
      </c>
      <c r="S17" s="58">
        <f t="shared" si="7"/>
        <v>-387797</v>
      </c>
      <c r="T17" s="58">
        <f t="shared" si="7"/>
        <v>-377424</v>
      </c>
      <c r="U17" s="58">
        <f t="shared" si="7"/>
        <v>-356960</v>
      </c>
      <c r="V17" s="58">
        <f t="shared" si="7"/>
        <v>311432</v>
      </c>
      <c r="W17" s="58">
        <f t="shared" si="7"/>
        <v>427578</v>
      </c>
      <c r="X17" s="58">
        <f t="shared" si="7"/>
        <v>397029</v>
      </c>
      <c r="Y17" s="58">
        <f t="shared" si="7"/>
        <v>340083</v>
      </c>
      <c r="Z17" s="58">
        <v>297667</v>
      </c>
      <c r="AA17" s="58">
        <f>AA11-AA7</f>
        <v>428159</v>
      </c>
    </row>
    <row r="18" spans="1:27">
      <c r="B18" s="294" t="s">
        <v>429</v>
      </c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5">
        <f t="shared" ref="Q18:AA18" si="8">Q13-Q8</f>
        <v>-202209</v>
      </c>
      <c r="R18" s="295">
        <f t="shared" si="8"/>
        <v>-212938</v>
      </c>
      <c r="S18" s="71">
        <f t="shared" si="8"/>
        <v>-190032</v>
      </c>
      <c r="T18" s="71">
        <f t="shared" si="8"/>
        <v>-130576</v>
      </c>
      <c r="U18" s="71">
        <f t="shared" si="8"/>
        <v>-70335</v>
      </c>
      <c r="V18" s="71">
        <f t="shared" si="8"/>
        <v>49243</v>
      </c>
      <c r="W18" s="71">
        <f t="shared" si="8"/>
        <v>48604</v>
      </c>
      <c r="X18" s="71">
        <f t="shared" si="8"/>
        <v>142985</v>
      </c>
      <c r="Y18" s="71">
        <f t="shared" si="8"/>
        <v>105019</v>
      </c>
      <c r="Z18" s="71">
        <f t="shared" si="8"/>
        <v>189117</v>
      </c>
      <c r="AA18" s="71">
        <f t="shared" si="8"/>
        <v>244629</v>
      </c>
    </row>
    <row r="20" spans="1:27" ht="15.6" thickBot="1">
      <c r="A20" s="6" t="s">
        <v>423</v>
      </c>
      <c r="B20" s="70" t="s">
        <v>3</v>
      </c>
      <c r="C20" s="69">
        <v>2008</v>
      </c>
      <c r="D20" s="69">
        <f>C20+1</f>
        <v>2009</v>
      </c>
      <c r="E20" s="69">
        <v>2009</v>
      </c>
      <c r="F20" s="69">
        <f>E20+1</f>
        <v>2010</v>
      </c>
      <c r="G20" s="69">
        <v>2010</v>
      </c>
      <c r="H20" s="69">
        <f>G20+1</f>
        <v>2011</v>
      </c>
      <c r="I20" s="69">
        <v>2011</v>
      </c>
      <c r="J20" s="69">
        <f>I20+1</f>
        <v>2012</v>
      </c>
      <c r="K20" s="69">
        <v>2012</v>
      </c>
      <c r="L20" s="69">
        <f>K20+1</f>
        <v>2013</v>
      </c>
      <c r="M20" s="69">
        <v>2013</v>
      </c>
      <c r="N20" s="69">
        <f>M20+1</f>
        <v>2014</v>
      </c>
      <c r="O20" s="69">
        <v>2014</v>
      </c>
      <c r="P20" s="69">
        <f>O20+1</f>
        <v>2015</v>
      </c>
      <c r="Q20" s="69">
        <v>2015</v>
      </c>
      <c r="R20" s="69">
        <f t="shared" ref="R20:Z20" si="9">Q20+1</f>
        <v>2016</v>
      </c>
      <c r="S20" s="69">
        <f t="shared" si="9"/>
        <v>2017</v>
      </c>
      <c r="T20" s="69">
        <f t="shared" si="9"/>
        <v>2018</v>
      </c>
      <c r="U20" s="69">
        <f t="shared" si="9"/>
        <v>2019</v>
      </c>
      <c r="V20" s="69">
        <f t="shared" si="9"/>
        <v>2020</v>
      </c>
      <c r="W20" s="69">
        <f t="shared" si="9"/>
        <v>2021</v>
      </c>
      <c r="X20" s="69">
        <f t="shared" si="9"/>
        <v>2022</v>
      </c>
      <c r="Y20" s="69">
        <f t="shared" si="9"/>
        <v>2023</v>
      </c>
      <c r="Z20" s="69">
        <f t="shared" si="9"/>
        <v>2024</v>
      </c>
      <c r="AA20" s="69" t="s">
        <v>58</v>
      </c>
    </row>
    <row r="21" spans="1:27" s="62" customFormat="1" ht="15.6" thickTop="1">
      <c r="B21" s="62" t="s">
        <v>10</v>
      </c>
      <c r="V21" s="63">
        <v>243441.14642</v>
      </c>
      <c r="W21" s="63">
        <v>234883.71634000001</v>
      </c>
      <c r="X21" s="63">
        <v>330197.10939</v>
      </c>
      <c r="Y21" s="63">
        <v>367399.20863000001</v>
      </c>
      <c r="Z21" s="63">
        <v>404741.03860000003</v>
      </c>
      <c r="AA21" s="307">
        <v>135274.51749999999</v>
      </c>
    </row>
    <row r="22" spans="1:27" s="66" customFormat="1">
      <c r="B22" s="68" t="s">
        <v>422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V22" s="68"/>
      <c r="W22" s="67">
        <f>W21/V21-1</f>
        <v>-3.5151946192514938E-2</v>
      </c>
      <c r="X22" s="67">
        <f>X21/W21-1</f>
        <v>0.40578970111334356</v>
      </c>
      <c r="Y22" s="67">
        <f>Y21/X21-1</f>
        <v>0.1126663383235742</v>
      </c>
      <c r="Z22" s="67">
        <f>Z21/Y21-1</f>
        <v>0.10163829723325879</v>
      </c>
      <c r="AA22" s="308"/>
    </row>
    <row r="23" spans="1:27">
      <c r="B23" s="65" t="s">
        <v>421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V23" s="65"/>
      <c r="AA23" s="309"/>
    </row>
    <row r="24" spans="1:27">
      <c r="B24" s="65" t="s">
        <v>420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V24" s="65"/>
      <c r="AA24" s="309"/>
    </row>
    <row r="25" spans="1:27">
      <c r="B25" s="64" t="s">
        <v>419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V25" s="64"/>
      <c r="AA25" s="309"/>
    </row>
    <row r="26" spans="1:27">
      <c r="B26" s="6" t="s">
        <v>8</v>
      </c>
      <c r="V26" s="58">
        <v>209480.91449</v>
      </c>
      <c r="W26" s="58">
        <v>241368.05676000001</v>
      </c>
      <c r="X26" s="58">
        <v>295486.64646999998</v>
      </c>
      <c r="Y26" s="58">
        <v>324111.46801999997</v>
      </c>
      <c r="Z26" s="58">
        <v>345880.21009000001</v>
      </c>
      <c r="AA26" s="309">
        <v>112488.789104</v>
      </c>
    </row>
    <row r="27" spans="1:27" s="62" customFormat="1">
      <c r="B27" s="62" t="s">
        <v>11</v>
      </c>
      <c r="V27" s="63">
        <f t="shared" ref="V27:AA27" si="10">V21-V26</f>
        <v>33960.231930000009</v>
      </c>
      <c r="W27" s="63">
        <f t="shared" si="10"/>
        <v>-6484.3404199999932</v>
      </c>
      <c r="X27" s="63">
        <f t="shared" si="10"/>
        <v>34710.46292000002</v>
      </c>
      <c r="Y27" s="63">
        <f t="shared" si="10"/>
        <v>43287.740610000037</v>
      </c>
      <c r="Z27" s="63">
        <f t="shared" si="10"/>
        <v>58860.828510000021</v>
      </c>
      <c r="AA27" s="307">
        <f t="shared" si="10"/>
        <v>22785.728395999991</v>
      </c>
    </row>
    <row r="28" spans="1:27">
      <c r="B28" s="6" t="s">
        <v>418</v>
      </c>
      <c r="V28" s="58">
        <v>22643.866569999998</v>
      </c>
      <c r="W28" s="58">
        <v>24126.53962</v>
      </c>
      <c r="X28" s="58">
        <v>26608.461810000001</v>
      </c>
      <c r="Y28" s="58">
        <v>28551.041440000001</v>
      </c>
      <c r="Z28" s="58">
        <v>36852.145140000001</v>
      </c>
      <c r="AA28" s="309">
        <v>10342.729681000001</v>
      </c>
    </row>
    <row r="29" spans="1:27" s="62" customFormat="1">
      <c r="B29" s="62" t="s">
        <v>13</v>
      </c>
      <c r="V29" s="63">
        <f t="shared" ref="V29:AA29" si="11">V27-V28</f>
        <v>11316.365360000011</v>
      </c>
      <c r="W29" s="63">
        <f t="shared" si="11"/>
        <v>-30610.880039999993</v>
      </c>
      <c r="X29" s="63">
        <f t="shared" si="11"/>
        <v>8102.0011100000193</v>
      </c>
      <c r="Y29" s="63">
        <f t="shared" si="11"/>
        <v>14736.699170000036</v>
      </c>
      <c r="Z29" s="63">
        <f t="shared" si="11"/>
        <v>22008.683370000021</v>
      </c>
      <c r="AA29" s="307">
        <f t="shared" si="11"/>
        <v>12442.998714999991</v>
      </c>
    </row>
    <row r="30" spans="1:27">
      <c r="B30" s="61" t="s">
        <v>417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59"/>
      <c r="R30" s="59"/>
      <c r="S30" s="59"/>
      <c r="T30" s="59"/>
      <c r="U30" s="59"/>
      <c r="V30" s="60">
        <f t="shared" ref="V30:AA30" si="12">V29/V21</f>
        <v>4.6485015070033824E-2</v>
      </c>
      <c r="W30" s="60">
        <f t="shared" si="12"/>
        <v>-0.13032355123200615</v>
      </c>
      <c r="X30" s="60">
        <f t="shared" si="12"/>
        <v>2.4536862618111666E-2</v>
      </c>
      <c r="Y30" s="60">
        <f t="shared" si="12"/>
        <v>4.0110862581745663E-2</v>
      </c>
      <c r="Z30" s="60">
        <f t="shared" si="12"/>
        <v>5.4377197444884992E-2</v>
      </c>
      <c r="AA30" s="60">
        <f t="shared" si="12"/>
        <v>9.1983316185178715E-2</v>
      </c>
    </row>
    <row r="31" spans="1:27">
      <c r="B31" s="6" t="s">
        <v>416</v>
      </c>
      <c r="V31" s="58">
        <v>29302.141490000002</v>
      </c>
      <c r="W31" s="58">
        <v>36276.08322</v>
      </c>
      <c r="X31" s="58">
        <v>68413.112349999996</v>
      </c>
      <c r="Y31" s="58">
        <v>85828.127280000001</v>
      </c>
      <c r="Z31" s="58">
        <v>133540.31307</v>
      </c>
      <c r="AA31" s="6">
        <v>548.38499999999999</v>
      </c>
    </row>
    <row r="32" spans="1:27">
      <c r="B32" s="6" t="s">
        <v>415</v>
      </c>
    </row>
    <row r="33" spans="2:33">
      <c r="B33" s="6" t="s">
        <v>414</v>
      </c>
      <c r="V33" s="58">
        <v>4606.77736</v>
      </c>
      <c r="W33" s="58">
        <v>3610.5610200000001</v>
      </c>
      <c r="X33" s="58">
        <v>4352.7622899999997</v>
      </c>
      <c r="Y33" s="58">
        <v>5521.3445499999998</v>
      </c>
      <c r="Z33" s="58">
        <v>10805.143050000001</v>
      </c>
    </row>
    <row r="35" spans="2:33">
      <c r="B35" s="6" t="s">
        <v>413</v>
      </c>
    </row>
    <row r="38" spans="2:33" ht="15.6" thickBot="1">
      <c r="B38" s="70" t="s">
        <v>3</v>
      </c>
      <c r="C38" s="69">
        <v>2008</v>
      </c>
      <c r="D38" s="69">
        <f>C38+1</f>
        <v>2009</v>
      </c>
      <c r="E38" s="69">
        <v>2009</v>
      </c>
      <c r="F38" s="69">
        <f>E38+1</f>
        <v>2010</v>
      </c>
      <c r="G38" s="69">
        <v>2010</v>
      </c>
      <c r="H38" s="69">
        <f>G38+1</f>
        <v>2011</v>
      </c>
      <c r="I38" s="69">
        <v>2011</v>
      </c>
      <c r="J38" s="69">
        <f>I38+1</f>
        <v>2012</v>
      </c>
      <c r="K38" s="69">
        <v>2012</v>
      </c>
      <c r="L38" s="69">
        <f>K38+1</f>
        <v>2013</v>
      </c>
      <c r="M38" s="69">
        <v>2013</v>
      </c>
      <c r="N38" s="69">
        <f>M38+1</f>
        <v>2014</v>
      </c>
      <c r="O38" s="69">
        <v>2014</v>
      </c>
      <c r="P38" s="69">
        <v>2014</v>
      </c>
      <c r="Q38" s="69">
        <v>2015</v>
      </c>
      <c r="R38" s="69">
        <f t="shared" ref="R38:Z38" si="13">Q38+1</f>
        <v>2016</v>
      </c>
      <c r="S38" s="69">
        <f t="shared" si="13"/>
        <v>2017</v>
      </c>
      <c r="T38" s="69">
        <f t="shared" si="13"/>
        <v>2018</v>
      </c>
      <c r="U38" s="69">
        <f t="shared" si="13"/>
        <v>2019</v>
      </c>
      <c r="V38" s="69">
        <f t="shared" si="13"/>
        <v>2020</v>
      </c>
      <c r="W38" s="69">
        <f t="shared" si="13"/>
        <v>2021</v>
      </c>
      <c r="X38" s="69">
        <f t="shared" si="13"/>
        <v>2022</v>
      </c>
      <c r="Y38" s="69">
        <f t="shared" si="13"/>
        <v>2023</v>
      </c>
      <c r="Z38" s="69">
        <f t="shared" si="13"/>
        <v>2024</v>
      </c>
      <c r="AA38" s="78" t="s">
        <v>58</v>
      </c>
    </row>
    <row r="39" spans="2:33" ht="15.6" thickTop="1">
      <c r="B39" s="62" t="s">
        <v>10</v>
      </c>
      <c r="V39" s="309">
        <f>SUM(V40,V42,V44,V46)</f>
        <v>243441</v>
      </c>
      <c r="W39" s="309">
        <f t="shared" ref="W39:Y39" si="14">SUM(W40,W42,W44,W46)</f>
        <v>234883</v>
      </c>
      <c r="X39" s="309">
        <f t="shared" si="14"/>
        <v>330197</v>
      </c>
      <c r="Y39" s="309">
        <f t="shared" si="14"/>
        <v>367399</v>
      </c>
      <c r="Z39" s="309">
        <f>SUM(Z40,Z42,Z44,Z46)</f>
        <v>404742</v>
      </c>
      <c r="AA39" s="58">
        <f>SUM(AA40,AA42,AA44,AA46)</f>
        <v>135275</v>
      </c>
    </row>
    <row r="40" spans="2:33">
      <c r="B40" s="62" t="s">
        <v>951</v>
      </c>
      <c r="V40" s="309">
        <v>85500</v>
      </c>
      <c r="W40" s="309">
        <v>50419</v>
      </c>
      <c r="X40" s="309">
        <v>58259</v>
      </c>
      <c r="Y40" s="309">
        <v>144574</v>
      </c>
      <c r="Z40" s="309">
        <v>68413</v>
      </c>
      <c r="AA40" s="58">
        <v>20124</v>
      </c>
      <c r="AC40" s="296">
        <f>RATE(3,0,-W40,Z40)</f>
        <v>0.10708628135781831</v>
      </c>
    </row>
    <row r="41" spans="2:33">
      <c r="B41" s="66" t="s">
        <v>952</v>
      </c>
      <c r="V41" s="7">
        <f>V40/V39</f>
        <v>0.35121446264187217</v>
      </c>
      <c r="W41" s="7">
        <f>W40/W39</f>
        <v>0.21465580735940873</v>
      </c>
      <c r="X41" s="7">
        <f>X40/X39</f>
        <v>0.17643709664230747</v>
      </c>
      <c r="Y41" s="7">
        <f>Y40/Y39</f>
        <v>0.39350678689925667</v>
      </c>
      <c r="Z41" s="7">
        <f t="shared" ref="Z41:AA41" si="15">Z40/Z39</f>
        <v>0.16902866517435799</v>
      </c>
      <c r="AA41" s="7">
        <f t="shared" si="15"/>
        <v>0.14876362964331916</v>
      </c>
      <c r="AC41" s="58"/>
      <c r="AD41" s="58"/>
      <c r="AE41" s="58"/>
      <c r="AF41" s="58"/>
      <c r="AG41" s="58"/>
    </row>
    <row r="42" spans="2:33">
      <c r="B42" s="62" t="s">
        <v>54</v>
      </c>
      <c r="V42" s="309">
        <v>90434</v>
      </c>
      <c r="W42" s="309">
        <v>139683</v>
      </c>
      <c r="X42" s="309">
        <v>180714</v>
      </c>
      <c r="Y42" s="309">
        <v>112222</v>
      </c>
      <c r="Z42" s="309">
        <v>259014</v>
      </c>
      <c r="AA42" s="58">
        <v>98656</v>
      </c>
    </row>
    <row r="43" spans="2:33">
      <c r="B43" s="66" t="s">
        <v>952</v>
      </c>
      <c r="V43" s="7">
        <f>V42/V39</f>
        <v>0.37148220718777858</v>
      </c>
      <c r="W43" s="7">
        <f t="shared" ref="W43:AA43" si="16">W42/W39</f>
        <v>0.59469182529174103</v>
      </c>
      <c r="X43" s="7">
        <f t="shared" si="16"/>
        <v>0.54729146539792917</v>
      </c>
      <c r="Y43" s="7">
        <f t="shared" si="16"/>
        <v>0.3054499331789145</v>
      </c>
      <c r="Z43" s="7">
        <f t="shared" si="16"/>
        <v>0.6399484115807107</v>
      </c>
      <c r="AA43" s="7">
        <f t="shared" si="16"/>
        <v>0.72929957493993713</v>
      </c>
    </row>
    <row r="44" spans="2:33">
      <c r="B44" s="62" t="s">
        <v>56</v>
      </c>
      <c r="V44" s="309">
        <v>14782</v>
      </c>
      <c r="W44" s="309">
        <v>7198</v>
      </c>
      <c r="X44" s="309">
        <v>11938</v>
      </c>
      <c r="Y44" s="309">
        <v>12330</v>
      </c>
      <c r="Z44" s="309">
        <v>14305</v>
      </c>
      <c r="AA44" s="58">
        <v>4208</v>
      </c>
    </row>
    <row r="45" spans="2:33">
      <c r="B45" s="66" t="s">
        <v>952</v>
      </c>
      <c r="V45" s="7">
        <f>V44/V39</f>
        <v>6.0721078207861455E-2</v>
      </c>
      <c r="W45" s="7">
        <f t="shared" ref="W45:AA45" si="17">W44/W39</f>
        <v>3.0645044554097146E-2</v>
      </c>
      <c r="X45" s="7">
        <f t="shared" si="17"/>
        <v>3.6154174629085059E-2</v>
      </c>
      <c r="Y45" s="7">
        <f t="shared" si="17"/>
        <v>3.3560243767674927E-2</v>
      </c>
      <c r="Z45" s="7">
        <f t="shared" si="17"/>
        <v>3.534350277460703E-2</v>
      </c>
      <c r="AA45" s="7">
        <f t="shared" si="17"/>
        <v>3.1107004250600628E-2</v>
      </c>
    </row>
    <row r="46" spans="2:33">
      <c r="B46" s="62" t="s">
        <v>4</v>
      </c>
      <c r="V46" s="309">
        <v>52725</v>
      </c>
      <c r="W46" s="309">
        <v>37583</v>
      </c>
      <c r="X46" s="309">
        <v>79286</v>
      </c>
      <c r="Y46" s="309">
        <v>98273</v>
      </c>
      <c r="Z46" s="309">
        <v>63010</v>
      </c>
      <c r="AA46" s="58">
        <v>12287</v>
      </c>
    </row>
    <row r="47" spans="2:33">
      <c r="B47" s="66" t="s">
        <v>952</v>
      </c>
      <c r="V47" s="7">
        <f>V46/V39</f>
        <v>0.21658225196248784</v>
      </c>
      <c r="W47" s="7">
        <f t="shared" ref="W47:AA47" si="18">W46/W39</f>
        <v>0.16000732279475313</v>
      </c>
      <c r="X47" s="7">
        <f t="shared" si="18"/>
        <v>0.24011726333067834</v>
      </c>
      <c r="Y47" s="7">
        <f t="shared" si="18"/>
        <v>0.26748303615415392</v>
      </c>
      <c r="Z47" s="7">
        <f t="shared" si="18"/>
        <v>0.15567942047032429</v>
      </c>
      <c r="AA47" s="7">
        <f t="shared" si="18"/>
        <v>9.0829791166143037E-2</v>
      </c>
    </row>
  </sheetData>
  <mergeCells count="1">
    <mergeCell ref="B1:E2"/>
  </mergeCells>
  <phoneticPr fontId="2" type="noConversion"/>
  <conditionalFormatting sqref="C4:AA4 C20:AA20">
    <cfRule type="cellIs" dxfId="6" priority="2" operator="lessThan">
      <formula>0</formula>
    </cfRule>
  </conditionalFormatting>
  <conditionalFormatting sqref="C38:AA38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25C5-02DD-4C5D-9068-5F7460DEA27D}">
  <sheetPr>
    <tabColor rgb="FF203864"/>
  </sheetPr>
  <dimension ref="A1:AK60"/>
  <sheetViews>
    <sheetView zoomScale="85" zoomScaleNormal="85" workbookViewId="0">
      <selection activeCell="A5" sqref="A5"/>
    </sheetView>
  </sheetViews>
  <sheetFormatPr defaultColWidth="12.69921875" defaultRowHeight="19.2"/>
  <cols>
    <col min="1" max="1" width="1.69921875" style="191" customWidth="1"/>
    <col min="2" max="16384" width="12.69921875" style="191"/>
  </cols>
  <sheetData>
    <row r="1" spans="1:37" s="185" customFormat="1" ht="24.6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</row>
    <row r="2" spans="1:37" s="185" customFormat="1" ht="36">
      <c r="A2" s="175" t="str">
        <f>'Valuation ▶'!A3</f>
        <v>비에이치아이(083650.KQ)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</row>
    <row r="3" spans="1:37" s="185" customForma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</row>
    <row r="4" spans="1:37" s="185" customFormat="1" ht="22.8">
      <c r="A4" s="188" t="s">
        <v>1683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</row>
    <row r="5" spans="1:37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</row>
    <row r="6" spans="1:37">
      <c r="A6" s="190"/>
      <c r="B6" s="190"/>
      <c r="C6" s="192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</row>
    <row r="7" spans="1:37" ht="59.4">
      <c r="A7" s="190"/>
      <c r="B7" s="190"/>
      <c r="C7" s="193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</row>
    <row r="8" spans="1:37" ht="59.4">
      <c r="A8" s="190"/>
      <c r="B8" s="190"/>
      <c r="C8" s="193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</row>
    <row r="9" spans="1:37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</row>
    <row r="10" spans="1:37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</row>
    <row r="11" spans="1:37">
      <c r="A11" s="190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</row>
    <row r="12" spans="1:37">
      <c r="A12" s="190"/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</row>
    <row r="13" spans="1:37">
      <c r="A13" s="190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</row>
    <row r="14" spans="1:37">
      <c r="A14" s="190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</row>
    <row r="15" spans="1:37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</row>
    <row r="16" spans="1:37">
      <c r="A16" s="190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</row>
    <row r="17" spans="1:37">
      <c r="A17" s="190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</row>
    <row r="18" spans="1:37">
      <c r="A18" s="190"/>
      <c r="B18" s="190"/>
      <c r="C18" s="194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</row>
    <row r="19" spans="1:37">
      <c r="A19" s="190"/>
      <c r="B19" s="190"/>
      <c r="C19" s="195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</row>
    <row r="20" spans="1:37">
      <c r="A20" s="190"/>
      <c r="B20" s="190"/>
      <c r="C20" s="195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</row>
    <row r="21" spans="1:37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</row>
    <row r="22" spans="1:37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</row>
    <row r="23" spans="1:37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</row>
    <row r="24" spans="1:37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</row>
    <row r="25" spans="1:37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</row>
    <row r="26" spans="1:37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</row>
    <row r="27" spans="1:37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</row>
    <row r="28" spans="1:37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</row>
    <row r="29" spans="1:37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</row>
    <row r="30" spans="1:37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</row>
    <row r="31" spans="1:37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</row>
    <row r="32" spans="1:37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</row>
    <row r="33" spans="1:37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</row>
    <row r="34" spans="1:37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</row>
    <row r="35" spans="1:37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</row>
    <row r="36" spans="1:37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</row>
    <row r="37" spans="1:37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</row>
    <row r="38" spans="1:37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</row>
    <row r="39" spans="1:37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</row>
    <row r="40" spans="1:37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</row>
    <row r="41" spans="1:37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</row>
    <row r="42" spans="1:37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</row>
    <row r="43" spans="1:37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</row>
    <row r="44" spans="1:37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</row>
    <row r="45" spans="1:37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</row>
    <row r="46" spans="1:37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</row>
    <row r="47" spans="1:37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</row>
    <row r="48" spans="1:37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</row>
    <row r="49" spans="1:37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</row>
    <row r="50" spans="1:37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</row>
    <row r="51" spans="1:37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</row>
    <row r="52" spans="1:37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</row>
    <row r="53" spans="1:37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</row>
    <row r="54" spans="1:37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</row>
    <row r="55" spans="1:37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</row>
    <row r="56" spans="1:37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190"/>
      <c r="AK56" s="190"/>
    </row>
    <row r="57" spans="1:37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</row>
    <row r="58" spans="1:37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190"/>
      <c r="AK58" s="190"/>
    </row>
    <row r="59" spans="1:37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</row>
    <row r="60" spans="1:37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  <c r="AC60" s="190"/>
      <c r="AD60" s="190"/>
      <c r="AE60" s="190"/>
      <c r="AF60" s="190"/>
      <c r="AG60" s="190"/>
      <c r="AH60" s="190"/>
      <c r="AI60" s="190"/>
      <c r="AJ60" s="190"/>
      <c r="AK60" s="19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32A0-85EA-4068-9699-45028D929F87}">
  <dimension ref="A1:G49"/>
  <sheetViews>
    <sheetView showGridLines="0" zoomScaleNormal="100" workbookViewId="0">
      <pane ySplit="2" topLeftCell="A3" activePane="bottomLeft" state="frozen"/>
      <selection activeCell="I18" sqref="I18"/>
      <selection pane="bottomLeft" activeCell="I18" sqref="I18"/>
    </sheetView>
  </sheetViews>
  <sheetFormatPr defaultRowHeight="15"/>
  <cols>
    <col min="1" max="1" width="3.69921875" style="772" customWidth="1"/>
    <col min="2" max="2" width="26.09765625" style="6" customWidth="1"/>
    <col min="3" max="3" width="5.09765625" style="79" bestFit="1" customWidth="1"/>
    <col min="4" max="7" width="9.59765625" style="6" bestFit="1" customWidth="1"/>
    <col min="8" max="8" width="1.69921875" style="6" customWidth="1"/>
    <col min="9" max="16384" width="8.796875" style="6"/>
  </cols>
  <sheetData>
    <row r="1" spans="1:7" s="118" customFormat="1">
      <c r="A1" s="80"/>
      <c r="B1" s="118" t="s">
        <v>1546</v>
      </c>
      <c r="C1" s="165"/>
      <c r="D1" s="470">
        <v>234883.71634000001</v>
      </c>
      <c r="E1" s="470">
        <v>330197.10940000002</v>
      </c>
      <c r="F1" s="470">
        <v>367399.20864000003</v>
      </c>
      <c r="G1" s="470">
        <v>404741.03860000003</v>
      </c>
    </row>
    <row r="2" spans="1:7">
      <c r="B2" s="764" t="s">
        <v>1207</v>
      </c>
      <c r="C2" s="764" t="s">
        <v>1206</v>
      </c>
      <c r="D2" s="764">
        <v>202112</v>
      </c>
      <c r="E2" s="764">
        <v>202212</v>
      </c>
      <c r="F2" s="764">
        <v>202312</v>
      </c>
      <c r="G2" s="764">
        <v>202412</v>
      </c>
    </row>
    <row r="3" spans="1:7">
      <c r="B3" s="762"/>
      <c r="C3" s="763"/>
      <c r="D3" s="763" t="s">
        <v>1289</v>
      </c>
      <c r="E3" s="763" t="s">
        <v>1289</v>
      </c>
      <c r="F3" s="763" t="s">
        <v>1289</v>
      </c>
      <c r="G3" s="763" t="s">
        <v>1289</v>
      </c>
    </row>
    <row r="4" spans="1:7">
      <c r="A4" s="771">
        <f t="shared" ref="A4:A17" si="0">CORREL(D4:G4,$D$1:$G$1)</f>
        <v>0.83406697870134106</v>
      </c>
      <c r="B4" s="509" t="s">
        <v>1483</v>
      </c>
      <c r="C4" s="701" t="s">
        <v>1167</v>
      </c>
      <c r="D4" s="3">
        <v>390239.23233000003</v>
      </c>
      <c r="E4" s="3">
        <v>449374.33431000001</v>
      </c>
      <c r="F4" s="3">
        <v>425449.54155000002</v>
      </c>
      <c r="G4" s="3">
        <v>524776.40578000003</v>
      </c>
    </row>
    <row r="5" spans="1:7">
      <c r="A5" s="771">
        <f t="shared" si="0"/>
        <v>0.92736177530358854</v>
      </c>
      <c r="B5" s="509" t="s">
        <v>1484</v>
      </c>
      <c r="C5" s="701" t="s">
        <v>1167</v>
      </c>
      <c r="D5" s="3">
        <v>135163.00036000001</v>
      </c>
      <c r="E5" s="3">
        <v>202231.01743000001</v>
      </c>
      <c r="F5" s="3">
        <v>188080.47719999999</v>
      </c>
      <c r="G5" s="3">
        <v>247320.46032000001</v>
      </c>
    </row>
    <row r="6" spans="1:7">
      <c r="A6" s="771">
        <f t="shared" si="0"/>
        <v>0.79685943995795427</v>
      </c>
      <c r="B6" s="509" t="s">
        <v>1485</v>
      </c>
      <c r="C6" s="701" t="s">
        <v>1167</v>
      </c>
      <c r="D6" s="3">
        <v>3610.5610200000001</v>
      </c>
      <c r="E6" s="3">
        <v>4352.7622899999997</v>
      </c>
      <c r="F6" s="3">
        <v>5521.3445499999998</v>
      </c>
      <c r="G6" s="3">
        <v>10805.143050000001</v>
      </c>
    </row>
    <row r="7" spans="1:7">
      <c r="A7" s="771">
        <f t="shared" si="0"/>
        <v>0.29013027908496675</v>
      </c>
      <c r="B7" s="509" t="s">
        <v>1486</v>
      </c>
      <c r="C7" s="701" t="s">
        <v>1167</v>
      </c>
      <c r="D7" s="3">
        <v>3428.8873600000002</v>
      </c>
      <c r="E7" s="3">
        <v>3584.9670000000001</v>
      </c>
      <c r="F7" s="3">
        <v>12587.323</v>
      </c>
      <c r="G7" s="3">
        <v>3264.8649999999998</v>
      </c>
    </row>
    <row r="8" spans="1:7">
      <c r="A8" s="771">
        <f t="shared" si="0"/>
        <v>0.88945385243588171</v>
      </c>
      <c r="B8" s="509" t="s">
        <v>1487</v>
      </c>
      <c r="C8" s="701" t="s">
        <v>1167</v>
      </c>
      <c r="D8" s="3">
        <v>112420.94847</v>
      </c>
      <c r="E8" s="3">
        <v>160964.37117999999</v>
      </c>
      <c r="F8" s="3">
        <v>143920.18739000001</v>
      </c>
      <c r="G8" s="3">
        <v>189140.84151</v>
      </c>
    </row>
    <row r="9" spans="1:7">
      <c r="A9" s="771">
        <f t="shared" si="0"/>
        <v>0.41656083144728334</v>
      </c>
      <c r="B9" s="509" t="s">
        <v>1488</v>
      </c>
      <c r="C9" s="701" t="s">
        <v>1167</v>
      </c>
      <c r="D9" s="3">
        <v>64.048739999999995</v>
      </c>
      <c r="E9" s="3">
        <v>883.03359</v>
      </c>
      <c r="F9" s="3">
        <v>108.60814000000001</v>
      </c>
      <c r="G9" s="3">
        <v>604.06276000000003</v>
      </c>
    </row>
    <row r="10" spans="1:7">
      <c r="A10" s="771">
        <f t="shared" si="0"/>
        <v>0.85731932599006244</v>
      </c>
      <c r="B10" s="509" t="s">
        <v>1489</v>
      </c>
      <c r="C10" s="701" t="s">
        <v>1167</v>
      </c>
      <c r="D10" s="3">
        <v>4613.6600200000003</v>
      </c>
      <c r="E10" s="3">
        <v>8842.6487400000005</v>
      </c>
      <c r="F10" s="3">
        <v>12070.549000000001</v>
      </c>
      <c r="G10" s="3">
        <v>25897.79622</v>
      </c>
    </row>
    <row r="11" spans="1:7">
      <c r="A11" s="771">
        <f t="shared" si="0"/>
        <v>0.42583429005518209</v>
      </c>
      <c r="B11" s="509" t="s">
        <v>1490</v>
      </c>
      <c r="C11" s="701" t="s">
        <v>1167</v>
      </c>
      <c r="D11" s="3">
        <v>11024.895</v>
      </c>
      <c r="E11" s="3">
        <v>23603.234</v>
      </c>
      <c r="F11" s="3">
        <v>13872.466</v>
      </c>
      <c r="G11" s="3">
        <v>17607.752</v>
      </c>
    </row>
    <row r="12" spans="1:7">
      <c r="A12" s="771">
        <f t="shared" si="0"/>
        <v>0.27379936052339426</v>
      </c>
      <c r="B12" s="509" t="s">
        <v>1491</v>
      </c>
      <c r="C12" s="701" t="s">
        <v>1167</v>
      </c>
      <c r="D12" s="3">
        <v>255076.23196</v>
      </c>
      <c r="E12" s="3">
        <v>247143.31688</v>
      </c>
      <c r="F12" s="3">
        <v>237369.06435</v>
      </c>
      <c r="G12" s="3">
        <v>277455.94545</v>
      </c>
    </row>
    <row r="13" spans="1:7">
      <c r="A13" s="771">
        <f t="shared" si="0"/>
        <v>0.34575884956736147</v>
      </c>
      <c r="B13" s="509" t="s">
        <v>1492</v>
      </c>
      <c r="C13" s="701" t="s">
        <v>1167</v>
      </c>
      <c r="D13" s="3">
        <v>203135.65041999999</v>
      </c>
      <c r="E13" s="3">
        <v>196091.97675999999</v>
      </c>
      <c r="F13" s="3">
        <v>192076.92996000001</v>
      </c>
      <c r="G13" s="3">
        <v>222332.44102999999</v>
      </c>
    </row>
    <row r="14" spans="1:7">
      <c r="A14" s="771">
        <f t="shared" si="0"/>
        <v>-0.99147380608234847</v>
      </c>
      <c r="B14" s="509" t="s">
        <v>1493</v>
      </c>
      <c r="C14" s="701" t="s">
        <v>1167</v>
      </c>
      <c r="D14" s="3">
        <v>21494.824000000001</v>
      </c>
      <c r="E14" s="3">
        <v>18805.133999999998</v>
      </c>
      <c r="F14" s="3">
        <v>17008.757000000001</v>
      </c>
      <c r="G14" s="3">
        <v>16458.957999999999</v>
      </c>
    </row>
    <row r="15" spans="1:7">
      <c r="A15" s="771">
        <f t="shared" si="0"/>
        <v>-0.20472602013494931</v>
      </c>
      <c r="B15" s="509" t="s">
        <v>1494</v>
      </c>
      <c r="C15" s="701" t="s">
        <v>1167</v>
      </c>
      <c r="D15" s="3">
        <v>24924.958999999999</v>
      </c>
      <c r="E15" s="3">
        <v>27545.855</v>
      </c>
      <c r="F15" s="3">
        <v>23050.91186</v>
      </c>
      <c r="G15" s="3">
        <v>24779.263999999999</v>
      </c>
    </row>
    <row r="16" spans="1:7">
      <c r="A16" s="771">
        <f t="shared" si="0"/>
        <v>-0.539296890338819</v>
      </c>
      <c r="B16" s="509" t="s">
        <v>1495</v>
      </c>
      <c r="C16" s="701" t="s">
        <v>1167</v>
      </c>
      <c r="D16" s="3">
        <v>954.22492</v>
      </c>
      <c r="E16" s="3">
        <v>1401.306</v>
      </c>
      <c r="F16" s="3">
        <v>390.30459999999999</v>
      </c>
      <c r="G16" s="3">
        <v>450.33303999999998</v>
      </c>
    </row>
    <row r="17" spans="1:7">
      <c r="A17" s="771">
        <f t="shared" si="0"/>
        <v>-0.17539070871571516</v>
      </c>
      <c r="B17" s="509" t="s">
        <v>1496</v>
      </c>
      <c r="C17" s="701" t="s">
        <v>1167</v>
      </c>
      <c r="D17" s="3">
        <v>3186.53051</v>
      </c>
      <c r="E17" s="3">
        <v>1737.32509</v>
      </c>
      <c r="F17" s="3">
        <v>2966.45208</v>
      </c>
      <c r="G17" s="3">
        <v>2852.7421599999998</v>
      </c>
    </row>
    <row r="18" spans="1:7">
      <c r="A18" s="771"/>
      <c r="B18" s="509" t="s">
        <v>1497</v>
      </c>
      <c r="C18" s="701" t="s">
        <v>1167</v>
      </c>
      <c r="D18" s="3"/>
      <c r="E18" s="3"/>
      <c r="F18" s="3"/>
      <c r="G18" s="3">
        <v>7883.3801800000001</v>
      </c>
    </row>
    <row r="19" spans="1:7">
      <c r="A19" s="771">
        <f t="shared" ref="A19:A29" si="1">CORREL(D19:G19,$D$1:$G$1)</f>
        <v>0.85007204058313079</v>
      </c>
      <c r="B19" s="507" t="s">
        <v>1498</v>
      </c>
      <c r="C19" s="702" t="s">
        <v>1167</v>
      </c>
      <c r="D19" s="290">
        <v>1380.0428300000001</v>
      </c>
      <c r="E19" s="290">
        <v>1561.7192</v>
      </c>
      <c r="F19" s="290">
        <v>1875.70847</v>
      </c>
      <c r="G19" s="290">
        <v>2698.8269</v>
      </c>
    </row>
    <row r="20" spans="1:7">
      <c r="A20" s="771">
        <f t="shared" si="1"/>
        <v>0.73999532659182143</v>
      </c>
      <c r="B20" s="509" t="s">
        <v>1499</v>
      </c>
      <c r="C20" s="701" t="s">
        <v>1167</v>
      </c>
      <c r="D20" s="3">
        <v>325836.03963999997</v>
      </c>
      <c r="E20" s="3">
        <v>399835.78256999998</v>
      </c>
      <c r="F20" s="3">
        <v>351746.5417</v>
      </c>
      <c r="G20" s="3">
        <v>408329.84623000002</v>
      </c>
    </row>
    <row r="21" spans="1:7">
      <c r="A21" s="771">
        <f t="shared" si="1"/>
        <v>0.96684663967936169</v>
      </c>
      <c r="B21" s="509" t="s">
        <v>1500</v>
      </c>
      <c r="C21" s="701" t="s">
        <v>1167</v>
      </c>
      <c r="D21" s="3">
        <v>249756.30173000001</v>
      </c>
      <c r="E21" s="3">
        <v>309895.25195000001</v>
      </c>
      <c r="F21" s="3">
        <v>321135.14895</v>
      </c>
      <c r="G21" s="3">
        <v>379905.60503999999</v>
      </c>
    </row>
    <row r="22" spans="1:7">
      <c r="A22" s="771">
        <f t="shared" si="1"/>
        <v>-9.6566608317438657E-2</v>
      </c>
      <c r="B22" s="509" t="s">
        <v>1501</v>
      </c>
      <c r="C22" s="701" t="s">
        <v>1167</v>
      </c>
      <c r="D22" s="3">
        <v>123120.04342</v>
      </c>
      <c r="E22" s="3">
        <v>148359.01188000001</v>
      </c>
      <c r="F22" s="3">
        <v>113759.9151</v>
      </c>
      <c r="G22" s="3">
        <v>124568.81432</v>
      </c>
    </row>
    <row r="23" spans="1:7">
      <c r="A23" s="771">
        <f t="shared" si="1"/>
        <v>-0.24962391548151416</v>
      </c>
      <c r="B23" s="509" t="s">
        <v>1502</v>
      </c>
      <c r="C23" s="701" t="s">
        <v>1167</v>
      </c>
      <c r="D23" s="3">
        <v>25428.289669999998</v>
      </c>
      <c r="E23" s="3">
        <v>6068.8932000000004</v>
      </c>
      <c r="F23" s="3">
        <v>42617.997770000002</v>
      </c>
      <c r="G23" s="3">
        <v>1579.6128100000001</v>
      </c>
    </row>
    <row r="24" spans="1:7">
      <c r="A24" s="771">
        <f t="shared" si="1"/>
        <v>0.60529822660981536</v>
      </c>
      <c r="B24" s="509" t="s">
        <v>1503</v>
      </c>
      <c r="C24" s="701" t="s">
        <v>1167</v>
      </c>
      <c r="D24" s="3">
        <v>1952.97642</v>
      </c>
      <c r="E24" s="3">
        <v>3160.7829400000001</v>
      </c>
      <c r="F24" s="3">
        <v>579.81566999999995</v>
      </c>
      <c r="G24" s="3">
        <v>17066.14993</v>
      </c>
    </row>
    <row r="25" spans="1:7">
      <c r="A25" s="771">
        <f t="shared" si="1"/>
        <v>0.94722977065213743</v>
      </c>
      <c r="B25" s="509" t="s">
        <v>1504</v>
      </c>
      <c r="C25" s="701" t="s">
        <v>1167</v>
      </c>
      <c r="D25" s="3">
        <v>89628.975000000006</v>
      </c>
      <c r="E25" s="3">
        <v>147194.61468999999</v>
      </c>
      <c r="F25" s="3">
        <v>160537.29300000001</v>
      </c>
      <c r="G25" s="3">
        <v>232598.05499999999</v>
      </c>
    </row>
    <row r="26" spans="1:7">
      <c r="A26" s="771">
        <f t="shared" si="1"/>
        <v>-0.65858600602871253</v>
      </c>
      <c r="B26" s="509" t="s">
        <v>1505</v>
      </c>
      <c r="C26" s="701" t="s">
        <v>1167</v>
      </c>
      <c r="D26" s="3">
        <v>8044.1755800000001</v>
      </c>
      <c r="E26" s="3">
        <v>635.87550999999996</v>
      </c>
      <c r="F26" s="3">
        <v>3289.0074599999998</v>
      </c>
      <c r="G26" s="3">
        <v>3561.0557199999998</v>
      </c>
    </row>
    <row r="27" spans="1:7">
      <c r="A27" s="771">
        <f t="shared" si="1"/>
        <v>-0.99999999999999978</v>
      </c>
      <c r="B27" s="509" t="s">
        <v>1506</v>
      </c>
      <c r="C27" s="701" t="s">
        <v>1167</v>
      </c>
      <c r="D27" s="3"/>
      <c r="E27" s="3"/>
      <c r="F27" s="3">
        <v>257.83197000000001</v>
      </c>
      <c r="G27" s="3">
        <v>25.03349</v>
      </c>
    </row>
    <row r="28" spans="1:7">
      <c r="A28" s="771">
        <f t="shared" si="1"/>
        <v>-0.31647406684285734</v>
      </c>
      <c r="B28" s="509" t="s">
        <v>1507</v>
      </c>
      <c r="C28" s="701" t="s">
        <v>1167</v>
      </c>
      <c r="D28" s="3">
        <v>1581.8416099999999</v>
      </c>
      <c r="E28" s="3">
        <v>4476.0732099999996</v>
      </c>
      <c r="F28" s="3">
        <v>93.287379999999999</v>
      </c>
      <c r="G28" s="3">
        <v>506.88366000000002</v>
      </c>
    </row>
    <row r="29" spans="1:7">
      <c r="A29" s="771">
        <f t="shared" si="1"/>
        <v>-0.71563485522850911</v>
      </c>
      <c r="B29" s="509" t="s">
        <v>1508</v>
      </c>
      <c r="C29" s="701" t="s">
        <v>1167</v>
      </c>
      <c r="D29" s="3">
        <v>76079.737899999993</v>
      </c>
      <c r="E29" s="3">
        <v>89940.530610000002</v>
      </c>
      <c r="F29" s="3">
        <v>30611.392749999999</v>
      </c>
      <c r="G29" s="3">
        <v>28424.241190000001</v>
      </c>
    </row>
    <row r="30" spans="1:7">
      <c r="A30" s="771"/>
      <c r="B30" s="509" t="s">
        <v>1509</v>
      </c>
      <c r="C30" s="701" t="s">
        <v>1167</v>
      </c>
      <c r="D30" s="3"/>
      <c r="E30" s="3">
        <v>17043.656999999999</v>
      </c>
      <c r="F30" s="3"/>
      <c r="G30" s="3"/>
    </row>
    <row r="31" spans="1:7">
      <c r="A31" s="771">
        <f t="shared" ref="A31:A40" si="2">CORREL(D31:G31,$D$1:$G$1)</f>
        <v>-1</v>
      </c>
      <c r="B31" s="509" t="s">
        <v>1510</v>
      </c>
      <c r="C31" s="701" t="s">
        <v>1167</v>
      </c>
      <c r="D31" s="3">
        <v>42345.324999999997</v>
      </c>
      <c r="E31" s="3">
        <v>40606.997499999998</v>
      </c>
      <c r="F31" s="3"/>
      <c r="G31" s="3"/>
    </row>
    <row r="32" spans="1:7">
      <c r="A32" s="771">
        <f t="shared" si="2"/>
        <v>0.69756333761279143</v>
      </c>
      <c r="B32" s="509" t="s">
        <v>1511</v>
      </c>
      <c r="C32" s="701" t="s">
        <v>1167</v>
      </c>
      <c r="D32" s="3">
        <v>98.312200000000004</v>
      </c>
      <c r="E32" s="3">
        <v>131.29266999999999</v>
      </c>
      <c r="F32" s="3">
        <v>433.55293</v>
      </c>
      <c r="G32" s="3">
        <v>3368.9764</v>
      </c>
    </row>
    <row r="33" spans="1:7">
      <c r="A33" s="771">
        <f t="shared" si="2"/>
        <v>0.7387029121877583</v>
      </c>
      <c r="B33" s="509" t="s">
        <v>1512</v>
      </c>
      <c r="C33" s="701" t="s">
        <v>1167</v>
      </c>
      <c r="D33" s="3">
        <v>16401.892240000001</v>
      </c>
      <c r="E33" s="3">
        <v>15556.15278</v>
      </c>
      <c r="F33" s="3">
        <v>18421.800080000001</v>
      </c>
      <c r="G33" s="3">
        <v>22345.263859999999</v>
      </c>
    </row>
    <row r="34" spans="1:7">
      <c r="A34" s="771">
        <f t="shared" si="2"/>
        <v>0.18963497650515482</v>
      </c>
      <c r="B34" s="509" t="s">
        <v>1513</v>
      </c>
      <c r="C34" s="701" t="s">
        <v>1167</v>
      </c>
      <c r="D34" s="3">
        <v>1603.1545599999999</v>
      </c>
      <c r="E34" s="3">
        <v>1546.4624699999999</v>
      </c>
      <c r="F34" s="3">
        <v>1185.76361</v>
      </c>
      <c r="G34" s="3">
        <v>1989.86735</v>
      </c>
    </row>
    <row r="35" spans="1:7">
      <c r="A35" s="771">
        <f t="shared" si="2"/>
        <v>-0.80529889507364227</v>
      </c>
      <c r="B35" s="507" t="s">
        <v>1514</v>
      </c>
      <c r="C35" s="702" t="s">
        <v>1167</v>
      </c>
      <c r="D35" s="290">
        <v>15630.853880000001</v>
      </c>
      <c r="E35" s="290">
        <v>15055.767589999999</v>
      </c>
      <c r="F35" s="290">
        <v>10570.27612</v>
      </c>
      <c r="G35" s="290">
        <v>720.13355999999999</v>
      </c>
    </row>
    <row r="36" spans="1:7">
      <c r="A36" s="771">
        <f t="shared" si="2"/>
        <v>0.6418606612470501</v>
      </c>
      <c r="B36" s="509" t="s">
        <v>1515</v>
      </c>
      <c r="C36" s="701" t="s">
        <v>1167</v>
      </c>
      <c r="D36" s="3">
        <v>64403.192690000003</v>
      </c>
      <c r="E36" s="3">
        <v>49538.551740000003</v>
      </c>
      <c r="F36" s="3">
        <v>73702.999849999993</v>
      </c>
      <c r="G36" s="3">
        <v>116446.55954</v>
      </c>
    </row>
    <row r="37" spans="1:7">
      <c r="A37" s="771">
        <f t="shared" si="2"/>
        <v>0.81955242939011164</v>
      </c>
      <c r="B37" s="509" t="s">
        <v>1517</v>
      </c>
      <c r="C37" s="701" t="s">
        <v>1516</v>
      </c>
      <c r="D37" s="3">
        <v>26000000</v>
      </c>
      <c r="E37" s="3">
        <v>26000000</v>
      </c>
      <c r="F37" s="3">
        <v>30944375</v>
      </c>
      <c r="G37" s="3">
        <v>30944375</v>
      </c>
    </row>
    <row r="38" spans="1:7">
      <c r="A38" s="771">
        <f t="shared" si="2"/>
        <v>0.64048538197820171</v>
      </c>
      <c r="B38" s="509" t="s">
        <v>1518</v>
      </c>
      <c r="C38" s="701" t="s">
        <v>1167</v>
      </c>
      <c r="D38" s="3">
        <v>64333.582340000001</v>
      </c>
      <c r="E38" s="3">
        <v>49333.302929999998</v>
      </c>
      <c r="F38" s="3">
        <v>73544.421610000005</v>
      </c>
      <c r="G38" s="3">
        <v>116361.18686</v>
      </c>
    </row>
    <row r="39" spans="1:7">
      <c r="A39" s="771">
        <f t="shared" si="2"/>
        <v>0.81955242939011153</v>
      </c>
      <c r="B39" s="509" t="s">
        <v>1519</v>
      </c>
      <c r="C39" s="701" t="s">
        <v>1167</v>
      </c>
      <c r="D39" s="3">
        <v>13000</v>
      </c>
      <c r="E39" s="3">
        <v>13000</v>
      </c>
      <c r="F39" s="3">
        <v>15472.1875</v>
      </c>
      <c r="G39" s="3">
        <v>15472.1875</v>
      </c>
    </row>
    <row r="40" spans="1:7">
      <c r="A40" s="771">
        <f t="shared" si="2"/>
        <v>0.87947715402098992</v>
      </c>
      <c r="B40" s="509" t="s">
        <v>1520</v>
      </c>
      <c r="C40" s="701" t="s">
        <v>1167</v>
      </c>
      <c r="D40" s="3">
        <v>7930.3249999999998</v>
      </c>
      <c r="E40" s="3">
        <v>10911.501</v>
      </c>
      <c r="F40" s="3">
        <v>26098.611000000001</v>
      </c>
      <c r="G40" s="3">
        <v>26028.61</v>
      </c>
    </row>
    <row r="41" spans="1:7">
      <c r="A41" s="771"/>
      <c r="B41" s="509" t="s">
        <v>1521</v>
      </c>
      <c r="C41" s="701" t="s">
        <v>1167</v>
      </c>
      <c r="D41" s="3">
        <v>-670.13499999999999</v>
      </c>
      <c r="E41" s="3">
        <v>-670.13499999999999</v>
      </c>
      <c r="F41" s="3">
        <v>-670.13499999999999</v>
      </c>
      <c r="G41" s="3">
        <v>-670.13499999999999</v>
      </c>
    </row>
    <row r="42" spans="1:7">
      <c r="A42" s="771">
        <f>CORREL(D42:G42,$D$1:$G$1)</f>
        <v>0.63428960597749062</v>
      </c>
      <c r="B42" s="509" t="s">
        <v>1522</v>
      </c>
      <c r="C42" s="701" t="s">
        <v>1167</v>
      </c>
      <c r="D42" s="3">
        <v>60210.758999999998</v>
      </c>
      <c r="E42" s="3">
        <v>60064.258000000002</v>
      </c>
      <c r="F42" s="3">
        <v>59821.31</v>
      </c>
      <c r="G42" s="3">
        <v>83991.532000000007</v>
      </c>
    </row>
    <row r="43" spans="1:7">
      <c r="A43" s="771">
        <f>CORREL(D43:G43,$D$1:$G$1)</f>
        <v>0.10009271644272724</v>
      </c>
      <c r="B43" s="509" t="s">
        <v>1523</v>
      </c>
      <c r="C43" s="701" t="s">
        <v>1167</v>
      </c>
      <c r="D43" s="3">
        <v>-16137.367340000001</v>
      </c>
      <c r="E43" s="3">
        <v>-33972.320370000001</v>
      </c>
      <c r="F43" s="3">
        <v>-27177.552009999999</v>
      </c>
      <c r="G43" s="3">
        <v>-8461.0079600000008</v>
      </c>
    </row>
    <row r="44" spans="1:7">
      <c r="A44" s="771">
        <f>CORREL(D44:G44,$D$1:$G$1)</f>
        <v>0.25150302112035317</v>
      </c>
      <c r="B44" s="509" t="s">
        <v>1524</v>
      </c>
      <c r="C44" s="701" t="s">
        <v>1167</v>
      </c>
      <c r="D44" s="3">
        <v>69.610349999999997</v>
      </c>
      <c r="E44" s="3">
        <v>205.24880999999999</v>
      </c>
      <c r="F44" s="3">
        <v>158.57822999999999</v>
      </c>
      <c r="G44" s="3">
        <v>85.372680000000003</v>
      </c>
    </row>
    <row r="45" spans="1:7">
      <c r="A45" s="771">
        <f>CORREL(D45:G45,$D$1:$G$1)</f>
        <v>-0.32960993406367822</v>
      </c>
      <c r="B45" s="507" t="s">
        <v>1525</v>
      </c>
      <c r="C45" s="702" t="s">
        <v>1167</v>
      </c>
      <c r="D45" s="290">
        <v>-11.63625</v>
      </c>
      <c r="E45" s="290">
        <v>3.8195199999999998</v>
      </c>
      <c r="F45" s="290">
        <v>-48.771320000000003</v>
      </c>
      <c r="G45" s="290">
        <v>-15.93393</v>
      </c>
    </row>
    <row r="46" spans="1:7">
      <c r="B46" s="6" t="s">
        <v>51</v>
      </c>
      <c r="D46" s="3">
        <f t="shared" ref="D46:G46" si="3">SUM(D22,D23,D30,D31)</f>
        <v>190893.65808999998</v>
      </c>
      <c r="E46" s="3">
        <f t="shared" si="3"/>
        <v>212078.55958</v>
      </c>
      <c r="F46" s="3">
        <f t="shared" si="3"/>
        <v>156377.91287</v>
      </c>
      <c r="G46" s="3">
        <f t="shared" si="3"/>
        <v>126148.42713000001</v>
      </c>
    </row>
    <row r="47" spans="1:7">
      <c r="D47" s="296"/>
      <c r="E47" s="296"/>
      <c r="F47" s="296"/>
      <c r="G47" s="296"/>
    </row>
    <row r="49" spans="4:7">
      <c r="D49" s="3"/>
      <c r="E49" s="3"/>
      <c r="F49" s="3"/>
      <c r="G49" s="3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7A7D-1BAD-4353-8764-BFC8595F7140}">
  <dimension ref="A2:H99"/>
  <sheetViews>
    <sheetView showGridLines="0" topLeftCell="A76" workbookViewId="0">
      <selection activeCell="H88" sqref="H88"/>
    </sheetView>
  </sheetViews>
  <sheetFormatPr defaultRowHeight="17.399999999999999"/>
  <cols>
    <col min="1" max="1" width="3.69921875" customWidth="1"/>
    <col min="2" max="2" width="39.796875" bestFit="1" customWidth="1"/>
    <col min="3" max="3" width="5.19921875" bestFit="1" customWidth="1"/>
    <col min="4" max="8" width="8.5" bestFit="1" customWidth="1"/>
  </cols>
  <sheetData>
    <row r="2" spans="1:8">
      <c r="A2" s="873"/>
      <c r="B2" s="764" t="s">
        <v>1207</v>
      </c>
      <c r="C2" s="764" t="s">
        <v>1206</v>
      </c>
      <c r="D2" s="764">
        <v>202012</v>
      </c>
      <c r="E2" s="764">
        <v>202112</v>
      </c>
      <c r="F2" s="764">
        <v>202212</v>
      </c>
      <c r="G2" s="764">
        <v>202312</v>
      </c>
      <c r="H2" s="764">
        <v>202412</v>
      </c>
    </row>
    <row r="3" spans="1:8">
      <c r="A3" s="874"/>
      <c r="B3" s="762"/>
      <c r="C3" s="763"/>
      <c r="D3" s="763" t="s">
        <v>1289</v>
      </c>
      <c r="E3" s="763" t="s">
        <v>1289</v>
      </c>
      <c r="F3" s="763" t="s">
        <v>1289</v>
      </c>
      <c r="G3" s="763" t="s">
        <v>1289</v>
      </c>
      <c r="H3" s="763" t="s">
        <v>1289</v>
      </c>
    </row>
    <row r="4" spans="1:8">
      <c r="A4" s="875"/>
      <c r="B4" s="509" t="s">
        <v>1270</v>
      </c>
      <c r="C4" s="701" t="s">
        <v>1167</v>
      </c>
      <c r="D4" s="3">
        <v>243441.14642</v>
      </c>
      <c r="E4" s="3">
        <v>234883.71634000001</v>
      </c>
      <c r="F4" s="3">
        <v>330197.10940000002</v>
      </c>
      <c r="G4" s="3">
        <v>367399.20864000003</v>
      </c>
      <c r="H4" s="3">
        <v>404741.03860000003</v>
      </c>
    </row>
    <row r="5" spans="1:8">
      <c r="A5" s="875"/>
      <c r="B5" s="509" t="s">
        <v>1264</v>
      </c>
      <c r="C5" s="701" t="s">
        <v>1167</v>
      </c>
      <c r="D5" s="3">
        <v>209367.57149</v>
      </c>
      <c r="E5" s="3">
        <v>241249.51876000001</v>
      </c>
      <c r="F5" s="3">
        <v>295265.47146999999</v>
      </c>
      <c r="G5" s="3">
        <v>323957.62202000001</v>
      </c>
      <c r="H5" s="3">
        <v>345623.02108999999</v>
      </c>
    </row>
    <row r="6" spans="1:8">
      <c r="A6" s="875"/>
      <c r="B6" s="509" t="s">
        <v>1287</v>
      </c>
      <c r="C6" s="701" t="s">
        <v>1167</v>
      </c>
      <c r="D6" s="3">
        <v>34073.574930000002</v>
      </c>
      <c r="E6" s="3">
        <v>-6365.80242</v>
      </c>
      <c r="F6" s="3">
        <v>34931.637920000001</v>
      </c>
      <c r="G6" s="3">
        <v>43441.586609999998</v>
      </c>
      <c r="H6" s="3">
        <v>59118.017509999998</v>
      </c>
    </row>
    <row r="7" spans="1:8">
      <c r="A7" s="875"/>
      <c r="B7" s="509" t="s">
        <v>1236</v>
      </c>
      <c r="C7" s="701" t="s">
        <v>1167</v>
      </c>
      <c r="D7" s="3">
        <v>22807.209569999999</v>
      </c>
      <c r="E7" s="3">
        <v>24245.07762</v>
      </c>
      <c r="F7" s="3">
        <v>26823.58381</v>
      </c>
      <c r="G7" s="3">
        <v>28354.888439999999</v>
      </c>
      <c r="H7" s="3">
        <v>37190.759140000002</v>
      </c>
    </row>
    <row r="8" spans="1:8">
      <c r="A8" s="875"/>
      <c r="B8" s="509" t="s">
        <v>1231</v>
      </c>
      <c r="C8" s="701" t="s">
        <v>1167</v>
      </c>
      <c r="D8" s="3">
        <v>11765.508</v>
      </c>
      <c r="E8" s="3">
        <v>13000.707</v>
      </c>
      <c r="F8" s="3">
        <v>13948.49</v>
      </c>
      <c r="G8" s="3">
        <v>14157.436</v>
      </c>
      <c r="H8" s="3">
        <v>17165.348999999998</v>
      </c>
    </row>
    <row r="9" spans="1:8">
      <c r="A9" s="875"/>
      <c r="B9" s="509" t="s">
        <v>1227</v>
      </c>
      <c r="C9" s="701" t="s">
        <v>1167</v>
      </c>
      <c r="D9" s="3">
        <v>1297.309</v>
      </c>
      <c r="E9" s="3">
        <v>1041.9590000000001</v>
      </c>
      <c r="F9" s="3">
        <v>1176.78</v>
      </c>
      <c r="G9" s="3">
        <v>1715.5219999999999</v>
      </c>
      <c r="H9" s="3">
        <v>1913.114</v>
      </c>
    </row>
    <row r="10" spans="1:8">
      <c r="A10" s="875"/>
      <c r="B10" s="509" t="s">
        <v>1627</v>
      </c>
      <c r="C10" s="701" t="s">
        <v>1167</v>
      </c>
      <c r="D10" s="3"/>
      <c r="E10" s="3"/>
      <c r="F10" s="3"/>
      <c r="G10" s="3"/>
      <c r="H10" s="3"/>
    </row>
    <row r="11" spans="1:8">
      <c r="A11" s="875"/>
      <c r="B11" s="509" t="s">
        <v>1628</v>
      </c>
      <c r="C11" s="701" t="s">
        <v>1167</v>
      </c>
      <c r="D11" s="3"/>
      <c r="E11" s="3"/>
      <c r="F11" s="3"/>
      <c r="G11" s="3"/>
      <c r="H11" s="3"/>
    </row>
    <row r="12" spans="1:8">
      <c r="A12" s="875"/>
      <c r="B12" s="509" t="s">
        <v>1223</v>
      </c>
      <c r="C12" s="701" t="s">
        <v>1167</v>
      </c>
      <c r="D12" s="3">
        <v>-1084.221</v>
      </c>
      <c r="E12" s="3">
        <v>19.024999999999999</v>
      </c>
      <c r="F12" s="3">
        <v>464.98399999999998</v>
      </c>
      <c r="G12" s="3">
        <v>207.73400000000001</v>
      </c>
      <c r="H12" s="3">
        <v>1484.1220000000001</v>
      </c>
    </row>
    <row r="13" spans="1:8">
      <c r="A13" s="875"/>
      <c r="B13" s="509" t="s">
        <v>1218</v>
      </c>
      <c r="C13" s="701" t="s">
        <v>1167</v>
      </c>
      <c r="D13" s="3">
        <v>10771.465</v>
      </c>
      <c r="E13" s="3">
        <v>10162.212</v>
      </c>
      <c r="F13" s="3">
        <v>11202.227999999999</v>
      </c>
      <c r="G13" s="3">
        <v>12257.797</v>
      </c>
      <c r="H13" s="3">
        <v>16614.842000000001</v>
      </c>
    </row>
    <row r="14" spans="1:8">
      <c r="A14" s="875"/>
      <c r="B14" s="509" t="s">
        <v>1629</v>
      </c>
      <c r="C14" s="701" t="s">
        <v>1167</v>
      </c>
      <c r="D14" s="3"/>
      <c r="E14" s="3"/>
      <c r="F14" s="3"/>
      <c r="G14" s="3"/>
      <c r="H14" s="3"/>
    </row>
    <row r="15" spans="1:8">
      <c r="A15" s="875"/>
      <c r="B15" s="509" t="s">
        <v>1215</v>
      </c>
      <c r="C15" s="701" t="s">
        <v>1167</v>
      </c>
      <c r="D15" s="3">
        <v>57.149000000000001</v>
      </c>
      <c r="E15" s="3">
        <v>21.175000000000001</v>
      </c>
      <c r="F15" s="3">
        <v>31.102</v>
      </c>
      <c r="G15" s="3">
        <v>16.399000000000001</v>
      </c>
      <c r="H15" s="3">
        <v>13.332000000000001</v>
      </c>
    </row>
    <row r="16" spans="1:8">
      <c r="A16" s="875"/>
      <c r="B16" s="509" t="s">
        <v>1286</v>
      </c>
      <c r="C16" s="701" t="s">
        <v>1167</v>
      </c>
      <c r="D16" s="3">
        <v>11266.36536</v>
      </c>
      <c r="E16" s="3">
        <v>-30610.88004</v>
      </c>
      <c r="F16" s="3">
        <v>8108.05411</v>
      </c>
      <c r="G16" s="3">
        <v>15086.69817</v>
      </c>
      <c r="H16" s="3">
        <v>21927.25837</v>
      </c>
    </row>
    <row r="17" spans="1:8">
      <c r="A17" s="875"/>
      <c r="B17" s="507" t="s">
        <v>1201</v>
      </c>
      <c r="C17" s="702" t="s">
        <v>1167</v>
      </c>
      <c r="D17" s="290">
        <v>7061.5640000000003</v>
      </c>
      <c r="E17" s="290">
        <v>7196.576</v>
      </c>
      <c r="F17" s="290">
        <v>8323.5759999999991</v>
      </c>
      <c r="G17" s="290">
        <v>10770.512000000001</v>
      </c>
      <c r="H17" s="290">
        <v>18569.587</v>
      </c>
    </row>
    <row r="18" spans="1:8">
      <c r="A18" s="875"/>
      <c r="B18" s="509" t="s">
        <v>1196</v>
      </c>
      <c r="C18" s="701" t="s">
        <v>1167</v>
      </c>
      <c r="D18" s="3">
        <v>202.72</v>
      </c>
      <c r="E18" s="3">
        <v>141.376</v>
      </c>
      <c r="F18" s="3">
        <v>281.41800000000001</v>
      </c>
      <c r="G18" s="3">
        <v>958.346</v>
      </c>
      <c r="H18" s="3">
        <v>1352.5830000000001</v>
      </c>
    </row>
    <row r="19" spans="1:8">
      <c r="A19" s="875"/>
      <c r="B19" s="509" t="s">
        <v>1194</v>
      </c>
      <c r="C19" s="701" t="s">
        <v>1167</v>
      </c>
      <c r="D19" s="3">
        <v>287.86599999999999</v>
      </c>
      <c r="E19" s="3">
        <v>131.44499999999999</v>
      </c>
      <c r="F19" s="3">
        <v>92.436000000000007</v>
      </c>
      <c r="G19" s="3">
        <v>242.70500000000001</v>
      </c>
      <c r="H19" s="3">
        <v>190.57499999999999</v>
      </c>
    </row>
    <row r="20" spans="1:8">
      <c r="A20" s="875"/>
      <c r="B20" s="509" t="s">
        <v>1192</v>
      </c>
      <c r="C20" s="701" t="s">
        <v>1167</v>
      </c>
      <c r="D20" s="3">
        <v>3724.1280000000002</v>
      </c>
      <c r="E20" s="3">
        <v>5857.7939999999999</v>
      </c>
      <c r="F20" s="3">
        <v>7309.4139999999998</v>
      </c>
      <c r="G20" s="3">
        <v>8337.759</v>
      </c>
      <c r="H20" s="3">
        <v>16104.773999999999</v>
      </c>
    </row>
    <row r="21" spans="1:8">
      <c r="A21" s="875"/>
      <c r="B21" s="509" t="s">
        <v>1630</v>
      </c>
      <c r="C21" s="701" t="s">
        <v>1167</v>
      </c>
      <c r="D21" s="3"/>
      <c r="E21" s="3"/>
      <c r="F21" s="3"/>
      <c r="G21" s="3"/>
      <c r="H21" s="3"/>
    </row>
    <row r="22" spans="1:8">
      <c r="A22" s="875"/>
      <c r="B22" s="509" t="s">
        <v>1631</v>
      </c>
      <c r="C22" s="701" t="s">
        <v>1167</v>
      </c>
      <c r="D22" s="3"/>
      <c r="E22" s="3"/>
      <c r="F22" s="3"/>
      <c r="G22" s="3"/>
      <c r="H22" s="3"/>
    </row>
    <row r="23" spans="1:8">
      <c r="A23" s="875"/>
      <c r="B23" s="509" t="s">
        <v>1632</v>
      </c>
      <c r="C23" s="701" t="s">
        <v>1167</v>
      </c>
      <c r="D23" s="3"/>
      <c r="E23" s="3"/>
      <c r="F23" s="3"/>
      <c r="G23" s="3"/>
      <c r="H23" s="3"/>
    </row>
    <row r="24" spans="1:8">
      <c r="A24" s="875"/>
      <c r="B24" s="509" t="s">
        <v>1633</v>
      </c>
      <c r="C24" s="701" t="s">
        <v>1167</v>
      </c>
      <c r="D24" s="3"/>
      <c r="E24" s="3"/>
      <c r="F24" s="3"/>
      <c r="G24" s="3"/>
      <c r="H24" s="3"/>
    </row>
    <row r="25" spans="1:8">
      <c r="A25" s="875"/>
      <c r="B25" s="509" t="s">
        <v>1190</v>
      </c>
      <c r="C25" s="701" t="s">
        <v>1167</v>
      </c>
      <c r="D25" s="3">
        <v>459.18</v>
      </c>
      <c r="E25" s="3">
        <v>512.46500000000003</v>
      </c>
      <c r="F25" s="3">
        <v>637.60799999999995</v>
      </c>
      <c r="G25" s="3">
        <v>461.90300000000002</v>
      </c>
      <c r="H25" s="3">
        <v>571.28</v>
      </c>
    </row>
    <row r="26" spans="1:8">
      <c r="A26" s="875"/>
      <c r="B26" s="509" t="s">
        <v>1634</v>
      </c>
      <c r="C26" s="701" t="s">
        <v>1167</v>
      </c>
      <c r="D26" s="3"/>
      <c r="E26" s="3"/>
      <c r="F26" s="3"/>
      <c r="G26" s="3"/>
      <c r="H26" s="3"/>
    </row>
    <row r="27" spans="1:8">
      <c r="A27" s="875"/>
      <c r="B27" s="509" t="s">
        <v>1188</v>
      </c>
      <c r="C27" s="701" t="s">
        <v>1167</v>
      </c>
      <c r="D27" s="3">
        <v>2387.67</v>
      </c>
      <c r="E27" s="3">
        <v>553.49599999999998</v>
      </c>
      <c r="F27" s="3">
        <v>2.7</v>
      </c>
      <c r="G27" s="3">
        <v>769.79899999999998</v>
      </c>
      <c r="H27" s="3">
        <v>350.375</v>
      </c>
    </row>
    <row r="28" spans="1:8">
      <c r="A28" s="875"/>
      <c r="B28" s="509" t="s">
        <v>1635</v>
      </c>
      <c r="C28" s="701" t="s">
        <v>1167</v>
      </c>
      <c r="D28" s="3"/>
      <c r="E28" s="3"/>
      <c r="F28" s="3"/>
      <c r="G28" s="3"/>
      <c r="H28" s="3"/>
    </row>
    <row r="29" spans="1:8">
      <c r="A29" s="875"/>
      <c r="B29" s="509" t="s">
        <v>1186</v>
      </c>
      <c r="C29" s="701" t="s">
        <v>1167</v>
      </c>
      <c r="D29" s="3">
        <v>16702.291000000001</v>
      </c>
      <c r="E29" s="3">
        <v>13853.978999999999</v>
      </c>
      <c r="F29" s="3">
        <v>37272.428</v>
      </c>
      <c r="G29" s="3">
        <v>22758.851999999999</v>
      </c>
      <c r="H29" s="3">
        <v>44883.533000000003</v>
      </c>
    </row>
    <row r="30" spans="1:8">
      <c r="A30" s="875"/>
      <c r="B30" s="509" t="s">
        <v>1185</v>
      </c>
      <c r="C30" s="701" t="s">
        <v>1167</v>
      </c>
      <c r="D30" s="3">
        <v>8726.3060000000005</v>
      </c>
      <c r="E30" s="3">
        <v>6922.6059999999998</v>
      </c>
      <c r="F30" s="3">
        <v>9204.768</v>
      </c>
      <c r="G30" s="3">
        <v>11546.804</v>
      </c>
      <c r="H30" s="3">
        <v>10416.513999999999</v>
      </c>
    </row>
    <row r="31" spans="1:8">
      <c r="A31" s="875"/>
      <c r="B31" s="509" t="s">
        <v>1183</v>
      </c>
      <c r="C31" s="701" t="s">
        <v>1167</v>
      </c>
      <c r="D31" s="3">
        <v>6479.3140000000003</v>
      </c>
      <c r="E31" s="3">
        <v>2956.4850000000001</v>
      </c>
      <c r="F31" s="3">
        <v>7109.6589999999997</v>
      </c>
      <c r="G31" s="3">
        <v>7083.6030000000001</v>
      </c>
      <c r="H31" s="3">
        <v>10073.078</v>
      </c>
    </row>
    <row r="32" spans="1:8">
      <c r="A32" s="875"/>
      <c r="B32" s="509" t="s">
        <v>1636</v>
      </c>
      <c r="C32" s="701" t="s">
        <v>1167</v>
      </c>
      <c r="D32" s="3"/>
      <c r="E32" s="3"/>
      <c r="F32" s="3"/>
      <c r="G32" s="3"/>
      <c r="H32" s="3"/>
    </row>
    <row r="33" spans="1:8">
      <c r="A33" s="875"/>
      <c r="B33" s="507" t="s">
        <v>1637</v>
      </c>
      <c r="C33" s="702" t="s">
        <v>1167</v>
      </c>
      <c r="D33" s="290"/>
      <c r="E33" s="290"/>
      <c r="F33" s="290"/>
      <c r="G33" s="290"/>
      <c r="H33" s="290"/>
    </row>
    <row r="34" spans="1:8">
      <c r="A34" s="875"/>
      <c r="B34" s="509" t="s">
        <v>1181</v>
      </c>
      <c r="C34" s="701" t="s">
        <v>1167</v>
      </c>
      <c r="D34" s="3">
        <v>7.7380000000000004</v>
      </c>
      <c r="E34" s="3">
        <v>45.58</v>
      </c>
      <c r="F34" s="3">
        <v>4.6029999999999998</v>
      </c>
      <c r="G34" s="3">
        <v>133.846</v>
      </c>
      <c r="H34" s="3">
        <v>31.97</v>
      </c>
    </row>
    <row r="35" spans="1:8">
      <c r="A35" s="875"/>
      <c r="B35" s="509" t="s">
        <v>1638</v>
      </c>
      <c r="C35" s="701" t="s">
        <v>1167</v>
      </c>
      <c r="D35" s="3"/>
      <c r="E35" s="3"/>
      <c r="F35" s="3"/>
      <c r="G35" s="3"/>
      <c r="H35" s="3"/>
    </row>
    <row r="36" spans="1:8">
      <c r="A36" s="875"/>
      <c r="B36" s="509" t="s">
        <v>1174</v>
      </c>
      <c r="C36" s="701" t="s">
        <v>1167</v>
      </c>
      <c r="D36" s="3">
        <v>79.123000000000005</v>
      </c>
      <c r="E36" s="3">
        <v>14.327</v>
      </c>
      <c r="F36" s="3">
        <v>10.698</v>
      </c>
      <c r="G36" s="3">
        <v>63.125</v>
      </c>
      <c r="H36" s="3">
        <v>1.867</v>
      </c>
    </row>
    <row r="37" spans="1:8">
      <c r="A37" s="875"/>
      <c r="B37" s="509" t="s">
        <v>1172</v>
      </c>
      <c r="C37" s="701" t="s">
        <v>1167</v>
      </c>
      <c r="D37" s="3"/>
      <c r="E37" s="3"/>
      <c r="F37" s="3"/>
      <c r="G37" s="3">
        <v>1299.999</v>
      </c>
      <c r="H37" s="3"/>
    </row>
    <row r="38" spans="1:8">
      <c r="A38" s="875"/>
      <c r="B38" s="509" t="s">
        <v>1170</v>
      </c>
      <c r="C38" s="701" t="s">
        <v>1167</v>
      </c>
      <c r="D38" s="3">
        <v>1409.81</v>
      </c>
      <c r="E38" s="3">
        <v>3914.9810000000002</v>
      </c>
      <c r="F38" s="3">
        <v>20942.7</v>
      </c>
      <c r="G38" s="3">
        <v>2631.4749999999999</v>
      </c>
      <c r="H38" s="3">
        <v>21948.103999999999</v>
      </c>
    </row>
    <row r="39" spans="1:8">
      <c r="A39" s="875"/>
      <c r="B39" s="509" t="s">
        <v>1168</v>
      </c>
      <c r="C39" s="701" t="s">
        <v>1167</v>
      </c>
      <c r="D39" s="3"/>
      <c r="E39" s="3"/>
      <c r="F39" s="3"/>
      <c r="G39" s="3"/>
      <c r="H39" s="3">
        <v>2412</v>
      </c>
    </row>
    <row r="40" spans="1:8">
      <c r="A40" s="875"/>
      <c r="B40" s="509" t="s">
        <v>1639</v>
      </c>
      <c r="C40" s="701" t="s">
        <v>1167</v>
      </c>
      <c r="D40" s="3">
        <v>3993.2570000000001</v>
      </c>
      <c r="E40" s="3">
        <v>3714.7820000000002</v>
      </c>
      <c r="F40" s="3">
        <v>1363.98</v>
      </c>
      <c r="G40" s="3">
        <v>3026.6109999999999</v>
      </c>
      <c r="H40" s="3">
        <v>2458.5859999999998</v>
      </c>
    </row>
    <row r="41" spans="1:8">
      <c r="A41" s="875"/>
      <c r="B41" s="509" t="s">
        <v>1196</v>
      </c>
      <c r="C41" s="701" t="s">
        <v>1167</v>
      </c>
      <c r="D41" s="3"/>
      <c r="E41" s="3"/>
      <c r="F41" s="3"/>
      <c r="G41" s="3"/>
      <c r="H41" s="3"/>
    </row>
    <row r="42" spans="1:8">
      <c r="A42" s="875"/>
      <c r="B42" s="509" t="s">
        <v>1194</v>
      </c>
      <c r="C42" s="701" t="s">
        <v>1167</v>
      </c>
      <c r="D42" s="3"/>
      <c r="E42" s="3"/>
      <c r="F42" s="3"/>
      <c r="G42" s="3"/>
      <c r="H42" s="3"/>
    </row>
    <row r="43" spans="1:8">
      <c r="A43" s="875"/>
      <c r="B43" s="509" t="s">
        <v>1192</v>
      </c>
      <c r="C43" s="701" t="s">
        <v>1167</v>
      </c>
      <c r="D43" s="3"/>
      <c r="E43" s="3"/>
      <c r="F43" s="3"/>
      <c r="G43" s="3"/>
      <c r="H43" s="3"/>
    </row>
    <row r="44" spans="1:8">
      <c r="A44" s="875"/>
      <c r="B44" s="509" t="s">
        <v>1681</v>
      </c>
      <c r="C44" s="701" t="s">
        <v>1167</v>
      </c>
      <c r="D44" s="3"/>
      <c r="E44" s="3"/>
      <c r="F44" s="3"/>
      <c r="G44" s="3"/>
      <c r="H44" s="3"/>
    </row>
    <row r="45" spans="1:8">
      <c r="A45" s="875"/>
      <c r="B45" s="509" t="s">
        <v>1640</v>
      </c>
      <c r="C45" s="701" t="s">
        <v>1167</v>
      </c>
      <c r="D45" s="3"/>
      <c r="E45" s="3"/>
      <c r="F45" s="3"/>
      <c r="G45" s="3"/>
      <c r="H45" s="3"/>
    </row>
    <row r="46" spans="1:8">
      <c r="A46" s="875"/>
      <c r="B46" s="509" t="s">
        <v>1641</v>
      </c>
      <c r="C46" s="701" t="s">
        <v>1167</v>
      </c>
      <c r="D46" s="3"/>
      <c r="E46" s="3"/>
      <c r="F46" s="3"/>
      <c r="G46" s="3"/>
      <c r="H46" s="3"/>
    </row>
    <row r="47" spans="1:8">
      <c r="A47" s="875"/>
      <c r="B47" s="509" t="s">
        <v>1642</v>
      </c>
      <c r="C47" s="701" t="s">
        <v>1167</v>
      </c>
      <c r="D47" s="3">
        <v>615.83500000000004</v>
      </c>
      <c r="E47" s="3">
        <v>12.989000000000001</v>
      </c>
      <c r="F47" s="3">
        <v>7.4640000000000004</v>
      </c>
      <c r="G47" s="3">
        <v>26.504999999999999</v>
      </c>
      <c r="H47" s="3">
        <v>2.089</v>
      </c>
    </row>
    <row r="48" spans="1:8">
      <c r="A48" s="875"/>
      <c r="B48" s="509" t="s">
        <v>1643</v>
      </c>
      <c r="C48" s="701" t="s">
        <v>1167</v>
      </c>
      <c r="D48" s="3"/>
      <c r="E48" s="3"/>
      <c r="F48" s="3"/>
      <c r="G48" s="3"/>
      <c r="H48" s="3"/>
    </row>
    <row r="49" spans="1:8">
      <c r="A49" s="875"/>
      <c r="B49" s="509" t="s">
        <v>1644</v>
      </c>
      <c r="C49" s="701" t="s">
        <v>1167</v>
      </c>
      <c r="D49" s="3"/>
      <c r="E49" s="3"/>
      <c r="F49" s="3"/>
      <c r="G49" s="3"/>
      <c r="H49" s="3"/>
    </row>
    <row r="50" spans="1:8">
      <c r="A50" s="875"/>
      <c r="B50" s="509" t="s">
        <v>1188</v>
      </c>
      <c r="C50" s="701" t="s">
        <v>1167</v>
      </c>
      <c r="D50" s="3"/>
      <c r="E50" s="3"/>
      <c r="F50" s="3"/>
      <c r="G50" s="3"/>
      <c r="H50" s="3"/>
    </row>
    <row r="51" spans="1:8">
      <c r="A51" s="875"/>
      <c r="B51" s="509" t="s">
        <v>1645</v>
      </c>
      <c r="C51" s="701" t="s">
        <v>1167</v>
      </c>
      <c r="D51" s="3">
        <v>24.645</v>
      </c>
      <c r="E51" s="3">
        <v>25.085000000000001</v>
      </c>
      <c r="F51" s="3">
        <v>28.771999999999998</v>
      </c>
      <c r="G51" s="3">
        <v>66.731999999999999</v>
      </c>
      <c r="H51" s="3">
        <v>111.56699999999999</v>
      </c>
    </row>
    <row r="52" spans="1:8">
      <c r="A52" s="875"/>
      <c r="B52" s="509" t="s">
        <v>1646</v>
      </c>
      <c r="C52" s="701" t="s">
        <v>1167</v>
      </c>
      <c r="D52" s="3"/>
      <c r="E52" s="3"/>
      <c r="F52" s="3"/>
      <c r="G52" s="3"/>
      <c r="H52" s="3"/>
    </row>
    <row r="53" spans="1:8">
      <c r="A53" s="875"/>
      <c r="B53" s="509" t="s">
        <v>1647</v>
      </c>
      <c r="C53" s="701" t="s">
        <v>1167</v>
      </c>
      <c r="D53" s="3"/>
      <c r="E53" s="3"/>
      <c r="F53" s="3"/>
      <c r="G53" s="3"/>
      <c r="H53" s="3"/>
    </row>
    <row r="54" spans="1:8">
      <c r="A54" s="875"/>
      <c r="B54" s="509" t="s">
        <v>1648</v>
      </c>
      <c r="C54" s="701" t="s">
        <v>1167</v>
      </c>
      <c r="D54" s="3"/>
      <c r="E54" s="3"/>
      <c r="F54" s="3"/>
      <c r="G54" s="3"/>
      <c r="H54" s="3">
        <v>81.424999999999997</v>
      </c>
    </row>
    <row r="55" spans="1:8">
      <c r="A55" s="875"/>
      <c r="B55" s="509" t="s">
        <v>1649</v>
      </c>
      <c r="C55" s="701" t="s">
        <v>1167</v>
      </c>
      <c r="D55" s="3">
        <v>848.11699999999996</v>
      </c>
      <c r="E55" s="3">
        <v>185.78200000000001</v>
      </c>
      <c r="F55" s="3"/>
      <c r="G55" s="3"/>
      <c r="H55" s="3"/>
    </row>
    <row r="56" spans="1:8">
      <c r="A56" s="875"/>
      <c r="B56" s="509" t="s">
        <v>1650</v>
      </c>
      <c r="C56" s="701" t="s">
        <v>1167</v>
      </c>
      <c r="D56" s="3">
        <v>2504.66</v>
      </c>
      <c r="E56" s="3">
        <v>3490.9259999999999</v>
      </c>
      <c r="F56" s="3">
        <v>1327.7439999999999</v>
      </c>
      <c r="G56" s="3">
        <v>2933.3739999999998</v>
      </c>
      <c r="H56" s="3">
        <v>2263.5050000000001</v>
      </c>
    </row>
    <row r="57" spans="1:8">
      <c r="A57" s="875"/>
      <c r="B57" s="509" t="s">
        <v>1651</v>
      </c>
      <c r="C57" s="701" t="s">
        <v>1167</v>
      </c>
      <c r="D57" s="3">
        <v>715.40899999999999</v>
      </c>
      <c r="E57" s="3">
        <v>208.38300000000001</v>
      </c>
      <c r="F57" s="3">
        <v>77.775999999999996</v>
      </c>
      <c r="G57" s="3">
        <v>907.89400000000001</v>
      </c>
      <c r="H57" s="3">
        <v>1617.7650000000001</v>
      </c>
    </row>
    <row r="58" spans="1:8">
      <c r="A58" s="875"/>
      <c r="B58" s="509" t="s">
        <v>1185</v>
      </c>
      <c r="C58" s="701" t="s">
        <v>1167</v>
      </c>
      <c r="D58" s="3"/>
      <c r="E58" s="3"/>
      <c r="F58" s="3"/>
      <c r="G58" s="3"/>
      <c r="H58" s="3"/>
    </row>
    <row r="59" spans="1:8">
      <c r="A59" s="875"/>
      <c r="B59" s="509" t="s">
        <v>1183</v>
      </c>
      <c r="C59" s="701" t="s">
        <v>1167</v>
      </c>
      <c r="D59" s="3"/>
      <c r="E59" s="3"/>
      <c r="F59" s="3"/>
      <c r="G59" s="3"/>
      <c r="H59" s="3"/>
    </row>
    <row r="60" spans="1:8">
      <c r="A60" s="875"/>
      <c r="B60" s="509" t="s">
        <v>1652</v>
      </c>
      <c r="C60" s="701" t="s">
        <v>1167</v>
      </c>
      <c r="D60" s="3"/>
      <c r="E60" s="3"/>
      <c r="F60" s="3"/>
      <c r="G60" s="3"/>
      <c r="H60" s="3"/>
    </row>
    <row r="61" spans="1:8">
      <c r="A61" s="875"/>
      <c r="B61" s="509" t="s">
        <v>1653</v>
      </c>
      <c r="C61" s="701" t="s">
        <v>1167</v>
      </c>
      <c r="D61" s="3"/>
      <c r="E61" s="3"/>
      <c r="F61" s="3"/>
      <c r="G61" s="3"/>
      <c r="H61" s="3"/>
    </row>
    <row r="62" spans="1:8">
      <c r="A62" s="875"/>
      <c r="B62" s="507" t="s">
        <v>1654</v>
      </c>
      <c r="C62" s="702" t="s">
        <v>1167</v>
      </c>
      <c r="D62" s="290"/>
      <c r="E62" s="290"/>
      <c r="F62" s="290"/>
      <c r="G62" s="290"/>
      <c r="H62" s="290"/>
    </row>
    <row r="63" spans="1:8">
      <c r="A63" s="875"/>
      <c r="B63" s="509" t="s">
        <v>1655</v>
      </c>
      <c r="C63" s="701" t="s">
        <v>1167</v>
      </c>
      <c r="D63" s="3">
        <v>106.01600000000001</v>
      </c>
      <c r="E63" s="3">
        <v>10.324999999999999</v>
      </c>
      <c r="F63" s="3">
        <v>2.8079999999999998</v>
      </c>
      <c r="G63" s="3">
        <v>0.64500000000000002</v>
      </c>
      <c r="H63" s="3">
        <v>10.945</v>
      </c>
    </row>
    <row r="64" spans="1:8">
      <c r="A64" s="875"/>
      <c r="B64" s="509" t="s">
        <v>1656</v>
      </c>
      <c r="C64" s="701" t="s">
        <v>1167</v>
      </c>
      <c r="D64" s="3"/>
      <c r="E64" s="3"/>
      <c r="F64" s="3"/>
      <c r="G64" s="3"/>
      <c r="H64" s="3"/>
    </row>
    <row r="65" spans="1:8">
      <c r="A65" s="875"/>
      <c r="B65" s="509" t="s">
        <v>1657</v>
      </c>
      <c r="C65" s="701" t="s">
        <v>1167</v>
      </c>
      <c r="D65" s="3"/>
      <c r="E65" s="3"/>
      <c r="F65" s="3"/>
      <c r="G65" s="3"/>
      <c r="H65" s="3"/>
    </row>
    <row r="66" spans="1:8">
      <c r="A66" s="875"/>
      <c r="B66" s="509" t="s">
        <v>1170</v>
      </c>
      <c r="C66" s="701" t="s">
        <v>1167</v>
      </c>
      <c r="D66" s="3"/>
      <c r="E66" s="3"/>
      <c r="F66" s="3"/>
      <c r="G66" s="3"/>
      <c r="H66" s="3"/>
    </row>
    <row r="67" spans="1:8">
      <c r="A67" s="875"/>
      <c r="B67" s="509" t="s">
        <v>1658</v>
      </c>
      <c r="C67" s="701" t="s">
        <v>1167</v>
      </c>
      <c r="D67" s="3">
        <v>-50</v>
      </c>
      <c r="E67" s="3"/>
      <c r="F67" s="3">
        <v>6.0529999999999999</v>
      </c>
      <c r="G67" s="3">
        <v>349.99900000000002</v>
      </c>
      <c r="H67" s="3"/>
    </row>
    <row r="68" spans="1:8">
      <c r="A68" s="875"/>
      <c r="B68" s="509" t="s">
        <v>1659</v>
      </c>
      <c r="C68" s="701" t="s">
        <v>1167</v>
      </c>
      <c r="D68" s="3"/>
      <c r="E68" s="3">
        <v>11.737</v>
      </c>
      <c r="F68" s="3"/>
      <c r="G68" s="3">
        <v>34.127000000000002</v>
      </c>
      <c r="H68" s="3"/>
    </row>
    <row r="69" spans="1:8">
      <c r="A69" s="875"/>
      <c r="B69" s="509" t="s">
        <v>1650</v>
      </c>
      <c r="C69" s="701" t="s">
        <v>1167</v>
      </c>
      <c r="D69" s="3">
        <v>659.39300000000003</v>
      </c>
      <c r="E69" s="3">
        <v>186.321</v>
      </c>
      <c r="F69" s="3">
        <v>68.915000000000006</v>
      </c>
      <c r="G69" s="3">
        <v>523.12300000000005</v>
      </c>
      <c r="H69" s="3">
        <v>1606.82</v>
      </c>
    </row>
    <row r="70" spans="1:8">
      <c r="A70" s="875"/>
      <c r="B70" s="509" t="s">
        <v>1282</v>
      </c>
      <c r="C70" s="701" t="s">
        <v>1167</v>
      </c>
      <c r="D70" s="3">
        <v>-427.53433999999999</v>
      </c>
      <c r="E70" s="3">
        <v>-722.69736</v>
      </c>
      <c r="F70" s="3">
        <v>-1220.5219999999999</v>
      </c>
      <c r="G70" s="3">
        <v>-1392.16</v>
      </c>
      <c r="H70" s="3">
        <v>-399.34300000000002</v>
      </c>
    </row>
    <row r="71" spans="1:8">
      <c r="A71" s="875"/>
      <c r="B71" s="509" t="s">
        <v>1660</v>
      </c>
      <c r="C71" s="701" t="s">
        <v>1167</v>
      </c>
      <c r="D71" s="3">
        <v>-427.53433999999999</v>
      </c>
      <c r="E71" s="3">
        <v>-722.69736</v>
      </c>
      <c r="F71" s="3">
        <v>-1220.5219999999999</v>
      </c>
      <c r="G71" s="3">
        <v>-1392.16</v>
      </c>
      <c r="H71" s="3">
        <v>-399.34300000000002</v>
      </c>
    </row>
    <row r="72" spans="1:8">
      <c r="A72" s="875"/>
      <c r="B72" s="509" t="s">
        <v>1661</v>
      </c>
      <c r="C72" s="701" t="s">
        <v>1167</v>
      </c>
      <c r="D72" s="3"/>
      <c r="E72" s="3"/>
      <c r="F72" s="3"/>
      <c r="G72" s="3"/>
      <c r="H72" s="3"/>
    </row>
    <row r="73" spans="1:8">
      <c r="A73" s="875"/>
      <c r="B73" s="509" t="s">
        <v>1662</v>
      </c>
      <c r="C73" s="701" t="s">
        <v>1167</v>
      </c>
      <c r="D73" s="3"/>
      <c r="E73" s="3"/>
      <c r="F73" s="3"/>
      <c r="G73" s="3"/>
      <c r="H73" s="3"/>
    </row>
    <row r="74" spans="1:8">
      <c r="A74" s="875"/>
      <c r="B74" s="509" t="s">
        <v>1650</v>
      </c>
      <c r="C74" s="701" t="s">
        <v>1167</v>
      </c>
      <c r="D74" s="3"/>
      <c r="E74" s="3"/>
      <c r="F74" s="3"/>
      <c r="G74" s="3"/>
      <c r="H74" s="3"/>
    </row>
    <row r="75" spans="1:8">
      <c r="A75" s="875"/>
      <c r="B75" s="509" t="s">
        <v>1281</v>
      </c>
      <c r="C75" s="701" t="s">
        <v>1167</v>
      </c>
      <c r="D75" s="3">
        <v>4475.9522500000003</v>
      </c>
      <c r="E75" s="3">
        <v>-34484.581400000003</v>
      </c>
      <c r="F75" s="3">
        <v>-20775.115440000001</v>
      </c>
      <c r="G75" s="3">
        <v>3824.9159</v>
      </c>
      <c r="H75" s="3">
        <v>-3945.2096200000001</v>
      </c>
    </row>
    <row r="76" spans="1:8">
      <c r="A76" s="875"/>
      <c r="B76" s="509" t="s">
        <v>1280</v>
      </c>
      <c r="C76" s="701" t="s">
        <v>1167</v>
      </c>
      <c r="D76" s="3">
        <v>-86.509069999999994</v>
      </c>
      <c r="E76" s="3">
        <v>102.52471</v>
      </c>
      <c r="F76" s="3">
        <v>-1657.3596500000001</v>
      </c>
      <c r="G76" s="3">
        <v>-3638.8661400000001</v>
      </c>
      <c r="H76" s="3">
        <v>-23530.262050000001</v>
      </c>
    </row>
    <row r="77" spans="1:8">
      <c r="A77" s="875"/>
      <c r="B77" s="509" t="s">
        <v>1663</v>
      </c>
      <c r="C77" s="701" t="s">
        <v>1167</v>
      </c>
      <c r="D77" s="3"/>
      <c r="E77" s="3"/>
      <c r="F77" s="3"/>
      <c r="G77" s="3"/>
      <c r="H77" s="3"/>
    </row>
    <row r="78" spans="1:8">
      <c r="A78" s="875"/>
      <c r="B78" s="507" t="s">
        <v>1664</v>
      </c>
      <c r="C78" s="702" t="s">
        <v>1167</v>
      </c>
      <c r="D78" s="290"/>
      <c r="E78" s="290"/>
      <c r="F78" s="290"/>
      <c r="G78" s="290"/>
      <c r="H78" s="290"/>
    </row>
    <row r="79" spans="1:8">
      <c r="A79" s="875"/>
      <c r="B79" s="509" t="s">
        <v>1665</v>
      </c>
      <c r="C79" s="701" t="s">
        <v>1167</v>
      </c>
      <c r="D79" s="3">
        <v>4562.4613200000003</v>
      </c>
      <c r="E79" s="3">
        <v>-34587.106110000001</v>
      </c>
      <c r="F79" s="3">
        <v>-19117.755789999999</v>
      </c>
      <c r="G79" s="3">
        <v>7463.7820499999998</v>
      </c>
      <c r="H79" s="3">
        <v>19585.05243</v>
      </c>
    </row>
    <row r="80" spans="1:8">
      <c r="A80" s="875"/>
      <c r="B80" s="509" t="s">
        <v>1666</v>
      </c>
      <c r="C80" s="701" t="s">
        <v>1167</v>
      </c>
      <c r="D80" s="3"/>
      <c r="E80" s="3"/>
      <c r="F80" s="3"/>
      <c r="G80" s="3"/>
      <c r="H80" s="3"/>
    </row>
    <row r="81" spans="1:8">
      <c r="A81" s="875"/>
      <c r="B81" s="509" t="s">
        <v>1279</v>
      </c>
      <c r="C81" s="701" t="s">
        <v>1167</v>
      </c>
      <c r="D81" s="3">
        <v>4562.4613200000003</v>
      </c>
      <c r="E81" s="3">
        <v>-34587.106110000001</v>
      </c>
      <c r="F81" s="3">
        <v>-19117.755789999999</v>
      </c>
      <c r="G81" s="3">
        <v>7463.7820499999998</v>
      </c>
      <c r="H81" s="3">
        <v>19585.05243</v>
      </c>
    </row>
    <row r="82" spans="1:8">
      <c r="A82" s="875"/>
      <c r="B82" s="509" t="s">
        <v>1667</v>
      </c>
      <c r="C82" s="701" t="s">
        <v>1167</v>
      </c>
      <c r="D82" s="3">
        <v>23816.545389999999</v>
      </c>
      <c r="E82" s="3">
        <v>888.83356000000003</v>
      </c>
      <c r="F82" s="3">
        <v>1136.9392399999999</v>
      </c>
      <c r="G82" s="3">
        <v>-958.63208999999995</v>
      </c>
      <c r="H82" s="3">
        <v>23293.507259999998</v>
      </c>
    </row>
    <row r="83" spans="1:8">
      <c r="A83" s="875"/>
      <c r="B83" s="509" t="s">
        <v>1668</v>
      </c>
      <c r="C83" s="701" t="s">
        <v>1167</v>
      </c>
      <c r="D83" s="3">
        <v>28379.006700000002</v>
      </c>
      <c r="E83" s="3">
        <v>-33698.272550000002</v>
      </c>
      <c r="F83" s="3">
        <v>-17980.81654</v>
      </c>
      <c r="G83" s="3">
        <v>6505.14995</v>
      </c>
      <c r="H83" s="3">
        <v>42878.559690000002</v>
      </c>
    </row>
    <row r="84" spans="1:8">
      <c r="A84" s="875"/>
      <c r="B84" s="509" t="s">
        <v>1669</v>
      </c>
      <c r="C84" s="701" t="s">
        <v>1167</v>
      </c>
      <c r="D84" s="3">
        <v>4534.4426000000003</v>
      </c>
      <c r="E84" s="3">
        <v>-34575.469859999997</v>
      </c>
      <c r="F84" s="3">
        <v>-19121.57531</v>
      </c>
      <c r="G84" s="3">
        <v>7512.5533800000003</v>
      </c>
      <c r="H84" s="3">
        <v>19600.986359999999</v>
      </c>
    </row>
    <row r="85" spans="1:8">
      <c r="A85" s="875"/>
      <c r="B85" s="509" t="s">
        <v>1670</v>
      </c>
      <c r="C85" s="701" t="s">
        <v>1167</v>
      </c>
      <c r="D85" s="3">
        <v>28.018719999999998</v>
      </c>
      <c r="E85" s="3">
        <v>-11.63625</v>
      </c>
      <c r="F85" s="3">
        <v>3.8195199999999998</v>
      </c>
      <c r="G85" s="3">
        <v>-48.771320000000003</v>
      </c>
      <c r="H85" s="3">
        <v>-15.93393</v>
      </c>
    </row>
    <row r="86" spans="1:8">
      <c r="A86" s="875"/>
      <c r="B86" s="509" t="s">
        <v>1671</v>
      </c>
      <c r="C86" s="701" t="s">
        <v>1167</v>
      </c>
      <c r="D86" s="3">
        <v>28356.01153</v>
      </c>
      <c r="E86" s="3">
        <v>-33692.216009999996</v>
      </c>
      <c r="F86" s="3">
        <v>-17981.455000000002</v>
      </c>
      <c r="G86" s="3">
        <v>6551.82053</v>
      </c>
      <c r="H86" s="3">
        <v>42886.766439999999</v>
      </c>
    </row>
    <row r="87" spans="1:8">
      <c r="A87" s="875"/>
      <c r="B87" s="509" t="s">
        <v>1672</v>
      </c>
      <c r="C87" s="701" t="s">
        <v>1167</v>
      </c>
      <c r="D87" s="3">
        <v>22.995180000000001</v>
      </c>
      <c r="E87" s="3">
        <v>-6.0565300000000004</v>
      </c>
      <c r="F87" s="3">
        <v>0.63844999999999996</v>
      </c>
      <c r="G87" s="3">
        <v>-46.670569999999998</v>
      </c>
      <c r="H87" s="3">
        <v>-8.2067499999999995</v>
      </c>
    </row>
    <row r="88" spans="1:8">
      <c r="A88" s="875"/>
      <c r="B88" s="509" t="s">
        <v>1673</v>
      </c>
      <c r="C88" s="701" t="s">
        <v>1674</v>
      </c>
      <c r="D88" s="3"/>
      <c r="E88" s="3"/>
      <c r="F88" s="3"/>
      <c r="G88" s="3"/>
      <c r="H88" s="3"/>
    </row>
    <row r="89" spans="1:8">
      <c r="A89" s="875"/>
      <c r="B89" s="509" t="s">
        <v>1682</v>
      </c>
      <c r="C89" s="701" t="s">
        <v>1674</v>
      </c>
      <c r="D89" s="3"/>
      <c r="E89" s="3"/>
      <c r="F89" s="3"/>
      <c r="G89" s="3"/>
      <c r="H89" s="3"/>
    </row>
    <row r="90" spans="1:8">
      <c r="A90" s="875"/>
      <c r="B90" s="509" t="s">
        <v>1675</v>
      </c>
      <c r="C90" s="701" t="s">
        <v>1674</v>
      </c>
      <c r="D90" s="3"/>
      <c r="E90" s="3"/>
      <c r="F90" s="3"/>
      <c r="G90" s="3"/>
      <c r="H90" s="3"/>
    </row>
    <row r="91" spans="1:8">
      <c r="A91" s="875"/>
      <c r="B91" s="509" t="s">
        <v>1676</v>
      </c>
      <c r="C91" s="701" t="s">
        <v>1674</v>
      </c>
      <c r="D91" s="3"/>
      <c r="E91" s="3"/>
      <c r="F91" s="3"/>
      <c r="G91" s="3"/>
      <c r="H91" s="3"/>
    </row>
    <row r="92" spans="1:8">
      <c r="A92" s="875"/>
      <c r="B92" s="509" t="s">
        <v>1677</v>
      </c>
      <c r="C92" s="701" t="s">
        <v>1674</v>
      </c>
      <c r="D92" s="3">
        <v>174</v>
      </c>
      <c r="E92" s="3">
        <v>-1330</v>
      </c>
      <c r="F92" s="3">
        <v>-736</v>
      </c>
      <c r="G92" s="3">
        <v>267</v>
      </c>
      <c r="H92" s="3">
        <v>633</v>
      </c>
    </row>
    <row r="93" spans="1:8">
      <c r="A93" s="875"/>
      <c r="B93" s="509" t="s">
        <v>1678</v>
      </c>
      <c r="C93" s="701" t="s">
        <v>1674</v>
      </c>
      <c r="D93" s="3">
        <v>174</v>
      </c>
      <c r="E93" s="3">
        <v>-1330</v>
      </c>
      <c r="F93" s="3">
        <v>-736</v>
      </c>
      <c r="G93" s="3">
        <v>267</v>
      </c>
      <c r="H93" s="3">
        <v>633</v>
      </c>
    </row>
    <row r="94" spans="1:8">
      <c r="A94" s="875"/>
      <c r="B94" s="509" t="s">
        <v>1679</v>
      </c>
      <c r="C94" s="701" t="s">
        <v>1674</v>
      </c>
      <c r="D94" s="3"/>
      <c r="E94" s="3"/>
      <c r="F94" s="3"/>
      <c r="G94" s="3">
        <v>259</v>
      </c>
      <c r="H94" s="3"/>
    </row>
    <row r="95" spans="1:8">
      <c r="A95" s="875"/>
      <c r="B95" s="509" t="s">
        <v>1680</v>
      </c>
      <c r="C95" s="701" t="s">
        <v>1674</v>
      </c>
      <c r="D95" s="3"/>
      <c r="E95" s="3"/>
      <c r="F95" s="3"/>
      <c r="G95" s="3">
        <v>259</v>
      </c>
      <c r="H95" s="3"/>
    </row>
    <row r="96" spans="1:8">
      <c r="A96" s="877"/>
      <c r="B96" s="877"/>
      <c r="C96" s="877"/>
      <c r="D96" s="876"/>
      <c r="E96" s="876"/>
      <c r="F96" s="876"/>
      <c r="G96" s="876"/>
      <c r="H96" s="876"/>
    </row>
    <row r="97" spans="4:8">
      <c r="D97" s="878"/>
      <c r="E97" s="878"/>
      <c r="F97" s="878"/>
      <c r="G97" s="878"/>
      <c r="H97" s="878"/>
    </row>
    <row r="98" spans="4:8">
      <c r="D98" s="878"/>
      <c r="E98" s="878"/>
      <c r="F98" s="878"/>
      <c r="G98" s="878"/>
      <c r="H98" s="878"/>
    </row>
    <row r="99" spans="4:8">
      <c r="D99" s="878"/>
      <c r="E99" s="878"/>
      <c r="F99" s="878"/>
      <c r="G99" s="878"/>
      <c r="H99" s="878"/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C70D-7E53-4D73-83CB-75B50A851C35}">
  <dimension ref="A2:G51"/>
  <sheetViews>
    <sheetView showGridLines="0" topLeftCell="A10" workbookViewId="0">
      <selection activeCell="I18" sqref="I18"/>
    </sheetView>
  </sheetViews>
  <sheetFormatPr defaultRowHeight="17.399999999999999"/>
  <cols>
    <col min="1" max="1" width="3.69921875" customWidth="1"/>
    <col min="2" max="2" width="38.3984375" bestFit="1" customWidth="1"/>
    <col min="3" max="3" width="6" bestFit="1" customWidth="1"/>
    <col min="4" max="7" width="8.5" bestFit="1" customWidth="1"/>
  </cols>
  <sheetData>
    <row r="2" spans="1:7">
      <c r="A2" s="879"/>
      <c r="B2" s="764" t="s">
        <v>1207</v>
      </c>
      <c r="C2" s="764" t="s">
        <v>1206</v>
      </c>
      <c r="D2" s="764">
        <v>202112</v>
      </c>
      <c r="E2" s="764">
        <v>202212</v>
      </c>
      <c r="F2" s="764">
        <v>202312</v>
      </c>
      <c r="G2" s="764">
        <v>202412</v>
      </c>
    </row>
    <row r="3" spans="1:7">
      <c r="A3" s="879"/>
      <c r="B3" s="762"/>
      <c r="C3" s="763"/>
      <c r="D3" s="763" t="s">
        <v>1289</v>
      </c>
      <c r="E3" s="763" t="s">
        <v>1289</v>
      </c>
      <c r="F3" s="763" t="s">
        <v>1289</v>
      </c>
      <c r="G3" s="763" t="s">
        <v>1289</v>
      </c>
    </row>
    <row r="4" spans="1:7">
      <c r="A4" s="880"/>
      <c r="B4" s="875" t="s">
        <v>1598</v>
      </c>
      <c r="C4" s="875" t="s">
        <v>1167</v>
      </c>
      <c r="D4" s="876">
        <v>-17568.80978</v>
      </c>
      <c r="E4" s="876">
        <v>15242.14134</v>
      </c>
      <c r="F4" s="876">
        <v>43715.223919999997</v>
      </c>
      <c r="G4" s="876">
        <v>39963.225780000001</v>
      </c>
    </row>
    <row r="5" spans="1:7">
      <c r="A5" s="880"/>
      <c r="B5" s="875" t="s">
        <v>1599</v>
      </c>
      <c r="C5" s="875" t="s">
        <v>1167</v>
      </c>
      <c r="D5" s="876">
        <v>-34587.106</v>
      </c>
      <c r="E5" s="876">
        <v>-19117.756000000001</v>
      </c>
      <c r="F5" s="876">
        <v>7463.7820000000002</v>
      </c>
      <c r="G5" s="876">
        <v>19585.052</v>
      </c>
    </row>
    <row r="6" spans="1:7">
      <c r="A6" s="880"/>
      <c r="B6" s="875" t="s">
        <v>1600</v>
      </c>
      <c r="C6" s="875" t="s">
        <v>1167</v>
      </c>
      <c r="D6" s="876"/>
      <c r="E6" s="876"/>
      <c r="F6" s="876"/>
      <c r="G6" s="876"/>
    </row>
    <row r="7" spans="1:7">
      <c r="A7" s="880"/>
      <c r="B7" s="875" t="s">
        <v>1601</v>
      </c>
      <c r="C7" s="875" t="s">
        <v>1167</v>
      </c>
      <c r="D7" s="876">
        <v>30894.201000000001</v>
      </c>
      <c r="E7" s="876">
        <v>50215.383000000002</v>
      </c>
      <c r="F7" s="876">
        <v>35963.856</v>
      </c>
      <c r="G7" s="876">
        <v>55532.218000000001</v>
      </c>
    </row>
    <row r="8" spans="1:7">
      <c r="A8" s="880"/>
      <c r="B8" s="875" t="s">
        <v>1602</v>
      </c>
      <c r="C8" s="875" t="s">
        <v>1167</v>
      </c>
      <c r="D8" s="876">
        <v>4820.3549999999996</v>
      </c>
      <c r="E8" s="876">
        <v>12182.263000000001</v>
      </c>
      <c r="F8" s="876">
        <v>9208.0470000000005</v>
      </c>
      <c r="G8" s="876">
        <v>38283.137999999999</v>
      </c>
    </row>
    <row r="9" spans="1:7">
      <c r="A9" s="880"/>
      <c r="B9" s="875" t="s">
        <v>1603</v>
      </c>
      <c r="C9" s="875" t="s">
        <v>1167</v>
      </c>
      <c r="D9" s="876">
        <v>-1955.5340000000001</v>
      </c>
      <c r="E9" s="876">
        <v>5986.7650000000003</v>
      </c>
      <c r="F9" s="876">
        <v>19725.756000000001</v>
      </c>
      <c r="G9" s="876">
        <v>12782.714</v>
      </c>
    </row>
    <row r="10" spans="1:7">
      <c r="A10" s="880"/>
      <c r="B10" s="875" t="s">
        <v>1604</v>
      </c>
      <c r="C10" s="875" t="s">
        <v>1167</v>
      </c>
      <c r="D10" s="876">
        <v>-6141.8590000000004</v>
      </c>
      <c r="E10" s="876">
        <v>-54875.802000000003</v>
      </c>
      <c r="F10" s="876">
        <v>12993.105</v>
      </c>
      <c r="G10" s="876">
        <v>-52172.529000000002</v>
      </c>
    </row>
    <row r="11" spans="1:7">
      <c r="A11" s="880"/>
      <c r="B11" s="875" t="s">
        <v>1605</v>
      </c>
      <c r="C11" s="875" t="s">
        <v>1167</v>
      </c>
      <c r="D11" s="876">
        <v>4186.3249999999998</v>
      </c>
      <c r="E11" s="876">
        <v>60862.567000000003</v>
      </c>
      <c r="F11" s="876">
        <v>6732.6509999999998</v>
      </c>
      <c r="G11" s="876">
        <v>64955.243000000002</v>
      </c>
    </row>
    <row r="12" spans="1:7">
      <c r="A12" s="880"/>
      <c r="B12" s="875" t="s">
        <v>1606</v>
      </c>
      <c r="C12" s="875" t="s">
        <v>1167</v>
      </c>
      <c r="D12" s="876"/>
      <c r="E12" s="876"/>
      <c r="F12" s="876"/>
      <c r="G12" s="876"/>
    </row>
    <row r="13" spans="1:7">
      <c r="A13" s="880"/>
      <c r="B13" s="875" t="s">
        <v>1607</v>
      </c>
      <c r="C13" s="875" t="s">
        <v>1167</v>
      </c>
      <c r="D13" s="876"/>
      <c r="E13" s="876"/>
      <c r="F13" s="876"/>
      <c r="G13" s="876"/>
    </row>
    <row r="14" spans="1:7">
      <c r="A14" s="880"/>
      <c r="B14" s="875" t="s">
        <v>1608</v>
      </c>
      <c r="C14" s="875" t="s">
        <v>1167</v>
      </c>
      <c r="D14" s="876">
        <v>-10468.794</v>
      </c>
      <c r="E14" s="876">
        <v>24902.129000000001</v>
      </c>
      <c r="F14" s="876">
        <v>53945.347000000002</v>
      </c>
      <c r="G14" s="876">
        <v>49616.845999999998</v>
      </c>
    </row>
    <row r="15" spans="1:7">
      <c r="A15" s="880"/>
      <c r="B15" s="875" t="s">
        <v>1609</v>
      </c>
      <c r="C15" s="875" t="s">
        <v>1167</v>
      </c>
      <c r="D15" s="876">
        <v>85.008369999999999</v>
      </c>
      <c r="E15" s="876">
        <v>321.99916000000002</v>
      </c>
      <c r="F15" s="876">
        <v>669.26387999999997</v>
      </c>
      <c r="G15" s="876">
        <v>1156.55935</v>
      </c>
    </row>
    <row r="16" spans="1:7">
      <c r="A16" s="880"/>
      <c r="B16" s="875" t="s">
        <v>1610</v>
      </c>
      <c r="C16" s="875" t="s">
        <v>1167</v>
      </c>
      <c r="D16" s="876">
        <v>-7351.3714200000004</v>
      </c>
      <c r="E16" s="876">
        <v>-9250.4552700000004</v>
      </c>
      <c r="F16" s="876">
        <v>-10963.882379999999</v>
      </c>
      <c r="G16" s="876">
        <v>-10504.96925</v>
      </c>
    </row>
    <row r="17" spans="1:7">
      <c r="A17" s="880"/>
      <c r="B17" s="875" t="s">
        <v>1611</v>
      </c>
      <c r="C17" s="875" t="s">
        <v>1167</v>
      </c>
      <c r="D17" s="876">
        <v>131.44499999999999</v>
      </c>
      <c r="E17" s="876">
        <v>92.436000000000007</v>
      </c>
      <c r="F17" s="876">
        <v>242.70500000000001</v>
      </c>
      <c r="G17" s="876">
        <v>190.5745</v>
      </c>
    </row>
    <row r="18" spans="1:7">
      <c r="A18" s="880"/>
      <c r="B18" s="875" t="s">
        <v>1612</v>
      </c>
      <c r="C18" s="875" t="s">
        <v>1167</v>
      </c>
      <c r="D18" s="876"/>
      <c r="E18" s="876"/>
      <c r="F18" s="876"/>
      <c r="G18" s="876"/>
    </row>
    <row r="19" spans="1:7">
      <c r="A19" s="880"/>
      <c r="B19" s="875" t="s">
        <v>1613</v>
      </c>
      <c r="C19" s="875" t="s">
        <v>1167</v>
      </c>
      <c r="D19" s="876">
        <v>34.902470000000001</v>
      </c>
      <c r="E19" s="876"/>
      <c r="F19" s="876"/>
      <c r="G19" s="876"/>
    </row>
    <row r="20" spans="1:7">
      <c r="A20" s="880"/>
      <c r="B20" s="875" t="s">
        <v>1614</v>
      </c>
      <c r="C20" s="875" t="s">
        <v>1167</v>
      </c>
      <c r="D20" s="876"/>
      <c r="E20" s="876">
        <v>-823.96756000000005</v>
      </c>
      <c r="F20" s="876">
        <v>-178.20948000000001</v>
      </c>
      <c r="G20" s="876">
        <v>-495.78652</v>
      </c>
    </row>
    <row r="21" spans="1:7">
      <c r="A21" s="880"/>
      <c r="B21" s="875" t="s">
        <v>1615</v>
      </c>
      <c r="C21" s="875" t="s">
        <v>1167</v>
      </c>
      <c r="D21" s="876"/>
      <c r="E21" s="876"/>
      <c r="F21" s="876"/>
      <c r="G21" s="876"/>
    </row>
    <row r="22" spans="1:7">
      <c r="A22" s="880"/>
      <c r="B22" s="875" t="s">
        <v>1616</v>
      </c>
      <c r="C22" s="875" t="s">
        <v>1167</v>
      </c>
      <c r="D22" s="876">
        <v>-6620.8771500000003</v>
      </c>
      <c r="E22" s="876">
        <v>-25183.734639999999</v>
      </c>
      <c r="F22" s="876">
        <v>-15002.307339999999</v>
      </c>
      <c r="G22" s="876">
        <v>-211.58982</v>
      </c>
    </row>
    <row r="23" spans="1:7">
      <c r="A23" s="880"/>
      <c r="B23" s="875" t="s">
        <v>1617</v>
      </c>
      <c r="C23" s="875" t="s">
        <v>1167</v>
      </c>
      <c r="D23" s="876">
        <v>1274.9518800000001</v>
      </c>
      <c r="E23" s="876">
        <v>24119.84908</v>
      </c>
      <c r="F23" s="876">
        <v>4678.3641699999998</v>
      </c>
      <c r="G23" s="876">
        <v>9966.11816</v>
      </c>
    </row>
    <row r="24" spans="1:7">
      <c r="A24" s="880"/>
      <c r="B24" s="875" t="s">
        <v>1618</v>
      </c>
      <c r="C24" s="875" t="s">
        <v>1167</v>
      </c>
      <c r="D24" s="876">
        <v>7895.8290399999996</v>
      </c>
      <c r="E24" s="876">
        <v>49303.583720000002</v>
      </c>
      <c r="F24" s="876">
        <v>19680.67151</v>
      </c>
      <c r="G24" s="876">
        <v>10177.707990000001</v>
      </c>
    </row>
    <row r="25" spans="1:7">
      <c r="A25" s="880"/>
      <c r="B25" s="875" t="s">
        <v>1609</v>
      </c>
      <c r="C25" s="875" t="s">
        <v>1167</v>
      </c>
      <c r="D25" s="876"/>
      <c r="E25" s="876"/>
      <c r="F25" s="876"/>
      <c r="G25" s="876"/>
    </row>
    <row r="26" spans="1:7">
      <c r="A26" s="880"/>
      <c r="B26" s="875" t="s">
        <v>1610</v>
      </c>
      <c r="C26" s="875" t="s">
        <v>1167</v>
      </c>
      <c r="D26" s="876"/>
      <c r="E26" s="876"/>
      <c r="F26" s="876"/>
      <c r="G26" s="876"/>
    </row>
    <row r="27" spans="1:7">
      <c r="A27" s="880"/>
      <c r="B27" s="875" t="s">
        <v>1611</v>
      </c>
      <c r="C27" s="875" t="s">
        <v>1167</v>
      </c>
      <c r="D27" s="876"/>
      <c r="E27" s="876"/>
      <c r="F27" s="876"/>
      <c r="G27" s="876"/>
    </row>
    <row r="28" spans="1:7">
      <c r="A28" s="880"/>
      <c r="B28" s="875" t="s">
        <v>1612</v>
      </c>
      <c r="C28" s="875" t="s">
        <v>1167</v>
      </c>
      <c r="D28" s="876"/>
      <c r="E28" s="876"/>
      <c r="F28" s="876"/>
      <c r="G28" s="876"/>
    </row>
    <row r="29" spans="1:7">
      <c r="A29" s="880"/>
      <c r="B29" s="875" t="s">
        <v>1613</v>
      </c>
      <c r="C29" s="875" t="s">
        <v>1167</v>
      </c>
      <c r="D29" s="876"/>
      <c r="E29" s="876"/>
      <c r="F29" s="876"/>
      <c r="G29" s="876"/>
    </row>
    <row r="30" spans="1:7">
      <c r="A30" s="880"/>
      <c r="B30" s="875" t="s">
        <v>1614</v>
      </c>
      <c r="C30" s="875" t="s">
        <v>1167</v>
      </c>
      <c r="D30" s="876"/>
      <c r="E30" s="876"/>
      <c r="F30" s="876"/>
      <c r="G30" s="876"/>
    </row>
    <row r="31" spans="1:7">
      <c r="A31" s="880"/>
      <c r="B31" s="875" t="s">
        <v>1615</v>
      </c>
      <c r="C31" s="875" t="s">
        <v>1167</v>
      </c>
      <c r="D31" s="876"/>
      <c r="E31" s="876"/>
      <c r="F31" s="876"/>
      <c r="G31" s="876"/>
    </row>
    <row r="32" spans="1:7">
      <c r="A32" s="880"/>
      <c r="B32" s="875" t="s">
        <v>1619</v>
      </c>
      <c r="C32" s="875" t="s">
        <v>1167</v>
      </c>
      <c r="D32" s="876">
        <v>12965.62905</v>
      </c>
      <c r="E32" s="876">
        <v>22542.513920000001</v>
      </c>
      <c r="F32" s="876">
        <v>-38695.886579999999</v>
      </c>
      <c r="G32" s="876">
        <v>-36617.071049999999</v>
      </c>
    </row>
    <row r="33" spans="1:7">
      <c r="A33" s="880"/>
      <c r="B33" s="875" t="s">
        <v>1620</v>
      </c>
      <c r="C33" s="875" t="s">
        <v>1167</v>
      </c>
      <c r="D33" s="876">
        <v>53819.651030000001</v>
      </c>
      <c r="E33" s="876">
        <v>164059.94016999999</v>
      </c>
      <c r="F33" s="876">
        <v>125512.71137</v>
      </c>
      <c r="G33" s="876">
        <v>184674.30645999999</v>
      </c>
    </row>
    <row r="34" spans="1:7">
      <c r="A34" s="880"/>
      <c r="B34" s="875" t="s">
        <v>1621</v>
      </c>
      <c r="C34" s="875" t="s">
        <v>1167</v>
      </c>
      <c r="D34" s="876">
        <v>40854.021970000002</v>
      </c>
      <c r="E34" s="876">
        <v>141517.42624999999</v>
      </c>
      <c r="F34" s="876">
        <v>164208.59796000001</v>
      </c>
      <c r="G34" s="876">
        <v>221291.37752000001</v>
      </c>
    </row>
    <row r="35" spans="1:7">
      <c r="A35" s="880"/>
      <c r="B35" s="875" t="s">
        <v>1609</v>
      </c>
      <c r="C35" s="875" t="s">
        <v>1167</v>
      </c>
      <c r="D35" s="876"/>
      <c r="E35" s="876"/>
      <c r="F35" s="876"/>
      <c r="G35" s="876"/>
    </row>
    <row r="36" spans="1:7">
      <c r="A36" s="880"/>
      <c r="B36" s="875" t="s">
        <v>1610</v>
      </c>
      <c r="C36" s="875" t="s">
        <v>1167</v>
      </c>
      <c r="D36" s="876"/>
      <c r="E36" s="876"/>
      <c r="F36" s="876"/>
      <c r="G36" s="876"/>
    </row>
    <row r="37" spans="1:7">
      <c r="A37" s="880"/>
      <c r="B37" s="875" t="s">
        <v>1611</v>
      </c>
      <c r="C37" s="875" t="s">
        <v>1167</v>
      </c>
      <c r="D37" s="876"/>
      <c r="E37" s="876"/>
      <c r="F37" s="876"/>
      <c r="G37" s="876"/>
    </row>
    <row r="38" spans="1:7">
      <c r="A38" s="880"/>
      <c r="B38" s="875" t="s">
        <v>1612</v>
      </c>
      <c r="C38" s="875" t="s">
        <v>1167</v>
      </c>
      <c r="D38" s="876"/>
      <c r="E38" s="876"/>
      <c r="F38" s="876"/>
      <c r="G38" s="876"/>
    </row>
    <row r="39" spans="1:7">
      <c r="A39" s="880"/>
      <c r="B39" s="875" t="s">
        <v>1613</v>
      </c>
      <c r="C39" s="875" t="s">
        <v>1167</v>
      </c>
      <c r="D39" s="876"/>
      <c r="E39" s="876"/>
      <c r="F39" s="876"/>
      <c r="G39" s="876"/>
    </row>
    <row r="40" spans="1:7">
      <c r="A40" s="880"/>
      <c r="B40" s="875" t="s">
        <v>1614</v>
      </c>
      <c r="C40" s="875" t="s">
        <v>1167</v>
      </c>
      <c r="D40" s="876"/>
      <c r="E40" s="876"/>
      <c r="F40" s="876"/>
      <c r="G40" s="876"/>
    </row>
    <row r="41" spans="1:7">
      <c r="A41" s="880"/>
      <c r="B41" s="875" t="s">
        <v>1615</v>
      </c>
      <c r="C41" s="875" t="s">
        <v>1167</v>
      </c>
      <c r="D41" s="876"/>
      <c r="E41" s="876"/>
      <c r="F41" s="876"/>
      <c r="G41" s="876"/>
    </row>
    <row r="42" spans="1:7">
      <c r="A42" s="880"/>
      <c r="B42" s="875" t="s">
        <v>1622</v>
      </c>
      <c r="C42" s="875" t="s">
        <v>1167</v>
      </c>
      <c r="D42" s="876"/>
      <c r="E42" s="876"/>
      <c r="F42" s="876"/>
      <c r="G42" s="876"/>
    </row>
    <row r="43" spans="1:7">
      <c r="A43" s="880"/>
      <c r="B43" s="875" t="s">
        <v>1623</v>
      </c>
      <c r="C43" s="875" t="s">
        <v>1167</v>
      </c>
      <c r="D43" s="876"/>
      <c r="E43" s="876"/>
      <c r="F43" s="876"/>
      <c r="G43" s="876"/>
    </row>
    <row r="44" spans="1:7">
      <c r="A44" s="880"/>
      <c r="B44" s="875" t="s">
        <v>1481</v>
      </c>
      <c r="C44" s="875" t="s">
        <v>1167</v>
      </c>
      <c r="D44" s="876">
        <v>242.75837999999999</v>
      </c>
      <c r="E44" s="876">
        <v>-22.580749999999998</v>
      </c>
      <c r="F44" s="876">
        <v>252.20138</v>
      </c>
      <c r="G44" s="876">
        <v>600.72107000000005</v>
      </c>
    </row>
    <row r="45" spans="1:7">
      <c r="A45" s="880"/>
      <c r="B45" s="875" t="s">
        <v>1624</v>
      </c>
      <c r="C45" s="875" t="s">
        <v>1167</v>
      </c>
      <c r="D45" s="876">
        <v>-10981.299499999999</v>
      </c>
      <c r="E45" s="876">
        <v>12578.33987</v>
      </c>
      <c r="F45" s="876">
        <v>-9730.7686200000007</v>
      </c>
      <c r="G45" s="876">
        <v>3735.2859800000001</v>
      </c>
    </row>
    <row r="46" spans="1:7">
      <c r="A46" s="880"/>
      <c r="B46" s="875" t="s">
        <v>1625</v>
      </c>
      <c r="C46" s="875" t="s">
        <v>1167</v>
      </c>
      <c r="D46" s="876">
        <v>22006.194060000002</v>
      </c>
      <c r="E46" s="876">
        <v>11024.894560000001</v>
      </c>
      <c r="F46" s="876">
        <v>23603.23443</v>
      </c>
      <c r="G46" s="876">
        <v>13872.46581</v>
      </c>
    </row>
    <row r="47" spans="1:7">
      <c r="A47" s="880"/>
      <c r="B47" s="875" t="s">
        <v>1626</v>
      </c>
      <c r="C47" s="875" t="s">
        <v>1167</v>
      </c>
      <c r="D47" s="876">
        <v>11024.894560000001</v>
      </c>
      <c r="E47" s="876">
        <v>23603.23443</v>
      </c>
      <c r="F47" s="876">
        <v>13872.46581</v>
      </c>
      <c r="G47" s="876">
        <v>17607.751779999999</v>
      </c>
    </row>
    <row r="48" spans="1:7">
      <c r="A48" s="877"/>
      <c r="B48" s="877"/>
      <c r="C48" s="877"/>
      <c r="D48" s="876"/>
      <c r="E48" s="876"/>
      <c r="F48" s="876"/>
      <c r="G48" s="876"/>
    </row>
    <row r="49" spans="4:7">
      <c r="D49" s="878"/>
      <c r="E49" s="878"/>
      <c r="F49" s="878"/>
      <c r="G49" s="878"/>
    </row>
    <row r="50" spans="4:7">
      <c r="D50" s="878"/>
      <c r="E50" s="878"/>
      <c r="F50" s="878"/>
      <c r="G50" s="878"/>
    </row>
    <row r="51" spans="4:7">
      <c r="D51" s="878"/>
      <c r="E51" s="878"/>
      <c r="F51" s="878"/>
      <c r="G51" s="878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AF09-CED3-4BD5-90A0-15B92651F2DF}">
  <dimension ref="A1:S38"/>
  <sheetViews>
    <sheetView zoomScale="75" zoomScaleNormal="85" workbookViewId="0">
      <selection activeCell="V6" sqref="V6"/>
    </sheetView>
  </sheetViews>
  <sheetFormatPr defaultRowHeight="17.399999999999999"/>
  <cols>
    <col min="1" max="1" width="3.8984375" customWidth="1"/>
    <col min="4" max="4" width="19.3984375" bestFit="1" customWidth="1"/>
    <col min="5" max="5" width="25.5" bestFit="1" customWidth="1"/>
    <col min="7" max="7" width="9.8984375" bestFit="1" customWidth="1"/>
  </cols>
  <sheetData>
    <row r="1" spans="1:17" s="113" customFormat="1"/>
    <row r="2" spans="1:17" s="113" customFormat="1">
      <c r="B2" s="117" t="s">
        <v>672</v>
      </c>
    </row>
    <row r="3" spans="1:17" s="113" customFormat="1" ht="52.2">
      <c r="A3" s="117" t="s">
        <v>671</v>
      </c>
      <c r="B3" s="115" t="s">
        <v>670</v>
      </c>
      <c r="C3" s="115" t="s">
        <v>669</v>
      </c>
      <c r="D3" s="115" t="s">
        <v>668</v>
      </c>
      <c r="E3" s="115" t="s">
        <v>667</v>
      </c>
      <c r="F3" s="115" t="s">
        <v>666</v>
      </c>
      <c r="G3" s="116" t="s">
        <v>665</v>
      </c>
      <c r="H3" s="116" t="s">
        <v>664</v>
      </c>
      <c r="I3" s="116" t="s">
        <v>663</v>
      </c>
      <c r="J3" s="116" t="s">
        <v>662</v>
      </c>
      <c r="K3" s="114" t="s">
        <v>661</v>
      </c>
      <c r="L3" s="114" t="s">
        <v>660</v>
      </c>
      <c r="M3" s="114"/>
      <c r="N3" s="114" t="s">
        <v>659</v>
      </c>
      <c r="O3" s="115"/>
      <c r="P3" s="114" t="s">
        <v>658</v>
      </c>
    </row>
    <row r="4" spans="1:17">
      <c r="A4">
        <v>1</v>
      </c>
      <c r="B4" s="1076" t="s">
        <v>657</v>
      </c>
      <c r="C4" s="1079" t="s">
        <v>656</v>
      </c>
      <c r="D4" t="s">
        <v>574</v>
      </c>
      <c r="E4" t="s">
        <v>655</v>
      </c>
      <c r="F4" s="110">
        <v>1400</v>
      </c>
      <c r="G4" t="s">
        <v>652</v>
      </c>
      <c r="H4" t="s">
        <v>651</v>
      </c>
      <c r="I4" t="s">
        <v>650</v>
      </c>
      <c r="J4" s="112" t="s">
        <v>654</v>
      </c>
      <c r="K4" t="s">
        <v>563</v>
      </c>
      <c r="Q4" s="94"/>
    </row>
    <row r="5" spans="1:17">
      <c r="A5">
        <v>2</v>
      </c>
      <c r="B5" s="1076"/>
      <c r="C5" s="1079"/>
      <c r="D5" t="s">
        <v>574</v>
      </c>
      <c r="E5" t="s">
        <v>653</v>
      </c>
      <c r="F5" s="110">
        <v>1400</v>
      </c>
      <c r="G5" t="s">
        <v>652</v>
      </c>
      <c r="H5" t="s">
        <v>651</v>
      </c>
      <c r="I5" t="s">
        <v>650</v>
      </c>
      <c r="J5" t="s">
        <v>649</v>
      </c>
      <c r="K5" t="s">
        <v>648</v>
      </c>
      <c r="Q5" s="94"/>
    </row>
    <row r="6" spans="1:17">
      <c r="A6">
        <v>3</v>
      </c>
      <c r="B6" s="1076"/>
      <c r="C6" s="1079"/>
      <c r="D6" t="s">
        <v>574</v>
      </c>
      <c r="E6" s="51" t="s">
        <v>647</v>
      </c>
      <c r="F6" s="110">
        <v>1400</v>
      </c>
      <c r="G6" t="s">
        <v>644</v>
      </c>
      <c r="H6" t="s">
        <v>643</v>
      </c>
      <c r="I6" t="s">
        <v>620</v>
      </c>
      <c r="J6" t="s">
        <v>642</v>
      </c>
      <c r="K6" t="s">
        <v>646</v>
      </c>
      <c r="Q6" s="94"/>
    </row>
    <row r="7" spans="1:17">
      <c r="A7">
        <v>4</v>
      </c>
      <c r="B7" s="1076"/>
      <c r="C7" s="1080"/>
      <c r="D7" s="98" t="s">
        <v>574</v>
      </c>
      <c r="E7" s="111" t="s">
        <v>645</v>
      </c>
      <c r="F7" s="103">
        <v>1400</v>
      </c>
      <c r="G7" s="98" t="s">
        <v>644</v>
      </c>
      <c r="H7" s="98" t="s">
        <v>643</v>
      </c>
      <c r="I7" s="98" t="s">
        <v>620</v>
      </c>
      <c r="J7" s="98" t="s">
        <v>642</v>
      </c>
      <c r="K7" s="98" t="s">
        <v>641</v>
      </c>
      <c r="M7" s="98"/>
      <c r="N7" s="98"/>
      <c r="O7" s="98"/>
      <c r="P7" s="98"/>
      <c r="Q7" s="97"/>
    </row>
    <row r="8" spans="1:17">
      <c r="A8">
        <v>5</v>
      </c>
      <c r="B8" s="1076"/>
      <c r="C8" s="1081" t="s">
        <v>605</v>
      </c>
      <c r="D8" s="101" t="s">
        <v>593</v>
      </c>
      <c r="E8" s="101" t="s">
        <v>640</v>
      </c>
      <c r="F8" s="101">
        <v>500</v>
      </c>
      <c r="G8" s="101" t="s">
        <v>545</v>
      </c>
      <c r="H8" s="101" t="s">
        <v>636</v>
      </c>
      <c r="I8" s="101" t="s">
        <v>603</v>
      </c>
      <c r="J8" s="101" t="s">
        <v>639</v>
      </c>
      <c r="K8" s="101" t="s">
        <v>623</v>
      </c>
      <c r="L8" s="101" t="s">
        <v>638</v>
      </c>
      <c r="M8" s="101"/>
      <c r="N8" s="101"/>
      <c r="O8" s="101"/>
      <c r="P8" s="101"/>
      <c r="Q8" s="100"/>
    </row>
    <row r="9" spans="1:17">
      <c r="A9">
        <v>6</v>
      </c>
      <c r="B9" s="1076"/>
      <c r="C9" s="1079"/>
      <c r="D9" t="s">
        <v>593</v>
      </c>
      <c r="E9" t="s">
        <v>637</v>
      </c>
      <c r="F9">
        <v>561</v>
      </c>
      <c r="G9" t="s">
        <v>545</v>
      </c>
      <c r="H9" t="s">
        <v>636</v>
      </c>
      <c r="I9" t="s">
        <v>635</v>
      </c>
      <c r="J9" t="s">
        <v>29</v>
      </c>
      <c r="K9" t="s">
        <v>634</v>
      </c>
      <c r="L9" t="s">
        <v>29</v>
      </c>
      <c r="Q9" s="94"/>
    </row>
    <row r="10" spans="1:17">
      <c r="A10">
        <v>7</v>
      </c>
      <c r="B10" s="1076"/>
      <c r="C10" s="1079"/>
      <c r="D10" t="s">
        <v>598</v>
      </c>
      <c r="E10" t="s">
        <v>633</v>
      </c>
      <c r="F10">
        <v>500</v>
      </c>
      <c r="G10" t="s">
        <v>545</v>
      </c>
      <c r="H10" t="s">
        <v>627</v>
      </c>
      <c r="I10" t="s">
        <v>603</v>
      </c>
      <c r="J10" t="s">
        <v>609</v>
      </c>
      <c r="K10" t="s">
        <v>586</v>
      </c>
      <c r="Q10" s="94"/>
    </row>
    <row r="11" spans="1:17">
      <c r="A11">
        <v>8</v>
      </c>
      <c r="B11" s="1076"/>
      <c r="C11" s="1079"/>
      <c r="D11" t="s">
        <v>598</v>
      </c>
      <c r="E11" t="s">
        <v>632</v>
      </c>
      <c r="F11">
        <v>500</v>
      </c>
      <c r="G11" t="s">
        <v>545</v>
      </c>
      <c r="H11" t="s">
        <v>603</v>
      </c>
      <c r="I11" t="s">
        <v>615</v>
      </c>
      <c r="J11" t="s">
        <v>631</v>
      </c>
      <c r="K11" t="s">
        <v>618</v>
      </c>
      <c r="Q11" s="94"/>
    </row>
    <row r="12" spans="1:17">
      <c r="A12">
        <v>9</v>
      </c>
      <c r="B12" s="1076"/>
      <c r="C12" s="1079"/>
      <c r="D12" t="s">
        <v>629</v>
      </c>
      <c r="E12" s="51" t="s">
        <v>630</v>
      </c>
      <c r="F12">
        <v>500</v>
      </c>
      <c r="G12" t="s">
        <v>545</v>
      </c>
      <c r="H12" t="s">
        <v>627</v>
      </c>
      <c r="I12" t="s">
        <v>624</v>
      </c>
      <c r="J12" t="s">
        <v>29</v>
      </c>
      <c r="K12" t="s">
        <v>586</v>
      </c>
      <c r="Q12" s="94"/>
    </row>
    <row r="13" spans="1:17">
      <c r="A13">
        <v>10</v>
      </c>
      <c r="B13" s="1076"/>
      <c r="C13" s="1079"/>
      <c r="D13" t="s">
        <v>629</v>
      </c>
      <c r="E13" s="51" t="s">
        <v>628</v>
      </c>
      <c r="F13">
        <v>500</v>
      </c>
      <c r="G13" t="s">
        <v>545</v>
      </c>
      <c r="H13" t="s">
        <v>627</v>
      </c>
      <c r="I13" t="s">
        <v>624</v>
      </c>
      <c r="J13" t="s">
        <v>29</v>
      </c>
      <c r="K13" t="s">
        <v>618</v>
      </c>
      <c r="Q13" s="94"/>
    </row>
    <row r="14" spans="1:17">
      <c r="A14">
        <v>11</v>
      </c>
      <c r="B14" s="1076"/>
      <c r="C14" s="1079"/>
      <c r="D14" t="s">
        <v>626</v>
      </c>
      <c r="E14" t="s">
        <v>625</v>
      </c>
      <c r="F14" s="110">
        <v>1012</v>
      </c>
      <c r="G14" t="s">
        <v>545</v>
      </c>
      <c r="H14" t="s">
        <v>532</v>
      </c>
      <c r="I14" t="s">
        <v>624</v>
      </c>
      <c r="J14" t="s">
        <v>623</v>
      </c>
      <c r="K14" t="s">
        <v>618</v>
      </c>
      <c r="Q14" s="94"/>
    </row>
    <row r="15" spans="1:17">
      <c r="A15">
        <v>12</v>
      </c>
      <c r="B15" s="1076"/>
      <c r="C15" s="1080"/>
      <c r="D15" s="98" t="s">
        <v>622</v>
      </c>
      <c r="E15" s="98" t="s">
        <v>622</v>
      </c>
      <c r="F15" s="103">
        <v>1212</v>
      </c>
      <c r="G15" s="98" t="s">
        <v>545</v>
      </c>
      <c r="H15" s="98" t="s">
        <v>621</v>
      </c>
      <c r="I15" s="98" t="s">
        <v>615</v>
      </c>
      <c r="J15" s="98" t="s">
        <v>620</v>
      </c>
      <c r="K15" s="98" t="s">
        <v>586</v>
      </c>
      <c r="L15" s="98"/>
      <c r="M15" s="98"/>
      <c r="N15" s="98"/>
      <c r="O15" s="98"/>
      <c r="P15" s="98"/>
      <c r="Q15" s="97"/>
    </row>
    <row r="16" spans="1:17">
      <c r="A16">
        <v>13</v>
      </c>
      <c r="B16" s="1076"/>
      <c r="C16" s="1081" t="s">
        <v>582</v>
      </c>
      <c r="D16" s="101" t="s">
        <v>574</v>
      </c>
      <c r="E16" s="101" t="s">
        <v>619</v>
      </c>
      <c r="F16" s="101">
        <v>500</v>
      </c>
      <c r="G16" s="101" t="s">
        <v>572</v>
      </c>
      <c r="H16" s="101" t="s">
        <v>616</v>
      </c>
      <c r="I16" s="101" t="s">
        <v>615</v>
      </c>
      <c r="J16" s="101" t="s">
        <v>29</v>
      </c>
      <c r="K16" s="101" t="s">
        <v>618</v>
      </c>
      <c r="L16" s="101"/>
      <c r="M16" s="101"/>
      <c r="N16" s="101"/>
      <c r="O16" s="101"/>
      <c r="P16" s="101"/>
      <c r="Q16" s="100"/>
    </row>
    <row r="17" spans="1:19">
      <c r="A17">
        <v>14</v>
      </c>
      <c r="B17" s="1076"/>
      <c r="C17" s="1080"/>
      <c r="D17" s="98" t="s">
        <v>574</v>
      </c>
      <c r="E17" s="98" t="s">
        <v>617</v>
      </c>
      <c r="F17" s="98">
        <v>500</v>
      </c>
      <c r="G17" s="98" t="s">
        <v>572</v>
      </c>
      <c r="H17" s="98" t="s">
        <v>616</v>
      </c>
      <c r="I17" s="98" t="s">
        <v>615</v>
      </c>
      <c r="J17" s="98" t="s">
        <v>29</v>
      </c>
      <c r="K17" s="98" t="s">
        <v>599</v>
      </c>
      <c r="L17" s="98"/>
      <c r="M17" s="98"/>
      <c r="N17" s="98"/>
      <c r="O17" s="98"/>
      <c r="P17" s="98"/>
      <c r="Q17" s="97"/>
    </row>
    <row r="18" spans="1:19">
      <c r="A18">
        <v>15</v>
      </c>
      <c r="B18" s="1076"/>
      <c r="C18" s="1081" t="s">
        <v>561</v>
      </c>
      <c r="D18" s="101" t="s">
        <v>612</v>
      </c>
      <c r="E18" s="101" t="s">
        <v>614</v>
      </c>
      <c r="F18" s="101">
        <v>498</v>
      </c>
      <c r="G18" s="101" t="s">
        <v>545</v>
      </c>
      <c r="H18" s="101" t="s">
        <v>610</v>
      </c>
      <c r="I18" s="101" t="s">
        <v>609</v>
      </c>
      <c r="J18" s="101" t="s">
        <v>608</v>
      </c>
      <c r="K18" s="101" t="s">
        <v>613</v>
      </c>
      <c r="L18" s="101"/>
      <c r="M18" s="101"/>
      <c r="N18" s="101"/>
      <c r="O18" s="101"/>
      <c r="P18" s="101"/>
      <c r="Q18" s="100"/>
    </row>
    <row r="19" spans="1:19" ht="18" thickBot="1">
      <c r="A19">
        <v>16</v>
      </c>
      <c r="B19" s="1077"/>
      <c r="C19" s="1082"/>
      <c r="D19" t="s">
        <v>612</v>
      </c>
      <c r="E19" t="s">
        <v>611</v>
      </c>
      <c r="F19">
        <v>498</v>
      </c>
      <c r="G19" t="s">
        <v>545</v>
      </c>
      <c r="H19" t="s">
        <v>610</v>
      </c>
      <c r="I19" t="s">
        <v>609</v>
      </c>
      <c r="J19" t="s">
        <v>608</v>
      </c>
      <c r="K19" t="s">
        <v>607</v>
      </c>
      <c r="Q19" s="94"/>
    </row>
    <row r="20" spans="1:19">
      <c r="A20">
        <v>17</v>
      </c>
      <c r="B20" s="1075" t="s">
        <v>606</v>
      </c>
      <c r="C20" s="1078" t="s">
        <v>605</v>
      </c>
      <c r="D20" s="109" t="s">
        <v>538</v>
      </c>
      <c r="E20" s="109" t="s">
        <v>604</v>
      </c>
      <c r="F20" s="109">
        <v>500</v>
      </c>
      <c r="G20" s="109" t="s">
        <v>545</v>
      </c>
      <c r="H20" s="107" t="s">
        <v>603</v>
      </c>
      <c r="I20" s="107" t="s">
        <v>588</v>
      </c>
      <c r="J20" s="107" t="s">
        <v>570</v>
      </c>
      <c r="K20" s="107" t="s">
        <v>599</v>
      </c>
      <c r="L20" s="107" t="s">
        <v>584</v>
      </c>
      <c r="M20" s="109">
        <v>22.04</v>
      </c>
      <c r="N20" s="107" t="s">
        <v>490</v>
      </c>
      <c r="O20" s="108">
        <v>24.07</v>
      </c>
      <c r="P20" s="107" t="s">
        <v>490</v>
      </c>
      <c r="Q20" s="106" t="s">
        <v>602</v>
      </c>
    </row>
    <row r="21" spans="1:19">
      <c r="A21">
        <v>18</v>
      </c>
      <c r="B21" s="1076"/>
      <c r="C21" s="1079"/>
      <c r="D21" t="s">
        <v>538</v>
      </c>
      <c r="E21" t="s">
        <v>601</v>
      </c>
      <c r="F21">
        <v>150</v>
      </c>
      <c r="G21" t="s">
        <v>533</v>
      </c>
      <c r="H21" s="95" t="s">
        <v>600</v>
      </c>
      <c r="I21" s="95" t="s">
        <v>29</v>
      </c>
      <c r="J21" s="95" t="s">
        <v>29</v>
      </c>
      <c r="K21" s="95" t="s">
        <v>599</v>
      </c>
      <c r="L21" s="95" t="s">
        <v>584</v>
      </c>
      <c r="M21">
        <v>24.11</v>
      </c>
      <c r="Q21" s="94"/>
    </row>
    <row r="22" spans="1:19">
      <c r="A22">
        <v>19</v>
      </c>
      <c r="B22" s="1076"/>
      <c r="C22" s="1079"/>
      <c r="D22" t="s">
        <v>598</v>
      </c>
      <c r="E22" s="96" t="s">
        <v>597</v>
      </c>
      <c r="F22">
        <v>500</v>
      </c>
      <c r="G22" t="s">
        <v>545</v>
      </c>
      <c r="H22" s="95" t="s">
        <v>595</v>
      </c>
      <c r="I22" s="95" t="s">
        <v>29</v>
      </c>
      <c r="J22" s="95" t="s">
        <v>29</v>
      </c>
      <c r="K22" s="95" t="s">
        <v>535</v>
      </c>
      <c r="L22" s="95" t="s">
        <v>584</v>
      </c>
      <c r="M22">
        <v>24.1</v>
      </c>
      <c r="N22" s="95" t="s">
        <v>490</v>
      </c>
      <c r="O22">
        <v>25.02</v>
      </c>
      <c r="Q22" s="94"/>
    </row>
    <row r="23" spans="1:19">
      <c r="A23">
        <v>20</v>
      </c>
      <c r="B23" s="1076"/>
      <c r="C23" s="1079"/>
      <c r="D23" t="s">
        <v>593</v>
      </c>
      <c r="E23" s="96" t="s">
        <v>596</v>
      </c>
      <c r="F23">
        <v>500</v>
      </c>
      <c r="G23" t="s">
        <v>545</v>
      </c>
      <c r="H23" s="95" t="s">
        <v>595</v>
      </c>
      <c r="I23" s="95" t="s">
        <v>29</v>
      </c>
      <c r="J23" s="95" t="s">
        <v>29</v>
      </c>
      <c r="K23" s="95" t="s">
        <v>594</v>
      </c>
      <c r="L23" s="95"/>
      <c r="Q23" s="94"/>
    </row>
    <row r="24" spans="1:19">
      <c r="A24">
        <v>21</v>
      </c>
      <c r="B24" s="1076"/>
      <c r="C24" s="1079"/>
      <c r="D24" t="s">
        <v>593</v>
      </c>
      <c r="E24" t="s">
        <v>592</v>
      </c>
      <c r="F24">
        <v>150</v>
      </c>
      <c r="G24" t="s">
        <v>533</v>
      </c>
      <c r="H24" s="95" t="s">
        <v>591</v>
      </c>
      <c r="I24" s="95" t="s">
        <v>29</v>
      </c>
      <c r="J24" s="95" t="s">
        <v>29</v>
      </c>
      <c r="K24" s="95" t="s">
        <v>590</v>
      </c>
      <c r="L24" s="95" t="s">
        <v>584</v>
      </c>
      <c r="M24">
        <v>24.07</v>
      </c>
      <c r="Q24" s="94"/>
      <c r="S24" s="105"/>
    </row>
    <row r="25" spans="1:19">
      <c r="A25">
        <v>22</v>
      </c>
      <c r="B25" s="1076"/>
      <c r="C25" s="1080"/>
      <c r="D25" s="98" t="s">
        <v>547</v>
      </c>
      <c r="E25" s="104" t="s">
        <v>589</v>
      </c>
      <c r="F25" s="103">
        <v>1000</v>
      </c>
      <c r="G25" s="98" t="s">
        <v>533</v>
      </c>
      <c r="H25" s="99" t="s">
        <v>588</v>
      </c>
      <c r="I25" s="99" t="s">
        <v>587</v>
      </c>
      <c r="J25" s="99" t="s">
        <v>586</v>
      </c>
      <c r="K25" s="99" t="s">
        <v>585</v>
      </c>
      <c r="L25" s="99" t="s">
        <v>584</v>
      </c>
      <c r="M25" s="98">
        <v>23.01</v>
      </c>
      <c r="N25" s="99" t="s">
        <v>490</v>
      </c>
      <c r="O25" s="98">
        <v>24.05</v>
      </c>
      <c r="P25" s="99" t="s">
        <v>583</v>
      </c>
      <c r="Q25" s="97">
        <v>24.1</v>
      </c>
    </row>
    <row r="26" spans="1:19">
      <c r="A26">
        <v>23</v>
      </c>
      <c r="B26" s="1076"/>
      <c r="C26" s="1081" t="s">
        <v>582</v>
      </c>
      <c r="D26" s="101" t="s">
        <v>574</v>
      </c>
      <c r="E26" s="101" t="s">
        <v>581</v>
      </c>
      <c r="F26" s="101">
        <v>300</v>
      </c>
      <c r="G26" s="101" t="s">
        <v>572</v>
      </c>
      <c r="H26" s="102" t="s">
        <v>571</v>
      </c>
      <c r="I26" s="102" t="s">
        <v>570</v>
      </c>
      <c r="J26" s="102" t="s">
        <v>569</v>
      </c>
      <c r="K26" s="102" t="s">
        <v>580</v>
      </c>
      <c r="L26" s="102" t="s">
        <v>579</v>
      </c>
      <c r="M26" s="101"/>
      <c r="N26" s="101"/>
      <c r="O26" s="101"/>
      <c r="P26" s="101"/>
      <c r="Q26" s="100"/>
    </row>
    <row r="27" spans="1:19">
      <c r="A27">
        <v>24</v>
      </c>
      <c r="B27" s="1076"/>
      <c r="C27" s="1079"/>
      <c r="D27" t="s">
        <v>574</v>
      </c>
      <c r="E27" t="s">
        <v>578</v>
      </c>
      <c r="F27">
        <v>300</v>
      </c>
      <c r="G27" t="s">
        <v>572</v>
      </c>
      <c r="H27" s="95" t="s">
        <v>571</v>
      </c>
      <c r="I27" s="95" t="s">
        <v>570</v>
      </c>
      <c r="J27" s="95" t="s">
        <v>569</v>
      </c>
      <c r="K27" s="95" t="s">
        <v>531</v>
      </c>
      <c r="L27" s="95"/>
      <c r="Q27" s="94"/>
    </row>
    <row r="28" spans="1:19">
      <c r="A28">
        <v>25</v>
      </c>
      <c r="B28" s="1076"/>
      <c r="C28" s="1079"/>
      <c r="D28" t="s">
        <v>574</v>
      </c>
      <c r="E28" t="s">
        <v>577</v>
      </c>
      <c r="F28">
        <v>350</v>
      </c>
      <c r="G28" t="s">
        <v>572</v>
      </c>
      <c r="H28" s="95" t="s">
        <v>571</v>
      </c>
      <c r="I28" s="95" t="s">
        <v>570</v>
      </c>
      <c r="J28" s="95" t="s">
        <v>569</v>
      </c>
      <c r="K28" s="95" t="s">
        <v>576</v>
      </c>
      <c r="L28" s="95" t="s">
        <v>575</v>
      </c>
      <c r="Q28" s="94"/>
    </row>
    <row r="29" spans="1:19">
      <c r="A29">
        <v>26</v>
      </c>
      <c r="B29" s="1076"/>
      <c r="C29" s="1079"/>
      <c r="D29" t="s">
        <v>574</v>
      </c>
      <c r="E29" t="s">
        <v>573</v>
      </c>
      <c r="F29">
        <v>350</v>
      </c>
      <c r="G29" t="s">
        <v>572</v>
      </c>
      <c r="H29" s="95" t="s">
        <v>571</v>
      </c>
      <c r="I29" s="95" t="s">
        <v>570</v>
      </c>
      <c r="J29" s="95" t="s">
        <v>569</v>
      </c>
      <c r="K29" s="95" t="s">
        <v>568</v>
      </c>
      <c r="L29" s="95"/>
      <c r="Q29" s="94"/>
    </row>
    <row r="30" spans="1:19">
      <c r="A30">
        <v>27</v>
      </c>
      <c r="B30" s="1076"/>
      <c r="C30" s="1079"/>
      <c r="D30" t="s">
        <v>538</v>
      </c>
      <c r="E30" t="s">
        <v>567</v>
      </c>
      <c r="F30">
        <v>500</v>
      </c>
      <c r="G30" t="s">
        <v>564</v>
      </c>
      <c r="H30" s="95" t="s">
        <v>563</v>
      </c>
      <c r="I30" s="95" t="s">
        <v>29</v>
      </c>
      <c r="J30" s="95" t="s">
        <v>29</v>
      </c>
      <c r="K30" s="95" t="s">
        <v>566</v>
      </c>
      <c r="L30" s="95"/>
      <c r="Q30" s="94"/>
    </row>
    <row r="31" spans="1:19">
      <c r="A31">
        <v>28</v>
      </c>
      <c r="B31" s="1076"/>
      <c r="C31" s="1080"/>
      <c r="D31" s="98" t="s">
        <v>538</v>
      </c>
      <c r="E31" s="98" t="s">
        <v>565</v>
      </c>
      <c r="F31" s="98">
        <v>500</v>
      </c>
      <c r="G31" s="98" t="s">
        <v>564</v>
      </c>
      <c r="H31" s="99" t="s">
        <v>563</v>
      </c>
      <c r="I31" s="99" t="s">
        <v>29</v>
      </c>
      <c r="J31" s="99" t="s">
        <v>29</v>
      </c>
      <c r="K31" s="99" t="s">
        <v>562</v>
      </c>
      <c r="L31" s="99"/>
      <c r="M31" s="98"/>
      <c r="N31" s="98"/>
      <c r="O31" s="98"/>
      <c r="P31" s="98"/>
      <c r="Q31" s="97"/>
    </row>
    <row r="32" spans="1:19">
      <c r="A32">
        <v>29</v>
      </c>
      <c r="B32" s="1076"/>
      <c r="C32" s="1081" t="s">
        <v>561</v>
      </c>
      <c r="D32" t="s">
        <v>560</v>
      </c>
      <c r="E32" t="s">
        <v>559</v>
      </c>
      <c r="F32">
        <v>285</v>
      </c>
      <c r="G32" t="s">
        <v>558</v>
      </c>
      <c r="H32" s="95" t="s">
        <v>557</v>
      </c>
      <c r="I32" s="95" t="s">
        <v>29</v>
      </c>
      <c r="J32" s="95" t="s">
        <v>29</v>
      </c>
      <c r="K32" s="95" t="s">
        <v>556</v>
      </c>
      <c r="L32" s="95" t="s">
        <v>555</v>
      </c>
      <c r="Q32" s="94"/>
    </row>
    <row r="33" spans="1:17">
      <c r="A33">
        <v>30</v>
      </c>
      <c r="B33" s="1076"/>
      <c r="C33" s="1079"/>
      <c r="D33" t="s">
        <v>554</v>
      </c>
      <c r="E33" s="51" t="s">
        <v>553</v>
      </c>
      <c r="F33">
        <v>141</v>
      </c>
      <c r="G33" t="s">
        <v>29</v>
      </c>
      <c r="H33" s="95" t="s">
        <v>552</v>
      </c>
      <c r="I33" s="95" t="s">
        <v>29</v>
      </c>
      <c r="J33" s="95" t="s">
        <v>29</v>
      </c>
      <c r="K33" s="95" t="s">
        <v>535</v>
      </c>
      <c r="L33" s="95" t="s">
        <v>539</v>
      </c>
      <c r="P33" t="s">
        <v>551</v>
      </c>
      <c r="Q33" s="94">
        <v>24.08</v>
      </c>
    </row>
    <row r="34" spans="1:17">
      <c r="A34">
        <v>31</v>
      </c>
      <c r="B34" s="1076"/>
      <c r="C34" s="1079"/>
      <c r="D34" t="s">
        <v>550</v>
      </c>
      <c r="E34" t="s">
        <v>549</v>
      </c>
      <c r="F34">
        <v>493.4</v>
      </c>
      <c r="G34" t="s">
        <v>545</v>
      </c>
      <c r="H34" s="95" t="s">
        <v>548</v>
      </c>
      <c r="I34" s="95" t="s">
        <v>29</v>
      </c>
      <c r="J34" s="95" t="s">
        <v>29</v>
      </c>
      <c r="K34" s="95" t="s">
        <v>531</v>
      </c>
      <c r="L34" s="95"/>
      <c r="Q34" s="94"/>
    </row>
    <row r="35" spans="1:17">
      <c r="A35">
        <v>32</v>
      </c>
      <c r="B35" s="1076"/>
      <c r="C35" s="1079"/>
      <c r="D35" t="s">
        <v>547</v>
      </c>
      <c r="E35" t="s">
        <v>546</v>
      </c>
      <c r="F35">
        <v>943</v>
      </c>
      <c r="G35" t="s">
        <v>545</v>
      </c>
      <c r="H35" s="95" t="s">
        <v>544</v>
      </c>
      <c r="I35" s="95" t="s">
        <v>543</v>
      </c>
      <c r="J35" s="95" t="s">
        <v>542</v>
      </c>
      <c r="K35" s="95" t="s">
        <v>535</v>
      </c>
      <c r="L35" s="95" t="s">
        <v>539</v>
      </c>
      <c r="Q35" s="94"/>
    </row>
    <row r="36" spans="1:17">
      <c r="A36">
        <v>33</v>
      </c>
      <c r="B36" s="1076"/>
      <c r="C36" s="1079"/>
      <c r="D36" t="s">
        <v>538</v>
      </c>
      <c r="E36" s="96" t="s">
        <v>541</v>
      </c>
      <c r="F36">
        <v>525</v>
      </c>
      <c r="G36" t="s">
        <v>29</v>
      </c>
      <c r="H36" s="95" t="s">
        <v>536</v>
      </c>
      <c r="I36" s="95" t="s">
        <v>29</v>
      </c>
      <c r="J36" s="95" t="s">
        <v>29</v>
      </c>
      <c r="K36" s="95" t="s">
        <v>540</v>
      </c>
      <c r="L36" s="95" t="s">
        <v>539</v>
      </c>
      <c r="Q36" s="94"/>
    </row>
    <row r="37" spans="1:17">
      <c r="A37">
        <v>34</v>
      </c>
      <c r="B37" s="1076"/>
      <c r="C37" s="1079"/>
      <c r="D37" t="s">
        <v>538</v>
      </c>
      <c r="E37" s="96" t="s">
        <v>537</v>
      </c>
      <c r="F37">
        <v>525</v>
      </c>
      <c r="G37" t="s">
        <v>29</v>
      </c>
      <c r="H37" s="95" t="s">
        <v>536</v>
      </c>
      <c r="I37" s="95" t="s">
        <v>29</v>
      </c>
      <c r="J37" s="95" t="s">
        <v>29</v>
      </c>
      <c r="K37" s="95" t="s">
        <v>535</v>
      </c>
      <c r="L37" s="95"/>
      <c r="Q37" s="94"/>
    </row>
    <row r="38" spans="1:17" ht="18" thickBot="1">
      <c r="A38">
        <v>35</v>
      </c>
      <c r="B38" s="1077"/>
      <c r="C38" s="1082"/>
      <c r="D38" s="92" t="s">
        <v>534</v>
      </c>
      <c r="E38" s="92" t="s">
        <v>534</v>
      </c>
      <c r="F38" s="92">
        <v>492.6</v>
      </c>
      <c r="G38" s="92" t="s">
        <v>533</v>
      </c>
      <c r="H38" s="93" t="s">
        <v>532</v>
      </c>
      <c r="I38" s="93" t="s">
        <v>29</v>
      </c>
      <c r="J38" s="93" t="s">
        <v>29</v>
      </c>
      <c r="K38" s="93" t="s">
        <v>531</v>
      </c>
      <c r="L38" s="93"/>
      <c r="M38" s="92"/>
      <c r="N38" s="92"/>
      <c r="O38" s="92"/>
      <c r="P38" s="92"/>
      <c r="Q38" s="91"/>
    </row>
  </sheetData>
  <mergeCells count="9">
    <mergeCell ref="B20:B38"/>
    <mergeCell ref="C20:C25"/>
    <mergeCell ref="C26:C31"/>
    <mergeCell ref="C32:C38"/>
    <mergeCell ref="B4:B19"/>
    <mergeCell ref="C4:C7"/>
    <mergeCell ref="C8:C15"/>
    <mergeCell ref="C16:C17"/>
    <mergeCell ref="C18:C19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AFC0-3F97-46ED-8F07-EB94988BC2B8}">
  <dimension ref="A1:T69"/>
  <sheetViews>
    <sheetView zoomScaleNormal="100" workbookViewId="0">
      <pane ySplit="1" topLeftCell="A8" activePane="bottomLeft" state="frozen"/>
      <selection activeCell="V6" sqref="V6"/>
      <selection pane="bottomLeft" activeCell="O8" sqref="O8"/>
    </sheetView>
  </sheetViews>
  <sheetFormatPr defaultRowHeight="15"/>
  <cols>
    <col min="1" max="1" width="1.69921875" style="6" customWidth="1"/>
    <col min="2" max="2" width="11.796875" style="79" bestFit="1" customWidth="1"/>
    <col min="3" max="3" width="36.5" style="79" bestFit="1" customWidth="1"/>
    <col min="4" max="4" width="10.69921875" style="79" bestFit="1" customWidth="1"/>
    <col min="5" max="5" width="11.3984375" style="121" bestFit="1" customWidth="1"/>
    <col min="6" max="6" width="8.796875" style="79"/>
    <col min="7" max="7" width="60.59765625" style="6" customWidth="1"/>
    <col min="8" max="16384" width="8.796875" style="6"/>
  </cols>
  <sheetData>
    <row r="1" spans="1:20" s="122" customFormat="1">
      <c r="A1" s="123" t="s">
        <v>423</v>
      </c>
      <c r="B1" s="126" t="s">
        <v>451</v>
      </c>
      <c r="C1" s="126" t="s">
        <v>775</v>
      </c>
      <c r="D1" s="125" t="s">
        <v>774</v>
      </c>
      <c r="E1" s="124" t="s">
        <v>773</v>
      </c>
      <c r="F1" s="125" t="s">
        <v>772</v>
      </c>
      <c r="G1" s="124" t="s">
        <v>516</v>
      </c>
    </row>
    <row r="2" spans="1:20">
      <c r="A2" s="118"/>
      <c r="B2" s="165"/>
    </row>
    <row r="3" spans="1:20">
      <c r="B3" s="79" t="s">
        <v>754</v>
      </c>
      <c r="C3" s="79" t="s">
        <v>1002</v>
      </c>
      <c r="D3" s="79">
        <v>2018</v>
      </c>
      <c r="E3" s="121">
        <v>2200</v>
      </c>
      <c r="F3" s="79" t="s">
        <v>771</v>
      </c>
      <c r="G3" s="171" t="s">
        <v>770</v>
      </c>
      <c r="I3" s="126">
        <v>2025</v>
      </c>
      <c r="J3" s="284">
        <v>2026</v>
      </c>
      <c r="K3" s="284">
        <v>2027</v>
      </c>
      <c r="L3" s="284">
        <v>2028</v>
      </c>
      <c r="M3" s="284">
        <v>2029</v>
      </c>
      <c r="N3" s="284">
        <v>2030</v>
      </c>
    </row>
    <row r="4" spans="1:20">
      <c r="B4" s="79" t="s">
        <v>754</v>
      </c>
      <c r="C4" s="79" t="s">
        <v>769</v>
      </c>
      <c r="D4" s="79" t="s">
        <v>740</v>
      </c>
      <c r="E4" s="121">
        <v>3600</v>
      </c>
      <c r="F4" s="79" t="s">
        <v>733</v>
      </c>
      <c r="G4" s="6" t="s">
        <v>768</v>
      </c>
      <c r="I4" s="58">
        <v>38158</v>
      </c>
      <c r="J4" s="58">
        <v>38158</v>
      </c>
      <c r="K4" s="58">
        <v>38158</v>
      </c>
      <c r="L4" s="58">
        <v>38158</v>
      </c>
      <c r="M4" s="58">
        <v>38158</v>
      </c>
      <c r="N4" s="58">
        <v>38158</v>
      </c>
    </row>
    <row r="5" spans="1:20">
      <c r="B5" s="79" t="s">
        <v>754</v>
      </c>
      <c r="C5" s="79" t="s">
        <v>767</v>
      </c>
      <c r="D5" s="79" t="s">
        <v>740</v>
      </c>
      <c r="E5" s="121">
        <v>3600</v>
      </c>
      <c r="F5" s="79" t="s">
        <v>733</v>
      </c>
      <c r="K5" s="58">
        <f>45358-K4</f>
        <v>7200</v>
      </c>
      <c r="L5" s="58">
        <f t="shared" ref="L5:N5" si="0">45358-L4</f>
        <v>7200</v>
      </c>
      <c r="M5" s="58">
        <f t="shared" si="0"/>
        <v>7200</v>
      </c>
      <c r="N5" s="58">
        <f t="shared" si="0"/>
        <v>7200</v>
      </c>
    </row>
    <row r="6" spans="1:20">
      <c r="B6" s="79" t="s">
        <v>754</v>
      </c>
      <c r="C6" s="79" t="s">
        <v>766</v>
      </c>
      <c r="D6" s="79" t="s">
        <v>763</v>
      </c>
      <c r="E6" s="121">
        <v>3600</v>
      </c>
      <c r="F6" s="79" t="s">
        <v>733</v>
      </c>
      <c r="G6" s="170" t="s">
        <v>765</v>
      </c>
      <c r="L6" s="58">
        <f>52558-SUM(L4:L5)</f>
        <v>7200</v>
      </c>
      <c r="M6" s="58">
        <f t="shared" ref="M6:N6" si="1">52558-SUM(M4:M5)</f>
        <v>7200</v>
      </c>
      <c r="N6" s="58">
        <f t="shared" si="1"/>
        <v>7200</v>
      </c>
    </row>
    <row r="7" spans="1:20">
      <c r="B7" s="79" t="s">
        <v>754</v>
      </c>
      <c r="C7" s="79" t="s">
        <v>764</v>
      </c>
      <c r="D7" s="79" t="s">
        <v>763</v>
      </c>
      <c r="E7" s="121">
        <v>3600</v>
      </c>
      <c r="F7" s="79" t="s">
        <v>733</v>
      </c>
      <c r="G7" s="170" t="s">
        <v>762</v>
      </c>
      <c r="N7" s="58">
        <f>64958-SUM(N4:N6)</f>
        <v>12400</v>
      </c>
      <c r="O7" s="58">
        <f>SUM(N5:N7)</f>
        <v>26800</v>
      </c>
    </row>
    <row r="8" spans="1:20">
      <c r="B8" s="79" t="s">
        <v>754</v>
      </c>
      <c r="C8" s="79" t="s">
        <v>761</v>
      </c>
      <c r="D8" s="79">
        <v>2028</v>
      </c>
      <c r="E8" s="121">
        <v>2900</v>
      </c>
      <c r="F8" s="79" t="s">
        <v>657</v>
      </c>
      <c r="N8" s="58">
        <f>SUM(N4:N7)</f>
        <v>64958</v>
      </c>
      <c r="O8" s="6">
        <f>N8/N4-1</f>
        <v>0.70234289008857909</v>
      </c>
    </row>
    <row r="9" spans="1:20">
      <c r="B9" s="79" t="s">
        <v>754</v>
      </c>
      <c r="C9" s="79" t="s">
        <v>760</v>
      </c>
      <c r="D9" s="79">
        <v>2028</v>
      </c>
      <c r="E9" s="121">
        <v>2900</v>
      </c>
      <c r="F9" s="79" t="s">
        <v>657</v>
      </c>
    </row>
    <row r="10" spans="1:20">
      <c r="B10" s="79" t="s">
        <v>754</v>
      </c>
      <c r="C10" s="79" t="s">
        <v>759</v>
      </c>
      <c r="D10" s="79">
        <v>2028</v>
      </c>
      <c r="E10" s="121">
        <v>3000</v>
      </c>
      <c r="F10" s="79" t="s">
        <v>657</v>
      </c>
    </row>
    <row r="11" spans="1:20">
      <c r="B11" s="79" t="s">
        <v>754</v>
      </c>
      <c r="C11" s="79" t="s">
        <v>758</v>
      </c>
      <c r="D11" s="79" t="s">
        <v>752</v>
      </c>
      <c r="E11" s="121">
        <v>2400</v>
      </c>
      <c r="F11" s="79" t="s">
        <v>555</v>
      </c>
      <c r="G11" s="6" t="s">
        <v>756</v>
      </c>
    </row>
    <row r="12" spans="1:20">
      <c r="B12" s="79" t="s">
        <v>754</v>
      </c>
      <c r="C12" s="79" t="s">
        <v>757</v>
      </c>
      <c r="D12" s="79" t="s">
        <v>752</v>
      </c>
      <c r="E12" s="121">
        <v>3600</v>
      </c>
      <c r="F12" s="79" t="s">
        <v>555</v>
      </c>
      <c r="G12" s="6" t="s">
        <v>756</v>
      </c>
    </row>
    <row r="13" spans="1:20">
      <c r="B13" s="79" t="s">
        <v>754</v>
      </c>
      <c r="C13" s="79" t="s">
        <v>755</v>
      </c>
      <c r="D13" s="79" t="s">
        <v>752</v>
      </c>
      <c r="E13" s="121">
        <v>2600</v>
      </c>
      <c r="F13" s="79" t="s">
        <v>751</v>
      </c>
      <c r="G13" s="6" t="s">
        <v>735</v>
      </c>
    </row>
    <row r="14" spans="1:20">
      <c r="B14" s="79" t="s">
        <v>754</v>
      </c>
      <c r="C14" s="79" t="s">
        <v>753</v>
      </c>
      <c r="D14" s="79" t="s">
        <v>752</v>
      </c>
      <c r="E14" s="121">
        <v>2600</v>
      </c>
      <c r="F14" s="79" t="s">
        <v>751</v>
      </c>
      <c r="G14" s="6" t="s">
        <v>735</v>
      </c>
    </row>
    <row r="15" spans="1:20">
      <c r="E15" s="79"/>
      <c r="G15" s="79"/>
      <c r="H15" s="126">
        <v>2023</v>
      </c>
      <c r="I15" s="126">
        <v>2024</v>
      </c>
      <c r="J15" s="126">
        <v>2025</v>
      </c>
      <c r="K15" s="126">
        <v>2026</v>
      </c>
      <c r="L15" s="126">
        <v>2027</v>
      </c>
      <c r="M15" s="126">
        <v>2028</v>
      </c>
      <c r="N15" s="126">
        <v>2029</v>
      </c>
      <c r="O15" s="126">
        <v>2030</v>
      </c>
      <c r="P15" s="126">
        <v>2031</v>
      </c>
      <c r="S15" s="171" t="s">
        <v>934</v>
      </c>
    </row>
    <row r="16" spans="1:20">
      <c r="B16" s="79" t="s">
        <v>464</v>
      </c>
      <c r="C16" s="79" t="s">
        <v>750</v>
      </c>
      <c r="D16" s="79">
        <v>2025</v>
      </c>
      <c r="E16" s="121">
        <v>900</v>
      </c>
      <c r="F16" s="79" t="s">
        <v>733</v>
      </c>
      <c r="G16" s="6" t="s">
        <v>749</v>
      </c>
      <c r="H16" s="263" t="s">
        <v>895</v>
      </c>
      <c r="I16" s="263"/>
      <c r="J16" s="263"/>
      <c r="K16" s="285"/>
      <c r="L16" s="285"/>
      <c r="M16" s="285"/>
      <c r="N16" s="285"/>
      <c r="O16" s="285"/>
      <c r="P16" s="285"/>
      <c r="R16" s="6" t="s">
        <v>935</v>
      </c>
      <c r="S16" s="296">
        <v>0.24393165436323111</v>
      </c>
      <c r="T16" s="6">
        <f>SUM(S16:S20)</f>
        <v>1</v>
      </c>
    </row>
    <row r="17" spans="2:19">
      <c r="B17" s="79" t="s">
        <v>464</v>
      </c>
      <c r="C17" s="79" t="s">
        <v>748</v>
      </c>
      <c r="D17" s="79">
        <v>2027</v>
      </c>
      <c r="E17" s="121">
        <v>1800</v>
      </c>
      <c r="F17" s="79" t="s">
        <v>747</v>
      </c>
      <c r="H17" s="286" t="s">
        <v>896</v>
      </c>
      <c r="I17" s="286"/>
      <c r="J17" s="286"/>
      <c r="K17" s="286"/>
      <c r="L17" s="286"/>
      <c r="M17" s="286" t="s">
        <v>897</v>
      </c>
      <c r="N17" s="286"/>
      <c r="O17" s="286" t="s">
        <v>898</v>
      </c>
      <c r="P17" s="286"/>
      <c r="R17" s="6" t="s">
        <v>936</v>
      </c>
      <c r="S17" s="296">
        <v>0.23260460669294006</v>
      </c>
    </row>
    <row r="18" spans="2:19">
      <c r="B18" s="79" t="s">
        <v>464</v>
      </c>
      <c r="C18" s="79" t="s">
        <v>746</v>
      </c>
      <c r="D18" s="79">
        <v>2027</v>
      </c>
      <c r="E18" s="121">
        <v>2700</v>
      </c>
      <c r="F18" s="79" t="s">
        <v>745</v>
      </c>
      <c r="G18" s="6" t="s">
        <v>744</v>
      </c>
      <c r="H18" s="287" t="s">
        <v>899</v>
      </c>
      <c r="I18" s="287"/>
      <c r="J18" s="287"/>
      <c r="K18" s="287"/>
      <c r="L18" s="287"/>
      <c r="M18" s="285"/>
      <c r="N18" s="285"/>
      <c r="O18" s="287" t="s">
        <v>900</v>
      </c>
      <c r="P18" s="287"/>
      <c r="R18" s="6" t="s">
        <v>937</v>
      </c>
      <c r="S18" s="296">
        <v>0.22694136724262182</v>
      </c>
    </row>
    <row r="19" spans="2:19">
      <c r="B19" s="79" t="s">
        <v>464</v>
      </c>
      <c r="C19" s="79" t="s">
        <v>743</v>
      </c>
      <c r="D19" s="79">
        <v>2028</v>
      </c>
      <c r="E19" s="121">
        <v>3600</v>
      </c>
      <c r="F19" s="79" t="s">
        <v>736</v>
      </c>
      <c r="H19" s="285"/>
      <c r="I19" s="285"/>
      <c r="J19" s="288" t="s">
        <v>901</v>
      </c>
      <c r="K19" s="288"/>
      <c r="L19" s="288"/>
      <c r="M19" s="288"/>
      <c r="N19" s="285"/>
      <c r="O19" s="288" t="s">
        <v>902</v>
      </c>
      <c r="P19" s="288"/>
      <c r="R19" s="6" t="s">
        <v>938</v>
      </c>
      <c r="S19" s="296">
        <v>0.15048507519987989</v>
      </c>
    </row>
    <row r="20" spans="2:19">
      <c r="R20" s="6" t="s">
        <v>903</v>
      </c>
      <c r="S20" s="296">
        <v>0.14603729650132724</v>
      </c>
    </row>
    <row r="21" spans="2:19">
      <c r="B21" s="79" t="s">
        <v>738</v>
      </c>
      <c r="C21" s="79" t="s">
        <v>742</v>
      </c>
      <c r="D21" s="79">
        <v>2029</v>
      </c>
      <c r="E21" s="121">
        <v>2400</v>
      </c>
      <c r="F21" s="79" t="s">
        <v>657</v>
      </c>
      <c r="G21" s="6" t="s">
        <v>741</v>
      </c>
    </row>
    <row r="22" spans="2:19" ht="30">
      <c r="B22" s="79" t="s">
        <v>738</v>
      </c>
      <c r="C22" s="79" t="s">
        <v>737</v>
      </c>
      <c r="D22" s="79">
        <v>2027</v>
      </c>
      <c r="E22" s="121">
        <v>304000</v>
      </c>
      <c r="F22" s="79" t="s">
        <v>733</v>
      </c>
      <c r="G22" s="170" t="s">
        <v>1003</v>
      </c>
      <c r="H22" s="6">
        <f>2/28.8</f>
        <v>6.9444444444444448E-2</v>
      </c>
      <c r="I22" s="6" t="s">
        <v>930</v>
      </c>
      <c r="J22" s="6" t="s">
        <v>931</v>
      </c>
      <c r="K22" s="6" t="s">
        <v>932</v>
      </c>
      <c r="L22" s="6" t="s">
        <v>933</v>
      </c>
    </row>
    <row r="23" spans="2:19">
      <c r="B23" s="79" t="s">
        <v>738</v>
      </c>
      <c r="C23" s="79" t="s">
        <v>739</v>
      </c>
      <c r="D23" s="79">
        <v>2028</v>
      </c>
      <c r="E23" s="121">
        <f>E22/2</f>
        <v>152000</v>
      </c>
      <c r="F23" s="79" t="s">
        <v>736</v>
      </c>
      <c r="G23" s="6" t="s">
        <v>1004</v>
      </c>
      <c r="I23" s="6">
        <v>7700</v>
      </c>
      <c r="J23" s="6">
        <v>7700</v>
      </c>
      <c r="K23" s="6">
        <v>7700</v>
      </c>
      <c r="L23" s="6">
        <v>7700</v>
      </c>
    </row>
    <row r="24" spans="2:19">
      <c r="B24" s="79" t="s">
        <v>738</v>
      </c>
      <c r="C24" s="79" t="s">
        <v>737</v>
      </c>
      <c r="D24" s="79">
        <v>2030</v>
      </c>
      <c r="E24" s="121">
        <f>E23</f>
        <v>152000</v>
      </c>
      <c r="F24" s="79" t="s">
        <v>736</v>
      </c>
      <c r="G24" s="6" t="s">
        <v>1005</v>
      </c>
      <c r="H24" s="6">
        <f>10000*1350*7%*10%</f>
        <v>94500.000000000015</v>
      </c>
      <c r="J24" s="6">
        <f>11000-I23</f>
        <v>3300</v>
      </c>
      <c r="K24" s="6">
        <f t="shared" ref="K24:L24" si="2">11000-J23</f>
        <v>3300</v>
      </c>
      <c r="L24" s="6">
        <f t="shared" si="2"/>
        <v>3300</v>
      </c>
    </row>
    <row r="25" spans="2:19">
      <c r="K25" s="6">
        <f>12600-11000</f>
        <v>1600</v>
      </c>
      <c r="L25" s="6">
        <f>12600-11000</f>
        <v>1600</v>
      </c>
    </row>
    <row r="26" spans="2:19">
      <c r="C26" s="79" t="s">
        <v>734</v>
      </c>
      <c r="D26" s="79">
        <v>2025</v>
      </c>
      <c r="E26" s="121">
        <v>620</v>
      </c>
      <c r="F26" s="79" t="s">
        <v>733</v>
      </c>
      <c r="G26" s="6" t="s">
        <v>732</v>
      </c>
      <c r="L26" s="6">
        <f>14200-12600</f>
        <v>1600</v>
      </c>
    </row>
    <row r="27" spans="2:19">
      <c r="B27" s="79" t="s">
        <v>428</v>
      </c>
      <c r="C27" s="79" t="s">
        <v>731</v>
      </c>
      <c r="D27" s="79" t="s">
        <v>730</v>
      </c>
      <c r="E27" s="121">
        <v>1320</v>
      </c>
      <c r="F27" s="79" t="s">
        <v>727</v>
      </c>
      <c r="G27" s="6" t="s">
        <v>729</v>
      </c>
    </row>
    <row r="28" spans="2:19">
      <c r="B28" s="79" t="s">
        <v>428</v>
      </c>
      <c r="C28" s="79" t="s">
        <v>728</v>
      </c>
      <c r="D28" s="79">
        <v>2031</v>
      </c>
      <c r="E28" s="121">
        <v>570</v>
      </c>
      <c r="F28" s="79" t="s">
        <v>727</v>
      </c>
      <c r="G28" s="6" t="s">
        <v>726</v>
      </c>
    </row>
    <row r="29" spans="2:19">
      <c r="B29" s="79" t="s">
        <v>428</v>
      </c>
      <c r="C29" s="79" t="s">
        <v>725</v>
      </c>
      <c r="E29" s="121">
        <v>1950</v>
      </c>
      <c r="F29" s="79" t="s">
        <v>724</v>
      </c>
      <c r="G29" s="6" t="s">
        <v>723</v>
      </c>
    </row>
    <row r="30" spans="2:19">
      <c r="B30" s="79" t="s">
        <v>428</v>
      </c>
      <c r="C30" s="79" t="s">
        <v>722</v>
      </c>
      <c r="D30" s="79">
        <v>2023</v>
      </c>
      <c r="E30" s="121">
        <v>1950</v>
      </c>
      <c r="F30" s="79" t="s">
        <v>718</v>
      </c>
      <c r="G30" s="6" t="s">
        <v>721</v>
      </c>
    </row>
    <row r="31" spans="2:19">
      <c r="B31" s="79" t="s">
        <v>428</v>
      </c>
      <c r="C31" s="79" t="s">
        <v>720</v>
      </c>
      <c r="D31" s="79" t="s">
        <v>719</v>
      </c>
      <c r="E31" s="121">
        <v>2340</v>
      </c>
      <c r="F31" s="79" t="s">
        <v>718</v>
      </c>
      <c r="G31" s="6" t="s">
        <v>717</v>
      </c>
    </row>
    <row r="32" spans="2:19">
      <c r="B32" s="79" t="s">
        <v>428</v>
      </c>
      <c r="C32" s="79" t="s">
        <v>716</v>
      </c>
      <c r="D32" s="79">
        <v>2031</v>
      </c>
      <c r="E32" s="121">
        <v>600</v>
      </c>
      <c r="F32" s="79" t="s">
        <v>715</v>
      </c>
    </row>
    <row r="33" spans="2:7">
      <c r="B33" s="79" t="s">
        <v>428</v>
      </c>
      <c r="C33" s="79" t="s">
        <v>714</v>
      </c>
      <c r="D33" s="79">
        <v>2032</v>
      </c>
      <c r="E33" s="121">
        <v>2600</v>
      </c>
      <c r="F33" s="79" t="s">
        <v>713</v>
      </c>
      <c r="G33" s="6" t="s">
        <v>712</v>
      </c>
    </row>
    <row r="34" spans="2:7">
      <c r="B34" s="79" t="s">
        <v>428</v>
      </c>
      <c r="C34" s="79" t="s">
        <v>711</v>
      </c>
      <c r="D34" s="79" t="s">
        <v>710</v>
      </c>
      <c r="E34" s="121">
        <v>600</v>
      </c>
      <c r="F34" s="79" t="s">
        <v>709</v>
      </c>
    </row>
    <row r="35" spans="2:7">
      <c r="C35" s="79" t="s">
        <v>708</v>
      </c>
      <c r="D35" s="79" t="s">
        <v>707</v>
      </c>
      <c r="E35" s="121">
        <v>9300</v>
      </c>
      <c r="G35" s="170" t="s">
        <v>706</v>
      </c>
    </row>
    <row r="60" spans="2:7">
      <c r="B60" s="79" t="s">
        <v>450</v>
      </c>
      <c r="C60" s="79" t="s">
        <v>907</v>
      </c>
      <c r="D60" s="79">
        <v>2027</v>
      </c>
      <c r="E60" s="121">
        <v>4500</v>
      </c>
      <c r="F60" s="79" t="s">
        <v>904</v>
      </c>
      <c r="G60" s="6" t="s">
        <v>911</v>
      </c>
    </row>
    <row r="61" spans="2:7">
      <c r="C61" s="79" t="s">
        <v>908</v>
      </c>
      <c r="D61" s="79">
        <v>2027</v>
      </c>
      <c r="E61" s="121">
        <v>1500</v>
      </c>
      <c r="F61" s="79" t="s">
        <v>905</v>
      </c>
      <c r="G61" s="6" t="s">
        <v>906</v>
      </c>
    </row>
    <row r="62" spans="2:7">
      <c r="C62" s="79" t="s">
        <v>909</v>
      </c>
      <c r="D62" s="79">
        <v>2027</v>
      </c>
      <c r="E62" s="121">
        <v>645</v>
      </c>
      <c r="F62" s="79" t="s">
        <v>733</v>
      </c>
      <c r="G62" s="6" t="s">
        <v>910</v>
      </c>
    </row>
    <row r="63" spans="2:7">
      <c r="C63" s="79" t="s">
        <v>912</v>
      </c>
      <c r="D63" s="79">
        <v>2027</v>
      </c>
      <c r="E63" s="121">
        <v>1500</v>
      </c>
      <c r="F63" s="79" t="s">
        <v>913</v>
      </c>
      <c r="G63" s="6" t="s">
        <v>914</v>
      </c>
    </row>
    <row r="64" spans="2:7">
      <c r="C64" s="79" t="s">
        <v>915</v>
      </c>
      <c r="D64" s="79" t="s">
        <v>763</v>
      </c>
      <c r="E64" s="121">
        <v>750</v>
      </c>
      <c r="F64" s="79" t="s">
        <v>913</v>
      </c>
      <c r="G64" s="6" t="s">
        <v>914</v>
      </c>
    </row>
    <row r="65" spans="2:7">
      <c r="C65" s="79" t="s">
        <v>921</v>
      </c>
      <c r="D65" s="79">
        <v>2028</v>
      </c>
      <c r="E65" s="121">
        <v>240</v>
      </c>
      <c r="F65" s="79" t="s">
        <v>917</v>
      </c>
      <c r="G65" s="6" t="s">
        <v>919</v>
      </c>
    </row>
    <row r="66" spans="2:7">
      <c r="C66" s="79" t="s">
        <v>920</v>
      </c>
      <c r="D66" s="79">
        <v>2028</v>
      </c>
      <c r="E66" s="121">
        <v>850</v>
      </c>
      <c r="G66" s="6" t="s">
        <v>922</v>
      </c>
    </row>
    <row r="67" spans="2:7" s="62" customFormat="1">
      <c r="B67" s="129"/>
      <c r="C67" s="129" t="s">
        <v>924</v>
      </c>
      <c r="D67" s="129" t="s">
        <v>925</v>
      </c>
      <c r="E67" s="130">
        <v>1360</v>
      </c>
      <c r="F67" s="129" t="s">
        <v>745</v>
      </c>
      <c r="G67" s="62" t="s">
        <v>926</v>
      </c>
    </row>
    <row r="68" spans="2:7" s="62" customFormat="1">
      <c r="B68" s="129"/>
      <c r="C68" s="129" t="s">
        <v>916</v>
      </c>
      <c r="D68" s="129">
        <v>2029</v>
      </c>
      <c r="E68" s="130">
        <v>1200</v>
      </c>
      <c r="F68" s="129" t="s">
        <v>917</v>
      </c>
      <c r="G68" s="62" t="s">
        <v>918</v>
      </c>
    </row>
    <row r="69" spans="2:7" s="62" customFormat="1">
      <c r="B69" s="129"/>
      <c r="C69" s="129" t="s">
        <v>923</v>
      </c>
      <c r="D69" s="129">
        <v>2031</v>
      </c>
      <c r="E69" s="130">
        <v>1400</v>
      </c>
      <c r="F69" s="129"/>
      <c r="G69" s="62" t="s">
        <v>926</v>
      </c>
    </row>
  </sheetData>
  <phoneticPr fontId="2" type="noConversion"/>
  <conditionalFormatting sqref="A3:XFD21 A22:L22 M22:XFD25 I23:L25 A23:G26 I26:XFD26 A27:XFD27 A28:A31 C28:XFD31 B28:B34 A33:A34 C33:XFD34">
    <cfRule type="expression" dxfId="4" priority="9">
      <formula>#REF!="O"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01ED-E4E8-47EC-8B6D-4311E684D7BB}">
  <dimension ref="A1:Y90"/>
  <sheetViews>
    <sheetView zoomScale="60" workbookViewId="0">
      <selection activeCell="V6" sqref="V6"/>
    </sheetView>
  </sheetViews>
  <sheetFormatPr defaultRowHeight="17.399999999999999"/>
  <cols>
    <col min="4" max="4" width="24.19921875" bestFit="1" customWidth="1"/>
    <col min="10" max="10" width="24.59765625" bestFit="1" customWidth="1"/>
    <col min="16" max="16" width="23.796875" bestFit="1" customWidth="1"/>
    <col min="22" max="22" width="24.59765625" bestFit="1" customWidth="1"/>
  </cols>
  <sheetData>
    <row r="1" spans="1:25">
      <c r="A1" s="173"/>
      <c r="B1" s="173" t="s">
        <v>890</v>
      </c>
      <c r="C1" s="173"/>
      <c r="D1" s="173"/>
      <c r="E1" s="173"/>
      <c r="F1" s="173"/>
      <c r="G1" s="173"/>
      <c r="H1" s="115" t="s">
        <v>889</v>
      </c>
      <c r="I1" s="115"/>
      <c r="J1" s="115"/>
      <c r="K1" s="115"/>
      <c r="L1" s="115"/>
      <c r="M1" s="115"/>
      <c r="N1" s="173" t="s">
        <v>888</v>
      </c>
      <c r="O1" s="173"/>
      <c r="P1" s="173"/>
      <c r="Q1" s="173"/>
      <c r="R1" s="115"/>
      <c r="S1" s="115"/>
      <c r="T1" s="115" t="s">
        <v>887</v>
      </c>
      <c r="U1" s="115"/>
      <c r="V1" s="115"/>
      <c r="W1" s="115"/>
      <c r="X1" s="115"/>
      <c r="Y1" s="115"/>
    </row>
    <row r="2" spans="1:25">
      <c r="A2" s="173"/>
      <c r="B2" s="173" t="s">
        <v>886</v>
      </c>
      <c r="C2" s="173" t="s">
        <v>885</v>
      </c>
      <c r="D2" s="173" t="s">
        <v>884</v>
      </c>
      <c r="E2" s="173" t="s">
        <v>883</v>
      </c>
      <c r="F2" s="173"/>
      <c r="G2" s="173"/>
      <c r="H2" s="173" t="s">
        <v>881</v>
      </c>
      <c r="I2" s="173" t="s">
        <v>880</v>
      </c>
      <c r="J2" s="173" t="s">
        <v>882</v>
      </c>
      <c r="K2" s="173" t="s">
        <v>773</v>
      </c>
      <c r="L2" s="115"/>
      <c r="M2" s="115"/>
      <c r="N2" s="173" t="s">
        <v>881</v>
      </c>
      <c r="O2" s="173" t="s">
        <v>880</v>
      </c>
      <c r="P2" s="173" t="s">
        <v>882</v>
      </c>
      <c r="Q2" s="173" t="s">
        <v>773</v>
      </c>
      <c r="R2" s="115"/>
      <c r="S2" s="115"/>
      <c r="T2" s="173" t="s">
        <v>881</v>
      </c>
      <c r="U2" s="173" t="s">
        <v>880</v>
      </c>
      <c r="V2" s="173" t="s">
        <v>879</v>
      </c>
      <c r="W2" s="173" t="s">
        <v>773</v>
      </c>
      <c r="X2" s="115"/>
      <c r="Y2" s="115"/>
    </row>
    <row r="3" spans="1:25">
      <c r="A3" s="172"/>
      <c r="B3" s="172">
        <v>2024</v>
      </c>
      <c r="C3" s="172">
        <v>4</v>
      </c>
      <c r="D3" s="172" t="s">
        <v>878</v>
      </c>
      <c r="E3" s="172">
        <v>1400</v>
      </c>
      <c r="F3" s="172"/>
      <c r="G3" s="172"/>
      <c r="H3" s="172">
        <v>2025</v>
      </c>
      <c r="I3" s="172">
        <v>9</v>
      </c>
      <c r="J3" s="172" t="s">
        <v>877</v>
      </c>
      <c r="K3" s="172">
        <v>145</v>
      </c>
      <c r="N3" s="172">
        <v>2029</v>
      </c>
      <c r="O3" s="172">
        <v>1</v>
      </c>
      <c r="P3" s="172" t="s">
        <v>876</v>
      </c>
      <c r="Q3" s="172">
        <v>9</v>
      </c>
      <c r="T3" s="172">
        <v>2033</v>
      </c>
      <c r="U3" s="172">
        <v>6</v>
      </c>
      <c r="V3" s="172" t="s">
        <v>850</v>
      </c>
      <c r="W3" s="172">
        <v>1400</v>
      </c>
    </row>
    <row r="4" spans="1:25">
      <c r="A4" s="172"/>
      <c r="B4" s="172">
        <v>2024</v>
      </c>
      <c r="C4" s="172">
        <v>4</v>
      </c>
      <c r="D4" s="172" t="s">
        <v>875</v>
      </c>
      <c r="E4" s="172">
        <v>-40</v>
      </c>
      <c r="F4" s="172"/>
      <c r="G4" s="172"/>
      <c r="H4" s="172">
        <v>2025</v>
      </c>
      <c r="I4" s="172">
        <v>11</v>
      </c>
      <c r="J4" s="172" t="s">
        <v>874</v>
      </c>
      <c r="K4" s="172">
        <v>23</v>
      </c>
      <c r="N4" s="172">
        <v>2029</v>
      </c>
      <c r="O4" s="172">
        <v>6</v>
      </c>
      <c r="P4" s="172" t="s">
        <v>777</v>
      </c>
      <c r="Q4" s="172">
        <v>73</v>
      </c>
      <c r="T4" s="172">
        <v>2033</v>
      </c>
      <c r="U4" s="172">
        <v>6</v>
      </c>
      <c r="V4" s="172" t="s">
        <v>777</v>
      </c>
      <c r="W4" s="172">
        <v>55</v>
      </c>
    </row>
    <row r="5" spans="1:25">
      <c r="A5" s="172"/>
      <c r="B5" s="172">
        <v>2024</v>
      </c>
      <c r="C5" s="172">
        <v>5</v>
      </c>
      <c r="D5" s="172" t="s">
        <v>873</v>
      </c>
      <c r="E5" s="172">
        <v>-44</v>
      </c>
      <c r="F5" s="172"/>
      <c r="G5" s="172"/>
      <c r="H5" s="172">
        <v>2025</v>
      </c>
      <c r="I5" s="172">
        <v>12</v>
      </c>
      <c r="J5" s="172" t="s">
        <v>559</v>
      </c>
      <c r="K5" s="172">
        <v>285</v>
      </c>
      <c r="N5" s="172">
        <v>2029</v>
      </c>
      <c r="O5" s="172">
        <v>6</v>
      </c>
      <c r="P5" s="172" t="s">
        <v>776</v>
      </c>
      <c r="Q5" s="172">
        <v>390</v>
      </c>
      <c r="T5" s="172">
        <v>2033</v>
      </c>
      <c r="U5" s="172">
        <v>6</v>
      </c>
      <c r="V5" s="172" t="s">
        <v>776</v>
      </c>
      <c r="W5" s="172">
        <v>247</v>
      </c>
    </row>
    <row r="6" spans="1:25">
      <c r="A6" s="172"/>
      <c r="B6" s="172">
        <v>2024</v>
      </c>
      <c r="C6" s="172">
        <v>5</v>
      </c>
      <c r="D6" s="172" t="s">
        <v>872</v>
      </c>
      <c r="E6" s="172">
        <v>1050</v>
      </c>
      <c r="F6" s="172"/>
      <c r="G6" s="172"/>
      <c r="H6" s="172">
        <v>2025</v>
      </c>
      <c r="I6" s="172">
        <v>12</v>
      </c>
      <c r="J6" s="172" t="s">
        <v>871</v>
      </c>
      <c r="K6" s="172">
        <v>498</v>
      </c>
      <c r="N6" s="172">
        <v>2029</v>
      </c>
      <c r="O6" s="172">
        <v>9</v>
      </c>
      <c r="P6" s="172" t="s">
        <v>870</v>
      </c>
      <c r="Q6" s="172">
        <v>-200</v>
      </c>
      <c r="T6" s="172">
        <v>2033</v>
      </c>
      <c r="U6" s="172">
        <v>9</v>
      </c>
      <c r="V6" s="172" t="s">
        <v>577</v>
      </c>
      <c r="W6" s="172">
        <v>350</v>
      </c>
    </row>
    <row r="7" spans="1:25">
      <c r="A7" s="172"/>
      <c r="B7" s="172">
        <v>2024</v>
      </c>
      <c r="C7" s="172">
        <v>6</v>
      </c>
      <c r="D7" s="172" t="s">
        <v>869</v>
      </c>
      <c r="E7" s="172">
        <v>597</v>
      </c>
      <c r="F7" s="172"/>
      <c r="G7" s="172"/>
      <c r="H7" s="172">
        <v>2025</v>
      </c>
      <c r="I7" s="172">
        <v>12</v>
      </c>
      <c r="J7" s="172" t="s">
        <v>868</v>
      </c>
      <c r="K7" s="172">
        <v>-500</v>
      </c>
      <c r="N7" s="172">
        <v>2029</v>
      </c>
      <c r="O7" s="172">
        <v>9</v>
      </c>
      <c r="P7" s="172" t="s">
        <v>867</v>
      </c>
      <c r="Q7" s="172">
        <v>-200</v>
      </c>
      <c r="T7" s="172">
        <v>2033</v>
      </c>
      <c r="U7" s="172">
        <v>10</v>
      </c>
      <c r="V7" s="172" t="s">
        <v>866</v>
      </c>
      <c r="W7" s="172">
        <v>1400</v>
      </c>
    </row>
    <row r="8" spans="1:25">
      <c r="A8" s="172"/>
      <c r="B8" s="172">
        <v>2024</v>
      </c>
      <c r="C8" s="172">
        <v>6</v>
      </c>
      <c r="D8" s="172" t="s">
        <v>777</v>
      </c>
      <c r="E8" s="172">
        <v>30</v>
      </c>
      <c r="F8" s="172"/>
      <c r="G8" s="172"/>
      <c r="H8" s="172">
        <v>2025</v>
      </c>
      <c r="I8" s="172">
        <v>12</v>
      </c>
      <c r="J8" s="172" t="s">
        <v>865</v>
      </c>
      <c r="K8" s="172">
        <v>500</v>
      </c>
      <c r="N8" s="172">
        <v>2029</v>
      </c>
      <c r="O8" s="172">
        <v>9</v>
      </c>
      <c r="P8" s="172" t="s">
        <v>864</v>
      </c>
      <c r="Q8" s="172">
        <v>400</v>
      </c>
      <c r="T8" s="172">
        <v>2033</v>
      </c>
      <c r="U8" s="172">
        <v>12</v>
      </c>
      <c r="V8" s="172" t="s">
        <v>573</v>
      </c>
      <c r="W8" s="172">
        <v>350</v>
      </c>
    </row>
    <row r="9" spans="1:25">
      <c r="A9" s="172"/>
      <c r="B9" s="172">
        <v>2024</v>
      </c>
      <c r="C9" s="172">
        <v>6</v>
      </c>
      <c r="D9" s="172" t="s">
        <v>776</v>
      </c>
      <c r="E9" s="172">
        <v>352</v>
      </c>
      <c r="F9" s="172"/>
      <c r="G9" s="172"/>
      <c r="H9" s="172">
        <v>2025</v>
      </c>
      <c r="I9" s="172">
        <v>12</v>
      </c>
      <c r="J9" s="172" t="s">
        <v>777</v>
      </c>
      <c r="K9" s="172">
        <v>125</v>
      </c>
      <c r="N9" s="172">
        <v>2029</v>
      </c>
      <c r="O9" s="172">
        <v>11</v>
      </c>
      <c r="P9" s="172" t="s">
        <v>863</v>
      </c>
      <c r="Q9" s="172">
        <v>-500</v>
      </c>
      <c r="T9" s="172">
        <v>2033</v>
      </c>
      <c r="U9" s="172">
        <v>12</v>
      </c>
      <c r="V9" s="172" t="s">
        <v>777</v>
      </c>
      <c r="W9" s="172">
        <v>55</v>
      </c>
    </row>
    <row r="10" spans="1:25">
      <c r="A10" s="172"/>
      <c r="B10" s="172">
        <v>2024</v>
      </c>
      <c r="C10" s="172">
        <v>9</v>
      </c>
      <c r="D10" s="172" t="s">
        <v>862</v>
      </c>
      <c r="E10" s="172">
        <v>270</v>
      </c>
      <c r="F10" s="172"/>
      <c r="G10" s="172"/>
      <c r="H10" s="172">
        <v>2025</v>
      </c>
      <c r="I10" s="172">
        <v>12</v>
      </c>
      <c r="J10" s="172" t="s">
        <v>776</v>
      </c>
      <c r="K10" s="172">
        <v>282</v>
      </c>
      <c r="N10" s="172">
        <v>2029</v>
      </c>
      <c r="O10" s="172">
        <v>11</v>
      </c>
      <c r="P10" s="172" t="s">
        <v>861</v>
      </c>
      <c r="Q10" s="172">
        <v>500</v>
      </c>
      <c r="T10" s="172">
        <v>2033</v>
      </c>
      <c r="U10" s="172">
        <v>12</v>
      </c>
      <c r="V10" s="172" t="s">
        <v>776</v>
      </c>
      <c r="W10" s="172">
        <v>247</v>
      </c>
    </row>
    <row r="11" spans="1:25">
      <c r="A11" s="172"/>
      <c r="B11" s="172">
        <v>2024</v>
      </c>
      <c r="C11" s="172">
        <v>10</v>
      </c>
      <c r="D11" s="172" t="s">
        <v>860</v>
      </c>
      <c r="E11" s="172">
        <v>1000</v>
      </c>
      <c r="F11" s="172"/>
      <c r="G11" s="172"/>
      <c r="H11" s="172">
        <v>2026</v>
      </c>
      <c r="I11" s="172">
        <v>2</v>
      </c>
      <c r="J11" s="172" t="s">
        <v>859</v>
      </c>
      <c r="K11" s="172">
        <v>1400</v>
      </c>
      <c r="N11" s="172">
        <v>2029</v>
      </c>
      <c r="O11" s="172">
        <v>12</v>
      </c>
      <c r="P11" s="172" t="s">
        <v>858</v>
      </c>
      <c r="Q11" s="172">
        <v>-500</v>
      </c>
      <c r="T11" s="172">
        <v>2034</v>
      </c>
      <c r="U11" s="172">
        <v>6</v>
      </c>
      <c r="V11" s="172" t="s">
        <v>857</v>
      </c>
      <c r="W11" s="172">
        <v>-800</v>
      </c>
    </row>
    <row r="12" spans="1:25">
      <c r="A12" s="172"/>
      <c r="B12" s="172">
        <v>2024</v>
      </c>
      <c r="C12" s="172">
        <v>12</v>
      </c>
      <c r="D12" s="172" t="s">
        <v>856</v>
      </c>
      <c r="E12" s="172">
        <v>1227</v>
      </c>
      <c r="F12" s="172"/>
      <c r="G12" s="172"/>
      <c r="H12" s="172">
        <v>2026</v>
      </c>
      <c r="I12" s="172">
        <v>6</v>
      </c>
      <c r="J12" s="172" t="s">
        <v>855</v>
      </c>
      <c r="K12" s="172">
        <v>-500</v>
      </c>
      <c r="N12" s="172">
        <v>2029</v>
      </c>
      <c r="O12" s="172">
        <v>12</v>
      </c>
      <c r="P12" s="172" t="s">
        <v>854</v>
      </c>
      <c r="Q12" s="172">
        <v>500</v>
      </c>
      <c r="T12" s="172">
        <v>2034</v>
      </c>
      <c r="U12" s="172">
        <v>6</v>
      </c>
      <c r="V12" s="172" t="s">
        <v>853</v>
      </c>
      <c r="W12" s="172">
        <v>800</v>
      </c>
    </row>
    <row r="13" spans="1:25">
      <c r="A13" s="172"/>
      <c r="B13" s="172">
        <v>2024</v>
      </c>
      <c r="C13" s="172">
        <v>12</v>
      </c>
      <c r="D13" s="172" t="s">
        <v>777</v>
      </c>
      <c r="E13" s="172">
        <v>30</v>
      </c>
      <c r="F13" s="172"/>
      <c r="G13" s="172"/>
      <c r="H13" s="172">
        <v>2026</v>
      </c>
      <c r="I13" s="172">
        <v>6</v>
      </c>
      <c r="J13" s="172" t="s">
        <v>852</v>
      </c>
      <c r="K13" s="172">
        <v>500</v>
      </c>
      <c r="N13" s="172">
        <v>2029</v>
      </c>
      <c r="O13" s="172">
        <v>12</v>
      </c>
      <c r="P13" s="172" t="s">
        <v>851</v>
      </c>
      <c r="Q13" s="172">
        <v>-500</v>
      </c>
      <c r="T13" s="172">
        <v>2034</v>
      </c>
      <c r="U13" s="172">
        <v>6</v>
      </c>
      <c r="V13" s="172" t="s">
        <v>850</v>
      </c>
      <c r="W13" s="172">
        <v>100</v>
      </c>
    </row>
    <row r="14" spans="1:25">
      <c r="A14" s="172"/>
      <c r="B14" s="172">
        <v>2024</v>
      </c>
      <c r="C14" s="172">
        <v>12</v>
      </c>
      <c r="D14" s="172" t="s">
        <v>776</v>
      </c>
      <c r="E14" s="172">
        <v>312</v>
      </c>
      <c r="F14" s="172"/>
      <c r="G14" s="172"/>
      <c r="H14" s="172">
        <v>2026</v>
      </c>
      <c r="I14" s="172">
        <v>6</v>
      </c>
      <c r="J14" s="172" t="s">
        <v>849</v>
      </c>
      <c r="K14" s="172">
        <v>-500</v>
      </c>
      <c r="N14" s="172">
        <v>2029</v>
      </c>
      <c r="O14" s="172">
        <v>12</v>
      </c>
      <c r="P14" s="172" t="s">
        <v>848</v>
      </c>
      <c r="Q14" s="172">
        <v>-500</v>
      </c>
      <c r="T14" s="172">
        <v>2034</v>
      </c>
      <c r="U14" s="172">
        <v>6</v>
      </c>
      <c r="V14" s="172" t="s">
        <v>777</v>
      </c>
      <c r="W14" s="172">
        <v>55</v>
      </c>
    </row>
    <row r="15" spans="1:25">
      <c r="A15" s="172"/>
      <c r="B15" s="172">
        <v>2025</v>
      </c>
      <c r="C15" s="172">
        <v>1</v>
      </c>
      <c r="D15" s="172" t="s">
        <v>847</v>
      </c>
      <c r="E15" s="172">
        <v>1050</v>
      </c>
      <c r="F15" s="172"/>
      <c r="G15" s="172"/>
      <c r="H15" s="172">
        <v>2026</v>
      </c>
      <c r="I15" s="172">
        <v>6</v>
      </c>
      <c r="J15" s="172" t="s">
        <v>846</v>
      </c>
      <c r="K15" s="172">
        <v>500</v>
      </c>
      <c r="N15" s="172">
        <v>2029</v>
      </c>
      <c r="O15" s="172">
        <v>12</v>
      </c>
      <c r="P15" s="172" t="s">
        <v>845</v>
      </c>
      <c r="Q15" s="172">
        <v>1000</v>
      </c>
      <c r="T15" s="172">
        <v>2034</v>
      </c>
      <c r="U15" s="172">
        <v>6</v>
      </c>
      <c r="V15" s="172" t="s">
        <v>776</v>
      </c>
      <c r="W15" s="172">
        <v>247</v>
      </c>
    </row>
    <row r="16" spans="1:25">
      <c r="A16" s="172"/>
      <c r="B16" s="172">
        <v>2025</v>
      </c>
      <c r="C16" s="172">
        <v>1</v>
      </c>
      <c r="D16" s="172" t="s">
        <v>844</v>
      </c>
      <c r="E16" s="172">
        <v>-350</v>
      </c>
      <c r="F16" s="172"/>
      <c r="G16" s="172"/>
      <c r="H16" s="172">
        <v>2026</v>
      </c>
      <c r="I16" s="172">
        <v>6</v>
      </c>
      <c r="J16" s="172" t="s">
        <v>777</v>
      </c>
      <c r="K16" s="172">
        <v>84</v>
      </c>
      <c r="N16" s="172">
        <v>2029</v>
      </c>
      <c r="O16" s="172">
        <v>12</v>
      </c>
      <c r="P16" s="172" t="s">
        <v>777</v>
      </c>
      <c r="Q16" s="172">
        <v>73</v>
      </c>
      <c r="T16" s="172">
        <v>2034</v>
      </c>
      <c r="U16" s="172">
        <v>9</v>
      </c>
      <c r="V16" s="172" t="s">
        <v>843</v>
      </c>
      <c r="W16" s="172">
        <v>175</v>
      </c>
    </row>
    <row r="17" spans="1:23">
      <c r="A17" s="172"/>
      <c r="B17" s="172">
        <v>2025</v>
      </c>
      <c r="C17" s="172">
        <v>1</v>
      </c>
      <c r="D17" s="172" t="s">
        <v>842</v>
      </c>
      <c r="E17" s="172">
        <v>-350</v>
      </c>
      <c r="F17" s="172"/>
      <c r="G17" s="172"/>
      <c r="H17" s="172">
        <v>2026</v>
      </c>
      <c r="I17" s="172">
        <v>6</v>
      </c>
      <c r="J17" s="172" t="s">
        <v>776</v>
      </c>
      <c r="K17" s="172">
        <v>306</v>
      </c>
      <c r="N17" s="172">
        <v>2029</v>
      </c>
      <c r="O17" s="172">
        <v>12</v>
      </c>
      <c r="P17" s="172" t="s">
        <v>776</v>
      </c>
      <c r="Q17" s="172">
        <v>389</v>
      </c>
      <c r="T17" s="172">
        <v>2034</v>
      </c>
      <c r="U17" s="172">
        <v>12</v>
      </c>
      <c r="V17" s="172" t="s">
        <v>841</v>
      </c>
      <c r="W17" s="172">
        <v>-800</v>
      </c>
    </row>
    <row r="18" spans="1:23">
      <c r="A18" s="172"/>
      <c r="B18" s="172">
        <v>2025</v>
      </c>
      <c r="C18" s="172">
        <v>1</v>
      </c>
      <c r="D18" s="172" t="s">
        <v>840</v>
      </c>
      <c r="E18" s="172">
        <v>-350</v>
      </c>
      <c r="F18" s="172"/>
      <c r="G18" s="172"/>
      <c r="H18" s="172">
        <v>2026</v>
      </c>
      <c r="I18" s="172">
        <v>10</v>
      </c>
      <c r="J18" s="172" t="s">
        <v>839</v>
      </c>
      <c r="K18" s="172">
        <v>495</v>
      </c>
      <c r="N18" s="172">
        <v>2030</v>
      </c>
      <c r="O18" s="172">
        <v>6</v>
      </c>
      <c r="P18" s="172" t="s">
        <v>777</v>
      </c>
      <c r="Q18" s="172">
        <v>73</v>
      </c>
      <c r="T18" s="172">
        <v>2034</v>
      </c>
      <c r="U18" s="172">
        <v>12</v>
      </c>
      <c r="V18" s="172" t="s">
        <v>838</v>
      </c>
      <c r="W18" s="172">
        <v>800</v>
      </c>
    </row>
    <row r="19" spans="1:23">
      <c r="A19" s="172"/>
      <c r="B19" s="172">
        <v>2025</v>
      </c>
      <c r="C19" s="172">
        <v>1</v>
      </c>
      <c r="D19" s="172" t="s">
        <v>837</v>
      </c>
      <c r="E19" s="172">
        <v>-350</v>
      </c>
      <c r="F19" s="172"/>
      <c r="G19" s="172"/>
      <c r="H19" s="172">
        <v>2026</v>
      </c>
      <c r="I19" s="172">
        <v>11</v>
      </c>
      <c r="J19" s="172" t="s">
        <v>836</v>
      </c>
      <c r="K19" s="172">
        <v>1400</v>
      </c>
      <c r="N19" s="172">
        <v>2030</v>
      </c>
      <c r="O19" s="172">
        <v>6</v>
      </c>
      <c r="P19" s="172" t="s">
        <v>835</v>
      </c>
      <c r="Q19" s="172">
        <v>501</v>
      </c>
      <c r="T19" s="172">
        <v>2034</v>
      </c>
      <c r="U19" s="172">
        <v>12</v>
      </c>
      <c r="V19" s="172" t="s">
        <v>567</v>
      </c>
      <c r="W19" s="172">
        <v>500</v>
      </c>
    </row>
    <row r="20" spans="1:23">
      <c r="A20" s="172"/>
      <c r="B20" s="172">
        <v>2025</v>
      </c>
      <c r="C20" s="172">
        <v>3</v>
      </c>
      <c r="D20" s="172" t="s">
        <v>834</v>
      </c>
      <c r="E20" s="172">
        <v>35</v>
      </c>
      <c r="F20" s="172"/>
      <c r="G20" s="172"/>
      <c r="H20" s="172">
        <v>2026</v>
      </c>
      <c r="I20" s="172">
        <v>12</v>
      </c>
      <c r="J20" s="172" t="s">
        <v>833</v>
      </c>
      <c r="K20" s="172">
        <v>-500</v>
      </c>
      <c r="N20" s="172">
        <v>2030</v>
      </c>
      <c r="O20" s="172">
        <v>9</v>
      </c>
      <c r="P20" s="172" t="s">
        <v>619</v>
      </c>
      <c r="Q20" s="172">
        <v>250</v>
      </c>
      <c r="T20" s="172">
        <v>2034</v>
      </c>
      <c r="U20" s="172">
        <v>12</v>
      </c>
      <c r="V20" s="172" t="s">
        <v>832</v>
      </c>
      <c r="W20" s="172">
        <v>900</v>
      </c>
    </row>
    <row r="21" spans="1:23">
      <c r="A21" s="172"/>
      <c r="B21" s="172">
        <v>2025</v>
      </c>
      <c r="C21" s="172">
        <v>5</v>
      </c>
      <c r="D21" s="172" t="s">
        <v>831</v>
      </c>
      <c r="E21" s="172">
        <v>10</v>
      </c>
      <c r="F21" s="172"/>
      <c r="G21" s="172"/>
      <c r="H21" s="172">
        <v>2026</v>
      </c>
      <c r="I21" s="172">
        <v>12</v>
      </c>
      <c r="J21" s="172" t="s">
        <v>830</v>
      </c>
      <c r="K21" s="172">
        <v>500</v>
      </c>
      <c r="N21" s="172">
        <v>2030</v>
      </c>
      <c r="O21" s="172">
        <v>9</v>
      </c>
      <c r="P21" s="172" t="s">
        <v>829</v>
      </c>
      <c r="Q21" s="172">
        <v>-500</v>
      </c>
      <c r="T21" s="172">
        <v>2034</v>
      </c>
      <c r="U21" s="172">
        <v>12</v>
      </c>
      <c r="V21" s="172" t="s">
        <v>828</v>
      </c>
      <c r="W21" s="172">
        <v>175</v>
      </c>
    </row>
    <row r="22" spans="1:23">
      <c r="A22" s="172"/>
      <c r="B22" s="172">
        <v>2025</v>
      </c>
      <c r="C22" s="172">
        <v>6</v>
      </c>
      <c r="D22" s="172" t="s">
        <v>827</v>
      </c>
      <c r="E22" s="172">
        <v>270</v>
      </c>
      <c r="F22" s="172"/>
      <c r="G22" s="172"/>
      <c r="H22" s="172">
        <v>2026</v>
      </c>
      <c r="I22" s="172">
        <v>12</v>
      </c>
      <c r="J22" s="172" t="s">
        <v>534</v>
      </c>
      <c r="K22" s="172">
        <v>493</v>
      </c>
      <c r="N22" s="172">
        <v>2030</v>
      </c>
      <c r="O22" s="172">
        <v>9</v>
      </c>
      <c r="P22" s="172" t="s">
        <v>826</v>
      </c>
      <c r="Q22" s="172">
        <v>500</v>
      </c>
      <c r="T22" s="172">
        <v>2034</v>
      </c>
      <c r="U22" s="172">
        <v>12</v>
      </c>
      <c r="V22" s="172" t="s">
        <v>777</v>
      </c>
      <c r="W22" s="172">
        <v>55</v>
      </c>
    </row>
    <row r="23" spans="1:23">
      <c r="A23" s="172"/>
      <c r="B23" s="172">
        <v>2025</v>
      </c>
      <c r="C23" s="172">
        <v>6</v>
      </c>
      <c r="D23" s="172" t="s">
        <v>640</v>
      </c>
      <c r="E23" s="172">
        <v>561</v>
      </c>
      <c r="F23" s="172"/>
      <c r="G23" s="172"/>
      <c r="H23" s="172">
        <v>2026</v>
      </c>
      <c r="I23" s="172">
        <v>12</v>
      </c>
      <c r="J23" s="172" t="s">
        <v>825</v>
      </c>
      <c r="K23" s="172">
        <v>-466</v>
      </c>
      <c r="N23" s="172">
        <v>2030</v>
      </c>
      <c r="O23" s="172">
        <v>9</v>
      </c>
      <c r="P23" s="172" t="s">
        <v>824</v>
      </c>
      <c r="Q23" s="172">
        <v>-500</v>
      </c>
      <c r="T23" s="172">
        <v>2034</v>
      </c>
      <c r="U23" s="172">
        <v>12</v>
      </c>
      <c r="V23" s="172" t="s">
        <v>776</v>
      </c>
      <c r="W23" s="172">
        <v>246</v>
      </c>
    </row>
    <row r="24" spans="1:23">
      <c r="A24" s="172"/>
      <c r="B24" s="172">
        <v>2025</v>
      </c>
      <c r="C24" s="172">
        <v>6</v>
      </c>
      <c r="D24" s="172" t="s">
        <v>777</v>
      </c>
      <c r="E24" s="172">
        <v>126</v>
      </c>
      <c r="F24" s="172"/>
      <c r="G24" s="172"/>
      <c r="H24" s="172">
        <v>2026</v>
      </c>
      <c r="I24" s="172">
        <v>12</v>
      </c>
      <c r="J24" s="172" t="s">
        <v>823</v>
      </c>
      <c r="K24" s="172">
        <v>512</v>
      </c>
      <c r="N24" s="172">
        <v>2030</v>
      </c>
      <c r="O24" s="172">
        <v>9</v>
      </c>
      <c r="P24" s="172" t="s">
        <v>822</v>
      </c>
      <c r="Q24" s="172">
        <v>500</v>
      </c>
      <c r="T24" s="172">
        <v>2035</v>
      </c>
      <c r="U24" s="172">
        <v>3</v>
      </c>
      <c r="V24" s="172" t="s">
        <v>821</v>
      </c>
      <c r="W24" s="172">
        <v>175</v>
      </c>
    </row>
    <row r="25" spans="1:23">
      <c r="A25" s="172"/>
      <c r="B25" s="172">
        <v>2025</v>
      </c>
      <c r="C25" s="172">
        <v>6</v>
      </c>
      <c r="D25" s="172" t="s">
        <v>776</v>
      </c>
      <c r="E25" s="172">
        <v>281</v>
      </c>
      <c r="F25" s="172"/>
      <c r="G25" s="172"/>
      <c r="H25" s="172">
        <v>2026</v>
      </c>
      <c r="I25" s="172">
        <v>12</v>
      </c>
      <c r="J25" s="172" t="s">
        <v>777</v>
      </c>
      <c r="K25" s="172">
        <v>84</v>
      </c>
      <c r="N25" s="172">
        <v>2030</v>
      </c>
      <c r="O25" s="172">
        <v>12</v>
      </c>
      <c r="P25" s="172" t="s">
        <v>617</v>
      </c>
      <c r="Q25" s="172">
        <v>250</v>
      </c>
      <c r="T25" s="172">
        <v>2035</v>
      </c>
      <c r="U25" s="172">
        <v>6</v>
      </c>
      <c r="V25" s="172" t="s">
        <v>820</v>
      </c>
      <c r="W25" s="172">
        <v>175</v>
      </c>
    </row>
    <row r="26" spans="1:23">
      <c r="A26" s="172"/>
      <c r="F26" s="172"/>
      <c r="G26" s="172"/>
      <c r="H26" s="172">
        <v>2026</v>
      </c>
      <c r="I26" s="172">
        <v>12</v>
      </c>
      <c r="J26" s="172" t="s">
        <v>776</v>
      </c>
      <c r="K26" s="172">
        <v>307</v>
      </c>
      <c r="N26" s="172">
        <v>2030</v>
      </c>
      <c r="O26" s="172">
        <v>12</v>
      </c>
      <c r="P26" s="172" t="s">
        <v>777</v>
      </c>
      <c r="Q26" s="172">
        <v>73</v>
      </c>
      <c r="T26" s="172">
        <v>2035</v>
      </c>
      <c r="U26" s="172">
        <v>6</v>
      </c>
      <c r="V26" s="172" t="s">
        <v>802</v>
      </c>
      <c r="W26" s="172">
        <v>700</v>
      </c>
    </row>
    <row r="27" spans="1:23">
      <c r="A27" s="172"/>
      <c r="F27" s="172"/>
      <c r="G27" s="172"/>
      <c r="H27" s="172">
        <v>2027</v>
      </c>
      <c r="I27" s="172">
        <v>4</v>
      </c>
      <c r="J27" s="172" t="s">
        <v>819</v>
      </c>
      <c r="K27" s="172">
        <v>-560</v>
      </c>
      <c r="N27" s="172">
        <v>2030</v>
      </c>
      <c r="O27" s="172">
        <v>12</v>
      </c>
      <c r="P27" s="172" t="s">
        <v>776</v>
      </c>
      <c r="Q27" s="172">
        <v>502</v>
      </c>
      <c r="T27" s="172">
        <v>2035</v>
      </c>
      <c r="U27" s="172">
        <v>6</v>
      </c>
      <c r="V27" s="172" t="s">
        <v>777</v>
      </c>
      <c r="W27" s="172">
        <v>55</v>
      </c>
    </row>
    <row r="28" spans="1:23">
      <c r="A28" s="172"/>
      <c r="F28" s="172"/>
      <c r="G28" s="172"/>
      <c r="H28" s="172">
        <v>2027</v>
      </c>
      <c r="I28" s="172">
        <v>4</v>
      </c>
      <c r="J28" s="172" t="s">
        <v>818</v>
      </c>
      <c r="K28" s="172">
        <v>-560</v>
      </c>
      <c r="N28" s="172">
        <v>2031</v>
      </c>
      <c r="O28" s="172">
        <v>6</v>
      </c>
      <c r="P28" s="172" t="s">
        <v>817</v>
      </c>
      <c r="Q28" s="172">
        <v>-500</v>
      </c>
      <c r="T28" s="172">
        <v>2035</v>
      </c>
      <c r="U28" s="172">
        <v>6</v>
      </c>
      <c r="V28" s="172" t="s">
        <v>776</v>
      </c>
      <c r="W28" s="172">
        <v>252</v>
      </c>
    </row>
    <row r="29" spans="1:23">
      <c r="A29" s="172"/>
      <c r="F29" s="172"/>
      <c r="G29" s="172"/>
      <c r="H29" s="172">
        <v>2027</v>
      </c>
      <c r="I29" s="172">
        <v>4</v>
      </c>
      <c r="J29" s="172" t="s">
        <v>816</v>
      </c>
      <c r="K29" s="172">
        <v>1120</v>
      </c>
      <c r="N29" s="172">
        <v>2031</v>
      </c>
      <c r="O29" s="172">
        <v>6</v>
      </c>
      <c r="P29" s="172" t="s">
        <v>815</v>
      </c>
      <c r="Q29" s="172">
        <v>500</v>
      </c>
      <c r="T29" s="172">
        <v>2035</v>
      </c>
      <c r="U29" s="172">
        <v>12</v>
      </c>
      <c r="V29" s="172" t="s">
        <v>777</v>
      </c>
      <c r="W29" s="172">
        <v>55</v>
      </c>
    </row>
    <row r="30" spans="1:23">
      <c r="A30" s="172"/>
      <c r="F30" s="172"/>
      <c r="G30" s="172"/>
      <c r="H30" s="172">
        <v>2027</v>
      </c>
      <c r="I30" s="172">
        <v>6</v>
      </c>
      <c r="J30" s="172" t="s">
        <v>814</v>
      </c>
      <c r="K30" s="172">
        <v>100</v>
      </c>
      <c r="N30" s="172">
        <v>2031</v>
      </c>
      <c r="O30" s="172">
        <v>6</v>
      </c>
      <c r="P30" s="172" t="s">
        <v>796</v>
      </c>
      <c r="Q30" s="172">
        <v>200</v>
      </c>
      <c r="T30" s="172">
        <v>2035</v>
      </c>
      <c r="U30" s="172">
        <v>12</v>
      </c>
      <c r="V30" s="172" t="s">
        <v>776</v>
      </c>
      <c r="W30" s="172">
        <v>253</v>
      </c>
    </row>
    <row r="31" spans="1:23">
      <c r="A31" s="172"/>
      <c r="F31" s="172"/>
      <c r="G31" s="172"/>
      <c r="H31" s="172">
        <v>2027</v>
      </c>
      <c r="I31" s="172">
        <v>6</v>
      </c>
      <c r="J31" s="172" t="s">
        <v>813</v>
      </c>
      <c r="K31" s="172">
        <v>100</v>
      </c>
      <c r="N31" s="172">
        <v>2031</v>
      </c>
      <c r="O31" s="172">
        <v>6</v>
      </c>
      <c r="P31" s="172" t="s">
        <v>777</v>
      </c>
      <c r="Q31" s="172">
        <v>55</v>
      </c>
      <c r="T31" s="172">
        <v>2036</v>
      </c>
      <c r="U31" s="172">
        <v>3</v>
      </c>
      <c r="V31" s="172" t="s">
        <v>812</v>
      </c>
      <c r="W31" s="172">
        <v>-500</v>
      </c>
    </row>
    <row r="32" spans="1:23">
      <c r="A32" s="172"/>
      <c r="F32" s="172"/>
      <c r="G32" s="172"/>
      <c r="H32" s="172">
        <v>2027</v>
      </c>
      <c r="I32" s="172">
        <v>6</v>
      </c>
      <c r="J32" s="172" t="s">
        <v>777</v>
      </c>
      <c r="K32" s="172">
        <v>73</v>
      </c>
      <c r="N32" s="172">
        <v>2031</v>
      </c>
      <c r="O32" s="172">
        <v>6</v>
      </c>
      <c r="P32" s="172" t="s">
        <v>776</v>
      </c>
      <c r="Q32" s="172">
        <v>266</v>
      </c>
      <c r="T32" s="172">
        <v>2036</v>
      </c>
      <c r="U32" s="172">
        <v>3</v>
      </c>
      <c r="V32" s="172" t="s">
        <v>811</v>
      </c>
      <c r="W32" s="172">
        <v>500</v>
      </c>
    </row>
    <row r="33" spans="1:23">
      <c r="A33" s="172"/>
      <c r="F33" s="172"/>
      <c r="G33" s="172"/>
      <c r="H33" s="172">
        <v>2027</v>
      </c>
      <c r="I33" s="172">
        <v>6</v>
      </c>
      <c r="J33" s="172" t="s">
        <v>776</v>
      </c>
      <c r="K33" s="172">
        <v>334</v>
      </c>
      <c r="N33" s="172">
        <v>2031</v>
      </c>
      <c r="O33" s="172">
        <v>12</v>
      </c>
      <c r="P33" s="172" t="s">
        <v>810</v>
      </c>
      <c r="Q33" s="172">
        <v>-500</v>
      </c>
      <c r="T33" s="172">
        <v>2036</v>
      </c>
      <c r="U33" s="172">
        <v>3</v>
      </c>
      <c r="V33" s="172" t="s">
        <v>809</v>
      </c>
      <c r="W33" s="172">
        <v>-500</v>
      </c>
    </row>
    <row r="34" spans="1:23">
      <c r="A34" s="172"/>
      <c r="F34" s="172"/>
      <c r="G34" s="172"/>
      <c r="H34" s="172">
        <v>2027</v>
      </c>
      <c r="I34" s="172">
        <v>7</v>
      </c>
      <c r="J34" s="172" t="s">
        <v>808</v>
      </c>
      <c r="K34" s="172">
        <v>-574</v>
      </c>
      <c r="N34" s="172">
        <v>2031</v>
      </c>
      <c r="O34" s="172">
        <v>12</v>
      </c>
      <c r="P34" s="172" t="s">
        <v>807</v>
      </c>
      <c r="Q34" s="172">
        <v>500</v>
      </c>
      <c r="T34" s="172">
        <v>2036</v>
      </c>
      <c r="U34" s="172">
        <v>3</v>
      </c>
      <c r="V34" s="172" t="s">
        <v>806</v>
      </c>
      <c r="W34" s="172">
        <v>500</v>
      </c>
    </row>
    <row r="35" spans="1:23">
      <c r="A35" s="172"/>
      <c r="F35" s="172"/>
      <c r="G35" s="172"/>
      <c r="H35" s="172">
        <v>2027</v>
      </c>
      <c r="I35" s="172">
        <v>7</v>
      </c>
      <c r="J35" s="172" t="s">
        <v>805</v>
      </c>
      <c r="K35" s="172">
        <v>500</v>
      </c>
      <c r="N35" s="172">
        <v>2031</v>
      </c>
      <c r="O35" s="172">
        <v>12</v>
      </c>
      <c r="P35" s="172" t="s">
        <v>777</v>
      </c>
      <c r="Q35" s="172">
        <v>55</v>
      </c>
      <c r="T35" s="172">
        <v>2036</v>
      </c>
      <c r="U35" s="172">
        <v>6</v>
      </c>
      <c r="V35" s="172" t="s">
        <v>804</v>
      </c>
      <c r="W35" s="172">
        <v>1000</v>
      </c>
    </row>
    <row r="36" spans="1:23">
      <c r="A36" s="172"/>
      <c r="F36" s="172"/>
      <c r="G36" s="172"/>
      <c r="H36" s="172">
        <v>2027</v>
      </c>
      <c r="I36" s="172">
        <v>12</v>
      </c>
      <c r="J36" s="172" t="s">
        <v>803</v>
      </c>
      <c r="K36" s="172">
        <v>50</v>
      </c>
      <c r="N36" s="172">
        <v>2031</v>
      </c>
      <c r="O36" s="172">
        <v>12</v>
      </c>
      <c r="P36" s="172" t="s">
        <v>776</v>
      </c>
      <c r="Q36" s="172">
        <v>265</v>
      </c>
      <c r="T36" s="172">
        <v>2036</v>
      </c>
      <c r="U36" s="172">
        <v>6</v>
      </c>
      <c r="V36" s="172" t="s">
        <v>802</v>
      </c>
      <c r="W36" s="172">
        <v>800</v>
      </c>
    </row>
    <row r="37" spans="1:23">
      <c r="A37" s="172"/>
      <c r="F37" s="172"/>
      <c r="G37" s="172"/>
      <c r="H37" s="172">
        <v>2027</v>
      </c>
      <c r="I37" s="172">
        <v>12</v>
      </c>
      <c r="J37" s="172" t="s">
        <v>801</v>
      </c>
      <c r="K37" s="172">
        <v>50</v>
      </c>
      <c r="N37" s="172">
        <v>2032</v>
      </c>
      <c r="O37" s="172">
        <v>2</v>
      </c>
      <c r="P37" s="172" t="s">
        <v>800</v>
      </c>
      <c r="Q37" s="172">
        <v>-348</v>
      </c>
      <c r="T37" s="172">
        <v>2036</v>
      </c>
      <c r="U37" s="172">
        <v>6</v>
      </c>
      <c r="V37" s="172" t="s">
        <v>777</v>
      </c>
      <c r="W37" s="172">
        <v>55</v>
      </c>
    </row>
    <row r="38" spans="1:23">
      <c r="A38" s="172"/>
      <c r="F38" s="172"/>
      <c r="G38" s="172"/>
      <c r="H38" s="172">
        <v>2027</v>
      </c>
      <c r="I38" s="172">
        <v>12</v>
      </c>
      <c r="J38" s="172" t="s">
        <v>799</v>
      </c>
      <c r="K38" s="172">
        <v>-500</v>
      </c>
      <c r="N38" s="172">
        <v>2032</v>
      </c>
      <c r="O38" s="172">
        <v>2</v>
      </c>
      <c r="P38" s="172" t="s">
        <v>798</v>
      </c>
      <c r="Q38" s="172">
        <v>500</v>
      </c>
      <c r="T38" s="172">
        <v>2036</v>
      </c>
      <c r="U38" s="172">
        <v>6</v>
      </c>
      <c r="V38" s="172" t="s">
        <v>776</v>
      </c>
      <c r="W38" s="172">
        <v>183</v>
      </c>
    </row>
    <row r="39" spans="1:23">
      <c r="A39" s="172"/>
      <c r="F39" s="172"/>
      <c r="G39" s="172"/>
      <c r="H39" s="172">
        <v>2027</v>
      </c>
      <c r="I39" s="172">
        <v>12</v>
      </c>
      <c r="J39" s="172" t="s">
        <v>797</v>
      </c>
      <c r="K39" s="172">
        <v>500</v>
      </c>
      <c r="N39" s="172">
        <v>2032</v>
      </c>
      <c r="O39" s="172">
        <v>6</v>
      </c>
      <c r="P39" s="172" t="s">
        <v>796</v>
      </c>
      <c r="Q39" s="172">
        <v>20</v>
      </c>
      <c r="T39" s="172">
        <v>2036</v>
      </c>
      <c r="U39" s="172">
        <v>12</v>
      </c>
      <c r="V39" s="172" t="s">
        <v>795</v>
      </c>
      <c r="W39" s="172">
        <v>500</v>
      </c>
    </row>
    <row r="40" spans="1:23">
      <c r="A40" s="172"/>
      <c r="F40" s="172"/>
      <c r="G40" s="172"/>
      <c r="H40" s="172">
        <v>2027</v>
      </c>
      <c r="I40" s="172">
        <v>12</v>
      </c>
      <c r="J40" s="172" t="s">
        <v>794</v>
      </c>
      <c r="K40" s="172">
        <v>-500</v>
      </c>
      <c r="N40" s="172">
        <v>2032</v>
      </c>
      <c r="O40" s="172">
        <v>6</v>
      </c>
      <c r="P40" s="172" t="s">
        <v>777</v>
      </c>
      <c r="Q40" s="172">
        <v>55</v>
      </c>
      <c r="T40" s="172">
        <v>2036</v>
      </c>
      <c r="U40" s="172">
        <v>12</v>
      </c>
      <c r="V40" s="172" t="s">
        <v>777</v>
      </c>
      <c r="W40" s="172">
        <v>55</v>
      </c>
    </row>
    <row r="41" spans="1:23">
      <c r="A41" s="172"/>
      <c r="F41" s="172"/>
      <c r="G41" s="172"/>
      <c r="H41" s="172">
        <v>2027</v>
      </c>
      <c r="I41" s="172">
        <v>12</v>
      </c>
      <c r="J41" s="172" t="s">
        <v>793</v>
      </c>
      <c r="K41" s="172">
        <v>-500</v>
      </c>
      <c r="N41" s="172">
        <v>2032</v>
      </c>
      <c r="O41" s="172">
        <v>6</v>
      </c>
      <c r="P41" s="172" t="s">
        <v>776</v>
      </c>
      <c r="Q41" s="172">
        <v>247</v>
      </c>
      <c r="T41" s="172">
        <v>2036</v>
      </c>
      <c r="U41" s="172">
        <v>12</v>
      </c>
      <c r="V41" s="172" t="s">
        <v>776</v>
      </c>
      <c r="W41" s="172">
        <v>183</v>
      </c>
    </row>
    <row r="42" spans="1:23">
      <c r="A42" s="172"/>
      <c r="F42" s="172"/>
      <c r="G42" s="172"/>
      <c r="H42" s="172">
        <v>2027</v>
      </c>
      <c r="I42" s="172">
        <v>12</v>
      </c>
      <c r="J42" s="172" t="s">
        <v>792</v>
      </c>
      <c r="K42" s="172">
        <v>1000</v>
      </c>
      <c r="N42" s="172">
        <v>2032</v>
      </c>
      <c r="O42" s="172">
        <v>9</v>
      </c>
      <c r="P42" s="172" t="s">
        <v>581</v>
      </c>
      <c r="Q42" s="172">
        <v>300</v>
      </c>
    </row>
    <row r="43" spans="1:23">
      <c r="A43" s="172"/>
      <c r="F43" s="172"/>
      <c r="G43" s="172"/>
      <c r="H43" s="172">
        <v>2027</v>
      </c>
      <c r="I43" s="172">
        <v>12</v>
      </c>
      <c r="J43" s="172" t="s">
        <v>777</v>
      </c>
      <c r="K43" s="172">
        <v>73</v>
      </c>
      <c r="N43" s="172">
        <v>2032</v>
      </c>
      <c r="O43" s="172">
        <v>10</v>
      </c>
      <c r="P43" s="172" t="s">
        <v>647</v>
      </c>
      <c r="Q43" s="172">
        <v>1400</v>
      </c>
    </row>
    <row r="44" spans="1:23">
      <c r="A44" s="172"/>
      <c r="F44" s="172"/>
      <c r="G44" s="172"/>
      <c r="H44" s="172">
        <v>2027</v>
      </c>
      <c r="I44" s="172">
        <v>12</v>
      </c>
      <c r="J44" s="172" t="s">
        <v>776</v>
      </c>
      <c r="K44" s="172">
        <v>333</v>
      </c>
      <c r="N44" s="172">
        <v>2032</v>
      </c>
      <c r="O44" s="172">
        <v>12</v>
      </c>
      <c r="P44" s="172" t="s">
        <v>578</v>
      </c>
      <c r="Q44" s="172">
        <v>300</v>
      </c>
    </row>
    <row r="45" spans="1:23">
      <c r="A45" s="172"/>
      <c r="F45" s="172"/>
      <c r="G45" s="172"/>
      <c r="H45" s="172">
        <v>2028</v>
      </c>
      <c r="I45" s="172">
        <v>6</v>
      </c>
      <c r="J45" s="172" t="s">
        <v>637</v>
      </c>
      <c r="K45" s="172">
        <v>561</v>
      </c>
      <c r="N45" s="172">
        <v>2032</v>
      </c>
      <c r="O45" s="172">
        <v>12</v>
      </c>
      <c r="P45" s="172" t="s">
        <v>791</v>
      </c>
      <c r="Q45" s="172">
        <v>-500</v>
      </c>
    </row>
    <row r="46" spans="1:23">
      <c r="A46" s="172"/>
      <c r="F46" s="172"/>
      <c r="G46" s="172"/>
      <c r="H46" s="172">
        <v>2028</v>
      </c>
      <c r="I46" s="172">
        <v>6</v>
      </c>
      <c r="J46" s="172" t="s">
        <v>777</v>
      </c>
      <c r="K46" s="172">
        <v>73</v>
      </c>
      <c r="N46" s="172">
        <v>2032</v>
      </c>
      <c r="O46" s="172">
        <v>12</v>
      </c>
      <c r="P46" s="172" t="s">
        <v>790</v>
      </c>
      <c r="Q46" s="172">
        <v>500</v>
      </c>
    </row>
    <row r="47" spans="1:23">
      <c r="A47" s="172"/>
      <c r="F47" s="172"/>
      <c r="G47" s="172"/>
      <c r="H47" s="172">
        <v>2028</v>
      </c>
      <c r="I47" s="172">
        <v>6</v>
      </c>
      <c r="J47" s="172" t="s">
        <v>776</v>
      </c>
      <c r="K47" s="172">
        <v>348</v>
      </c>
      <c r="N47" s="172">
        <v>2032</v>
      </c>
      <c r="O47" s="172">
        <v>12</v>
      </c>
      <c r="P47" s="172" t="s">
        <v>789</v>
      </c>
      <c r="Q47" s="172">
        <v>-500</v>
      </c>
    </row>
    <row r="48" spans="1:23">
      <c r="A48" s="172"/>
      <c r="F48" s="172"/>
      <c r="G48" s="172"/>
      <c r="H48" s="172">
        <v>2028</v>
      </c>
      <c r="I48" s="172">
        <v>11</v>
      </c>
      <c r="J48" s="172" t="s">
        <v>788</v>
      </c>
      <c r="K48" s="172">
        <v>-39</v>
      </c>
      <c r="N48" s="172">
        <v>2032</v>
      </c>
      <c r="O48" s="172">
        <v>12</v>
      </c>
      <c r="P48" s="172" t="s">
        <v>787</v>
      </c>
      <c r="Q48" s="172">
        <v>500</v>
      </c>
    </row>
    <row r="49" spans="1:17">
      <c r="A49" s="172"/>
      <c r="F49" s="172"/>
      <c r="G49" s="172"/>
      <c r="H49" s="172">
        <v>2028</v>
      </c>
      <c r="I49" s="172">
        <v>11</v>
      </c>
      <c r="J49" s="172" t="s">
        <v>786</v>
      </c>
      <c r="K49" s="172">
        <v>141</v>
      </c>
      <c r="N49" s="172">
        <v>2032</v>
      </c>
      <c r="O49" s="172">
        <v>12</v>
      </c>
      <c r="P49" s="172" t="s">
        <v>777</v>
      </c>
      <c r="Q49" s="172">
        <v>55</v>
      </c>
    </row>
    <row r="50" spans="1:17">
      <c r="A50" s="172"/>
      <c r="F50" s="172"/>
      <c r="G50" s="172"/>
      <c r="H50" s="172">
        <v>2028</v>
      </c>
      <c r="I50" s="172">
        <v>12</v>
      </c>
      <c r="J50" s="172" t="s">
        <v>785</v>
      </c>
      <c r="K50" s="172">
        <v>-450</v>
      </c>
      <c r="N50" s="172">
        <v>2032</v>
      </c>
      <c r="O50" s="172">
        <v>12</v>
      </c>
      <c r="P50" s="172" t="s">
        <v>776</v>
      </c>
      <c r="Q50" s="172">
        <v>247</v>
      </c>
    </row>
    <row r="51" spans="1:17">
      <c r="A51" s="172"/>
      <c r="F51" s="172"/>
      <c r="G51" s="172"/>
      <c r="H51" s="172">
        <v>2028</v>
      </c>
      <c r="I51" s="172">
        <v>12</v>
      </c>
      <c r="J51" s="172" t="s">
        <v>784</v>
      </c>
      <c r="K51" s="172">
        <v>498</v>
      </c>
    </row>
    <row r="52" spans="1:17">
      <c r="A52" s="172"/>
      <c r="F52" s="172"/>
      <c r="G52" s="172"/>
      <c r="H52" s="172">
        <v>2028</v>
      </c>
      <c r="I52" s="172">
        <v>12</v>
      </c>
      <c r="J52" s="172" t="s">
        <v>783</v>
      </c>
      <c r="K52" s="172">
        <v>-500</v>
      </c>
    </row>
    <row r="53" spans="1:17">
      <c r="A53" s="172"/>
      <c r="F53" s="172"/>
      <c r="G53" s="172"/>
      <c r="H53" s="172">
        <v>2028</v>
      </c>
      <c r="I53" s="172">
        <v>12</v>
      </c>
      <c r="J53" s="172" t="s">
        <v>782</v>
      </c>
      <c r="K53" s="172">
        <v>500</v>
      </c>
    </row>
    <row r="54" spans="1:17">
      <c r="A54" s="172"/>
      <c r="F54" s="172"/>
      <c r="G54" s="172"/>
      <c r="H54" s="172">
        <v>2028</v>
      </c>
      <c r="I54" s="172">
        <v>12</v>
      </c>
      <c r="J54" s="172" t="s">
        <v>781</v>
      </c>
      <c r="K54" s="172">
        <v>-500</v>
      </c>
    </row>
    <row r="55" spans="1:17">
      <c r="A55" s="172"/>
      <c r="F55" s="172"/>
      <c r="G55" s="172"/>
      <c r="H55" s="172">
        <v>2028</v>
      </c>
      <c r="I55" s="172">
        <v>12</v>
      </c>
      <c r="J55" s="172" t="s">
        <v>780</v>
      </c>
      <c r="K55" s="172">
        <v>500</v>
      </c>
    </row>
    <row r="56" spans="1:17">
      <c r="A56" s="172"/>
      <c r="F56" s="172"/>
      <c r="G56" s="172"/>
      <c r="H56" s="172">
        <v>2028</v>
      </c>
      <c r="I56" s="172">
        <v>12</v>
      </c>
      <c r="J56" s="172" t="s">
        <v>779</v>
      </c>
      <c r="K56" s="172">
        <v>-500</v>
      </c>
    </row>
    <row r="57" spans="1:17">
      <c r="A57" s="172"/>
      <c r="F57" s="172"/>
      <c r="G57" s="172"/>
      <c r="H57" s="172">
        <v>2028</v>
      </c>
      <c r="I57" s="172">
        <v>12</v>
      </c>
      <c r="J57" s="172" t="s">
        <v>778</v>
      </c>
      <c r="K57" s="172">
        <v>500</v>
      </c>
    </row>
    <row r="58" spans="1:17">
      <c r="A58" s="172"/>
      <c r="F58" s="172"/>
      <c r="G58" s="172"/>
      <c r="H58" s="172">
        <v>2028</v>
      </c>
      <c r="I58" s="172">
        <v>12</v>
      </c>
      <c r="J58" s="172" t="s">
        <v>777</v>
      </c>
      <c r="K58" s="172">
        <v>73</v>
      </c>
    </row>
    <row r="59" spans="1:17">
      <c r="A59" s="172"/>
      <c r="F59" s="172"/>
      <c r="G59" s="172"/>
      <c r="H59" s="172">
        <v>2028</v>
      </c>
      <c r="I59" s="172">
        <v>12</v>
      </c>
      <c r="J59" s="172" t="s">
        <v>776</v>
      </c>
      <c r="K59" s="172">
        <v>347</v>
      </c>
    </row>
    <row r="60" spans="1:17">
      <c r="A60" s="172"/>
      <c r="F60" s="172"/>
      <c r="G60" s="172"/>
    </row>
    <row r="61" spans="1:17">
      <c r="A61" s="172"/>
      <c r="F61" s="172"/>
      <c r="G61" s="172"/>
    </row>
    <row r="62" spans="1:17">
      <c r="A62" s="172"/>
      <c r="F62" s="172"/>
      <c r="G62" s="172"/>
    </row>
    <row r="63" spans="1:17">
      <c r="A63" s="172"/>
      <c r="F63" s="172"/>
      <c r="G63" s="172"/>
    </row>
    <row r="64" spans="1:17">
      <c r="A64" s="172"/>
      <c r="F64" s="172"/>
      <c r="G64" s="172"/>
    </row>
    <row r="65" spans="1:7">
      <c r="A65" s="172"/>
      <c r="F65" s="172"/>
      <c r="G65" s="172"/>
    </row>
    <row r="66" spans="1:7">
      <c r="A66" s="172"/>
      <c r="F66" s="172"/>
      <c r="G66" s="172"/>
    </row>
    <row r="67" spans="1:7">
      <c r="A67" s="172"/>
      <c r="F67" s="172"/>
      <c r="G67" s="172"/>
    </row>
    <row r="68" spans="1:7">
      <c r="A68" s="172"/>
      <c r="F68" s="172"/>
      <c r="G68" s="172"/>
    </row>
    <row r="69" spans="1:7">
      <c r="A69" s="172"/>
      <c r="F69" s="172"/>
      <c r="G69" s="172"/>
    </row>
    <row r="70" spans="1:7">
      <c r="A70" s="172"/>
      <c r="F70" s="172"/>
      <c r="G70" s="172"/>
    </row>
    <row r="71" spans="1:7">
      <c r="A71" s="172"/>
      <c r="F71" s="172"/>
      <c r="G71" s="172"/>
    </row>
    <row r="72" spans="1:7">
      <c r="A72" s="172"/>
      <c r="F72" s="172"/>
      <c r="G72" s="172"/>
    </row>
    <row r="73" spans="1:7">
      <c r="A73" s="172"/>
      <c r="F73" s="172"/>
      <c r="G73" s="172"/>
    </row>
    <row r="74" spans="1:7">
      <c r="A74" s="172"/>
      <c r="F74" s="172"/>
      <c r="G74" s="172"/>
    </row>
    <row r="75" spans="1:7">
      <c r="A75" s="172"/>
      <c r="F75" s="172"/>
      <c r="G75" s="172"/>
    </row>
    <row r="76" spans="1:7">
      <c r="A76" s="172"/>
      <c r="F76" s="172"/>
      <c r="G76" s="172"/>
    </row>
    <row r="77" spans="1:7">
      <c r="A77" s="172"/>
      <c r="F77" s="172"/>
      <c r="G77" s="172"/>
    </row>
    <row r="78" spans="1:7">
      <c r="A78" s="172"/>
      <c r="F78" s="172"/>
      <c r="G78" s="172"/>
    </row>
    <row r="79" spans="1:7">
      <c r="A79" s="172"/>
      <c r="F79" s="172"/>
      <c r="G79" s="172"/>
    </row>
    <row r="80" spans="1:7">
      <c r="A80" s="172"/>
      <c r="F80" s="172"/>
      <c r="G80" s="172"/>
    </row>
    <row r="81" spans="1:11">
      <c r="A81" s="172"/>
      <c r="F81" s="172"/>
      <c r="G81" s="172"/>
    </row>
    <row r="82" spans="1:11">
      <c r="A82" s="172"/>
      <c r="F82" s="172"/>
      <c r="G82" s="172"/>
    </row>
    <row r="83" spans="1:11">
      <c r="A83" s="172"/>
      <c r="B83" s="172"/>
      <c r="C83" s="172"/>
      <c r="D83" s="172"/>
      <c r="E83" s="172">
        <f>SUM(E3:E82)</f>
        <v>7117</v>
      </c>
      <c r="F83" s="172"/>
      <c r="G83" s="172"/>
    </row>
    <row r="84" spans="1:11">
      <c r="A84" s="172"/>
      <c r="B84" s="172"/>
      <c r="C84" s="172"/>
      <c r="D84" s="172"/>
      <c r="E84" s="172"/>
      <c r="F84" s="172"/>
      <c r="G84" s="172"/>
    </row>
    <row r="85" spans="1:11">
      <c r="A85" s="172"/>
      <c r="B85" s="172"/>
      <c r="C85" s="172"/>
      <c r="D85" s="172"/>
      <c r="E85" s="172"/>
      <c r="F85" s="172"/>
      <c r="G85" s="172"/>
    </row>
    <row r="86" spans="1:11">
      <c r="A86" s="172"/>
      <c r="B86" s="172"/>
      <c r="C86" s="172"/>
      <c r="D86" s="172"/>
      <c r="E86" s="172"/>
      <c r="F86" s="172"/>
      <c r="G86" s="172"/>
    </row>
    <row r="87" spans="1:11">
      <c r="A87" s="172"/>
      <c r="B87" s="172"/>
      <c r="C87" s="172"/>
      <c r="D87" s="172"/>
      <c r="E87" s="172"/>
      <c r="F87" s="172"/>
      <c r="G87" s="172"/>
    </row>
    <row r="88" spans="1:11">
      <c r="A88" s="172"/>
      <c r="B88" s="172"/>
      <c r="C88" s="172"/>
      <c r="D88" s="172"/>
      <c r="E88" s="172"/>
      <c r="F88" s="172"/>
      <c r="G88" s="172"/>
    </row>
    <row r="89" spans="1:11">
      <c r="A89" s="172"/>
      <c r="B89" s="172"/>
      <c r="C89" s="172"/>
      <c r="D89" s="172"/>
      <c r="E89" s="172"/>
      <c r="F89" s="172"/>
      <c r="G89" s="172"/>
    </row>
    <row r="90" spans="1:11">
      <c r="K90" s="172">
        <f>SUM(K3:K89)</f>
        <v>8564</v>
      </c>
    </row>
  </sheetData>
  <phoneticPr fontId="2" type="noConversion"/>
  <conditionalFormatting sqref="B1:W1048576">
    <cfRule type="containsText" dxfId="3" priority="3" operator="containsText" text="대체">
      <formula>NOT(ISERROR(SEARCH("대체",B1)))</formula>
    </cfRule>
    <cfRule type="containsText" dxfId="2" priority="4" operator="containsText" text="폐지">
      <formula>NOT(ISERROR(SEARCH("폐지",B1)))</formula>
    </cfRule>
  </conditionalFormatting>
  <conditionalFormatting sqref="D3:E25">
    <cfRule type="expression" dxfId="1" priority="1">
      <formula>RIGHT($D3,2)="대체"</formula>
    </cfRule>
    <cfRule type="expression" dxfId="0" priority="2">
      <formula>RIGHT($D3,4)="(폐지)"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981A-360A-4D63-9B33-B31E24DEB371}">
  <sheetPr>
    <tabColor theme="6" tint="0.79998168889431442"/>
    <pageSetUpPr autoPageBreaks="0"/>
  </sheetPr>
  <dimension ref="A2:R119"/>
  <sheetViews>
    <sheetView zoomScale="55" zoomScaleNormal="55" workbookViewId="0"/>
  </sheetViews>
  <sheetFormatPr defaultColWidth="9" defaultRowHeight="21.9" customHeight="1"/>
  <cols>
    <col min="1" max="1" width="19.19921875" style="9" customWidth="1"/>
    <col min="2" max="2" width="21.3984375" style="11" customWidth="1"/>
    <col min="3" max="3" width="9" style="10" customWidth="1"/>
    <col min="4" max="4" width="19.19921875" style="9" bestFit="1" customWidth="1"/>
    <col min="5" max="5" width="47.296875" style="9" customWidth="1"/>
    <col min="6" max="6" width="9" style="9" customWidth="1"/>
    <col min="7" max="7" width="19.19921875" style="9" customWidth="1"/>
    <col min="8" max="8" width="32.296875" style="9" bestFit="1" customWidth="1"/>
    <col min="9" max="11" width="9" style="9"/>
    <col min="12" max="12" width="29.8984375" style="9" bestFit="1" customWidth="1"/>
    <col min="13" max="13" width="27.796875" style="9" bestFit="1" customWidth="1"/>
    <col min="14" max="14" width="12.796875" style="9" bestFit="1" customWidth="1"/>
    <col min="15" max="16384" width="9" style="9"/>
  </cols>
  <sheetData>
    <row r="2" spans="1:18" ht="30" customHeight="1" thickBot="1">
      <c r="A2" s="49" t="s">
        <v>412</v>
      </c>
      <c r="B2" s="49"/>
      <c r="C2" s="49"/>
      <c r="D2" s="49"/>
      <c r="E2" s="49"/>
      <c r="F2" s="49"/>
      <c r="G2" s="49"/>
      <c r="H2" s="49"/>
      <c r="L2" s="48" t="s">
        <v>411</v>
      </c>
      <c r="M2" s="48"/>
      <c r="N2" s="48"/>
      <c r="O2" s="48"/>
      <c r="P2" s="48"/>
      <c r="Q2" s="48"/>
      <c r="R2" s="48"/>
    </row>
    <row r="3" spans="1:18" ht="21.9" customHeight="1" thickTop="1">
      <c r="C3" s="47"/>
    </row>
    <row r="4" spans="1:18" ht="21.9" customHeight="1">
      <c r="A4" s="43" t="s">
        <v>410</v>
      </c>
      <c r="B4" s="10" t="s">
        <v>409</v>
      </c>
      <c r="D4" s="15" t="s">
        <v>408</v>
      </c>
      <c r="E4" s="10" t="s">
        <v>407</v>
      </c>
      <c r="G4" s="31" t="s">
        <v>406</v>
      </c>
      <c r="H4" s="10" t="s">
        <v>405</v>
      </c>
      <c r="L4" s="9" t="s">
        <v>404</v>
      </c>
    </row>
    <row r="5" spans="1:18" ht="21.9" customHeight="1">
      <c r="A5" s="43" t="s">
        <v>403</v>
      </c>
      <c r="B5" s="13" t="s">
        <v>402</v>
      </c>
      <c r="D5" s="15" t="s">
        <v>401</v>
      </c>
      <c r="E5" s="10" t="s">
        <v>400</v>
      </c>
      <c r="G5" s="31" t="s">
        <v>399</v>
      </c>
      <c r="H5" s="13" t="s">
        <v>398</v>
      </c>
      <c r="L5" s="9" t="s">
        <v>397</v>
      </c>
      <c r="M5" s="9" t="s">
        <v>396</v>
      </c>
    </row>
    <row r="6" spans="1:18" ht="21.9" customHeight="1">
      <c r="A6" s="43" t="s">
        <v>395</v>
      </c>
      <c r="B6" s="10" t="s">
        <v>394</v>
      </c>
      <c r="D6" s="15" t="s">
        <v>393</v>
      </c>
      <c r="E6" s="10" t="s">
        <v>392</v>
      </c>
      <c r="G6" s="31" t="s">
        <v>391</v>
      </c>
      <c r="H6" s="10" t="s">
        <v>390</v>
      </c>
      <c r="L6" s="9" t="s">
        <v>389</v>
      </c>
      <c r="M6" s="9" t="s">
        <v>388</v>
      </c>
    </row>
    <row r="7" spans="1:18" ht="21.9" customHeight="1">
      <c r="A7" s="43" t="s">
        <v>387</v>
      </c>
      <c r="B7" s="10" t="s">
        <v>386</v>
      </c>
      <c r="D7" s="15" t="s">
        <v>385</v>
      </c>
      <c r="E7" s="10" t="s">
        <v>384</v>
      </c>
      <c r="G7" s="31" t="s">
        <v>383</v>
      </c>
      <c r="H7" s="10" t="s">
        <v>382</v>
      </c>
      <c r="L7" s="9" t="s">
        <v>381</v>
      </c>
    </row>
    <row r="8" spans="1:18" ht="21.9" customHeight="1">
      <c r="A8" s="43" t="s">
        <v>380</v>
      </c>
      <c r="B8" s="10" t="s">
        <v>140</v>
      </c>
      <c r="D8" s="15" t="s">
        <v>379</v>
      </c>
      <c r="E8" s="10" t="s">
        <v>378</v>
      </c>
      <c r="G8" s="31" t="s">
        <v>377</v>
      </c>
      <c r="H8" s="10" t="s">
        <v>144</v>
      </c>
      <c r="L8" s="9" t="s">
        <v>376</v>
      </c>
      <c r="M8" s="9" t="s">
        <v>375</v>
      </c>
    </row>
    <row r="9" spans="1:18" ht="21.9" customHeight="1">
      <c r="A9" s="43" t="s">
        <v>374</v>
      </c>
      <c r="B9" s="10" t="s">
        <v>373</v>
      </c>
      <c r="D9" s="15" t="s">
        <v>372</v>
      </c>
      <c r="E9" s="10" t="s">
        <v>371</v>
      </c>
      <c r="G9" s="31" t="s">
        <v>370</v>
      </c>
      <c r="H9" s="10" t="s">
        <v>369</v>
      </c>
    </row>
    <row r="10" spans="1:18" ht="21.9" customHeight="1">
      <c r="A10" s="43" t="s">
        <v>368</v>
      </c>
      <c r="B10" s="10" t="s">
        <v>367</v>
      </c>
      <c r="D10" s="15" t="s">
        <v>366</v>
      </c>
      <c r="E10" s="10" t="s">
        <v>365</v>
      </c>
      <c r="G10" s="31" t="s">
        <v>364</v>
      </c>
      <c r="H10" s="10" t="s">
        <v>363</v>
      </c>
    </row>
    <row r="11" spans="1:18" ht="21.9" customHeight="1">
      <c r="A11" s="43" t="s">
        <v>362</v>
      </c>
      <c r="B11" s="10" t="s">
        <v>361</v>
      </c>
      <c r="D11" s="15" t="s">
        <v>360</v>
      </c>
      <c r="E11" s="10" t="s">
        <v>359</v>
      </c>
      <c r="G11" s="31" t="s">
        <v>358</v>
      </c>
      <c r="H11" s="10" t="s">
        <v>357</v>
      </c>
    </row>
    <row r="12" spans="1:18" ht="21.9" customHeight="1">
      <c r="A12" s="43" t="s">
        <v>356</v>
      </c>
      <c r="B12" s="10" t="s">
        <v>349</v>
      </c>
      <c r="D12" s="15" t="s">
        <v>355</v>
      </c>
      <c r="E12" s="10" t="s">
        <v>354</v>
      </c>
      <c r="G12" s="31" t="s">
        <v>353</v>
      </c>
      <c r="H12" s="10" t="s">
        <v>352</v>
      </c>
      <c r="L12" s="9" t="s">
        <v>351</v>
      </c>
    </row>
    <row r="13" spans="1:18" ht="21.9" customHeight="1">
      <c r="A13" s="43" t="s">
        <v>350</v>
      </c>
      <c r="B13" s="10" t="s">
        <v>349</v>
      </c>
      <c r="D13" s="15" t="s">
        <v>348</v>
      </c>
      <c r="E13" s="10" t="s">
        <v>347</v>
      </c>
      <c r="G13" s="31" t="s">
        <v>346</v>
      </c>
      <c r="H13" s="10" t="s">
        <v>345</v>
      </c>
      <c r="L13" s="46" t="s">
        <v>344</v>
      </c>
      <c r="M13" s="45">
        <f ca="1">TODAY()</f>
        <v>45868</v>
      </c>
      <c r="N13" s="42"/>
      <c r="O13" s="42"/>
      <c r="P13"/>
    </row>
    <row r="14" spans="1:18" ht="21.9" customHeight="1">
      <c r="A14" s="43" t="s">
        <v>343</v>
      </c>
      <c r="B14" s="10" t="s">
        <v>342</v>
      </c>
      <c r="D14" s="15" t="s">
        <v>341</v>
      </c>
      <c r="E14" s="10" t="s">
        <v>340</v>
      </c>
      <c r="G14" s="31" t="s">
        <v>339</v>
      </c>
      <c r="H14" s="10" t="s">
        <v>338</v>
      </c>
      <c r="L14" s="44"/>
      <c r="M14" s="44"/>
      <c r="N14" s="42"/>
      <c r="O14" s="42"/>
      <c r="P14"/>
    </row>
    <row r="15" spans="1:18" ht="21.9" customHeight="1">
      <c r="A15" s="43" t="s">
        <v>337</v>
      </c>
      <c r="B15" s="10" t="s">
        <v>236</v>
      </c>
      <c r="D15" s="15" t="s">
        <v>336</v>
      </c>
      <c r="E15" s="10" t="s">
        <v>118</v>
      </c>
      <c r="G15" s="31" t="s">
        <v>335</v>
      </c>
      <c r="H15" s="10" t="s">
        <v>334</v>
      </c>
      <c r="L15" s="40" t="s">
        <v>333</v>
      </c>
      <c r="M15" s="39">
        <f ca="1">DATE(YEAR(M13)-1,12,31)</f>
        <v>45657</v>
      </c>
      <c r="N15" s="42"/>
      <c r="O15" s="39" t="s">
        <v>332</v>
      </c>
      <c r="P15"/>
    </row>
    <row r="16" spans="1:18" ht="21.9" customHeight="1">
      <c r="D16" s="15" t="s">
        <v>331</v>
      </c>
      <c r="E16" s="10" t="s">
        <v>330</v>
      </c>
      <c r="G16" s="31" t="s">
        <v>329</v>
      </c>
      <c r="H16" s="10" t="s">
        <v>328</v>
      </c>
      <c r="L16" s="40" t="s">
        <v>327</v>
      </c>
      <c r="M16" s="39">
        <f ca="1">EOMONTH(M13,-1)</f>
        <v>45838</v>
      </c>
      <c r="N16" s="42"/>
      <c r="O16" s="39" t="s">
        <v>326</v>
      </c>
      <c r="P16"/>
    </row>
    <row r="17" spans="1:17" ht="21.9" customHeight="1">
      <c r="A17" s="36" t="s">
        <v>325</v>
      </c>
      <c r="B17" s="20" t="s">
        <v>324</v>
      </c>
      <c r="D17" s="15" t="s">
        <v>323</v>
      </c>
      <c r="E17" s="10" t="s">
        <v>322</v>
      </c>
      <c r="G17" s="31" t="s">
        <v>321</v>
      </c>
      <c r="H17" s="10" t="s">
        <v>320</v>
      </c>
      <c r="L17" s="40" t="s">
        <v>319</v>
      </c>
      <c r="M17" s="39">
        <f ca="1">M13-7</f>
        <v>45861</v>
      </c>
      <c r="N17" s="42"/>
      <c r="O17" s="39" t="s">
        <v>318</v>
      </c>
      <c r="P17"/>
    </row>
    <row r="18" spans="1:17" ht="21.9" customHeight="1">
      <c r="A18" s="41" t="s">
        <v>317</v>
      </c>
      <c r="B18" s="20" t="s">
        <v>316</v>
      </c>
      <c r="D18" s="15" t="s">
        <v>315</v>
      </c>
      <c r="E18" s="10" t="s">
        <v>314</v>
      </c>
      <c r="G18" s="31" t="s">
        <v>313</v>
      </c>
      <c r="H18" s="10" t="s">
        <v>312</v>
      </c>
      <c r="L18" s="40" t="s">
        <v>311</v>
      </c>
      <c r="M18" s="39">
        <f ca="1">M13-(WEEKDAY(M13,16))</f>
        <v>45863</v>
      </c>
      <c r="O18" s="39" t="s">
        <v>310</v>
      </c>
    </row>
    <row r="19" spans="1:17" ht="21.9" customHeight="1">
      <c r="A19" s="36" t="s">
        <v>292</v>
      </c>
      <c r="B19" s="20" t="s">
        <v>309</v>
      </c>
      <c r="D19" s="15" t="s">
        <v>308</v>
      </c>
      <c r="E19" s="10" t="s">
        <v>307</v>
      </c>
      <c r="G19" s="31" t="s">
        <v>306</v>
      </c>
      <c r="H19" s="10" t="s">
        <v>305</v>
      </c>
    </row>
    <row r="20" spans="1:17" ht="21.9" customHeight="1">
      <c r="A20" s="36" t="s">
        <v>283</v>
      </c>
      <c r="B20" s="20" t="s">
        <v>304</v>
      </c>
      <c r="D20" s="15" t="s">
        <v>303</v>
      </c>
      <c r="E20" s="10" t="s">
        <v>302</v>
      </c>
      <c r="G20" s="31" t="s">
        <v>301</v>
      </c>
      <c r="H20" s="10" t="s">
        <v>300</v>
      </c>
      <c r="L20" s="30" t="s">
        <v>299</v>
      </c>
      <c r="M20" s="29" t="s">
        <v>298</v>
      </c>
      <c r="N20" s="38">
        <f ca="1">TODAY()</f>
        <v>45868</v>
      </c>
      <c r="O20" s="37" t="s">
        <v>297</v>
      </c>
      <c r="P20" s="26"/>
      <c r="Q20" s="26"/>
    </row>
    <row r="21" spans="1:17" ht="21.9" customHeight="1">
      <c r="A21" s="36" t="s">
        <v>296</v>
      </c>
      <c r="B21" s="20" t="s">
        <v>295</v>
      </c>
      <c r="D21" s="15" t="s">
        <v>294</v>
      </c>
      <c r="E21" s="10" t="s">
        <v>293</v>
      </c>
      <c r="G21" s="31" t="s">
        <v>292</v>
      </c>
      <c r="H21" s="10" t="s">
        <v>291</v>
      </c>
      <c r="L21" s="30" t="s">
        <v>290</v>
      </c>
      <c r="M21" s="29" t="s">
        <v>289</v>
      </c>
      <c r="N21" s="35">
        <f ca="1">WORKDAY(TODAY(),-1)</f>
        <v>45867</v>
      </c>
      <c r="O21" s="34" t="s">
        <v>288</v>
      </c>
      <c r="P21" s="26"/>
      <c r="Q21" s="26"/>
    </row>
    <row r="22" spans="1:17" ht="21.9" customHeight="1">
      <c r="A22" s="36" t="s">
        <v>287</v>
      </c>
      <c r="B22" s="20" t="s">
        <v>286</v>
      </c>
      <c r="D22" s="15" t="s">
        <v>285</v>
      </c>
      <c r="E22" s="10" t="s">
        <v>284</v>
      </c>
      <c r="G22" s="31" t="s">
        <v>283</v>
      </c>
      <c r="H22" s="10" t="s">
        <v>282</v>
      </c>
      <c r="L22" s="30" t="s">
        <v>281</v>
      </c>
      <c r="M22" s="29" t="s">
        <v>280</v>
      </c>
      <c r="N22" s="35">
        <f ca="1">EDATE(TODAY(),-1)</f>
        <v>45838</v>
      </c>
      <c r="O22" s="34" t="s">
        <v>279</v>
      </c>
      <c r="P22" s="26"/>
      <c r="Q22" s="26"/>
    </row>
    <row r="23" spans="1:17" ht="21.9" customHeight="1">
      <c r="A23" s="36" t="s">
        <v>278</v>
      </c>
      <c r="B23" s="20" t="s">
        <v>277</v>
      </c>
      <c r="D23" s="15" t="s">
        <v>276</v>
      </c>
      <c r="E23" s="10" t="s">
        <v>275</v>
      </c>
      <c r="G23" s="31" t="s">
        <v>274</v>
      </c>
      <c r="H23" s="10" t="s">
        <v>273</v>
      </c>
      <c r="L23" s="30" t="s">
        <v>272</v>
      </c>
      <c r="M23" s="29" t="s">
        <v>271</v>
      </c>
      <c r="N23" s="35">
        <f ca="1">EOMONTH(TODAY(),-1)</f>
        <v>45838</v>
      </c>
      <c r="O23" s="34" t="s">
        <v>270</v>
      </c>
      <c r="P23" s="26"/>
      <c r="Q23" s="26"/>
    </row>
    <row r="24" spans="1:17" ht="21.9" customHeight="1">
      <c r="B24" s="9"/>
      <c r="D24" s="15" t="s">
        <v>269</v>
      </c>
      <c r="E24" s="10" t="s">
        <v>268</v>
      </c>
      <c r="G24" s="31" t="s">
        <v>267</v>
      </c>
      <c r="H24" s="10" t="s">
        <v>266</v>
      </c>
      <c r="L24" s="30" t="s">
        <v>265</v>
      </c>
      <c r="M24" s="29" t="s">
        <v>264</v>
      </c>
      <c r="N24" s="35">
        <f>DATE(2018,1,1)</f>
        <v>43101</v>
      </c>
      <c r="O24" s="34" t="s">
        <v>263</v>
      </c>
      <c r="P24" s="26"/>
      <c r="Q24" s="26"/>
    </row>
    <row r="25" spans="1:17" ht="21.9" customHeight="1">
      <c r="B25" s="20"/>
      <c r="D25" s="15" t="s">
        <v>262</v>
      </c>
      <c r="E25" s="10" t="s">
        <v>261</v>
      </c>
      <c r="G25" s="31" t="s">
        <v>260</v>
      </c>
      <c r="H25" s="10" t="s">
        <v>259</v>
      </c>
      <c r="L25" s="30" t="s">
        <v>258</v>
      </c>
      <c r="M25" s="29" t="s">
        <v>257</v>
      </c>
      <c r="N25" s="33">
        <f ca="1">YEAR(TODAY())</f>
        <v>2025</v>
      </c>
      <c r="O25" s="32" t="s">
        <v>256</v>
      </c>
      <c r="P25" s="26"/>
      <c r="Q25" s="26"/>
    </row>
    <row r="26" spans="1:17" ht="21.9" customHeight="1">
      <c r="B26" s="20"/>
      <c r="D26" s="11"/>
      <c r="E26" s="10"/>
      <c r="G26" s="31" t="s">
        <v>255</v>
      </c>
      <c r="H26" s="10" t="s">
        <v>254</v>
      </c>
      <c r="L26" s="30" t="s">
        <v>253</v>
      </c>
      <c r="M26" s="29" t="s">
        <v>252</v>
      </c>
      <c r="N26" s="28">
        <f ca="1">MONTH(TODAY())</f>
        <v>7</v>
      </c>
      <c r="O26" s="27" t="s">
        <v>251</v>
      </c>
      <c r="P26" s="26"/>
      <c r="Q26" s="26"/>
    </row>
    <row r="27" spans="1:17" ht="21.9" customHeight="1">
      <c r="B27" s="20"/>
      <c r="D27" s="15" t="s">
        <v>250</v>
      </c>
      <c r="E27" s="10" t="s">
        <v>249</v>
      </c>
      <c r="L27" s="30" t="s">
        <v>248</v>
      </c>
      <c r="M27" s="29" t="s">
        <v>247</v>
      </c>
      <c r="N27" s="28">
        <f ca="1">DAY(TODAY())</f>
        <v>30</v>
      </c>
      <c r="O27" s="27" t="s">
        <v>246</v>
      </c>
      <c r="P27" s="26"/>
      <c r="Q27" s="26"/>
    </row>
    <row r="28" spans="1:17" ht="21.9" customHeight="1">
      <c r="A28" s="25" t="s">
        <v>245</v>
      </c>
      <c r="B28" s="20"/>
      <c r="D28" s="15" t="s">
        <v>244</v>
      </c>
      <c r="E28" s="10" t="s">
        <v>243</v>
      </c>
      <c r="G28" s="18" t="s">
        <v>242</v>
      </c>
      <c r="H28" s="10" t="s">
        <v>241</v>
      </c>
    </row>
    <row r="29" spans="1:17" ht="21.9" customHeight="1">
      <c r="A29" s="24" t="s">
        <v>240</v>
      </c>
      <c r="B29" s="20"/>
      <c r="D29" s="15" t="s">
        <v>239</v>
      </c>
      <c r="E29" s="10" t="s">
        <v>238</v>
      </c>
      <c r="G29" s="18" t="s">
        <v>237</v>
      </c>
      <c r="H29" s="10" t="s">
        <v>236</v>
      </c>
    </row>
    <row r="30" spans="1:17" ht="21.9" customHeight="1">
      <c r="D30" s="15" t="s">
        <v>235</v>
      </c>
      <c r="E30" s="10" t="s">
        <v>234</v>
      </c>
      <c r="G30" s="18" t="s">
        <v>233</v>
      </c>
      <c r="H30" s="10" t="s">
        <v>232</v>
      </c>
      <c r="L30" s="9" t="s">
        <v>231</v>
      </c>
    </row>
    <row r="31" spans="1:17" ht="21.9" customHeight="1">
      <c r="D31" s="15" t="s">
        <v>230</v>
      </c>
      <c r="E31" s="10" t="s">
        <v>225</v>
      </c>
      <c r="G31" s="18" t="s">
        <v>229</v>
      </c>
      <c r="H31" s="10" t="s">
        <v>228</v>
      </c>
      <c r="L31" s="9" t="s">
        <v>227</v>
      </c>
    </row>
    <row r="32" spans="1:17" ht="21.9" customHeight="1">
      <c r="D32" s="15" t="s">
        <v>226</v>
      </c>
      <c r="E32" s="10" t="s">
        <v>225</v>
      </c>
      <c r="G32" s="18" t="s">
        <v>224</v>
      </c>
      <c r="H32" s="10" t="s">
        <v>223</v>
      </c>
      <c r="L32" s="23" t="s">
        <v>222</v>
      </c>
    </row>
    <row r="33" spans="4:12" ht="21.9" customHeight="1">
      <c r="D33" s="15" t="s">
        <v>221</v>
      </c>
      <c r="E33" s="10" t="s">
        <v>220</v>
      </c>
      <c r="G33" s="18" t="s">
        <v>219</v>
      </c>
      <c r="H33" s="10" t="s">
        <v>218</v>
      </c>
      <c r="L33" s="23" t="s">
        <v>217</v>
      </c>
    </row>
    <row r="34" spans="4:12" ht="21.6" customHeight="1">
      <c r="D34" s="15" t="s">
        <v>216</v>
      </c>
      <c r="E34" s="10" t="s">
        <v>215</v>
      </c>
      <c r="G34" s="18" t="s">
        <v>183</v>
      </c>
      <c r="H34" s="13" t="s">
        <v>182</v>
      </c>
      <c r="L34" s="23" t="s">
        <v>214</v>
      </c>
    </row>
    <row r="35" spans="4:12" ht="21.9" customHeight="1">
      <c r="D35" s="15" t="s">
        <v>213</v>
      </c>
      <c r="E35" s="10" t="s">
        <v>212</v>
      </c>
      <c r="G35" s="18" t="s">
        <v>211</v>
      </c>
      <c r="H35" s="13" t="s">
        <v>210</v>
      </c>
    </row>
    <row r="36" spans="4:12" ht="21.9" customHeight="1">
      <c r="D36" s="15" t="s">
        <v>209</v>
      </c>
      <c r="E36" s="10" t="s">
        <v>208</v>
      </c>
      <c r="F36" s="22"/>
      <c r="G36" s="18" t="s">
        <v>207</v>
      </c>
      <c r="H36" s="13" t="s">
        <v>206</v>
      </c>
    </row>
    <row r="37" spans="4:12" ht="21.9" customHeight="1">
      <c r="D37" s="15" t="s">
        <v>205</v>
      </c>
      <c r="E37" s="10" t="s">
        <v>204</v>
      </c>
      <c r="F37" s="22"/>
      <c r="G37" s="18" t="s">
        <v>203</v>
      </c>
      <c r="H37" s="13" t="s">
        <v>202</v>
      </c>
    </row>
    <row r="38" spans="4:12" ht="21.9" customHeight="1">
      <c r="D38" s="21" t="s">
        <v>201</v>
      </c>
      <c r="E38" s="1083" t="s">
        <v>200</v>
      </c>
      <c r="G38" s="18" t="s">
        <v>199</v>
      </c>
      <c r="H38" s="13" t="s">
        <v>198</v>
      </c>
    </row>
    <row r="39" spans="4:12" ht="21.9" customHeight="1">
      <c r="D39" s="21"/>
      <c r="E39" s="1083"/>
      <c r="G39" s="18" t="s">
        <v>197</v>
      </c>
      <c r="H39" s="20" t="s">
        <v>196</v>
      </c>
    </row>
    <row r="40" spans="4:12" ht="21.9" customHeight="1">
      <c r="D40" s="15" t="s">
        <v>195</v>
      </c>
      <c r="E40" s="10" t="s">
        <v>194</v>
      </c>
      <c r="G40" s="18" t="s">
        <v>193</v>
      </c>
      <c r="H40" s="20" t="s">
        <v>192</v>
      </c>
    </row>
    <row r="41" spans="4:12" ht="21.9" customHeight="1">
      <c r="D41" s="15" t="s">
        <v>191</v>
      </c>
      <c r="E41" s="10" t="s">
        <v>190</v>
      </c>
      <c r="G41" s="18" t="s">
        <v>189</v>
      </c>
      <c r="H41" s="13" t="s">
        <v>188</v>
      </c>
    </row>
    <row r="42" spans="4:12" ht="21.9" customHeight="1">
      <c r="D42" s="1084" t="s">
        <v>187</v>
      </c>
      <c r="E42" s="1083" t="s">
        <v>186</v>
      </c>
      <c r="G42" s="18" t="s">
        <v>185</v>
      </c>
      <c r="H42" s="13" t="s">
        <v>184</v>
      </c>
    </row>
    <row r="43" spans="4:12" ht="21.9" customHeight="1">
      <c r="D43" s="1084"/>
      <c r="E43" s="1083"/>
      <c r="G43" s="18" t="s">
        <v>183</v>
      </c>
      <c r="H43" s="10" t="s">
        <v>182</v>
      </c>
    </row>
    <row r="44" spans="4:12" ht="21.9" customHeight="1">
      <c r="D44" s="15" t="s">
        <v>181</v>
      </c>
      <c r="E44" s="19" t="s">
        <v>180</v>
      </c>
      <c r="G44" s="18" t="s">
        <v>179</v>
      </c>
      <c r="H44" s="10" t="s">
        <v>178</v>
      </c>
    </row>
    <row r="45" spans="4:12" ht="21.9" customHeight="1">
      <c r="G45" s="18" t="s">
        <v>177</v>
      </c>
      <c r="H45" s="10" t="s">
        <v>176</v>
      </c>
    </row>
    <row r="46" spans="4:12" ht="21.9" customHeight="1">
      <c r="D46" s="15" t="s">
        <v>175</v>
      </c>
      <c r="E46" s="10" t="s">
        <v>174</v>
      </c>
    </row>
    <row r="47" spans="4:12" ht="21.9" customHeight="1">
      <c r="D47" s="15" t="s">
        <v>173</v>
      </c>
      <c r="E47" s="10" t="s">
        <v>172</v>
      </c>
      <c r="G47" s="12" t="s">
        <v>171</v>
      </c>
    </row>
    <row r="48" spans="4:12" ht="21.9" customHeight="1">
      <c r="D48" s="15" t="s">
        <v>170</v>
      </c>
      <c r="E48" s="10" t="s">
        <v>169</v>
      </c>
      <c r="G48" s="12" t="s">
        <v>168</v>
      </c>
      <c r="H48" s="10" t="s">
        <v>114</v>
      </c>
    </row>
    <row r="49" spans="4:8" ht="21.9" customHeight="1">
      <c r="D49" s="15" t="s">
        <v>167</v>
      </c>
      <c r="E49" s="10" t="s">
        <v>166</v>
      </c>
      <c r="G49" s="12" t="s">
        <v>165</v>
      </c>
      <c r="H49" s="10" t="s">
        <v>164</v>
      </c>
    </row>
    <row r="50" spans="4:8" ht="21.9" customHeight="1">
      <c r="D50" s="15" t="s">
        <v>163</v>
      </c>
      <c r="E50" s="10" t="s">
        <v>162</v>
      </c>
      <c r="G50" s="12" t="s">
        <v>161</v>
      </c>
      <c r="H50" s="10" t="s">
        <v>160</v>
      </c>
    </row>
    <row r="51" spans="4:8" ht="21.9" customHeight="1">
      <c r="D51" s="15" t="s">
        <v>159</v>
      </c>
      <c r="E51" s="13" t="s">
        <v>158</v>
      </c>
      <c r="G51" s="12" t="s">
        <v>157</v>
      </c>
      <c r="H51" s="10" t="s">
        <v>156</v>
      </c>
    </row>
    <row r="52" spans="4:8" ht="21.9" customHeight="1">
      <c r="D52" s="15" t="s">
        <v>155</v>
      </c>
      <c r="E52" s="10" t="s">
        <v>154</v>
      </c>
      <c r="G52" s="12" t="s">
        <v>153</v>
      </c>
      <c r="H52" s="10" t="s">
        <v>152</v>
      </c>
    </row>
    <row r="53" spans="4:8" ht="21.9" customHeight="1">
      <c r="D53" s="15" t="s">
        <v>151</v>
      </c>
      <c r="E53" s="10" t="s">
        <v>150</v>
      </c>
      <c r="H53" s="10"/>
    </row>
    <row r="54" spans="4:8" ht="21.9" customHeight="1">
      <c r="D54" s="15" t="s">
        <v>149</v>
      </c>
      <c r="E54" s="13" t="s">
        <v>148</v>
      </c>
      <c r="G54" s="12" t="s">
        <v>147</v>
      </c>
      <c r="H54" s="10" t="s">
        <v>146</v>
      </c>
    </row>
    <row r="55" spans="4:8" ht="21.9" customHeight="1">
      <c r="D55" s="15" t="s">
        <v>145</v>
      </c>
      <c r="E55" s="10" t="s">
        <v>144</v>
      </c>
      <c r="G55" s="12" t="s">
        <v>143</v>
      </c>
      <c r="H55" s="10" t="s">
        <v>142</v>
      </c>
    </row>
    <row r="56" spans="4:8" ht="21.9" customHeight="1">
      <c r="D56" s="15" t="s">
        <v>141</v>
      </c>
      <c r="E56" s="10" t="s">
        <v>140</v>
      </c>
      <c r="G56" s="12" t="s">
        <v>139</v>
      </c>
      <c r="H56" s="17" t="s">
        <v>138</v>
      </c>
    </row>
    <row r="57" spans="4:8" ht="21.9" customHeight="1">
      <c r="D57" s="15" t="s">
        <v>137</v>
      </c>
      <c r="E57" s="10" t="s">
        <v>136</v>
      </c>
      <c r="G57" s="12" t="s">
        <v>135</v>
      </c>
      <c r="H57" s="17" t="s">
        <v>134</v>
      </c>
    </row>
    <row r="58" spans="4:8" ht="21.9" customHeight="1">
      <c r="D58" s="15" t="s">
        <v>133</v>
      </c>
      <c r="E58" s="16" t="s">
        <v>132</v>
      </c>
    </row>
    <row r="59" spans="4:8" ht="21.9" customHeight="1">
      <c r="D59" s="15" t="s">
        <v>131</v>
      </c>
      <c r="E59" s="10" t="s">
        <v>130</v>
      </c>
      <c r="G59" s="12" t="s">
        <v>129</v>
      </c>
      <c r="H59" s="10" t="s">
        <v>128</v>
      </c>
    </row>
    <row r="60" spans="4:8" ht="21.9" customHeight="1">
      <c r="D60" s="15" t="s">
        <v>127</v>
      </c>
      <c r="E60" s="10" t="s">
        <v>126</v>
      </c>
      <c r="G60" s="12" t="s">
        <v>125</v>
      </c>
      <c r="H60" s="10" t="s">
        <v>124</v>
      </c>
    </row>
    <row r="61" spans="4:8" ht="21.9" customHeight="1">
      <c r="D61" s="15" t="s">
        <v>123</v>
      </c>
      <c r="E61" s="10" t="s">
        <v>122</v>
      </c>
      <c r="G61" s="12" t="s">
        <v>121</v>
      </c>
      <c r="H61" s="10" t="s">
        <v>120</v>
      </c>
    </row>
    <row r="62" spans="4:8" ht="21.9" customHeight="1">
      <c r="D62" s="15" t="s">
        <v>119</v>
      </c>
      <c r="E62" s="10" t="s">
        <v>118</v>
      </c>
      <c r="G62" s="12" t="s">
        <v>117</v>
      </c>
      <c r="H62" s="10" t="s">
        <v>116</v>
      </c>
    </row>
    <row r="63" spans="4:8" ht="21.9" customHeight="1">
      <c r="D63" s="15" t="s">
        <v>115</v>
      </c>
      <c r="E63" s="10" t="s">
        <v>114</v>
      </c>
    </row>
    <row r="64" spans="4:8" ht="21.9" customHeight="1">
      <c r="D64" s="15" t="s">
        <v>113</v>
      </c>
      <c r="E64" s="10" t="s">
        <v>112</v>
      </c>
      <c r="G64" s="12" t="s">
        <v>63</v>
      </c>
      <c r="H64" s="10" t="s">
        <v>62</v>
      </c>
    </row>
    <row r="65" spans="2:9" ht="21.9" customHeight="1">
      <c r="D65" s="15" t="s">
        <v>111</v>
      </c>
      <c r="E65" s="10" t="s">
        <v>110</v>
      </c>
      <c r="G65" s="12" t="s">
        <v>109</v>
      </c>
      <c r="H65" s="10" t="s">
        <v>108</v>
      </c>
    </row>
    <row r="66" spans="2:9" ht="21.9" customHeight="1">
      <c r="D66" s="15" t="s">
        <v>107</v>
      </c>
      <c r="E66" s="13" t="s">
        <v>106</v>
      </c>
      <c r="G66" s="12" t="s">
        <v>105</v>
      </c>
      <c r="H66" s="10" t="s">
        <v>104</v>
      </c>
    </row>
    <row r="67" spans="2:9" ht="21.9" customHeight="1">
      <c r="D67" s="15" t="s">
        <v>103</v>
      </c>
      <c r="E67" s="10" t="s">
        <v>102</v>
      </c>
      <c r="G67" s="12" t="s">
        <v>101</v>
      </c>
      <c r="H67" s="10" t="s">
        <v>100</v>
      </c>
      <c r="I67" s="10"/>
    </row>
    <row r="68" spans="2:9" ht="21.9" customHeight="1">
      <c r="D68" s="15" t="s">
        <v>99</v>
      </c>
      <c r="E68" s="10" t="s">
        <v>98</v>
      </c>
      <c r="G68" s="12" t="s">
        <v>97</v>
      </c>
      <c r="H68" s="10" t="s">
        <v>96</v>
      </c>
    </row>
    <row r="69" spans="2:9" ht="21.9" customHeight="1">
      <c r="D69" s="15" t="s">
        <v>95</v>
      </c>
      <c r="E69" s="10" t="s">
        <v>94</v>
      </c>
      <c r="G69" s="12" t="s">
        <v>93</v>
      </c>
      <c r="H69" s="10" t="s">
        <v>92</v>
      </c>
    </row>
    <row r="70" spans="2:9" ht="21.9" customHeight="1">
      <c r="D70" s="15" t="s">
        <v>91</v>
      </c>
      <c r="E70" s="10" t="s">
        <v>90</v>
      </c>
      <c r="G70" s="12" t="s">
        <v>89</v>
      </c>
      <c r="H70" s="10" t="s">
        <v>88</v>
      </c>
    </row>
    <row r="71" spans="2:9" ht="21.9" customHeight="1">
      <c r="B71" s="1"/>
      <c r="D71" s="15" t="s">
        <v>87</v>
      </c>
      <c r="E71" s="10" t="s">
        <v>86</v>
      </c>
      <c r="G71" s="12" t="s">
        <v>85</v>
      </c>
      <c r="H71" s="10" t="s">
        <v>84</v>
      </c>
    </row>
    <row r="72" spans="2:9" ht="21.9" customHeight="1">
      <c r="B72" s="14"/>
      <c r="G72" s="12" t="s">
        <v>83</v>
      </c>
      <c r="H72" s="10"/>
    </row>
    <row r="73" spans="2:9" ht="21.9" customHeight="1">
      <c r="G73" s="12" t="s">
        <v>65</v>
      </c>
      <c r="H73" s="10" t="s">
        <v>82</v>
      </c>
    </row>
    <row r="74" spans="2:9" ht="21.9" customHeight="1">
      <c r="G74" s="12" t="s">
        <v>81</v>
      </c>
      <c r="H74" s="10" t="s">
        <v>80</v>
      </c>
    </row>
    <row r="75" spans="2:9" ht="21.9" customHeight="1">
      <c r="G75" s="12" t="s">
        <v>79</v>
      </c>
      <c r="H75" s="13" t="s">
        <v>78</v>
      </c>
    </row>
    <row r="77" spans="2:9" ht="21.9" customHeight="1">
      <c r="G77" s="12" t="s">
        <v>77</v>
      </c>
      <c r="H77" s="10" t="s">
        <v>76</v>
      </c>
    </row>
    <row r="78" spans="2:9" ht="21.9" customHeight="1">
      <c r="G78" s="12" t="s">
        <v>75</v>
      </c>
      <c r="H78" s="10" t="s">
        <v>74</v>
      </c>
    </row>
    <row r="79" spans="2:9" ht="21.9" customHeight="1">
      <c r="G79" s="12" t="s">
        <v>73</v>
      </c>
      <c r="H79" s="10" t="s">
        <v>72</v>
      </c>
    </row>
    <row r="80" spans="2:9" ht="21.9" customHeight="1">
      <c r="G80" s="12" t="s">
        <v>71</v>
      </c>
      <c r="H80" s="10" t="s">
        <v>70</v>
      </c>
    </row>
    <row r="81" spans="7:8" ht="21.9" customHeight="1">
      <c r="G81" s="12" t="s">
        <v>69</v>
      </c>
      <c r="H81" s="10" t="s">
        <v>68</v>
      </c>
    </row>
    <row r="82" spans="7:8" ht="21.9" customHeight="1">
      <c r="G82" s="12" t="s">
        <v>67</v>
      </c>
      <c r="H82" s="10" t="s">
        <v>66</v>
      </c>
    </row>
    <row r="118" spans="2:3" ht="21.9" customHeight="1">
      <c r="B118" s="12" t="s">
        <v>65</v>
      </c>
      <c r="C118" s="10" t="s">
        <v>64</v>
      </c>
    </row>
    <row r="119" spans="2:3" ht="21.9" customHeight="1">
      <c r="B119" s="12" t="s">
        <v>63</v>
      </c>
      <c r="C119" s="10" t="s">
        <v>62</v>
      </c>
    </row>
  </sheetData>
  <mergeCells count="3">
    <mergeCell ref="E38:E39"/>
    <mergeCell ref="D42:D43"/>
    <mergeCell ref="E42:E4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Estimate Logic - HRSG</vt:lpstr>
      <vt:lpstr>Estimate Logic - BOP</vt:lpstr>
      <vt:lpstr>Estimate Logic - 비용</vt:lpstr>
      <vt:lpstr>Valuation ▶</vt:lpstr>
      <vt:lpstr>EVEBITDA</vt:lpstr>
      <vt:lpstr>Estimate ▶</vt:lpstr>
      <vt:lpstr>Expected IS</vt:lpstr>
      <vt:lpstr>Case Summary</vt:lpstr>
      <vt:lpstr>요약 재무제표</vt:lpstr>
      <vt:lpstr>HRSG</vt:lpstr>
      <vt:lpstr>Boiler</vt:lpstr>
      <vt:lpstr>BOP</vt:lpstr>
      <vt:lpstr>비용 세부항목 추정</vt:lpstr>
      <vt:lpstr>기존수주 매출</vt:lpstr>
      <vt:lpstr>BOP 수주이력</vt:lpstr>
      <vt:lpstr>BOP 수주 시나리오</vt:lpstr>
      <vt:lpstr>수주내역</vt:lpstr>
      <vt:lpstr>HRSG 수주 시나리오</vt:lpstr>
      <vt:lpstr>재무분석</vt:lpstr>
      <vt:lpstr>Raw ▶</vt:lpstr>
      <vt:lpstr>BS (Yearly)</vt:lpstr>
      <vt:lpstr>IS (Yearly)</vt:lpstr>
      <vt:lpstr>CFS (Yearly)</vt:lpstr>
      <vt:lpstr>국내 HRSG 프로젝트</vt:lpstr>
      <vt:lpstr>CCPP 프로젝트 목록</vt:lpstr>
      <vt:lpstr>정부주도사업</vt:lpstr>
      <vt:lpstr>엑셀 단축키 모음</vt:lpstr>
      <vt:lpstr>'요약 재무제표'!Com_Data_sum_035900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정예윤</dc:creator>
  <cp:lastModifiedBy>충혁 이</cp:lastModifiedBy>
  <cp:lastPrinted>2025-07-29T13:58:03Z</cp:lastPrinted>
  <dcterms:created xsi:type="dcterms:W3CDTF">2024-11-20T12:30:20Z</dcterms:created>
  <dcterms:modified xsi:type="dcterms:W3CDTF">2025-07-30T14:55:25Z</dcterms:modified>
</cp:coreProperties>
</file>