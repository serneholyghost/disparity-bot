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황선우\Desktop\"/>
    </mc:Choice>
  </mc:AlternateContent>
  <xr:revisionPtr revIDLastSave="0" documentId="8_{F4AA05E7-9847-4375-ACF6-5BA2AAEF8EF9}" xr6:coauthVersionLast="47" xr6:coauthVersionMax="47" xr10:uidLastSave="{00000000-0000-0000-0000-000000000000}"/>
  <bookViews>
    <workbookView xWindow="-103" yWindow="-103" windowWidth="24892" windowHeight="14914" activeTab="2" xr2:uid="{2CA9C19B-88A4-4BB1-85E7-45587754E7AE}"/>
  </bookViews>
  <sheets>
    <sheet name="Estimate ▶" sheetId="7" r:id="rId1"/>
    <sheet name="Valuation" sheetId="8" r:id="rId2"/>
    <sheet name="매출 종합" sheetId="6" r:id="rId3"/>
    <sheet name="매출 추정" sheetId="14" r:id="rId4"/>
    <sheet name="비용추정" sheetId="9" r:id="rId5"/>
    <sheet name="Row data ▶" sheetId="10" r:id="rId6"/>
    <sheet name="BS_분기" sheetId="1" r:id="rId7"/>
    <sheet name="IS_분기" sheetId="3" r:id="rId8"/>
    <sheet name="CFS_분기" sheetId="4" r:id="rId9"/>
    <sheet name="BS 결산" sheetId="11" r:id="rId10"/>
    <sheet name="IS 결산" sheetId="12" r:id="rId11"/>
    <sheet name="CFS 결산"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8" l="1"/>
  <c r="I25" i="8"/>
  <c r="I24" i="8"/>
  <c r="C8" i="8" s="1"/>
  <c r="I23" i="8"/>
  <c r="I22" i="8"/>
  <c r="I21" i="8"/>
  <c r="Q5" i="14"/>
  <c r="K6" i="8" l="1"/>
  <c r="F38" i="9"/>
  <c r="G38" i="9" s="1"/>
  <c r="E26" i="9"/>
  <c r="F26" i="9" s="1"/>
  <c r="G26" i="9" s="1"/>
  <c r="F18" i="9"/>
  <c r="E49" i="9"/>
  <c r="E33" i="9"/>
  <c r="E38" i="9"/>
  <c r="E18" i="9"/>
  <c r="E19" i="9" s="1"/>
  <c r="E16" i="9"/>
  <c r="E7" i="9"/>
  <c r="E8" i="9" s="1"/>
  <c r="E6" i="9"/>
  <c r="Q20" i="14"/>
  <c r="Q21" i="14" s="1"/>
  <c r="Q47" i="14"/>
  <c r="R47" i="14" s="1"/>
  <c r="S47" i="14" s="1"/>
  <c r="T47" i="14" s="1"/>
  <c r="U47" i="14" s="1"/>
  <c r="V47" i="14" s="1"/>
  <c r="W47" i="14" s="1"/>
  <c r="X47" i="14" s="1"/>
  <c r="X48" i="14" s="1"/>
  <c r="P48" i="14"/>
  <c r="O48" i="14"/>
  <c r="N48" i="14"/>
  <c r="M48" i="14"/>
  <c r="L48" i="14"/>
  <c r="K48" i="14"/>
  <c r="J48" i="14"/>
  <c r="I48" i="14"/>
  <c r="Q31" i="14"/>
  <c r="R31" i="14" s="1"/>
  <c r="P32" i="14"/>
  <c r="O32" i="14"/>
  <c r="N32" i="14"/>
  <c r="M32" i="14"/>
  <c r="L32" i="14"/>
  <c r="K32" i="14"/>
  <c r="J32" i="14"/>
  <c r="I32" i="14"/>
  <c r="P21" i="14"/>
  <c r="O21" i="14"/>
  <c r="N21" i="14"/>
  <c r="M21" i="14"/>
  <c r="L21" i="14"/>
  <c r="K21" i="14"/>
  <c r="J21" i="14"/>
  <c r="I21" i="14"/>
  <c r="P6" i="14"/>
  <c r="O6" i="14"/>
  <c r="N6" i="14"/>
  <c r="M6" i="14"/>
  <c r="L6" i="14"/>
  <c r="K6" i="14"/>
  <c r="J6" i="14"/>
  <c r="I6" i="14"/>
  <c r="Q6" i="14"/>
  <c r="L7" i="14"/>
  <c r="L13" i="14" s="1"/>
  <c r="G33" i="9" l="1"/>
  <c r="G18" i="9"/>
  <c r="F33" i="9"/>
  <c r="R20" i="14"/>
  <c r="S20" i="14" s="1"/>
  <c r="S21" i="14" s="1"/>
  <c r="T20" i="14"/>
  <c r="Q48" i="14"/>
  <c r="R48" i="14"/>
  <c r="S48" i="14"/>
  <c r="T48" i="14"/>
  <c r="U48" i="14"/>
  <c r="V48" i="14"/>
  <c r="R5" i="14"/>
  <c r="S5" i="14" s="1"/>
  <c r="T5" i="14" s="1"/>
  <c r="U5" i="14" s="1"/>
  <c r="V5" i="14" s="1"/>
  <c r="W5" i="14" s="1"/>
  <c r="X5" i="14" s="1"/>
  <c r="W48" i="14"/>
  <c r="R32" i="14"/>
  <c r="S31" i="14"/>
  <c r="T31" i="14" s="1"/>
  <c r="U31" i="14" s="1"/>
  <c r="V31" i="14" s="1"/>
  <c r="W31" i="14" s="1"/>
  <c r="X31" i="14" s="1"/>
  <c r="Q32" i="14"/>
  <c r="S32" i="14" l="1"/>
  <c r="R21" i="14"/>
  <c r="U20" i="14"/>
  <c r="T21" i="14"/>
  <c r="T32" i="14"/>
  <c r="R6" i="14"/>
  <c r="U32" i="14"/>
  <c r="V20" i="14" l="1"/>
  <c r="U21" i="14"/>
  <c r="S6" i="14"/>
  <c r="V32" i="14"/>
  <c r="V21" i="14" l="1"/>
  <c r="W20" i="14"/>
  <c r="T6" i="14"/>
  <c r="X32" i="14"/>
  <c r="W32" i="14"/>
  <c r="X20" i="14" l="1"/>
  <c r="X21" i="14" s="1"/>
  <c r="W21" i="14"/>
  <c r="U6" i="14"/>
  <c r="V6" i="14" l="1"/>
  <c r="W6" i="14" l="1"/>
  <c r="X6" i="14"/>
  <c r="D50" i="9" l="1"/>
  <c r="E50" i="9"/>
  <c r="C50" i="9"/>
  <c r="D49" i="9"/>
  <c r="C49" i="9"/>
  <c r="D19" i="9"/>
  <c r="C19" i="9"/>
  <c r="D8" i="9"/>
  <c r="C8" i="9"/>
  <c r="F8" i="9" s="1"/>
  <c r="D6" i="9"/>
  <c r="C6" i="9"/>
  <c r="F6" i="9" s="1"/>
  <c r="D5" i="9"/>
  <c r="E5" i="9"/>
  <c r="C5" i="9"/>
  <c r="C16" i="8"/>
  <c r="G6" i="9" l="1"/>
  <c r="G8" i="9"/>
  <c r="C10" i="8"/>
  <c r="C12" i="8" s="1"/>
  <c r="E9" i="6" l="1"/>
  <c r="F9" i="6" s="1"/>
  <c r="G9" i="6" s="1"/>
  <c r="H9" i="6" s="1"/>
  <c r="I9" i="6"/>
  <c r="M9" i="6"/>
  <c r="E11" i="6"/>
  <c r="F11" i="6" s="1"/>
  <c r="G11" i="6" s="1"/>
  <c r="I11" i="6"/>
  <c r="M11" i="6"/>
  <c r="E13" i="6"/>
  <c r="F13" i="6" s="1"/>
  <c r="G13" i="6" s="1"/>
  <c r="I13" i="6"/>
  <c r="M13" i="6"/>
  <c r="N13" i="6" s="1"/>
  <c r="E15" i="6"/>
  <c r="F15" i="6"/>
  <c r="G15" i="6" s="1"/>
  <c r="J15" i="6"/>
  <c r="M15" i="6"/>
  <c r="E17" i="6"/>
  <c r="F17" i="6" s="1"/>
  <c r="J17" i="6"/>
  <c r="M17" i="6"/>
  <c r="N17" i="6" l="1"/>
  <c r="P17" i="6" s="1"/>
  <c r="K15" i="6"/>
  <c r="N9" i="6"/>
  <c r="O9" i="6" s="1"/>
  <c r="P9" i="6" s="1"/>
  <c r="O17" i="6"/>
  <c r="N11" i="6"/>
  <c r="O11" i="6" s="1"/>
  <c r="P11" i="6"/>
  <c r="Q11" i="6" s="1"/>
  <c r="G17" i="6"/>
  <c r="H17" i="6" s="1"/>
  <c r="J11" i="6"/>
  <c r="K11" i="6" s="1"/>
  <c r="N15" i="6"/>
  <c r="O15" i="6" s="1"/>
  <c r="P15" i="6" s="1"/>
  <c r="Q15" i="6" s="1"/>
  <c r="J13" i="6"/>
  <c r="K13" i="6" s="1"/>
  <c r="K17" i="6"/>
  <c r="L17" i="6" s="1"/>
  <c r="L15" i="6"/>
  <c r="Y15" i="6" s="1"/>
  <c r="O13" i="6"/>
  <c r="P13" i="6" s="1"/>
  <c r="Q13" i="6" s="1"/>
  <c r="E7" i="6"/>
  <c r="E12" i="6" s="1"/>
  <c r="M7" i="6"/>
  <c r="M10" i="6" s="1"/>
  <c r="J9" i="6"/>
  <c r="K9" i="6" s="1"/>
  <c r="H15" i="6"/>
  <c r="H13" i="6"/>
  <c r="H11" i="6"/>
  <c r="I7" i="6"/>
  <c r="I10" i="6" s="1"/>
  <c r="G7" i="6"/>
  <c r="G18" i="6" s="1"/>
  <c r="N7" i="6"/>
  <c r="N14" i="6" s="1"/>
  <c r="F7" i="6"/>
  <c r="F14" i="6" s="1"/>
  <c r="Z17" i="6" l="1"/>
  <c r="Q17" i="6"/>
  <c r="Z11" i="6"/>
  <c r="R13" i="6"/>
  <c r="S13" i="6" s="1"/>
  <c r="T13" i="6" s="1"/>
  <c r="U13" i="6" s="1"/>
  <c r="AA13" i="6"/>
  <c r="P7" i="6"/>
  <c r="P16" i="6" s="1"/>
  <c r="R15" i="6"/>
  <c r="S15" i="6" s="1"/>
  <c r="T15" i="6" s="1"/>
  <c r="U15" i="6" s="1"/>
  <c r="AA15" i="6"/>
  <c r="R11" i="6"/>
  <c r="S11" i="6" s="1"/>
  <c r="T11" i="6" s="1"/>
  <c r="U11" i="6" s="1"/>
  <c r="AA11" i="6"/>
  <c r="R17" i="6"/>
  <c r="S17" i="6" s="1"/>
  <c r="T17" i="6" s="1"/>
  <c r="U17" i="6" s="1"/>
  <c r="AA17" i="6"/>
  <c r="E18" i="6"/>
  <c r="Z15" i="6"/>
  <c r="E16" i="6"/>
  <c r="L13" i="6"/>
  <c r="Y13" i="6" s="1"/>
  <c r="Z13" i="6"/>
  <c r="L11" i="6"/>
  <c r="Y11" i="6" s="1"/>
  <c r="Z9" i="6"/>
  <c r="J7" i="6"/>
  <c r="J14" i="6" s="1"/>
  <c r="Y17" i="6"/>
  <c r="H7" i="6"/>
  <c r="H14" i="6" s="1"/>
  <c r="F12" i="6"/>
  <c r="F10" i="6"/>
  <c r="K7" i="6"/>
  <c r="K10" i="6" s="1"/>
  <c r="L9" i="6"/>
  <c r="Y9" i="6" s="1"/>
  <c r="Y7" i="6" s="1"/>
  <c r="Y14" i="6" s="1"/>
  <c r="M16" i="6"/>
  <c r="M12" i="6"/>
  <c r="E10" i="6"/>
  <c r="M18" i="6"/>
  <c r="M14" i="6"/>
  <c r="E14" i="6"/>
  <c r="N18" i="6"/>
  <c r="G12" i="6"/>
  <c r="G16" i="6"/>
  <c r="N16" i="6"/>
  <c r="I16" i="6"/>
  <c r="I18" i="6"/>
  <c r="I12" i="6"/>
  <c r="I8" i="6"/>
  <c r="I14" i="6"/>
  <c r="N12" i="6"/>
  <c r="G14" i="6"/>
  <c r="O7" i="6"/>
  <c r="O16" i="6" s="1"/>
  <c r="G10" i="6"/>
  <c r="J16" i="6"/>
  <c r="F18" i="6"/>
  <c r="F16" i="6"/>
  <c r="M8" i="6"/>
  <c r="N10" i="6"/>
  <c r="J10" i="6"/>
  <c r="K18" i="6" l="1"/>
  <c r="N8" i="6"/>
  <c r="L7" i="6"/>
  <c r="V17" i="6"/>
  <c r="W17" i="6" s="1"/>
  <c r="X17" i="6" s="1"/>
  <c r="AB17" i="6"/>
  <c r="V15" i="6"/>
  <c r="W15" i="6" s="1"/>
  <c r="X15" i="6" s="1"/>
  <c r="J12" i="6"/>
  <c r="Z7" i="6"/>
  <c r="Z10" i="6" s="1"/>
  <c r="Q7" i="6"/>
  <c r="Q14" i="6" s="1"/>
  <c r="K14" i="6"/>
  <c r="J8" i="6"/>
  <c r="J18" i="6"/>
  <c r="V11" i="6"/>
  <c r="W11" i="6" s="1"/>
  <c r="X11" i="6" s="1"/>
  <c r="V13" i="6"/>
  <c r="W13" i="6" s="1"/>
  <c r="X13" i="6" s="1"/>
  <c r="AB13" i="6"/>
  <c r="Y18" i="6"/>
  <c r="Y16" i="6"/>
  <c r="H18" i="6"/>
  <c r="H10" i="6"/>
  <c r="H12" i="6"/>
  <c r="H16" i="6"/>
  <c r="K8" i="6"/>
  <c r="L12" i="6"/>
  <c r="L18" i="6"/>
  <c r="P10" i="6"/>
  <c r="P12" i="6"/>
  <c r="P18" i="6"/>
  <c r="P14" i="6"/>
  <c r="Y10" i="6"/>
  <c r="Y12" i="6"/>
  <c r="K12" i="6"/>
  <c r="K16" i="6"/>
  <c r="L8" i="6"/>
  <c r="P8" i="6"/>
  <c r="L14" i="6"/>
  <c r="L16" i="6"/>
  <c r="O8" i="6"/>
  <c r="O18" i="6"/>
  <c r="O12" i="6"/>
  <c r="O14" i="6"/>
  <c r="O10" i="6"/>
  <c r="L10" i="6"/>
  <c r="AB11" i="6" l="1"/>
  <c r="AB15" i="6"/>
  <c r="Z14" i="6"/>
  <c r="R7" i="6"/>
  <c r="Z8" i="6"/>
  <c r="Z12" i="6"/>
  <c r="Z18" i="6"/>
  <c r="Z16" i="6"/>
  <c r="Q12" i="6"/>
  <c r="Q18" i="6"/>
  <c r="Q10" i="6"/>
  <c r="Q16" i="6"/>
  <c r="Q8" i="6"/>
  <c r="S7" i="6" l="1"/>
  <c r="R14" i="6"/>
  <c r="R12" i="6"/>
  <c r="R10" i="6"/>
  <c r="R18" i="6"/>
  <c r="R16" i="6"/>
  <c r="R8" i="6"/>
  <c r="T7" i="6" l="1"/>
  <c r="AA9" i="6"/>
  <c r="S14" i="6"/>
  <c r="S10" i="6"/>
  <c r="S18" i="6"/>
  <c r="S12" i="6"/>
  <c r="S16" i="6"/>
  <c r="S8" i="6"/>
  <c r="AA7" i="6" l="1"/>
  <c r="AA10" i="6" s="1"/>
  <c r="U7" i="6"/>
  <c r="U14" i="6" s="1"/>
  <c r="T12" i="6"/>
  <c r="T8" i="6"/>
  <c r="T10" i="6"/>
  <c r="T18" i="6"/>
  <c r="T16" i="6"/>
  <c r="T14" i="6"/>
  <c r="V7" i="6" l="1"/>
  <c r="AA8" i="6"/>
  <c r="AA12" i="6"/>
  <c r="AA18" i="6"/>
  <c r="AA14" i="6"/>
  <c r="AA16" i="6"/>
  <c r="U12" i="6"/>
  <c r="U10" i="6"/>
  <c r="U8" i="6"/>
  <c r="U18" i="6"/>
  <c r="U16" i="6"/>
  <c r="X7" i="6" l="1"/>
  <c r="W7" i="6"/>
  <c r="AB9" i="6"/>
  <c r="V10" i="6"/>
  <c r="V12" i="6"/>
  <c r="V18" i="6"/>
  <c r="V8" i="6"/>
  <c r="V16" i="6"/>
  <c r="V14" i="6"/>
  <c r="AB7" i="6" l="1"/>
  <c r="AB10" i="6" s="1"/>
  <c r="W12" i="6"/>
  <c r="W18" i="6"/>
  <c r="W8" i="6"/>
  <c r="W10" i="6"/>
  <c r="W16" i="6"/>
  <c r="X14" i="6"/>
  <c r="W14" i="6"/>
  <c r="AB8" i="6" l="1"/>
  <c r="AB16" i="6"/>
  <c r="AB12" i="6"/>
  <c r="AB18" i="6"/>
  <c r="AB14" i="6"/>
  <c r="X10" i="6"/>
  <c r="X8" i="6"/>
  <c r="X12" i="6"/>
  <c r="X18" i="6"/>
  <c r="X16" i="6"/>
  <c r="G4" i="9"/>
  <c r="G5" i="9" s="1"/>
  <c r="G16" i="9" s="1"/>
  <c r="G46" i="9" s="1"/>
  <c r="G19" i="9"/>
  <c r="G7" i="9"/>
  <c r="F19" i="9"/>
  <c r="F4" i="9"/>
  <c r="F5" i="9" s="1"/>
  <c r="F16" i="9" s="1"/>
  <c r="F46" i="9" s="1"/>
  <c r="F7" i="9"/>
  <c r="G48" i="9" l="1"/>
  <c r="G50" i="9"/>
  <c r="F48" i="9"/>
  <c r="F5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장민호</author>
  </authors>
  <commentList>
    <comment ref="B49" authorId="0" shapeId="0" xr:uid="{E5DE8F9E-5E6A-4341-8D0C-BFE8540E3159}">
      <text>
        <r>
          <rPr>
            <b/>
            <sz val="9"/>
            <color rgb="FF000000"/>
            <rFont val="돋움"/>
            <family val="2"/>
            <charset val="129"/>
          </rPr>
          <t>법인세비용차감전순이익</t>
        </r>
        <r>
          <rPr>
            <b/>
            <sz val="9"/>
            <color rgb="FF000000"/>
            <rFont val="Tahoma"/>
            <family val="2"/>
          </rPr>
          <t>/</t>
        </r>
        <r>
          <rPr>
            <b/>
            <sz val="9"/>
            <color rgb="FF000000"/>
            <rFont val="돋움"/>
            <family val="2"/>
            <charset val="129"/>
          </rPr>
          <t>법인세비용</t>
        </r>
        <r>
          <rPr>
            <b/>
            <sz val="9"/>
            <color rgb="FF000000"/>
            <rFont val="Tahoma"/>
            <family val="2"/>
          </rPr>
          <t xml:space="preserve"> </t>
        </r>
        <r>
          <rPr>
            <b/>
            <sz val="9"/>
            <color rgb="FF000000"/>
            <rFont val="돋움"/>
            <family val="2"/>
            <charset val="129"/>
          </rPr>
          <t>비율</t>
        </r>
        <r>
          <rPr>
            <b/>
            <sz val="9"/>
            <color rgb="FF000000"/>
            <rFont val="Tahoma"/>
            <family val="2"/>
          </rPr>
          <t xml:space="preserve"> </t>
        </r>
        <r>
          <rPr>
            <b/>
            <sz val="9"/>
            <color rgb="FF000000"/>
            <rFont val="돋움"/>
            <family val="2"/>
            <charset val="129"/>
          </rPr>
          <t>의미</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9502C10A-BCB5-4EBE-BAD7-949C2262E48C}">
      <text>
        <r>
          <rPr>
            <sz val="8"/>
            <color indexed="54"/>
            <rFont val="Tahoma"/>
            <family val="2"/>
          </rPr>
          <t>별도
연결</t>
        </r>
      </text>
    </comment>
    <comment ref="B5" authorId="0" shapeId="0" xr:uid="{F456D751-49AB-4AC7-B3D6-58961E17757E}">
      <text>
        <r>
          <rPr>
            <sz val="8"/>
            <color indexed="54"/>
            <rFont val="Tahoma"/>
            <family val="2"/>
          </rPr>
          <t>전체
재무상태표
손익계산서
현금흐름표
자본금변동표</t>
        </r>
      </text>
    </comment>
    <comment ref="B6" authorId="0" shapeId="0" xr:uid="{ED92512E-6914-4ACA-A127-A037125139E0}">
      <text>
        <r>
          <rPr>
            <sz val="8"/>
            <color indexed="54"/>
            <rFont val="Tahoma"/>
            <family val="2"/>
          </rPr>
          <t>상세(총액)
상세(순액)
요약
약식</t>
        </r>
      </text>
    </comment>
    <comment ref="B7" authorId="0" shapeId="0" xr:uid="{B879E5DB-4478-477A-88B6-A59451809484}">
      <text>
        <r>
          <rPr>
            <sz val="8"/>
            <color indexed="54"/>
            <rFont val="Tahoma"/>
            <family val="2"/>
          </rPr>
          <t>결산
누적분기
당분기</t>
        </r>
      </text>
    </comment>
    <comment ref="C7" authorId="0" shapeId="0" xr:uid="{CD1782BC-1A1B-4D1F-A967-87823D048610}">
      <text>
        <r>
          <rPr>
            <sz val="8"/>
            <color indexed="54"/>
            <rFont val="Tahoma"/>
            <family val="2"/>
          </rPr>
          <t>천원
백만원
억원
십억원</t>
        </r>
      </text>
    </comment>
    <comment ref="B8" authorId="0" shapeId="0" xr:uid="{66648DC4-F4E2-449A-858C-85B8B7E8C237}">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625191C7-8BCB-4BE8-B2B6-BD80649096B9}">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0DEFABD3-8563-4F74-82FD-AD93C5D70700}">
      <text>
        <r>
          <rPr>
            <sz val="8"/>
            <color indexed="54"/>
            <rFont val="Tahoma"/>
            <family val="2"/>
          </rPr>
          <t>별도
연결</t>
        </r>
      </text>
    </comment>
    <comment ref="B5" authorId="0" shapeId="0" xr:uid="{108F9A08-26FB-4F28-9110-9161F622642F}">
      <text>
        <r>
          <rPr>
            <sz val="8"/>
            <color indexed="54"/>
            <rFont val="Tahoma"/>
            <family val="2"/>
          </rPr>
          <t>전체
재무상태표
손익계산서
현금흐름표
자본금변동표</t>
        </r>
      </text>
    </comment>
    <comment ref="B6" authorId="0" shapeId="0" xr:uid="{03859583-3006-4C4A-BCA6-5B9F600C4A67}">
      <text>
        <r>
          <rPr>
            <sz val="8"/>
            <color indexed="54"/>
            <rFont val="Tahoma"/>
            <family val="2"/>
          </rPr>
          <t>상세(총액)
상세(순액)
요약
약식</t>
        </r>
      </text>
    </comment>
    <comment ref="B7" authorId="0" shapeId="0" xr:uid="{7DF994B9-FA93-451D-B3B1-09DBF91FC5D3}">
      <text>
        <r>
          <rPr>
            <sz val="8"/>
            <color indexed="54"/>
            <rFont val="Tahoma"/>
            <family val="2"/>
          </rPr>
          <t>결산
누적분기
당분기</t>
        </r>
      </text>
    </comment>
    <comment ref="C7" authorId="0" shapeId="0" xr:uid="{A9413FA8-9B08-4BA4-993B-CC4516FF8BF7}">
      <text>
        <r>
          <rPr>
            <sz val="8"/>
            <color indexed="54"/>
            <rFont val="Tahoma"/>
            <family val="2"/>
          </rPr>
          <t>천원
백만원
억원
십억원</t>
        </r>
      </text>
    </comment>
    <comment ref="B8" authorId="0" shapeId="0" xr:uid="{7FB419A6-29A7-4BF6-AEDA-A61600F7AF59}">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88811BF1-C9FD-486C-AB3B-98796AD3800C}">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E5728DF9-D910-4956-9CF6-8D57BD57A7EA}">
      <text>
        <r>
          <rPr>
            <sz val="8"/>
            <color indexed="54"/>
            <rFont val="Tahoma"/>
            <family val="2"/>
          </rPr>
          <t>별도
연결</t>
        </r>
      </text>
    </comment>
    <comment ref="B5" authorId="0" shapeId="0" xr:uid="{F4A344CB-EEF3-4EB2-8A1C-EC2211A887CA}">
      <text>
        <r>
          <rPr>
            <sz val="8"/>
            <color indexed="54"/>
            <rFont val="Tahoma"/>
            <family val="2"/>
          </rPr>
          <t>전체
재무상태표
손익계산서
현금흐름표
자본금변동표</t>
        </r>
      </text>
    </comment>
    <comment ref="B6" authorId="0" shapeId="0" xr:uid="{0B5C4784-6978-469C-BC0B-3B8165EC009F}">
      <text>
        <r>
          <rPr>
            <sz val="8"/>
            <color indexed="54"/>
            <rFont val="Tahoma"/>
            <family val="2"/>
          </rPr>
          <t>상세(총액)
상세(순액)
요약
약식</t>
        </r>
      </text>
    </comment>
    <comment ref="B7" authorId="0" shapeId="0" xr:uid="{2065960F-536B-452E-ADE3-1889D628C313}">
      <text>
        <r>
          <rPr>
            <sz val="8"/>
            <color indexed="54"/>
            <rFont val="Tahoma"/>
            <family val="2"/>
          </rPr>
          <t>결산
누적분기
당분기</t>
        </r>
      </text>
    </comment>
    <comment ref="C7" authorId="0" shapeId="0" xr:uid="{BE16C1A4-E589-498B-80D5-9633A55D081B}">
      <text>
        <r>
          <rPr>
            <sz val="8"/>
            <color indexed="54"/>
            <rFont val="Tahoma"/>
            <family val="2"/>
          </rPr>
          <t>천원
백만원
억원
십억원</t>
        </r>
      </text>
    </comment>
    <comment ref="B8" authorId="0" shapeId="0" xr:uid="{890228FD-6845-49B4-864B-605ECB264BE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3D12C9A0-BD3C-4EEA-9BE6-25204BE8AFCD}">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0EDDC911-2BF7-45CB-B09C-68F18972E322}">
      <text>
        <r>
          <rPr>
            <sz val="8"/>
            <color indexed="54"/>
            <rFont val="Tahoma"/>
            <family val="2"/>
          </rPr>
          <t>별도
연결</t>
        </r>
      </text>
    </comment>
    <comment ref="B5" authorId="0" shapeId="0" xr:uid="{ED7C7E51-C468-4D63-8A1A-09B5831A8CF7}">
      <text>
        <r>
          <rPr>
            <sz val="8"/>
            <color indexed="54"/>
            <rFont val="Tahoma"/>
            <family val="2"/>
          </rPr>
          <t>전체
재무상태표
손익계산서
현금흐름표
자본금변동표</t>
        </r>
      </text>
    </comment>
    <comment ref="B6" authorId="0" shapeId="0" xr:uid="{8320C9CB-5C3A-4D72-8228-D8CAC4371AEE}">
      <text>
        <r>
          <rPr>
            <sz val="8"/>
            <color indexed="54"/>
            <rFont val="Tahoma"/>
            <family val="2"/>
          </rPr>
          <t>상세(총액)
상세(순액)
요약
약식</t>
        </r>
      </text>
    </comment>
    <comment ref="B7" authorId="0" shapeId="0" xr:uid="{BBFB1E96-8EBA-43F2-ACB6-038884C5BC7D}">
      <text>
        <r>
          <rPr>
            <sz val="8"/>
            <color indexed="54"/>
            <rFont val="Tahoma"/>
            <family val="2"/>
          </rPr>
          <t>결산
누적분기
당분기</t>
        </r>
      </text>
    </comment>
    <comment ref="C7" authorId="0" shapeId="0" xr:uid="{EB6CF92A-3E4F-44CD-AF06-5ED4C04CC8EA}">
      <text>
        <r>
          <rPr>
            <sz val="8"/>
            <color indexed="54"/>
            <rFont val="Tahoma"/>
            <family val="2"/>
          </rPr>
          <t>천원
백만원
억원
십억원</t>
        </r>
      </text>
    </comment>
    <comment ref="B8" authorId="0" shapeId="0" xr:uid="{3291998C-E4AE-40F4-9BDE-F1E7D6D1CDF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716B0E75-2391-42B6-A293-49F9681FC2BD}">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BA7FBDF9-B2AF-4E30-8319-8ED6F0C05289}">
      <text>
        <r>
          <rPr>
            <sz val="8"/>
            <color indexed="54"/>
            <rFont val="Tahoma"/>
            <family val="2"/>
          </rPr>
          <t>별도
연결</t>
        </r>
      </text>
    </comment>
    <comment ref="B5" authorId="0" shapeId="0" xr:uid="{48348985-55B7-4E29-A436-18E0D87A9E34}">
      <text>
        <r>
          <rPr>
            <sz val="8"/>
            <color indexed="54"/>
            <rFont val="Tahoma"/>
            <family val="2"/>
          </rPr>
          <t>전체
재무상태표
손익계산서
현금흐름표
자본금변동표</t>
        </r>
      </text>
    </comment>
    <comment ref="B6" authorId="0" shapeId="0" xr:uid="{24EFE287-A068-4C03-8F46-389231335234}">
      <text>
        <r>
          <rPr>
            <sz val="8"/>
            <color indexed="54"/>
            <rFont val="Tahoma"/>
            <family val="2"/>
          </rPr>
          <t>상세(총액)
상세(순액)
요약
약식</t>
        </r>
      </text>
    </comment>
    <comment ref="B7" authorId="0" shapeId="0" xr:uid="{0E8209A8-96BC-4F59-A53C-92D76189DF55}">
      <text>
        <r>
          <rPr>
            <sz val="8"/>
            <color indexed="54"/>
            <rFont val="Tahoma"/>
            <family val="2"/>
          </rPr>
          <t>결산
누적분기
당분기</t>
        </r>
      </text>
    </comment>
    <comment ref="C7" authorId="0" shapeId="0" xr:uid="{C72BD347-A1E8-40FB-9891-4CFFF73D6FF4}">
      <text>
        <r>
          <rPr>
            <sz val="8"/>
            <color indexed="54"/>
            <rFont val="Tahoma"/>
            <family val="2"/>
          </rPr>
          <t>천원
백만원
억원
십억원</t>
        </r>
      </text>
    </comment>
    <comment ref="B8" authorId="0" shapeId="0" xr:uid="{DCE7404B-7763-4836-865F-C121C1039FAB}">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F32C6075-125B-4BA3-AAF7-ACEBDDFA8B9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연준환</author>
  </authors>
  <commentList>
    <comment ref="B4" authorId="0" shapeId="0" xr:uid="{1E1B9DBA-07CB-43E1-9F57-7C6DAC45D268}">
      <text>
        <r>
          <rPr>
            <sz val="8"/>
            <color indexed="54"/>
            <rFont val="Tahoma"/>
            <family val="2"/>
          </rPr>
          <t>별도
연결</t>
        </r>
      </text>
    </comment>
    <comment ref="B5" authorId="0" shapeId="0" xr:uid="{197A2B97-C3D8-45DD-811F-C12240EFA053}">
      <text>
        <r>
          <rPr>
            <sz val="8"/>
            <color indexed="54"/>
            <rFont val="Tahoma"/>
            <family val="2"/>
          </rPr>
          <t>전체
재무상태표
손익계산서
현금흐름표
자본금변동표</t>
        </r>
      </text>
    </comment>
    <comment ref="B6" authorId="0" shapeId="0" xr:uid="{4799AC33-8686-42BC-A562-F80F501F9DA2}">
      <text>
        <r>
          <rPr>
            <sz val="8"/>
            <color indexed="54"/>
            <rFont val="Tahoma"/>
            <family val="2"/>
          </rPr>
          <t>상세(총액)
상세(순액)
요약
약식</t>
        </r>
      </text>
    </comment>
    <comment ref="B7" authorId="0" shapeId="0" xr:uid="{03282F9E-25F5-4562-B3C1-E3FDE88BC894}">
      <text>
        <r>
          <rPr>
            <sz val="8"/>
            <color indexed="54"/>
            <rFont val="Tahoma"/>
            <family val="2"/>
          </rPr>
          <t>결산
누적분기
당분기</t>
        </r>
      </text>
    </comment>
    <comment ref="C7" authorId="0" shapeId="0" xr:uid="{514761FE-F5F2-4460-BC1D-9BB89C1757AD}">
      <text>
        <r>
          <rPr>
            <sz val="8"/>
            <color indexed="54"/>
            <rFont val="Tahoma"/>
            <family val="2"/>
          </rPr>
          <t>천원
백만원
억원
십억원</t>
        </r>
      </text>
    </comment>
    <comment ref="B8" authorId="0" shapeId="0" xr:uid="{D93E4F30-C22F-4039-A4F4-51341736528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3710663F-FB4A-4CA7-B26D-C534FA13C6F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sharedStrings.xml><?xml version="1.0" encoding="utf-8"?>
<sst xmlns="http://schemas.openxmlformats.org/spreadsheetml/2006/main" count="1311" uniqueCount="368">
  <si>
    <t>Last Refresh: 2025-03-13 19:09:57</t>
  </si>
  <si>
    <t>Financial Statements</t>
  </si>
  <si>
    <t>Accounting Std.</t>
  </si>
  <si>
    <t>New</t>
  </si>
  <si>
    <t>Company</t>
  </si>
  <si>
    <t>Type</t>
  </si>
  <si>
    <t>Report</t>
  </si>
  <si>
    <t>Form</t>
  </si>
  <si>
    <t>Output</t>
  </si>
  <si>
    <t>계정코드</t>
  </si>
  <si>
    <t>계정명</t>
  </si>
  <si>
    <t>단위</t>
  </si>
  <si>
    <t>202203(1Q)</t>
  </si>
  <si>
    <t>202206(2Q)</t>
  </si>
  <si>
    <t>202209(3Q)</t>
  </si>
  <si>
    <t>202212(4Q)</t>
  </si>
  <si>
    <t>202303(1Q)</t>
  </si>
  <si>
    <t>202306(2Q)</t>
  </si>
  <si>
    <t>202309(3Q)</t>
  </si>
  <si>
    <t>202312(4Q)</t>
  </si>
  <si>
    <t>202403(1Q)</t>
  </si>
  <si>
    <t>202406(2Q)</t>
  </si>
  <si>
    <t>202409(3Q)</t>
  </si>
  <si>
    <t>IFRS(연결)</t>
  </si>
  <si>
    <t>자산(*)</t>
  </si>
  <si>
    <t>백만원</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</si>
  <si>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</si>
  <si>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</si>
  <si>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</si>
  <si>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</si>
  <si>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</si>
  <si>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</si>
  <si>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</si>
  <si>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</si>
  <si>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</si>
  <si>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</si>
  <si>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</si>
  <si>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</si>
  <si>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</si>
  <si>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</si>
  <si>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</si>
  <si>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</si>
  <si>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</si>
  <si>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</si>
  <si>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</si>
  <si>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</si>
  <si>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</si>
  <si>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</si>
  <si>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</si>
  <si>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</si>
  <si>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</si>
  <si>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</si>
  <si>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</si>
  <si>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</si>
  <si>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</si>
  <si>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</si>
  <si>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</si>
  <si>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</si>
  <si>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</si>
  <si>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</si>
  <si>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</si>
  <si>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</si>
  <si>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</si>
  <si>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</si>
  <si>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</si>
  <si>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</si>
  <si>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</si>
  <si>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</si>
  <si>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</si>
  <si>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</si>
  <si>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</si>
  <si>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</si>
  <si>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</si>
  <si>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</si>
  <si>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</si>
  <si>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</si>
  <si>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</si>
  <si>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</si>
  <si>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</si>
  <si>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</si>
  <si>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</si>
  <si>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</si>
  <si>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</si>
  <si>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</si>
  <si>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</si>
  <si>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</si>
  <si>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</si>
  <si>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</si>
  <si>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</si>
  <si>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</si>
  <si>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</si>
  <si>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</si>
  <si>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Fiscal Year</t>
    <phoneticPr fontId="3" type="noConversion"/>
  </si>
  <si>
    <r>
      <t>A281740(</t>
    </r>
    <r>
      <rPr>
        <sz val="9"/>
        <color rgb="FF325886"/>
        <rFont val="맑은 고딕"/>
        <family val="2"/>
        <charset val="129"/>
        <scheme val="minor"/>
      </rPr>
      <t>레이크머티리얼즈</t>
    </r>
    <r>
      <rPr>
        <sz val="9"/>
        <color rgb="FF325886"/>
        <rFont val="Arial"/>
        <family val="2"/>
      </rPr>
      <t>)  -  Fiscal Month:12,  201612</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</si>
  <si>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재무상태표</t>
  </si>
  <si>
    <t>약식(COMPARE)</t>
    <phoneticPr fontId="3" type="noConversion"/>
  </si>
  <si>
    <t>당분기</t>
  </si>
  <si>
    <t>IFRS</t>
  </si>
  <si>
    <t>연결</t>
  </si>
  <si>
    <t>Current</t>
  </si>
  <si>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</si>
  <si>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</si>
  <si>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</si>
  <si>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</si>
  <si>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</si>
  <si>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</si>
  <si>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</si>
  <si>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</si>
  <si>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</si>
  <si>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</si>
  <si>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</si>
  <si>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</si>
  <si>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</si>
  <si>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</si>
  <si>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</si>
  <si>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</si>
  <si>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</si>
  <si>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</si>
  <si>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</si>
  <si>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</si>
  <si>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</si>
  <si>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</si>
  <si>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</si>
  <si>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</si>
  <si>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</si>
  <si>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</si>
  <si>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</si>
  <si>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</si>
  <si>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</si>
  <si>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</si>
  <si>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</si>
  <si>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</si>
  <si>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</si>
  <si>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</si>
  <si>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</si>
  <si>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</si>
  <si>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</si>
  <si>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</si>
  <si>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</si>
  <si>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</si>
  <si>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</si>
  <si>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</si>
  <si>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</si>
  <si>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</si>
  <si>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</si>
  <si>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</si>
  <si>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</si>
  <si>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</si>
  <si>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</si>
  <si>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</si>
  <si>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</si>
  <si>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</si>
  <si>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</si>
  <si>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</si>
  <si>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</si>
  <si>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</si>
  <si>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</si>
  <si>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</si>
  <si>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</si>
  <si>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</si>
  <si>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</si>
  <si>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</si>
  <si>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</si>
  <si>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</si>
  <si>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</si>
  <si>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</si>
  <si>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</si>
  <si>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</si>
  <si>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</si>
  <si>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</si>
  <si>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</si>
  <si>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</si>
  <si>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</si>
  <si>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</si>
  <si>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</si>
  <si>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</si>
  <si>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</si>
  <si>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</si>
  <si>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</si>
  <si>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</si>
  <si>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</si>
  <si>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</si>
  <si>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</si>
  <si>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</si>
  <si>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</si>
  <si>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</si>
  <si>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</si>
  <si>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</si>
  <si>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</si>
  <si>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</si>
  <si>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</si>
  <si>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</si>
  <si>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</si>
  <si>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</si>
  <si>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</si>
  <si>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</si>
  <si>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</si>
  <si>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</si>
  <si>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</si>
  <si>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</si>
  <si>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</si>
  <si>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</si>
  <si>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</si>
  <si>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</si>
  <si>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</si>
  <si>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</si>
  <si>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</si>
  <si>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</si>
  <si>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</si>
  <si>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</si>
  <si>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</si>
  <si>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</si>
  <si>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</si>
  <si>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</si>
  <si>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</si>
  <si>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</si>
  <si>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</si>
  <si>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Last Refresh: 2025-03-13 19:11:58</t>
  </si>
  <si>
    <t>손익계산서</t>
  </si>
  <si>
    <t>Last Refresh: 2025-03-13 19:12:15</t>
  </si>
  <si>
    <t>현금흐름표</t>
  </si>
  <si>
    <t>1Q22</t>
    <phoneticPr fontId="3" type="noConversion"/>
  </si>
  <si>
    <t>2Q22</t>
    <phoneticPr fontId="3" type="noConversion"/>
  </si>
  <si>
    <t>3Q22</t>
    <phoneticPr fontId="3" type="noConversion"/>
  </si>
  <si>
    <t>4Q22</t>
    <phoneticPr fontId="3" type="noConversion"/>
  </si>
  <si>
    <t>1Q23</t>
    <phoneticPr fontId="3" type="noConversion"/>
  </si>
  <si>
    <t>2Q23</t>
    <phoneticPr fontId="3" type="noConversion"/>
  </si>
  <si>
    <t>3Q23</t>
    <phoneticPr fontId="3" type="noConversion"/>
  </si>
  <si>
    <t>4Q23</t>
    <phoneticPr fontId="3" type="noConversion"/>
  </si>
  <si>
    <t>1Q24</t>
    <phoneticPr fontId="3" type="noConversion"/>
  </si>
  <si>
    <t>2Q24</t>
    <phoneticPr fontId="3" type="noConversion"/>
  </si>
  <si>
    <t>3Q24</t>
    <phoneticPr fontId="3" type="noConversion"/>
  </si>
  <si>
    <t>4Q24</t>
    <phoneticPr fontId="3" type="noConversion"/>
  </si>
  <si>
    <t>1Q25</t>
    <phoneticPr fontId="3" type="noConversion"/>
  </si>
  <si>
    <t>2Q25</t>
    <phoneticPr fontId="3" type="noConversion"/>
  </si>
  <si>
    <t>3Q25</t>
    <phoneticPr fontId="3" type="noConversion"/>
  </si>
  <si>
    <t>4Q25</t>
    <phoneticPr fontId="3" type="noConversion"/>
  </si>
  <si>
    <t>1Q26</t>
    <phoneticPr fontId="3" type="noConversion"/>
  </si>
  <si>
    <t>2Q26</t>
    <phoneticPr fontId="3" type="noConversion"/>
  </si>
  <si>
    <t>3Q26</t>
    <phoneticPr fontId="3" type="noConversion"/>
  </si>
  <si>
    <t>4Q26</t>
    <phoneticPr fontId="3" type="noConversion"/>
  </si>
  <si>
    <t>2025E</t>
    <phoneticPr fontId="3" type="noConversion"/>
  </si>
  <si>
    <t>% of sales</t>
  </si>
  <si>
    <t>기타</t>
    <phoneticPr fontId="3" type="noConversion"/>
  </si>
  <si>
    <t>석유화학촉매</t>
    <phoneticPr fontId="3" type="noConversion"/>
  </si>
  <si>
    <t>LED 소재</t>
    <phoneticPr fontId="3" type="noConversion"/>
  </si>
  <si>
    <t>Solar 소재</t>
    <phoneticPr fontId="3" type="noConversion"/>
  </si>
  <si>
    <t>반도체 소재</t>
    <phoneticPr fontId="3" type="noConversion"/>
  </si>
  <si>
    <t>YoY%</t>
  </si>
  <si>
    <t>전체 매출액</t>
    <phoneticPr fontId="3" type="noConversion"/>
  </si>
  <si>
    <t>(단위: 백만원)</t>
    <phoneticPr fontId="3" type="noConversion"/>
  </si>
  <si>
    <t>(units in Millions KRW )</t>
    <phoneticPr fontId="3" type="noConversion"/>
  </si>
  <si>
    <t>Assumption Sheet</t>
    <phoneticPr fontId="3" type="noConversion"/>
  </si>
  <si>
    <t>레이크머티리얼즈(281740.KQ)</t>
    <phoneticPr fontId="3" type="noConversion"/>
  </si>
  <si>
    <t>≈</t>
    <phoneticPr fontId="23" type="noConversion"/>
  </si>
  <si>
    <t xml:space="preserve">1st Version: 2021.03.02 </t>
    <phoneticPr fontId="25" type="noConversion"/>
  </si>
  <si>
    <t>원 제작자: 28기 김 건 (zzkan103@gmail.com)</t>
    <phoneticPr fontId="25" type="noConversion"/>
  </si>
  <si>
    <t>RFS 정식 회원 외 본 가치평가 모델의 무단 사용 및 수정을 금하며, 본 양식의 원 저작권은 중앙대학교 R.F.S. 학회에 있음을 밝힙니다.</t>
    <phoneticPr fontId="25" type="noConversion"/>
  </si>
  <si>
    <t>Valuation Model</t>
    <phoneticPr fontId="25" type="noConversion"/>
  </si>
  <si>
    <t>R.F.S .</t>
    <phoneticPr fontId="25" type="noConversion"/>
  </si>
  <si>
    <t xml:space="preserve">    Chungang-Univ. Financial Institute</t>
    <phoneticPr fontId="25" type="noConversion"/>
  </si>
  <si>
    <r>
      <t>Estimate Sheets (</t>
    </r>
    <r>
      <rPr>
        <b/>
        <sz val="18"/>
        <color indexed="9"/>
        <rFont val="맑은 고딕"/>
        <family val="2"/>
        <charset val="129"/>
      </rPr>
      <t>추정재무제표</t>
    </r>
    <r>
      <rPr>
        <b/>
        <sz val="18"/>
        <color indexed="9"/>
        <rFont val="Arial"/>
        <family val="2"/>
      </rPr>
      <t xml:space="preserve"> </t>
    </r>
    <r>
      <rPr>
        <b/>
        <sz val="18"/>
        <color indexed="9"/>
        <rFont val="맑은 고딕"/>
        <family val="2"/>
        <charset val="129"/>
      </rPr>
      <t>작성)</t>
    </r>
    <r>
      <rPr>
        <b/>
        <sz val="18"/>
        <color indexed="9"/>
        <rFont val="Arial"/>
        <family val="2"/>
      </rPr>
      <t xml:space="preserve"> &gt;&gt;&gt; </t>
    </r>
    <phoneticPr fontId="25" type="noConversion"/>
  </si>
  <si>
    <t>레이크머티리얼즈(281740.KQ)_PER</t>
    <phoneticPr fontId="25" type="noConversion"/>
  </si>
  <si>
    <t>결산</t>
  </si>
  <si>
    <t>Last Refresh: 2025-03-13 19:22:12</t>
  </si>
  <si>
    <t>Last Refresh: 2025-03-13 19:22:34</t>
  </si>
  <si>
    <t>Last Refresh: 2025-03-13 19:22:49</t>
  </si>
  <si>
    <t>2026E</t>
    <phoneticPr fontId="3" type="noConversion"/>
  </si>
  <si>
    <t>Valuation Table</t>
    <phoneticPr fontId="3" type="noConversion"/>
  </si>
  <si>
    <t>EPS</t>
    <phoneticPr fontId="3" type="noConversion"/>
  </si>
  <si>
    <t>LG에너지솔루션 P/E Valuation</t>
    <phoneticPr fontId="3" type="noConversion"/>
  </si>
  <si>
    <t>구분</t>
    <phoneticPr fontId="3" type="noConversion"/>
  </si>
  <si>
    <t>단위</t>
    <phoneticPr fontId="3" type="noConversion"/>
  </si>
  <si>
    <t>비고</t>
    <phoneticPr fontId="3" type="noConversion"/>
  </si>
  <si>
    <t>25E 당기순이익</t>
    <phoneticPr fontId="3" type="noConversion"/>
  </si>
  <si>
    <t>(백만원)</t>
    <phoneticPr fontId="3" type="noConversion"/>
  </si>
  <si>
    <t>(A) 추정</t>
    <phoneticPr fontId="3" type="noConversion"/>
  </si>
  <si>
    <t>Target P/E</t>
  </si>
  <si>
    <t>(배)</t>
    <phoneticPr fontId="3" type="noConversion"/>
  </si>
  <si>
    <t>적정 기업가치</t>
  </si>
  <si>
    <t>(C)=(A)×(B)</t>
    <phoneticPr fontId="3" type="noConversion"/>
  </si>
  <si>
    <t>유통주식수</t>
  </si>
  <si>
    <t>㈜</t>
    <phoneticPr fontId="3" type="noConversion"/>
  </si>
  <si>
    <t>(D)</t>
    <phoneticPr fontId="3" type="noConversion"/>
  </si>
  <si>
    <t>적정주가</t>
  </si>
  <si>
    <t>원</t>
    <phoneticPr fontId="3" type="noConversion"/>
  </si>
  <si>
    <t xml:space="preserve">(E)=(C)÷(D) </t>
    <phoneticPr fontId="3" type="noConversion"/>
  </si>
  <si>
    <t>목표주가</t>
  </si>
  <si>
    <t>2025E EPS로 추정</t>
    <phoneticPr fontId="3" type="noConversion"/>
  </si>
  <si>
    <t>현재주가</t>
  </si>
  <si>
    <t>상승여력</t>
  </si>
  <si>
    <t>%</t>
    <phoneticPr fontId="3" type="noConversion"/>
  </si>
  <si>
    <t>단위: 백만원</t>
    <phoneticPr fontId="3" type="noConversion"/>
  </si>
  <si>
    <t>매출액</t>
    <phoneticPr fontId="3" type="noConversion"/>
  </si>
  <si>
    <t>매출원가</t>
    <phoneticPr fontId="3" type="noConversion"/>
  </si>
  <si>
    <t>매출총이익</t>
    <phoneticPr fontId="3" type="noConversion"/>
  </si>
  <si>
    <t>매출원가율</t>
    <phoneticPr fontId="3" type="noConversion"/>
  </si>
  <si>
    <t>판관비</t>
    <phoneticPr fontId="3" type="noConversion"/>
  </si>
  <si>
    <t>판관비율</t>
    <phoneticPr fontId="3" type="noConversion"/>
  </si>
  <si>
    <t xml:space="preserve"> 인건비</t>
    <phoneticPr fontId="3" type="noConversion"/>
  </si>
  <si>
    <t xml:space="preserve"> 유무형자산상각비</t>
    <phoneticPr fontId="3" type="noConversion"/>
  </si>
  <si>
    <t xml:space="preserve"> 연구개발비</t>
    <phoneticPr fontId="3" type="noConversion"/>
  </si>
  <si>
    <t xml:space="preserve"> 광고선전비</t>
    <phoneticPr fontId="3" type="noConversion"/>
  </si>
  <si>
    <t xml:space="preserve"> 판매비</t>
    <phoneticPr fontId="3" type="noConversion"/>
  </si>
  <si>
    <t xml:space="preserve"> 관리비</t>
    <phoneticPr fontId="3" type="noConversion"/>
  </si>
  <si>
    <t>영업이익(손실)</t>
    <phoneticPr fontId="3" type="noConversion"/>
  </si>
  <si>
    <t xml:space="preserve"> 금융수익</t>
    <phoneticPr fontId="3" type="noConversion"/>
  </si>
  <si>
    <t>금융수익/매출액</t>
    <phoneticPr fontId="3" type="noConversion"/>
  </si>
  <si>
    <t>외환이익(*)</t>
    <phoneticPr fontId="3" type="noConversion"/>
  </si>
  <si>
    <t>금융자산처분이익(*)</t>
  </si>
  <si>
    <t xml:space="preserve">  금융자산평가이익(*)</t>
  </si>
  <si>
    <t xml:space="preserve"> 금융원가</t>
    <phoneticPr fontId="3" type="noConversion"/>
  </si>
  <si>
    <t xml:space="preserve">    금융자산손상차손(*)</t>
    <phoneticPr fontId="3" type="noConversion"/>
  </si>
  <si>
    <t xml:space="preserve"> 기타수익</t>
    <phoneticPr fontId="3" type="noConversion"/>
  </si>
  <si>
    <t xml:space="preserve">    자산처분(폐기)이익(*)</t>
    <phoneticPr fontId="3" type="noConversion"/>
  </si>
  <si>
    <t>수수료수익</t>
    <phoneticPr fontId="3" type="noConversion"/>
  </si>
  <si>
    <t xml:space="preserve">    기타(*)</t>
    <phoneticPr fontId="3" type="noConversion"/>
  </si>
  <si>
    <t xml:space="preserve"> 기타비용</t>
    <phoneticPr fontId="3" type="noConversion"/>
  </si>
  <si>
    <t xml:space="preserve">    자산처분(폐기)손실(*)</t>
    <phoneticPr fontId="3" type="noConversion"/>
  </si>
  <si>
    <t xml:space="preserve">    자산평가손실</t>
    <phoneticPr fontId="3" type="noConversion"/>
  </si>
  <si>
    <t xml:space="preserve">    자산손상차손(*)</t>
    <phoneticPr fontId="3" type="noConversion"/>
  </si>
  <si>
    <t>종속기업,공동지배기업및관계기업관련손익</t>
    <phoneticPr fontId="3" type="noConversion"/>
  </si>
  <si>
    <t>법인세유효세율</t>
    <phoneticPr fontId="3" type="noConversion"/>
  </si>
  <si>
    <t>Solar 소재</t>
  </si>
  <si>
    <t>반도체 소재</t>
  </si>
  <si>
    <t>매출추정 논리</t>
    <phoneticPr fontId="3" type="noConversion"/>
  </si>
  <si>
    <t>태양광 소재</t>
    <phoneticPr fontId="3" type="noConversion"/>
  </si>
  <si>
    <t>1. 반도체 전구체 시장 연간 성장률</t>
    <phoneticPr fontId="3" type="noConversion"/>
  </si>
  <si>
    <t>&gt; 분기별 성장률(복리 계산)</t>
    <phoneticPr fontId="3" type="noConversion"/>
  </si>
  <si>
    <t>석유화학촉매</t>
  </si>
  <si>
    <t>1. 석유화학 촉매 시장 성장률 4.5% 적용</t>
    <phoneticPr fontId="3" type="noConversion"/>
  </si>
  <si>
    <t>LED 소재</t>
  </si>
  <si>
    <t>시장 성장률은 26년까지 동일할 것으로 가정</t>
    <phoneticPr fontId="3" type="noConversion"/>
  </si>
  <si>
    <t>4Q24부터 매출이 가시화 되었다고 보아 이후 성장세가 지속될 것이라고 판단함.</t>
    <phoneticPr fontId="3" type="noConversion"/>
  </si>
  <si>
    <t>3. 신규 TMA 공장 증설 및 인프라 구축이 24년 9월 완공되어 이에 따른 신규 수주 확대가 예상됨에 따라 24년 말부터 매출 성장이 가속화 될 것으로 판단함.</t>
    <phoneticPr fontId="3" type="noConversion"/>
  </si>
  <si>
    <t>2. 세계 1위 정유업체 엑손모빌의 인증평가 완료에 따른 25년 공급 확대를 반영하기 위해 25년부터 추가 성장률 5%를 적용함</t>
    <phoneticPr fontId="3" type="noConversion"/>
  </si>
  <si>
    <t>26년부터는 신규 공급량이 안정화 될 것이라고 보아 시장 성장률만 반영함.</t>
    <phoneticPr fontId="3" type="noConversion"/>
  </si>
  <si>
    <t xml:space="preserve">1. LED 소재 시장 성장률 </t>
    <phoneticPr fontId="3" type="noConversion"/>
  </si>
  <si>
    <t xml:space="preserve">분기 성장률 </t>
    <phoneticPr fontId="3" type="noConversion"/>
  </si>
  <si>
    <t>1. 태양광 시장 성장률 6.35% 적용</t>
    <phoneticPr fontId="3" type="noConversion"/>
  </si>
  <si>
    <t>분기 성장률</t>
    <phoneticPr fontId="3" type="noConversion"/>
  </si>
  <si>
    <t>매출원가율 3개년 평균 적용</t>
    <phoneticPr fontId="3" type="noConversion"/>
  </si>
  <si>
    <t>3개년 이동평균</t>
    <phoneticPr fontId="3" type="noConversion"/>
  </si>
  <si>
    <t>2개년 이동평균</t>
    <phoneticPr fontId="3" type="noConversion"/>
  </si>
  <si>
    <t>2025(F)</t>
    <phoneticPr fontId="3" type="noConversion"/>
  </si>
  <si>
    <t>1H22</t>
    <phoneticPr fontId="3" type="noConversion"/>
  </si>
  <si>
    <t>2H22</t>
    <phoneticPr fontId="3" type="noConversion"/>
  </si>
  <si>
    <t>1H23</t>
    <phoneticPr fontId="3" type="noConversion"/>
  </si>
  <si>
    <t>2H23</t>
    <phoneticPr fontId="3" type="noConversion"/>
  </si>
  <si>
    <t>1H24</t>
    <phoneticPr fontId="3" type="noConversion"/>
  </si>
  <si>
    <t>선행 PER</t>
  </si>
  <si>
    <t>2. 25년 공장 증설을 계획으로 TSMC, 삼성전자, SK하이닉스 등 주요 고객사의 CAPEX 투자 확대에 따른 신규 수주 확보</t>
    <phoneticPr fontId="3" type="noConversion"/>
  </si>
  <si>
    <t>3. TMA 신규 공장 증설 완료-&gt; 24년 말부터 수주 확대 가속화</t>
    <phoneticPr fontId="3" type="noConversion"/>
  </si>
  <si>
    <t>&gt; 과거 수주 증가에 따라 신규 공장 캐파 증설 시기인 4Q24의 QoQ 성장률을 반영함</t>
    <phoneticPr fontId="3" type="noConversion"/>
  </si>
  <si>
    <t>보수적 추정으로  25년 3분기부터 매출이 가시화될 것으로 판단함. 반도체 업황 부진이 리스크로 작용할 것으로 보아 할인율 20%를 적용함</t>
    <phoneticPr fontId="3" type="noConversion"/>
  </si>
  <si>
    <t>1Q22</t>
  </si>
  <si>
    <t>2Q22</t>
  </si>
  <si>
    <t>3Q22</t>
  </si>
  <si>
    <t>4Q22</t>
  </si>
  <si>
    <t>1Q23</t>
  </si>
  <si>
    <t>2Q23</t>
  </si>
  <si>
    <t>3Q23</t>
  </si>
  <si>
    <t>4Q23</t>
  </si>
  <si>
    <t>1Q24</t>
  </si>
  <si>
    <t>2Q24</t>
  </si>
  <si>
    <t>3Q24</t>
  </si>
  <si>
    <t>(B)  2H23 PER</t>
    <phoneticPr fontId="3" type="noConversion"/>
  </si>
  <si>
    <t>25.03..18 기준 종가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</si>
</sst>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_ ;[Red]\-#,##0\ "/>
    <numFmt numFmtId="177" formatCode="0.0%;[Red]\-0.0%"/>
    <numFmt numFmtId="178" formatCode="0_);[Red]\(0\)"/>
    <numFmt numFmtId="179" formatCode="_-* #,##0.00_-;\-* #,##0.00_-;_-* &quot;-&quot;_-;_-@_-"/>
    <numFmt numFmtId="180" formatCode="0.0%"/>
    <numFmt numFmtId="181" formatCode="0.000%"/>
    <numFmt numFmtId="182" formatCode="#,##0.0_ ;[Red]\-#,##0.0\ "/>
  </numFmts>
  <fonts count="67">
    <font>
      <sz val="11"/>
      <color theme="1"/>
      <name val="맑은 고딕"/>
      <family val="2"/>
      <charset val="129"/>
      <scheme val="minor"/>
    </font>
    <font>
      <sz val="12"/>
      <color theme="1"/>
      <name val="맑은 고딕"/>
      <family val="2"/>
      <charset val="129"/>
      <scheme val="minor"/>
    </font>
    <font>
      <sz val="9"/>
      <color theme="1"/>
      <name val="Arial"/>
      <family val="2"/>
    </font>
    <font>
      <sz val="8"/>
      <name val="맑은 고딕"/>
      <family val="2"/>
      <charset val="129"/>
      <scheme val="minor"/>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
      <sz val="11"/>
      <color theme="1"/>
      <name val="맑은 고딕"/>
      <family val="2"/>
      <charset val="129"/>
      <scheme val="minor"/>
    </font>
    <font>
      <sz val="12"/>
      <color theme="0"/>
      <name val="KoPubWorld돋움체 Medium"/>
      <family val="3"/>
      <charset val="129"/>
    </font>
    <font>
      <sz val="12"/>
      <color theme="1"/>
      <name val="KoPubWorld돋움체 Medium"/>
      <family val="3"/>
      <charset val="129"/>
    </font>
    <font>
      <i/>
      <sz val="12"/>
      <color theme="1"/>
      <name val="맑은 고딕"/>
      <family val="2"/>
      <charset val="129"/>
      <scheme val="minor"/>
    </font>
    <font>
      <i/>
      <sz val="12"/>
      <color theme="1"/>
      <name val="KoPubWorld돋움체 Medium"/>
      <family val="3"/>
      <charset val="129"/>
    </font>
    <font>
      <sz val="11"/>
      <color theme="1"/>
      <name val="맑은 고딕"/>
      <family val="2"/>
      <scheme val="minor"/>
    </font>
    <font>
      <i/>
      <sz val="9"/>
      <color theme="1"/>
      <name val="KoPubWorld돋움체 Medium"/>
      <family val="3"/>
      <charset val="129"/>
    </font>
    <font>
      <sz val="10"/>
      <color theme="0"/>
      <name val="Arial"/>
      <family val="2"/>
    </font>
    <font>
      <sz val="10"/>
      <color theme="0"/>
      <name val="KoPubWorld돋움체 Medium"/>
      <family val="3"/>
      <charset val="129"/>
    </font>
    <font>
      <i/>
      <sz val="10"/>
      <color theme="0"/>
      <name val="KoPubWorld돋움체 Medium"/>
      <family val="3"/>
      <charset val="129"/>
    </font>
    <font>
      <b/>
      <sz val="14"/>
      <color theme="0"/>
      <name val="KoPubWorld돋움체 Medium"/>
      <family val="3"/>
      <charset val="129"/>
    </font>
    <font>
      <b/>
      <sz val="10"/>
      <color theme="0"/>
      <name val="KoPubWorld돋움체 Medium"/>
      <family val="3"/>
      <charset val="129"/>
    </font>
    <font>
      <sz val="11"/>
      <color theme="1"/>
      <name val="Cambria Math"/>
      <family val="2"/>
    </font>
    <font>
      <sz val="8"/>
      <name val="맑은 고딕"/>
      <family val="3"/>
      <charset val="129"/>
      <scheme val="minor"/>
    </font>
    <font>
      <sz val="9"/>
      <color theme="0"/>
      <name val="KoPubWorld바탕체 Medium"/>
      <family val="3"/>
      <charset val="129"/>
    </font>
    <font>
      <sz val="8"/>
      <name val="맑은 고딕"/>
      <family val="2"/>
      <charset val="129"/>
    </font>
    <font>
      <sz val="8"/>
      <color theme="0"/>
      <name val="KoPubWorld바탕체 Medium"/>
      <family val="3"/>
      <charset val="129"/>
    </font>
    <font>
      <sz val="48"/>
      <color theme="0"/>
      <name val="Cambria"/>
      <family val="1"/>
    </font>
    <font>
      <sz val="12"/>
      <color theme="0"/>
      <name val="Cambria"/>
      <family val="1"/>
    </font>
    <font>
      <b/>
      <sz val="18"/>
      <color theme="0"/>
      <name val="Arial"/>
      <family val="2"/>
    </font>
    <font>
      <b/>
      <sz val="18"/>
      <color indexed="9"/>
      <name val="맑은 고딕"/>
      <family val="2"/>
      <charset val="129"/>
    </font>
    <font>
      <b/>
      <sz val="18"/>
      <color indexed="9"/>
      <name val="Arial"/>
      <family val="2"/>
    </font>
    <font>
      <i/>
      <sz val="10"/>
      <color theme="0"/>
      <name val="Arial"/>
      <family val="2"/>
    </font>
    <font>
      <b/>
      <sz val="11"/>
      <color theme="0"/>
      <name val="Arial"/>
      <family val="2"/>
    </font>
    <font>
      <b/>
      <sz val="11"/>
      <color theme="0"/>
      <name val="KO"/>
      <family val="3"/>
      <charset val="129"/>
    </font>
    <font>
      <b/>
      <sz val="20"/>
      <color theme="0"/>
      <name val="Arial"/>
      <family val="2"/>
    </font>
    <font>
      <sz val="11"/>
      <color theme="1"/>
      <name val="Arial"/>
      <family val="2"/>
    </font>
    <font>
      <b/>
      <sz val="22"/>
      <color theme="0"/>
      <name val="KoPubWorld돋움체 Medium"/>
      <family val="3"/>
      <charset val="129"/>
    </font>
    <font>
      <sz val="11"/>
      <color theme="0"/>
      <name val="KoPubWorld돋움체 Bold"/>
      <family val="3"/>
      <charset val="129"/>
    </font>
    <font>
      <sz val="11"/>
      <color theme="0"/>
      <name val="KoPub돋움체 Medium"/>
      <family val="1"/>
      <charset val="129"/>
    </font>
    <font>
      <sz val="11"/>
      <color theme="1"/>
      <name val="KoPubWorld돋움체 Light"/>
      <family val="3"/>
      <charset val="129"/>
    </font>
    <font>
      <sz val="10.5"/>
      <color theme="0"/>
      <name val="KoPubWorld돋움체 Light"/>
      <family val="3"/>
      <charset val="129"/>
    </font>
    <font>
      <sz val="9"/>
      <color theme="0"/>
      <name val="KoPubWorld돋움체 Light"/>
      <family val="3"/>
      <charset val="129"/>
    </font>
    <font>
      <sz val="10"/>
      <color theme="1"/>
      <name val="KoPubWorld돋움체 Light"/>
      <family val="3"/>
      <charset val="129"/>
    </font>
    <font>
      <sz val="9"/>
      <color theme="1"/>
      <name val="KoPubWorld돋움체 Light"/>
      <family val="3"/>
      <charset val="129"/>
    </font>
    <font>
      <sz val="11"/>
      <color theme="1"/>
      <name val="KoPubWorld돋움체 Medium"/>
      <family val="3"/>
      <charset val="129"/>
    </font>
    <font>
      <sz val="11"/>
      <color theme="1"/>
      <name val="KoPub돋움체 Medium"/>
      <family val="1"/>
      <charset val="129"/>
    </font>
    <font>
      <sz val="11"/>
      <color theme="0"/>
      <name val="KoPubWorld돋움체 Light"/>
      <family val="3"/>
      <charset val="129"/>
    </font>
    <font>
      <sz val="9"/>
      <color theme="0"/>
      <name val="KoPubWorld돋움체 Bold"/>
      <family val="3"/>
      <charset val="129"/>
    </font>
    <font>
      <sz val="9"/>
      <color theme="1"/>
      <name val="KoPubWorld돋움체 Bold"/>
      <family val="3"/>
      <charset val="129"/>
    </font>
    <font>
      <sz val="9"/>
      <color rgb="FFFFFFFF"/>
      <name val="KoPubWorld돋움체 Light"/>
      <family val="3"/>
      <charset val="129"/>
    </font>
    <font>
      <sz val="9"/>
      <color theme="1"/>
      <name val="KoPubWorld돋움체 Medium"/>
      <family val="3"/>
      <charset val="129"/>
    </font>
    <font>
      <sz val="9"/>
      <color rgb="FF000000"/>
      <name val="KoPubWorld돋움체 Light"/>
      <family val="3"/>
      <charset val="129"/>
    </font>
    <font>
      <sz val="9"/>
      <color rgb="FFFF0000"/>
      <name val="KoPubWorld돋움체 Medium"/>
      <family val="3"/>
      <charset val="129"/>
    </font>
    <font>
      <b/>
      <sz val="9"/>
      <color rgb="FF000000"/>
      <name val="돋움"/>
      <family val="2"/>
      <charset val="129"/>
    </font>
    <font>
      <b/>
      <sz val="9"/>
      <color rgb="FF000000"/>
      <name val="Tahoma"/>
      <family val="2"/>
    </font>
    <font>
      <i/>
      <sz val="11"/>
      <color theme="1"/>
      <name val="KoPubWorld돋움체 Medium"/>
      <family val="3"/>
      <charset val="129"/>
    </font>
    <font>
      <sz val="11"/>
      <color theme="0"/>
      <name val="KoPubWorld돋움체 Medium"/>
      <family val="3"/>
      <charset val="129"/>
    </font>
    <font>
      <b/>
      <sz val="10"/>
      <color indexed="9"/>
      <name val="KoPubWorld돋움체 Medium"/>
      <family val="3"/>
      <charset val="129"/>
    </font>
    <font>
      <sz val="10.5"/>
      <color theme="0"/>
      <name val="KoPubWorld돋움체 Bold"/>
      <family val="3"/>
      <charset val="129"/>
    </font>
    <font>
      <sz val="10.5"/>
      <color theme="0"/>
      <name val="KoPubWorld돋움체 Medium"/>
      <family val="3"/>
      <charset val="129"/>
    </font>
    <font>
      <sz val="9"/>
      <color theme="0"/>
      <name val="KoPubWorld돋움체 Medium"/>
      <family val="3"/>
      <charset val="129"/>
    </font>
    <font>
      <sz val="10"/>
      <color theme="1"/>
      <name val="KoPubWorld돋움체 Medium"/>
      <family val="3"/>
      <charset val="129"/>
    </font>
    <font>
      <sz val="10"/>
      <color theme="1"/>
      <name val="KoPubWorld돋움체 Bold"/>
      <family val="3"/>
      <charset val="129"/>
    </font>
    <font>
      <b/>
      <sz val="10"/>
      <color theme="1"/>
      <name val="KoPubWorld돋움체 Bold"/>
      <family val="3"/>
      <charset val="129"/>
    </font>
    <font>
      <b/>
      <sz val="9"/>
      <color theme="1"/>
      <name val="KoPubWorld돋움체 Bold"/>
      <family val="3"/>
      <charset val="129"/>
    </font>
    <font>
      <sz val="10"/>
      <color theme="0"/>
      <name val="KoPubWorld돋움체 Bold"/>
      <family val="3"/>
      <charset val="129"/>
    </font>
  </fonts>
  <fills count="18">
    <fill>
      <patternFill patternType="none"/>
    </fill>
    <fill>
      <patternFill patternType="gray125"/>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rgb="FF203864"/>
        <bgColor indexed="64"/>
      </patternFill>
    </fill>
    <fill>
      <patternFill patternType="solid">
        <fgColor rgb="FFCED0D0"/>
        <bgColor indexed="64"/>
      </patternFill>
    </fill>
    <fill>
      <patternFill patternType="solid">
        <fgColor theme="1"/>
        <bgColor indexed="64"/>
      </patternFill>
    </fill>
    <fill>
      <patternFill patternType="solid">
        <fgColor theme="6"/>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D0CECE"/>
        <bgColor indexed="64"/>
      </patternFill>
    </fill>
    <fill>
      <patternFill patternType="solid">
        <fgColor rgb="FFE7E6E6"/>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s>
  <cellStyleXfs count="9">
    <xf numFmtId="0" fontId="0" fillId="0" borderId="0">
      <alignment vertical="center"/>
    </xf>
    <xf numFmtId="0" fontId="1" fillId="0" borderId="0">
      <alignment vertical="center"/>
    </xf>
    <xf numFmtId="9" fontId="1" fillId="0" borderId="0" applyFont="0" applyFill="0" applyBorder="0" applyAlignment="0" applyProtection="0">
      <alignment vertical="center"/>
    </xf>
    <xf numFmtId="9" fontId="15" fillId="0" borderId="0" applyFont="0" applyFill="0" applyBorder="0" applyAlignment="0" applyProtection="0">
      <alignment vertical="center"/>
    </xf>
    <xf numFmtId="0" fontId="10" fillId="0" borderId="0">
      <alignment vertical="center"/>
    </xf>
    <xf numFmtId="9" fontId="10" fillId="0" borderId="0" applyFont="0" applyFill="0" applyBorder="0" applyAlignment="0" applyProtection="0">
      <alignment vertical="center"/>
    </xf>
    <xf numFmtId="0" fontId="10" fillId="0" borderId="0">
      <alignment vertical="center"/>
    </xf>
    <xf numFmtId="41" fontId="10" fillId="0" borderId="0" applyFont="0" applyFill="0" applyBorder="0" applyAlignment="0" applyProtection="0">
      <alignment vertical="center"/>
    </xf>
    <xf numFmtId="41" fontId="15" fillId="0" borderId="0" applyFont="0" applyFill="0" applyBorder="0" applyAlignment="0" applyProtection="0">
      <alignment vertical="center"/>
    </xf>
  </cellStyleXfs>
  <cellXfs count="232">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4" fillId="2" borderId="0" xfId="0" applyFont="1" applyFill="1">
      <alignment vertical="center"/>
    </xf>
    <xf numFmtId="0" fontId="5" fillId="3" borderId="0" xfId="0" applyFont="1" applyFill="1">
      <alignment vertical="center"/>
    </xf>
    <xf numFmtId="0" fontId="5" fillId="3" borderId="1" xfId="0" applyFont="1" applyFill="1" applyBorder="1">
      <alignment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6" borderId="3" xfId="0" applyFont="1" applyFill="1" applyBorder="1">
      <alignment vertical="center"/>
    </xf>
    <xf numFmtId="0" fontId="8" fillId="6" borderId="4" xfId="0" applyFont="1" applyFill="1" applyBorder="1">
      <alignment vertical="center"/>
    </xf>
    <xf numFmtId="0" fontId="8" fillId="6" borderId="5" xfId="0" applyFont="1" applyFill="1" applyBorder="1">
      <alignment vertical="center"/>
    </xf>
    <xf numFmtId="0" fontId="8" fillId="6" borderId="7" xfId="0" applyFont="1" applyFill="1" applyBorder="1">
      <alignment vertical="center"/>
    </xf>
    <xf numFmtId="0" fontId="8" fillId="6" borderId="6" xfId="0" applyFont="1" applyFill="1" applyBorder="1">
      <alignment vertical="center"/>
    </xf>
    <xf numFmtId="0" fontId="7" fillId="4" borderId="1" xfId="0" applyFont="1" applyFill="1" applyBorder="1" applyAlignment="1">
      <alignment horizontal="center" vertical="center"/>
    </xf>
    <xf numFmtId="0" fontId="7" fillId="7" borderId="0" xfId="0" applyFont="1" applyFill="1">
      <alignment vertical="center"/>
    </xf>
    <xf numFmtId="176" fontId="2" fillId="0" borderId="0" xfId="0" applyNumberFormat="1" applyFont="1">
      <alignment vertical="center"/>
    </xf>
    <xf numFmtId="176" fontId="0" fillId="0" borderId="0" xfId="0" applyNumberFormat="1">
      <alignment vertical="center"/>
    </xf>
    <xf numFmtId="0" fontId="1" fillId="0" borderId="0" xfId="1">
      <alignment vertical="center"/>
    </xf>
    <xf numFmtId="0" fontId="12" fillId="0" borderId="0" xfId="1" applyFont="1">
      <alignment vertical="center"/>
    </xf>
    <xf numFmtId="38" fontId="12" fillId="0" borderId="0" xfId="1" applyNumberFormat="1" applyFont="1">
      <alignment vertical="center"/>
    </xf>
    <xf numFmtId="0" fontId="13" fillId="0" borderId="0" xfId="1" applyFont="1">
      <alignment vertical="center"/>
    </xf>
    <xf numFmtId="9" fontId="14" fillId="0" borderId="0" xfId="2" applyFont="1" applyBorder="1">
      <alignment vertical="center"/>
    </xf>
    <xf numFmtId="0" fontId="1" fillId="0" borderId="0" xfId="1" applyAlignment="1"/>
    <xf numFmtId="0" fontId="17" fillId="10" borderId="0" xfId="1" applyFont="1" applyFill="1" applyAlignment="1">
      <alignment horizontal="right"/>
    </xf>
    <xf numFmtId="0" fontId="18" fillId="10" borderId="0" xfId="1" applyFont="1" applyFill="1" applyAlignment="1">
      <alignment horizontal="right"/>
    </xf>
    <xf numFmtId="0" fontId="19" fillId="10" borderId="0" xfId="1" applyFont="1" applyFill="1" applyAlignment="1">
      <alignment horizontal="left"/>
    </xf>
    <xf numFmtId="0" fontId="17" fillId="10" borderId="8" xfId="1" applyFont="1" applyFill="1" applyBorder="1" applyAlignment="1">
      <alignment horizontal="right"/>
    </xf>
    <xf numFmtId="0" fontId="18" fillId="10" borderId="8" xfId="1" applyFont="1" applyFill="1" applyBorder="1" applyAlignment="1">
      <alignment horizontal="right"/>
    </xf>
    <xf numFmtId="0" fontId="20" fillId="10" borderId="8" xfId="1" applyFont="1" applyFill="1" applyBorder="1" applyAlignment="1"/>
    <xf numFmtId="0" fontId="17" fillId="10" borderId="0" xfId="1" applyFont="1" applyFill="1" applyAlignment="1">
      <alignment horizontal="right" vertical="center"/>
    </xf>
    <xf numFmtId="0" fontId="18" fillId="10" borderId="0" xfId="1" applyFont="1" applyFill="1" applyAlignment="1">
      <alignment horizontal="right" vertical="center"/>
    </xf>
    <xf numFmtId="0" fontId="21" fillId="10" borderId="0" xfId="1" applyFont="1" applyFill="1">
      <alignment vertical="center"/>
    </xf>
    <xf numFmtId="0" fontId="22" fillId="0" borderId="0" xfId="1" applyFont="1" applyAlignment="1"/>
    <xf numFmtId="0" fontId="10" fillId="11" borderId="0" xfId="4" applyFill="1">
      <alignment vertical="center"/>
    </xf>
    <xf numFmtId="0" fontId="24" fillId="11" borderId="0" xfId="4" applyFont="1" applyFill="1">
      <alignment vertical="center"/>
    </xf>
    <xf numFmtId="0" fontId="26" fillId="11" borderId="0" xfId="4" applyFont="1" applyFill="1">
      <alignment vertical="center"/>
    </xf>
    <xf numFmtId="0" fontId="27" fillId="11" borderId="0" xfId="4" applyFont="1" applyFill="1">
      <alignment vertical="center"/>
    </xf>
    <xf numFmtId="0" fontId="28" fillId="11" borderId="0" xfId="4" applyFont="1" applyFill="1">
      <alignment vertical="center"/>
    </xf>
    <xf numFmtId="0" fontId="10" fillId="12" borderId="0" xfId="4" applyFill="1">
      <alignment vertical="center"/>
    </xf>
    <xf numFmtId="0" fontId="29" fillId="12" borderId="0" xfId="4" applyFont="1" applyFill="1">
      <alignment vertical="center"/>
    </xf>
    <xf numFmtId="0" fontId="32" fillId="12" borderId="0" xfId="4" applyFont="1" applyFill="1">
      <alignment vertical="center"/>
    </xf>
    <xf numFmtId="0" fontId="33" fillId="12" borderId="0" xfId="4" applyFont="1" applyFill="1">
      <alignment vertical="center"/>
    </xf>
    <xf numFmtId="0" fontId="34" fillId="12" borderId="0" xfId="4" applyFont="1" applyFill="1">
      <alignment vertical="center"/>
    </xf>
    <xf numFmtId="0" fontId="35" fillId="12" borderId="0" xfId="4" applyFont="1" applyFill="1">
      <alignment vertical="center"/>
    </xf>
    <xf numFmtId="0" fontId="36" fillId="12" borderId="0" xfId="4" applyFont="1" applyFill="1">
      <alignment vertical="center"/>
    </xf>
    <xf numFmtId="0" fontId="37" fillId="12" borderId="0" xfId="4" applyFont="1" applyFill="1">
      <alignment vertical="center"/>
    </xf>
    <xf numFmtId="9" fontId="13" fillId="0" borderId="0" xfId="2" applyFont="1" applyBorder="1">
      <alignment vertical="center"/>
    </xf>
    <xf numFmtId="0" fontId="12" fillId="0" borderId="13" xfId="1" applyFont="1" applyBorder="1">
      <alignment vertical="center"/>
    </xf>
    <xf numFmtId="9" fontId="13" fillId="0" borderId="14" xfId="2" applyFont="1" applyBorder="1">
      <alignment vertical="center"/>
    </xf>
    <xf numFmtId="9" fontId="14" fillId="0" borderId="14" xfId="2" applyFont="1" applyBorder="1">
      <alignment vertical="center"/>
    </xf>
    <xf numFmtId="0" fontId="14" fillId="0" borderId="15" xfId="1" applyFont="1" applyBorder="1">
      <alignment vertical="center"/>
    </xf>
    <xf numFmtId="177" fontId="16" fillId="0" borderId="1" xfId="3" applyNumberFormat="1" applyFont="1" applyBorder="1" applyAlignment="1">
      <alignment horizontal="left" vertical="center"/>
    </xf>
    <xf numFmtId="0" fontId="14" fillId="0" borderId="1" xfId="1" applyFont="1" applyBorder="1">
      <alignment vertical="center"/>
    </xf>
    <xf numFmtId="9" fontId="14" fillId="0" borderId="1" xfId="2" applyFont="1" applyBorder="1">
      <alignment vertical="center"/>
    </xf>
    <xf numFmtId="9" fontId="14" fillId="0" borderId="16" xfId="2" applyFont="1" applyBorder="1">
      <alignment vertical="center"/>
    </xf>
    <xf numFmtId="9" fontId="13" fillId="0" borderId="13" xfId="2" applyFont="1" applyBorder="1">
      <alignment vertical="center"/>
    </xf>
    <xf numFmtId="9" fontId="14" fillId="0" borderId="13" xfId="2" applyFont="1" applyBorder="1">
      <alignment vertical="center"/>
    </xf>
    <xf numFmtId="9" fontId="14" fillId="0" borderId="15" xfId="2" applyFont="1" applyBorder="1">
      <alignment vertical="center"/>
    </xf>
    <xf numFmtId="0" fontId="11" fillId="8" borderId="17" xfId="1" applyFont="1" applyFill="1" applyBorder="1">
      <alignment vertical="center"/>
    </xf>
    <xf numFmtId="0" fontId="11" fillId="8" borderId="2" xfId="1" applyFont="1" applyFill="1" applyBorder="1" applyAlignment="1">
      <alignment horizontal="center" vertical="center"/>
    </xf>
    <xf numFmtId="0" fontId="12" fillId="9" borderId="2" xfId="1" applyFont="1" applyFill="1" applyBorder="1" applyAlignment="1">
      <alignment horizontal="center" vertical="center"/>
    </xf>
    <xf numFmtId="0" fontId="11" fillId="8" borderId="17" xfId="1" applyFont="1" applyFill="1" applyBorder="1" applyAlignment="1">
      <alignment horizontal="center" vertical="center"/>
    </xf>
    <xf numFmtId="0" fontId="12" fillId="9" borderId="18" xfId="1" applyFont="1" applyFill="1" applyBorder="1" applyAlignment="1">
      <alignment horizontal="center" vertical="center"/>
    </xf>
    <xf numFmtId="0" fontId="38" fillId="8" borderId="10" xfId="6" applyFont="1" applyFill="1" applyBorder="1">
      <alignment vertical="center"/>
    </xf>
    <xf numFmtId="0" fontId="39" fillId="8" borderId="11" xfId="6" applyFont="1" applyFill="1" applyBorder="1">
      <alignment vertical="center"/>
    </xf>
    <xf numFmtId="0" fontId="39" fillId="8" borderId="12" xfId="6" applyFont="1" applyFill="1" applyBorder="1">
      <alignment vertical="center"/>
    </xf>
    <xf numFmtId="0" fontId="40" fillId="0" borderId="0" xfId="6" applyFont="1">
      <alignment vertical="center"/>
    </xf>
    <xf numFmtId="0" fontId="40" fillId="13" borderId="0" xfId="6" applyFont="1" applyFill="1">
      <alignment vertical="center"/>
    </xf>
    <xf numFmtId="0" fontId="40" fillId="13" borderId="0" xfId="0" applyFont="1" applyFill="1">
      <alignment vertical="center"/>
    </xf>
    <xf numFmtId="0" fontId="41" fillId="14" borderId="10" xfId="6" applyFont="1" applyFill="1" applyBorder="1">
      <alignment vertical="center"/>
    </xf>
    <xf numFmtId="0" fontId="42" fillId="14" borderId="11" xfId="6" applyFont="1" applyFill="1" applyBorder="1" applyAlignment="1">
      <alignment horizontal="center" vertical="center"/>
    </xf>
    <xf numFmtId="0" fontId="42" fillId="14" borderId="11" xfId="6" applyFont="1" applyFill="1" applyBorder="1">
      <alignment vertical="center"/>
    </xf>
    <xf numFmtId="0" fontId="42" fillId="14" borderId="12" xfId="6" applyFont="1" applyFill="1" applyBorder="1">
      <alignment vertical="center"/>
    </xf>
    <xf numFmtId="0" fontId="40" fillId="0" borderId="0" xfId="0" applyFont="1">
      <alignment vertical="center"/>
    </xf>
    <xf numFmtId="0" fontId="40" fillId="14" borderId="0" xfId="6" applyFont="1" applyFill="1" applyAlignment="1">
      <alignment horizontal="center" vertical="center"/>
    </xf>
    <xf numFmtId="0" fontId="43" fillId="14" borderId="15" xfId="6" applyFont="1" applyFill="1" applyBorder="1">
      <alignment vertical="center"/>
    </xf>
    <xf numFmtId="0" fontId="43" fillId="14" borderId="1" xfId="6" applyFont="1" applyFill="1" applyBorder="1" applyAlignment="1">
      <alignment horizontal="center" vertical="center"/>
    </xf>
    <xf numFmtId="0" fontId="43" fillId="14" borderId="1" xfId="6" applyFont="1" applyFill="1" applyBorder="1">
      <alignment vertical="center"/>
    </xf>
    <xf numFmtId="0" fontId="43" fillId="14" borderId="16" xfId="6" applyFont="1" applyFill="1" applyBorder="1">
      <alignment vertical="center"/>
    </xf>
    <xf numFmtId="38" fontId="40" fillId="14" borderId="19" xfId="7" applyNumberFormat="1" applyFont="1" applyFill="1" applyBorder="1" applyAlignment="1">
      <alignment horizontal="center" vertical="center"/>
    </xf>
    <xf numFmtId="38" fontId="40" fillId="14" borderId="19" xfId="3" applyNumberFormat="1" applyFont="1" applyFill="1" applyBorder="1" applyAlignment="1">
      <alignment horizontal="center" vertical="center"/>
    </xf>
    <xf numFmtId="0" fontId="43" fillId="14" borderId="13" xfId="6" applyFont="1" applyFill="1" applyBorder="1">
      <alignment vertical="center"/>
    </xf>
    <xf numFmtId="0" fontId="43" fillId="14" borderId="0" xfId="6" applyFont="1" applyFill="1" applyAlignment="1">
      <alignment horizontal="center" vertical="center"/>
    </xf>
    <xf numFmtId="0" fontId="44" fillId="14" borderId="0" xfId="6" applyFont="1" applyFill="1">
      <alignment vertical="center"/>
    </xf>
    <xf numFmtId="0" fontId="43" fillId="14" borderId="14" xfId="6" applyFont="1" applyFill="1" applyBorder="1">
      <alignment vertical="center"/>
    </xf>
    <xf numFmtId="0" fontId="45" fillId="0" borderId="0" xfId="6" applyFont="1">
      <alignment vertical="center"/>
    </xf>
    <xf numFmtId="0" fontId="46" fillId="0" borderId="0" xfId="6" applyFont="1">
      <alignment vertical="center"/>
    </xf>
    <xf numFmtId="0" fontId="43" fillId="13" borderId="13" xfId="6" applyFont="1" applyFill="1" applyBorder="1">
      <alignment vertical="center"/>
    </xf>
    <xf numFmtId="0" fontId="43" fillId="13" borderId="0" xfId="6" applyFont="1" applyFill="1" applyAlignment="1">
      <alignment horizontal="center" vertical="center"/>
    </xf>
    <xf numFmtId="0" fontId="44" fillId="13" borderId="0" xfId="6" applyFont="1" applyFill="1">
      <alignment vertical="center"/>
    </xf>
    <xf numFmtId="0" fontId="43" fillId="13" borderId="14" xfId="6" applyFont="1" applyFill="1" applyBorder="1">
      <alignment vertical="center"/>
    </xf>
    <xf numFmtId="0" fontId="44" fillId="14" borderId="1" xfId="6" applyFont="1" applyFill="1" applyBorder="1">
      <alignment vertical="center"/>
    </xf>
    <xf numFmtId="0" fontId="45" fillId="0" borderId="0" xfId="0" applyFont="1">
      <alignment vertical="center"/>
    </xf>
    <xf numFmtId="0" fontId="0" fillId="0" borderId="0" xfId="0" applyAlignment="1">
      <alignment horizontal="center" vertical="center"/>
    </xf>
    <xf numFmtId="0" fontId="49" fillId="16" borderId="2" xfId="0" applyFont="1" applyFill="1" applyBorder="1" applyAlignment="1">
      <alignment horizontal="center" vertical="center"/>
    </xf>
    <xf numFmtId="0" fontId="49" fillId="16" borderId="18" xfId="0" applyFont="1" applyFill="1" applyBorder="1" applyAlignment="1">
      <alignment horizontal="center" vertical="center"/>
    </xf>
    <xf numFmtId="38" fontId="50" fillId="8" borderId="13" xfId="0" applyNumberFormat="1" applyFont="1" applyFill="1" applyBorder="1" applyAlignment="1">
      <alignment horizontal="left" vertical="center"/>
    </xf>
    <xf numFmtId="176" fontId="51" fillId="0" borderId="0" xfId="0" applyNumberFormat="1" applyFont="1">
      <alignment vertical="center"/>
    </xf>
    <xf numFmtId="38" fontId="51" fillId="0" borderId="0" xfId="0" applyNumberFormat="1" applyFont="1">
      <alignment vertical="center"/>
    </xf>
    <xf numFmtId="38" fontId="51" fillId="0" borderId="12" xfId="0" applyNumberFormat="1" applyFont="1" applyBorder="1">
      <alignment vertical="center"/>
    </xf>
    <xf numFmtId="38" fontId="44" fillId="17" borderId="13" xfId="0" applyNumberFormat="1" applyFont="1" applyFill="1" applyBorder="1" applyAlignment="1">
      <alignment horizontal="left" vertical="center"/>
    </xf>
    <xf numFmtId="38" fontId="51" fillId="0" borderId="14" xfId="0" applyNumberFormat="1" applyFont="1" applyBorder="1">
      <alignment vertical="center"/>
    </xf>
    <xf numFmtId="38" fontId="44" fillId="0" borderId="13" xfId="0" applyNumberFormat="1" applyFont="1" applyBorder="1">
      <alignment vertical="center"/>
    </xf>
    <xf numFmtId="9" fontId="51" fillId="0" borderId="0" xfId="0" applyNumberFormat="1" applyFont="1">
      <alignment vertical="center"/>
    </xf>
    <xf numFmtId="9" fontId="51" fillId="0" borderId="14" xfId="0" applyNumberFormat="1" applyFont="1" applyBorder="1">
      <alignment vertical="center"/>
    </xf>
    <xf numFmtId="38" fontId="44" fillId="16" borderId="13" xfId="0" applyNumberFormat="1" applyFont="1" applyFill="1" applyBorder="1" applyAlignment="1">
      <alignment horizontal="left" vertical="center"/>
    </xf>
    <xf numFmtId="38" fontId="44" fillId="0" borderId="13" xfId="0" applyNumberFormat="1" applyFont="1" applyBorder="1" applyAlignment="1">
      <alignment horizontal="left" vertical="center"/>
    </xf>
    <xf numFmtId="38" fontId="44" fillId="17" borderId="13" xfId="0" applyNumberFormat="1" applyFont="1" applyFill="1" applyBorder="1">
      <alignment vertical="center"/>
    </xf>
    <xf numFmtId="38" fontId="44" fillId="16" borderId="13" xfId="0" applyNumberFormat="1" applyFont="1" applyFill="1" applyBorder="1">
      <alignment vertical="center"/>
    </xf>
    <xf numFmtId="0" fontId="52" fillId="17" borderId="13" xfId="0" applyFont="1" applyFill="1" applyBorder="1">
      <alignment vertical="center"/>
    </xf>
    <xf numFmtId="0" fontId="52" fillId="17" borderId="13" xfId="0" applyFont="1" applyFill="1" applyBorder="1" applyAlignment="1">
      <alignment horizontal="left" vertical="center" indent="1"/>
    </xf>
    <xf numFmtId="0" fontId="52" fillId="17" borderId="13" xfId="0" applyFont="1" applyFill="1" applyBorder="1" applyAlignment="1">
      <alignment horizontal="left" vertical="center"/>
    </xf>
    <xf numFmtId="38" fontId="53" fillId="0" borderId="0" xfId="0" applyNumberFormat="1" applyFont="1">
      <alignment vertical="center"/>
    </xf>
    <xf numFmtId="38" fontId="52" fillId="16" borderId="13" xfId="0" applyNumberFormat="1" applyFont="1" applyFill="1" applyBorder="1">
      <alignment vertical="center"/>
    </xf>
    <xf numFmtId="176" fontId="51" fillId="0" borderId="14" xfId="0" applyNumberFormat="1" applyFont="1" applyBorder="1">
      <alignment vertical="center"/>
    </xf>
    <xf numFmtId="38" fontId="52" fillId="17" borderId="13" xfId="0" applyNumberFormat="1" applyFont="1" applyFill="1" applyBorder="1">
      <alignment vertical="center"/>
    </xf>
    <xf numFmtId="38" fontId="52" fillId="17" borderId="15" xfId="0" applyNumberFormat="1" applyFont="1" applyFill="1" applyBorder="1">
      <alignment vertical="center"/>
    </xf>
    <xf numFmtId="176" fontId="51" fillId="0" borderId="1" xfId="0" applyNumberFormat="1" applyFont="1" applyBorder="1">
      <alignment vertical="center"/>
    </xf>
    <xf numFmtId="176" fontId="51" fillId="0" borderId="16" xfId="0" applyNumberFormat="1" applyFont="1" applyBorder="1">
      <alignment vertical="center"/>
    </xf>
    <xf numFmtId="38" fontId="12" fillId="0" borderId="12" xfId="1" applyNumberFormat="1" applyFont="1" applyBorder="1">
      <alignment vertical="center"/>
    </xf>
    <xf numFmtId="38" fontId="1" fillId="0" borderId="13" xfId="1" applyNumberFormat="1" applyBorder="1">
      <alignment vertical="center"/>
    </xf>
    <xf numFmtId="9" fontId="0" fillId="0" borderId="0" xfId="5" applyFont="1">
      <alignment vertical="center"/>
    </xf>
    <xf numFmtId="38" fontId="12" fillId="0" borderId="14" xfId="1" applyNumberFormat="1" applyFont="1" applyBorder="1">
      <alignment vertical="center"/>
    </xf>
    <xf numFmtId="0" fontId="45" fillId="9" borderId="0" xfId="0" applyFont="1" applyFill="1">
      <alignment vertical="center"/>
    </xf>
    <xf numFmtId="9" fontId="45" fillId="0" borderId="0" xfId="5" applyFont="1">
      <alignment vertical="center"/>
    </xf>
    <xf numFmtId="38" fontId="0" fillId="0" borderId="0" xfId="0" applyNumberFormat="1">
      <alignment vertical="center"/>
    </xf>
    <xf numFmtId="38" fontId="45" fillId="0" borderId="0" xfId="0" applyNumberFormat="1" applyFont="1">
      <alignment vertical="center"/>
    </xf>
    <xf numFmtId="38" fontId="45" fillId="0" borderId="10" xfId="0" applyNumberFormat="1" applyFont="1" applyBorder="1">
      <alignment vertical="center"/>
    </xf>
    <xf numFmtId="38" fontId="45" fillId="0" borderId="11" xfId="0" applyNumberFormat="1" applyFont="1" applyBorder="1">
      <alignment vertical="center"/>
    </xf>
    <xf numFmtId="38" fontId="45" fillId="0" borderId="12" xfId="0" applyNumberFormat="1" applyFont="1" applyBorder="1">
      <alignment vertical="center"/>
    </xf>
    <xf numFmtId="9" fontId="45" fillId="0" borderId="15" xfId="5" applyFont="1" applyBorder="1">
      <alignment vertical="center"/>
    </xf>
    <xf numFmtId="9" fontId="45" fillId="0" borderId="1" xfId="5" applyFont="1" applyBorder="1">
      <alignment vertical="center"/>
    </xf>
    <xf numFmtId="9" fontId="45" fillId="0" borderId="16" xfId="5" applyFont="1" applyBorder="1">
      <alignment vertical="center"/>
    </xf>
    <xf numFmtId="0" fontId="45" fillId="0" borderId="13" xfId="0" applyFont="1" applyBorder="1">
      <alignment vertical="center"/>
    </xf>
    <xf numFmtId="0" fontId="45" fillId="0" borderId="14" xfId="0" applyFont="1" applyBorder="1">
      <alignment vertical="center"/>
    </xf>
    <xf numFmtId="1" fontId="45" fillId="0" borderId="0" xfId="0" applyNumberFormat="1" applyFont="1">
      <alignment vertical="center"/>
    </xf>
    <xf numFmtId="1" fontId="45" fillId="0" borderId="12" xfId="0" applyNumberFormat="1" applyFont="1" applyBorder="1">
      <alignment vertical="center"/>
    </xf>
    <xf numFmtId="9" fontId="12" fillId="0" borderId="0" xfId="5" applyFont="1" applyBorder="1">
      <alignment vertical="center"/>
    </xf>
    <xf numFmtId="0" fontId="57" fillId="8" borderId="17" xfId="1" applyFont="1" applyFill="1" applyBorder="1">
      <alignment vertical="center"/>
    </xf>
    <xf numFmtId="0" fontId="57" fillId="8" borderId="2" xfId="1" applyFont="1" applyFill="1" applyBorder="1" applyAlignment="1">
      <alignment horizontal="center" vertical="center"/>
    </xf>
    <xf numFmtId="0" fontId="45" fillId="9" borderId="2" xfId="1" applyFont="1" applyFill="1" applyBorder="1" applyAlignment="1">
      <alignment horizontal="center" vertical="center"/>
    </xf>
    <xf numFmtId="0" fontId="45" fillId="9" borderId="18" xfId="1" applyFont="1" applyFill="1" applyBorder="1" applyAlignment="1">
      <alignment horizontal="center" vertical="center"/>
    </xf>
    <xf numFmtId="0" fontId="45" fillId="0" borderId="13" xfId="1" applyFont="1" applyBorder="1">
      <alignment vertical="center"/>
    </xf>
    <xf numFmtId="0" fontId="45" fillId="0" borderId="0" xfId="1" applyFont="1">
      <alignment vertical="center"/>
    </xf>
    <xf numFmtId="38" fontId="45" fillId="0" borderId="0" xfId="1" applyNumberFormat="1" applyFont="1">
      <alignment vertical="center"/>
    </xf>
    <xf numFmtId="38" fontId="45" fillId="0" borderId="14" xfId="1" applyNumberFormat="1" applyFont="1" applyBorder="1">
      <alignment vertical="center"/>
    </xf>
    <xf numFmtId="0" fontId="56" fillId="0" borderId="15" xfId="1" applyFont="1" applyBorder="1">
      <alignment vertical="center"/>
    </xf>
    <xf numFmtId="177" fontId="56" fillId="0" borderId="1" xfId="3" applyNumberFormat="1" applyFont="1" applyBorder="1" applyAlignment="1">
      <alignment horizontal="left" vertical="center"/>
    </xf>
    <xf numFmtId="0" fontId="56" fillId="0" borderId="1" xfId="1" applyFont="1" applyBorder="1">
      <alignment vertical="center"/>
    </xf>
    <xf numFmtId="9" fontId="56" fillId="0" borderId="1" xfId="2" applyFont="1" applyBorder="1">
      <alignment vertical="center"/>
    </xf>
    <xf numFmtId="9" fontId="56" fillId="0" borderId="16" xfId="2" applyFont="1" applyBorder="1">
      <alignment vertical="center"/>
    </xf>
    <xf numFmtId="0" fontId="48" fillId="8" borderId="2" xfId="0" applyFont="1" applyFill="1" applyBorder="1" applyAlignment="1">
      <alignment horizontal="center" vertical="center"/>
    </xf>
    <xf numFmtId="38" fontId="42" fillId="8" borderId="10" xfId="0" applyNumberFormat="1" applyFont="1" applyFill="1" applyBorder="1" applyAlignment="1">
      <alignment horizontal="center" vertical="center"/>
    </xf>
    <xf numFmtId="0" fontId="48" fillId="8" borderId="11" xfId="0" applyFont="1" applyFill="1" applyBorder="1" applyAlignment="1">
      <alignment horizontal="center" vertical="center"/>
    </xf>
    <xf numFmtId="0" fontId="0" fillId="9" borderId="0" xfId="0" applyFill="1">
      <alignment vertical="center"/>
    </xf>
    <xf numFmtId="0" fontId="45" fillId="0" borderId="15" xfId="1" applyFont="1" applyBorder="1">
      <alignment vertical="center"/>
    </xf>
    <xf numFmtId="0" fontId="45" fillId="0" borderId="1" xfId="1" applyFont="1" applyBorder="1">
      <alignment vertical="center"/>
    </xf>
    <xf numFmtId="9" fontId="45" fillId="0" borderId="1" xfId="2" applyFont="1" applyBorder="1">
      <alignment vertical="center"/>
    </xf>
    <xf numFmtId="9" fontId="45" fillId="0" borderId="16" xfId="2" applyFont="1" applyBorder="1">
      <alignment vertical="center"/>
    </xf>
    <xf numFmtId="180" fontId="45" fillId="0" borderId="0" xfId="5" applyNumberFormat="1" applyFont="1" applyBorder="1">
      <alignment vertical="center"/>
    </xf>
    <xf numFmtId="181" fontId="45" fillId="0" borderId="0" xfId="5" applyNumberFormat="1" applyFont="1" applyBorder="1">
      <alignment vertical="center"/>
    </xf>
    <xf numFmtId="0" fontId="0" fillId="0" borderId="13" xfId="0" applyBorder="1">
      <alignment vertical="center"/>
    </xf>
    <xf numFmtId="0" fontId="0" fillId="0" borderId="14" xfId="0" applyBorder="1">
      <alignment vertical="center"/>
    </xf>
    <xf numFmtId="9" fontId="45" fillId="0" borderId="0" xfId="0" applyNumberFormat="1" applyFont="1">
      <alignment vertical="center"/>
    </xf>
    <xf numFmtId="0" fontId="45" fillId="0" borderId="15" xfId="0" applyFont="1" applyBorder="1">
      <alignment vertical="center"/>
    </xf>
    <xf numFmtId="0" fontId="45" fillId="0" borderId="1" xfId="0" applyFont="1" applyBorder="1">
      <alignment vertical="center"/>
    </xf>
    <xf numFmtId="0" fontId="45" fillId="0" borderId="16" xfId="0" applyFont="1" applyBorder="1">
      <alignment vertical="center"/>
    </xf>
    <xf numFmtId="9" fontId="45" fillId="0" borderId="0" xfId="5" applyFont="1" applyBorder="1">
      <alignment vertical="center"/>
    </xf>
    <xf numFmtId="9" fontId="0" fillId="0" borderId="0" xfId="5" applyFont="1" applyBorder="1">
      <alignment vertical="center"/>
    </xf>
    <xf numFmtId="0" fontId="0" fillId="0" borderId="15" xfId="0" applyBorder="1">
      <alignment vertical="center"/>
    </xf>
    <xf numFmtId="0" fontId="0" fillId="0" borderId="1" xfId="0" applyBorder="1">
      <alignment vertical="center"/>
    </xf>
    <xf numFmtId="0" fontId="0" fillId="0" borderId="16" xfId="0" applyBorder="1">
      <alignment vertical="center"/>
    </xf>
    <xf numFmtId="38" fontId="1" fillId="0" borderId="0" xfId="1" applyNumberFormat="1">
      <alignment vertical="center"/>
    </xf>
    <xf numFmtId="1" fontId="1" fillId="0" borderId="0" xfId="1" applyNumberFormat="1">
      <alignment vertical="center"/>
    </xf>
    <xf numFmtId="38" fontId="1" fillId="0" borderId="14" xfId="1" applyNumberFormat="1" applyBorder="1">
      <alignment vertical="center"/>
    </xf>
    <xf numFmtId="1" fontId="1" fillId="0" borderId="14" xfId="1" applyNumberFormat="1" applyBorder="1">
      <alignment vertical="center"/>
    </xf>
    <xf numFmtId="0" fontId="40" fillId="0" borderId="0" xfId="0" applyFont="1" applyAlignment="1">
      <alignment horizontal="center" vertical="center"/>
    </xf>
    <xf numFmtId="0" fontId="47" fillId="0" borderId="0" xfId="0" applyFont="1" applyAlignment="1">
      <alignment horizontal="center" vertical="center"/>
    </xf>
    <xf numFmtId="0" fontId="58" fillId="8" borderId="9" xfId="0" applyFont="1" applyFill="1" applyBorder="1" applyAlignment="1">
      <alignment horizontal="center" vertical="center"/>
    </xf>
    <xf numFmtId="0" fontId="46" fillId="0" borderId="9" xfId="6" applyFont="1" applyBorder="1" applyAlignment="1">
      <alignment horizontal="center" vertical="center"/>
    </xf>
    <xf numFmtId="178" fontId="46" fillId="0" borderId="9" xfId="6" applyNumberFormat="1" applyFont="1" applyBorder="1" applyAlignment="1">
      <alignment horizontal="center" vertical="center"/>
    </xf>
    <xf numFmtId="37" fontId="43" fillId="15" borderId="0" xfId="6" applyNumberFormat="1" applyFont="1" applyFill="1" applyAlignment="1">
      <alignment horizontal="center" vertical="center"/>
    </xf>
    <xf numFmtId="2" fontId="43" fillId="15" borderId="0" xfId="6" applyNumberFormat="1" applyFont="1" applyFill="1" applyAlignment="1">
      <alignment horizontal="center" vertical="center"/>
    </xf>
    <xf numFmtId="0" fontId="43" fillId="15" borderId="0" xfId="6" applyFont="1" applyFill="1" applyAlignment="1">
      <alignment horizontal="center" vertical="center"/>
    </xf>
    <xf numFmtId="41" fontId="43" fillId="15" borderId="0" xfId="7" applyFont="1" applyFill="1" applyBorder="1" applyAlignment="1">
      <alignment horizontal="center" vertical="center"/>
    </xf>
    <xf numFmtId="3" fontId="43" fillId="15" borderId="0" xfId="6" applyNumberFormat="1" applyFont="1" applyFill="1" applyAlignment="1">
      <alignment horizontal="center" vertical="center"/>
    </xf>
    <xf numFmtId="179" fontId="43" fillId="15" borderId="1" xfId="7" applyNumberFormat="1" applyFont="1" applyFill="1" applyBorder="1" applyAlignment="1">
      <alignment horizontal="center" vertical="center"/>
    </xf>
    <xf numFmtId="38" fontId="45" fillId="0" borderId="12" xfId="1" applyNumberFormat="1" applyFont="1" applyBorder="1">
      <alignment vertical="center"/>
    </xf>
    <xf numFmtId="0" fontId="39" fillId="8" borderId="11" xfId="6" applyFont="1" applyFill="1" applyBorder="1" applyAlignment="1">
      <alignment horizontal="center" vertical="center"/>
    </xf>
    <xf numFmtId="0" fontId="45" fillId="0" borderId="9" xfId="6" applyFont="1" applyBorder="1" applyAlignment="1">
      <alignment horizontal="center" vertical="center"/>
    </xf>
    <xf numFmtId="0" fontId="45" fillId="0" borderId="9" xfId="0" applyFont="1" applyBorder="1" applyAlignment="1">
      <alignment horizontal="center" vertical="center"/>
    </xf>
    <xf numFmtId="176" fontId="64" fillId="0" borderId="0" xfId="8" applyNumberFormat="1" applyFont="1" applyFill="1" applyBorder="1">
      <alignment vertical="center"/>
    </xf>
    <xf numFmtId="176" fontId="62" fillId="0" borderId="0" xfId="8" applyNumberFormat="1" applyFont="1" applyFill="1" applyBorder="1">
      <alignment vertical="center"/>
    </xf>
    <xf numFmtId="0" fontId="59" fillId="0" borderId="0" xfId="0" applyFont="1">
      <alignment vertical="center"/>
    </xf>
    <xf numFmtId="0" fontId="60" fillId="0" borderId="0" xfId="0" applyFont="1">
      <alignment vertical="center"/>
    </xf>
    <xf numFmtId="0" fontId="61" fillId="0" borderId="0" xfId="0" applyFont="1">
      <alignment vertical="center"/>
    </xf>
    <xf numFmtId="0" fontId="62" fillId="0" borderId="0" xfId="0" applyFont="1">
      <alignment vertical="center"/>
    </xf>
    <xf numFmtId="176" fontId="62" fillId="0" borderId="0" xfId="0" applyNumberFormat="1" applyFont="1">
      <alignment vertical="center"/>
    </xf>
    <xf numFmtId="0" fontId="51" fillId="0" borderId="0" xfId="0" applyFont="1">
      <alignment vertical="center"/>
    </xf>
    <xf numFmtId="0" fontId="45" fillId="0" borderId="0" xfId="0" applyFont="1" applyAlignment="1"/>
    <xf numFmtId="0" fontId="63" fillId="0" borderId="0" xfId="0" applyFont="1">
      <alignment vertical="center"/>
    </xf>
    <xf numFmtId="0" fontId="64" fillId="0" borderId="0" xfId="0" applyFont="1">
      <alignment vertical="center"/>
    </xf>
    <xf numFmtId="0" fontId="65" fillId="0" borderId="0" xfId="0" applyFont="1">
      <alignment vertical="center"/>
    </xf>
    <xf numFmtId="3" fontId="62" fillId="0" borderId="0" xfId="0" applyNumberFormat="1" applyFont="1">
      <alignment vertical="center"/>
    </xf>
    <xf numFmtId="0" fontId="66" fillId="0" borderId="0" xfId="0" applyFont="1">
      <alignment vertical="center"/>
    </xf>
    <xf numFmtId="3" fontId="66" fillId="0" borderId="0" xfId="0" applyNumberFormat="1" applyFont="1">
      <alignment vertical="center"/>
    </xf>
    <xf numFmtId="0" fontId="48" fillId="0" borderId="0" xfId="0" applyFont="1">
      <alignment vertical="center"/>
    </xf>
    <xf numFmtId="182" fontId="62" fillId="0" borderId="0" xfId="8" applyNumberFormat="1" applyFont="1" applyFill="1" applyBorder="1">
      <alignment vertical="center"/>
    </xf>
    <xf numFmtId="0" fontId="45" fillId="0" borderId="17" xfId="0" applyFont="1" applyBorder="1" applyAlignment="1">
      <alignment horizontal="center" vertical="center"/>
    </xf>
    <xf numFmtId="0" fontId="45" fillId="0" borderId="2" xfId="0" applyFont="1" applyBorder="1" applyAlignment="1">
      <alignment horizontal="center" vertical="center"/>
    </xf>
    <xf numFmtId="0" fontId="45" fillId="0" borderId="18" xfId="0" applyFont="1" applyBorder="1" applyAlignment="1">
      <alignment horizontal="center" vertical="center"/>
    </xf>
    <xf numFmtId="0" fontId="45" fillId="0" borderId="17" xfId="1" applyFont="1" applyBorder="1" applyAlignment="1">
      <alignment horizontal="center" vertical="center"/>
    </xf>
    <xf numFmtId="0" fontId="45" fillId="0" borderId="2" xfId="1" applyFont="1" applyBorder="1" applyAlignment="1">
      <alignment horizontal="center" vertical="center"/>
    </xf>
    <xf numFmtId="0" fontId="45" fillId="0" borderId="18" xfId="1" applyFont="1" applyBorder="1" applyAlignment="1">
      <alignment horizontal="center" vertical="center"/>
    </xf>
    <xf numFmtId="0" fontId="12" fillId="0" borderId="0" xfId="1" applyFont="1" applyBorder="1">
      <alignment vertical="center"/>
    </xf>
    <xf numFmtId="38" fontId="12" fillId="0" borderId="0" xfId="1" applyNumberFormat="1" applyFont="1" applyBorder="1">
      <alignment vertical="center"/>
    </xf>
    <xf numFmtId="38" fontId="12" fillId="0" borderId="13" xfId="1" applyNumberFormat="1" applyFont="1" applyBorder="1">
      <alignment vertical="center"/>
    </xf>
    <xf numFmtId="0" fontId="12" fillId="9" borderId="17" xfId="1" applyFont="1" applyFill="1" applyBorder="1" applyAlignment="1">
      <alignment horizontal="center" vertical="center"/>
    </xf>
    <xf numFmtId="0" fontId="12" fillId="0" borderId="10" xfId="1" applyFont="1" applyBorder="1">
      <alignment vertical="center"/>
    </xf>
    <xf numFmtId="0" fontId="12" fillId="0" borderId="11" xfId="1" applyFont="1" applyBorder="1">
      <alignment vertical="center"/>
    </xf>
    <xf numFmtId="38" fontId="12" fillId="0" borderId="11" xfId="1" applyNumberFormat="1" applyFont="1" applyBorder="1">
      <alignment vertical="center"/>
    </xf>
    <xf numFmtId="38" fontId="12" fillId="0" borderId="10" xfId="1" applyNumberFormat="1" applyFont="1" applyBorder="1">
      <alignment vertical="center"/>
    </xf>
    <xf numFmtId="0" fontId="13" fillId="0" borderId="15" xfId="1" applyFont="1" applyBorder="1">
      <alignment vertical="center"/>
    </xf>
    <xf numFmtId="0" fontId="13" fillId="0" borderId="1" xfId="1" applyFont="1" applyBorder="1">
      <alignment vertical="center"/>
    </xf>
    <xf numFmtId="38" fontId="14" fillId="0" borderId="1" xfId="1" applyNumberFormat="1" applyFont="1" applyBorder="1">
      <alignment vertical="center"/>
    </xf>
    <xf numFmtId="177" fontId="14" fillId="0" borderId="1" xfId="3" applyNumberFormat="1" applyFont="1" applyBorder="1" applyAlignment="1">
      <alignment horizontal="left" vertical="center"/>
    </xf>
    <xf numFmtId="38" fontId="12" fillId="0" borderId="10" xfId="0" applyNumberFormat="1" applyFont="1" applyBorder="1">
      <alignment vertical="center"/>
    </xf>
    <xf numFmtId="38" fontId="12" fillId="0" borderId="11" xfId="0" applyNumberFormat="1" applyFont="1" applyBorder="1">
      <alignment vertical="center"/>
    </xf>
    <xf numFmtId="38" fontId="12" fillId="0" borderId="12" xfId="0" applyNumberFormat="1" applyFont="1" applyBorder="1">
      <alignment vertical="center"/>
    </xf>
    <xf numFmtId="1" fontId="12" fillId="0" borderId="10" xfId="0" applyNumberFormat="1" applyFont="1" applyBorder="1">
      <alignment vertical="center"/>
    </xf>
    <xf numFmtId="1" fontId="12" fillId="0" borderId="11" xfId="0" applyNumberFormat="1" applyFont="1" applyBorder="1">
      <alignment vertical="center"/>
    </xf>
    <xf numFmtId="1" fontId="12" fillId="0" borderId="12" xfId="0" applyNumberFormat="1" applyFont="1" applyBorder="1">
      <alignment vertical="center"/>
    </xf>
  </cellXfs>
  <cellStyles count="9">
    <cellStyle name="백분율" xfId="5" builtinId="5"/>
    <cellStyle name="백분율 2" xfId="2" xr:uid="{C6E0C2A9-B994-1744-9577-2179F74B32B9}"/>
    <cellStyle name="백분율 3" xfId="3" xr:uid="{D761B37A-C045-4144-ABF2-31FAAA6C4E7B}"/>
    <cellStyle name="쉼표 [0] 2 2" xfId="7" xr:uid="{C8F251BA-01F8-0441-8BF6-235B90CDED61}"/>
    <cellStyle name="쉼표 [0] 5" xfId="8" xr:uid="{B8D34411-04CC-7141-BEC5-F7C24E8BFFF1}"/>
    <cellStyle name="표준" xfId="0" builtinId="0"/>
    <cellStyle name="표준 2" xfId="1" xr:uid="{BA97C749-48AE-5C4A-97E9-297096B303FE}"/>
    <cellStyle name="표준 2 2" xfId="4" xr:uid="{ED9DA859-76CB-884C-A6FA-D4D445334235}"/>
    <cellStyle name="표준 4" xfId="6" xr:uid="{7A2BA18D-D092-CD47-9C19-57E6BB7E8C72}"/>
  </cellStyles>
  <dxfs count="6">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203864"/>
      <color rgb="FFCE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2</xdr:col>
      <xdr:colOff>0</xdr:colOff>
      <xdr:row>9</xdr:row>
      <xdr:rowOff>0</xdr:rowOff>
    </xdr:from>
    <xdr:ext cx="4004734" cy="1519767"/>
    <xdr:pic>
      <xdr:nvPicPr>
        <xdr:cNvPr id="2" name="그림 6">
          <a:extLst>
            <a:ext uri="{FF2B5EF4-FFF2-40B4-BE49-F238E27FC236}">
              <a16:creationId xmlns:a16="http://schemas.microsoft.com/office/drawing/2014/main" id="{09B8B2EA-F097-714F-8E2F-170F6E8941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943100"/>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xdr:row>
      <xdr:rowOff>0</xdr:rowOff>
    </xdr:from>
    <xdr:ext cx="4004734" cy="1519767"/>
    <xdr:pic>
      <xdr:nvPicPr>
        <xdr:cNvPr id="3" name="그림 6">
          <a:extLst>
            <a:ext uri="{FF2B5EF4-FFF2-40B4-BE49-F238E27FC236}">
              <a16:creationId xmlns:a16="http://schemas.microsoft.com/office/drawing/2014/main" id="{35D55537-B180-3049-8623-DF15F40EF5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943100"/>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5</xdr:col>
      <xdr:colOff>573806</xdr:colOff>
      <xdr:row>67</xdr:row>
      <xdr:rowOff>12425</xdr:rowOff>
    </xdr:to>
    <xdr:pic>
      <xdr:nvPicPr>
        <xdr:cNvPr id="2" name="그림 1">
          <a:extLst>
            <a:ext uri="{FF2B5EF4-FFF2-40B4-BE49-F238E27FC236}">
              <a16:creationId xmlns:a16="http://schemas.microsoft.com/office/drawing/2014/main" id="{4DD127E9-0AFF-6842-A5F9-673317EC4FA8}"/>
            </a:ext>
          </a:extLst>
        </xdr:cNvPr>
        <xdr:cNvPicPr>
          <a:picLocks noChangeAspect="1"/>
        </xdr:cNvPicPr>
      </xdr:nvPicPr>
      <xdr:blipFill>
        <a:blip xmlns:r="http://schemas.openxmlformats.org/officeDocument/2006/relationships" r:embed="rId1"/>
        <a:stretch>
          <a:fillRect/>
        </a:stretch>
      </xdr:blipFill>
      <xdr:spPr>
        <a:xfrm>
          <a:off x="825500" y="11010900"/>
          <a:ext cx="5260106" cy="3873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0</xdr:rowOff>
    </xdr:from>
    <xdr:ext cx="4004734" cy="1519767"/>
    <xdr:pic>
      <xdr:nvPicPr>
        <xdr:cNvPr id="2" name="그림 6">
          <a:extLst>
            <a:ext uri="{FF2B5EF4-FFF2-40B4-BE49-F238E27FC236}">
              <a16:creationId xmlns:a16="http://schemas.microsoft.com/office/drawing/2014/main" id="{1EFBA310-2EDE-B042-883B-9B8C5BA3D5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943100"/>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1025" name="FnBtn1" hidden="1">
          <a:extLst>
            <a:ext uri="{63B3BB69-23CF-44E3-9099-C40C66FF867C}">
              <a14:compatExt xmlns:a14="http://schemas.microsoft.com/office/drawing/2010/main"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2" name="FnBtn1">
          <a:extLst>
            <a:ext uri="{FF2B5EF4-FFF2-40B4-BE49-F238E27FC236}">
              <a16:creationId xmlns:a16="http://schemas.microsoft.com/office/drawing/2014/main" id="{84C2C91F-F94D-7A65-92CE-B50F8FFBC4C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3073" name="FnBtn1" hidden="1">
          <a:extLst>
            <a:ext uri="{63B3BB69-23CF-44E3-9099-C40C66FF867C}">
              <a14:compatExt xmlns:a14="http://schemas.microsoft.com/office/drawing/2010/main"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2" name="FnBtn1">
          <a:extLst>
            <a:ext uri="{FF2B5EF4-FFF2-40B4-BE49-F238E27FC236}">
              <a16:creationId xmlns:a16="http://schemas.microsoft.com/office/drawing/2014/main" id="{D4671C10-E10E-3255-BEBE-905AD6DE78A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4097" name="FnBtn1" hidden="1">
          <a:extLst>
            <a:ext uri="{63B3BB69-23CF-44E3-9099-C40C66FF867C}">
              <a14:compatExt xmlns:a14="http://schemas.microsoft.com/office/drawing/2010/main"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2" name="FnBtn1">
          <a:extLst>
            <a:ext uri="{FF2B5EF4-FFF2-40B4-BE49-F238E27FC236}">
              <a16:creationId xmlns:a16="http://schemas.microsoft.com/office/drawing/2014/main" id="{C795B462-114A-4D31-5FFE-2A4F8757426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2" name="FnBtn1" hidden="1">
          <a:extLst>
            <a:ext uri="{63B3BB69-23CF-44E3-9099-C40C66FF867C}">
              <a14:compatExt xmlns:a14="http://schemas.microsoft.com/office/drawing/2010/main" spid="_x0000_s11272"/>
            </a:ext>
            <a:ext uri="{FF2B5EF4-FFF2-40B4-BE49-F238E27FC236}">
              <a16:creationId xmlns:a16="http://schemas.microsoft.com/office/drawing/2014/main" id="{65BB253F-DD4E-5044-B1B8-03CE2C6FB95E}"/>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1272" name="FnBtn1">
          <a:extLst>
            <a:ext uri="{FF2B5EF4-FFF2-40B4-BE49-F238E27FC236}">
              <a16:creationId xmlns:a16="http://schemas.microsoft.com/office/drawing/2014/main" id="{D192BD6B-053F-3A05-9191-F80BB2DC0DA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1273" name="Picture 9">
          <a:extLst>
            <a:ext uri="{FF2B5EF4-FFF2-40B4-BE49-F238E27FC236}">
              <a16:creationId xmlns:a16="http://schemas.microsoft.com/office/drawing/2014/main" id="{2C1AC698-7EBF-2AC6-7E32-13D6179E800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8.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2" name="FnBtn1" hidden="1">
          <a:extLst>
            <a:ext uri="{63B3BB69-23CF-44E3-9099-C40C66FF867C}">
              <a14:compatExt xmlns:a14="http://schemas.microsoft.com/office/drawing/2010/main" spid="_x0000_s12296"/>
            </a:ext>
            <a:ext uri="{FF2B5EF4-FFF2-40B4-BE49-F238E27FC236}">
              <a16:creationId xmlns:a16="http://schemas.microsoft.com/office/drawing/2014/main" id="{F821125D-0CF5-5144-B541-62AE4209712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2296" name="FnBtn1">
          <a:extLst>
            <a:ext uri="{FF2B5EF4-FFF2-40B4-BE49-F238E27FC236}">
              <a16:creationId xmlns:a16="http://schemas.microsoft.com/office/drawing/2014/main" id="{7555E967-A4D7-2560-EDF6-452B20F8EC4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2297" name="Picture 9">
          <a:extLst>
            <a:ext uri="{FF2B5EF4-FFF2-40B4-BE49-F238E27FC236}">
              <a16:creationId xmlns:a16="http://schemas.microsoft.com/office/drawing/2014/main" id="{80865EC5-4E99-6BBB-58B8-71FB4D28CED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9.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482600</xdr:colOff>
      <xdr:row>0</xdr:row>
      <xdr:rowOff>139700</xdr:rowOff>
    </xdr:to>
    <xdr:sp macro="" textlink="">
      <xdr:nvSpPr>
        <xdr:cNvPr id="2" name="FnBtn1" hidden="1">
          <a:extLst>
            <a:ext uri="{63B3BB69-23CF-44E3-9099-C40C66FF867C}">
              <a14:compatExt xmlns:a14="http://schemas.microsoft.com/office/drawing/2010/main" spid="_x0000_s13320"/>
            </a:ext>
            <a:ext uri="{FF2B5EF4-FFF2-40B4-BE49-F238E27FC236}">
              <a16:creationId xmlns:a16="http://schemas.microsoft.com/office/drawing/2014/main" id="{6FAF0C3F-68C6-EE4F-A9C6-B0D0C718742D}"/>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3320" name="FnBtn1">
          <a:extLst>
            <a:ext uri="{FF2B5EF4-FFF2-40B4-BE49-F238E27FC236}">
              <a16:creationId xmlns:a16="http://schemas.microsoft.com/office/drawing/2014/main" id="{5307EEF5-2C69-DAA4-0F3C-1E693A10187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twoCellAnchor>
    <xdr:from>
      <xdr:col>0</xdr:col>
      <xdr:colOff>12700</xdr:colOff>
      <xdr:row>0</xdr:row>
      <xdr:rowOff>12700</xdr:rowOff>
    </xdr:from>
    <xdr:to>
      <xdr:col>0</xdr:col>
      <xdr:colOff>482600</xdr:colOff>
      <xdr:row>0</xdr:row>
      <xdr:rowOff>139700</xdr:rowOff>
    </xdr:to>
    <xdr:pic>
      <xdr:nvPicPr>
        <xdr:cNvPr id="13321" name="Picture 9">
          <a:extLst>
            <a:ext uri="{FF2B5EF4-FFF2-40B4-BE49-F238E27FC236}">
              <a16:creationId xmlns:a16="http://schemas.microsoft.com/office/drawing/2014/main" id="{EF110215-1C38-5C75-47B3-FAD92D67461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2700"/>
          <a:ext cx="469900" cy="127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D5F7-C388-5B4A-811E-C7990EE6724E}">
  <sheetPr>
    <tabColor rgb="FF203864"/>
  </sheetPr>
  <dimension ref="A1:C21"/>
  <sheetViews>
    <sheetView showGridLines="0" zoomScaleNormal="100" workbookViewId="0">
      <selection activeCell="K9" sqref="K9"/>
    </sheetView>
  </sheetViews>
  <sheetFormatPr defaultColWidth="8" defaultRowHeight="17.600000000000001"/>
  <cols>
    <col min="1" max="16384" width="8" style="33"/>
  </cols>
  <sheetData>
    <row r="1" spans="1:3" s="44" customFormat="1" ht="14.15"/>
    <row r="2" spans="1:3" s="43" customFormat="1" ht="25.3"/>
    <row r="3" spans="1:3" s="41" customFormat="1" ht="35.6">
      <c r="A3" s="45" t="s">
        <v>262</v>
      </c>
      <c r="B3" s="42"/>
    </row>
    <row r="4" spans="1:3" s="40" customFormat="1" ht="12.9"/>
    <row r="5" spans="1:3" s="38" customFormat="1" ht="27">
      <c r="A5" s="39" t="s">
        <v>261</v>
      </c>
    </row>
    <row r="7" spans="1:3">
      <c r="C7" s="37" t="s">
        <v>260</v>
      </c>
    </row>
    <row r="8" spans="1:3" ht="59.15">
      <c r="C8" s="36" t="s">
        <v>259</v>
      </c>
    </row>
    <row r="9" spans="1:3" ht="59.15">
      <c r="C9" s="36" t="s">
        <v>258</v>
      </c>
    </row>
    <row r="19" spans="3:3">
      <c r="C19" s="35" t="s">
        <v>257</v>
      </c>
    </row>
    <row r="20" spans="3:3">
      <c r="C20" s="34" t="s">
        <v>256</v>
      </c>
    </row>
    <row r="21" spans="3:3">
      <c r="C21" s="34" t="s">
        <v>255</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60D8-41C5-2144-A122-0338B31E9234}">
  <dimension ref="B4:O28"/>
  <sheetViews>
    <sheetView showGridLines="0" workbookViewId="0">
      <selection activeCell="F21" sqref="F21"/>
    </sheetView>
  </sheetViews>
  <sheetFormatPr defaultColWidth="10.85546875" defaultRowHeight="17.600000000000001"/>
  <cols>
    <col min="2" max="2" width="19.140625" customWidth="1"/>
    <col min="3" max="3" width="13" style="93" bestFit="1" customWidth="1"/>
  </cols>
  <sheetData>
    <row r="4" spans="2:15" ht="18">
      <c r="B4" s="63" t="s">
        <v>268</v>
      </c>
      <c r="C4" s="188"/>
      <c r="D4" s="64"/>
      <c r="E4" s="64"/>
      <c r="F4" s="65"/>
      <c r="G4" s="66"/>
      <c r="H4" s="67" t="s">
        <v>269</v>
      </c>
      <c r="I4" s="67"/>
      <c r="J4" s="68"/>
      <c r="K4" s="68"/>
    </row>
    <row r="5" spans="2:15" ht="18">
      <c r="B5" s="69" t="s">
        <v>270</v>
      </c>
      <c r="C5" s="70"/>
      <c r="D5" s="70"/>
      <c r="E5" s="71"/>
      <c r="F5" s="72"/>
      <c r="G5" s="66"/>
      <c r="H5" s="176">
        <v>2022</v>
      </c>
      <c r="I5" s="176">
        <v>2023</v>
      </c>
      <c r="J5" s="74">
        <v>2024</v>
      </c>
      <c r="K5" s="74" t="s">
        <v>344</v>
      </c>
    </row>
    <row r="6" spans="2:15" ht="18.45" thickBot="1">
      <c r="B6" s="75" t="s">
        <v>271</v>
      </c>
      <c r="C6" s="76"/>
      <c r="D6" s="76" t="s">
        <v>272</v>
      </c>
      <c r="E6" s="77" t="s">
        <v>273</v>
      </c>
      <c r="F6" s="78"/>
      <c r="G6" s="66"/>
      <c r="H6" s="79">
        <v>411</v>
      </c>
      <c r="I6" s="79">
        <v>367</v>
      </c>
      <c r="J6" s="80">
        <v>317</v>
      </c>
      <c r="K6" s="80">
        <f>C7*1000000/C11</f>
        <v>565.86947734350247</v>
      </c>
    </row>
    <row r="7" spans="2:15" ht="18.45" thickTop="1">
      <c r="B7" s="81" t="s">
        <v>274</v>
      </c>
      <c r="C7" s="181">
        <v>37194.910842262005</v>
      </c>
      <c r="D7" s="82" t="s">
        <v>275</v>
      </c>
      <c r="E7" s="83" t="s">
        <v>276</v>
      </c>
      <c r="F7" s="84"/>
      <c r="G7" s="66"/>
      <c r="H7" s="66"/>
      <c r="I7" s="66"/>
      <c r="J7" s="73"/>
    </row>
    <row r="8" spans="2:15" ht="18">
      <c r="B8" s="81" t="s">
        <v>277</v>
      </c>
      <c r="C8" s="182">
        <f>I24</f>
        <v>49.08</v>
      </c>
      <c r="D8" s="82" t="s">
        <v>278</v>
      </c>
      <c r="E8" s="83" t="s">
        <v>366</v>
      </c>
      <c r="F8" s="84"/>
      <c r="G8" s="85"/>
      <c r="H8" s="178"/>
      <c r="I8" s="178" t="s">
        <v>350</v>
      </c>
    </row>
    <row r="9" spans="2:15" ht="18">
      <c r="B9" s="81"/>
      <c r="C9" s="183"/>
      <c r="D9" s="82"/>
      <c r="E9" s="83"/>
      <c r="F9" s="84"/>
      <c r="G9" s="85"/>
      <c r="H9" s="179" t="s">
        <v>355</v>
      </c>
      <c r="I9" s="179">
        <v>14.92</v>
      </c>
    </row>
    <row r="10" spans="2:15" ht="18">
      <c r="B10" s="81" t="s">
        <v>279</v>
      </c>
      <c r="C10" s="184">
        <f>C7*C8</f>
        <v>1825526.2241382191</v>
      </c>
      <c r="D10" s="82" t="s">
        <v>275</v>
      </c>
      <c r="E10" s="83" t="s">
        <v>280</v>
      </c>
      <c r="F10" s="84"/>
      <c r="G10" s="85"/>
      <c r="H10" s="179" t="s">
        <v>356</v>
      </c>
      <c r="I10" s="179">
        <v>13.2</v>
      </c>
      <c r="K10" s="193"/>
      <c r="L10" s="194"/>
      <c r="M10" s="195"/>
      <c r="N10" s="195"/>
      <c r="O10" s="195"/>
    </row>
    <row r="11" spans="2:15" ht="18">
      <c r="B11" s="81" t="s">
        <v>281</v>
      </c>
      <c r="C11" s="184">
        <v>65730548</v>
      </c>
      <c r="D11" s="82" t="s">
        <v>282</v>
      </c>
      <c r="E11" s="83" t="s">
        <v>283</v>
      </c>
      <c r="F11" s="84"/>
      <c r="G11" s="85"/>
      <c r="H11" s="179" t="s">
        <v>357</v>
      </c>
      <c r="I11" s="179">
        <v>16.23</v>
      </c>
      <c r="K11" s="196"/>
      <c r="L11" s="196"/>
      <c r="M11" s="197"/>
      <c r="N11" s="196"/>
      <c r="O11" s="198"/>
    </row>
    <row r="12" spans="2:15" ht="18">
      <c r="B12" s="81" t="s">
        <v>284</v>
      </c>
      <c r="C12" s="184">
        <f>C10*1000000/C11</f>
        <v>27772.873948019103</v>
      </c>
      <c r="D12" s="82" t="s">
        <v>285</v>
      </c>
      <c r="E12" s="83" t="s">
        <v>286</v>
      </c>
      <c r="F12" s="84"/>
      <c r="G12" s="85"/>
      <c r="H12" s="179" t="s">
        <v>358</v>
      </c>
      <c r="I12" s="179">
        <v>8.5299999999999994</v>
      </c>
      <c r="K12" s="199"/>
      <c r="L12" s="196"/>
      <c r="M12" s="197"/>
      <c r="N12" s="196"/>
      <c r="O12" s="198"/>
    </row>
    <row r="13" spans="2:15" ht="18">
      <c r="B13" s="81"/>
      <c r="C13" s="183"/>
      <c r="D13" s="82"/>
      <c r="E13" s="83"/>
      <c r="F13" s="84"/>
      <c r="G13" s="85"/>
      <c r="H13" s="179" t="s">
        <v>359</v>
      </c>
      <c r="I13" s="179">
        <v>17.77</v>
      </c>
      <c r="K13" s="199"/>
      <c r="L13" s="196"/>
      <c r="M13" s="197"/>
      <c r="N13" s="196"/>
      <c r="O13" s="198"/>
    </row>
    <row r="14" spans="2:15" ht="18">
      <c r="B14" s="87" t="s">
        <v>287</v>
      </c>
      <c r="C14" s="185">
        <f>27700</f>
        <v>27700</v>
      </c>
      <c r="D14" s="88" t="s">
        <v>285</v>
      </c>
      <c r="E14" s="89" t="s">
        <v>288</v>
      </c>
      <c r="F14" s="90"/>
      <c r="G14" s="85"/>
      <c r="H14" s="180" t="s">
        <v>360</v>
      </c>
      <c r="I14" s="179">
        <v>58.47</v>
      </c>
      <c r="K14" s="200"/>
      <c r="L14" s="201"/>
      <c r="M14" s="191"/>
      <c r="N14" s="200"/>
      <c r="O14" s="202"/>
    </row>
    <row r="15" spans="2:15" ht="18">
      <c r="B15" s="81" t="s">
        <v>289</v>
      </c>
      <c r="C15" s="185">
        <v>16050</v>
      </c>
      <c r="D15" s="82" t="s">
        <v>285</v>
      </c>
      <c r="E15" s="83" t="s">
        <v>367</v>
      </c>
      <c r="F15" s="84"/>
      <c r="G15" s="85"/>
      <c r="H15" s="179" t="s">
        <v>361</v>
      </c>
      <c r="I15" s="179">
        <v>52.96</v>
      </c>
      <c r="K15" s="196"/>
      <c r="L15" s="196"/>
      <c r="M15" s="192"/>
      <c r="N15" s="196"/>
      <c r="O15" s="198"/>
    </row>
    <row r="16" spans="2:15" ht="18">
      <c r="B16" s="75" t="s">
        <v>290</v>
      </c>
      <c r="C16" s="186">
        <f>(C14/C15-1)*100</f>
        <v>72.585669781931458</v>
      </c>
      <c r="D16" s="76" t="s">
        <v>291</v>
      </c>
      <c r="E16" s="91"/>
      <c r="F16" s="78"/>
      <c r="G16" s="85"/>
      <c r="H16" s="179" t="s">
        <v>362</v>
      </c>
      <c r="I16" s="179">
        <v>45.2</v>
      </c>
      <c r="K16" s="196"/>
      <c r="L16" s="196"/>
      <c r="M16" s="203"/>
      <c r="N16" s="196"/>
      <c r="O16" s="198"/>
    </row>
    <row r="17" spans="2:15" ht="18">
      <c r="G17" s="92"/>
      <c r="H17" s="179" t="s">
        <v>363</v>
      </c>
      <c r="I17" s="179">
        <v>96.41</v>
      </c>
      <c r="K17" s="204"/>
      <c r="L17" s="204"/>
      <c r="M17" s="205"/>
      <c r="N17" s="204"/>
      <c r="O17" s="206"/>
    </row>
    <row r="18" spans="2:15" ht="18">
      <c r="B18" s="177"/>
      <c r="C18" s="177"/>
      <c r="D18" s="177"/>
      <c r="G18" s="92"/>
      <c r="H18" s="179" t="s">
        <v>364</v>
      </c>
      <c r="I18" s="179">
        <v>75.53</v>
      </c>
      <c r="K18" s="196"/>
      <c r="L18" s="196"/>
      <c r="M18" s="203"/>
      <c r="N18" s="196"/>
      <c r="O18" s="198"/>
    </row>
    <row r="19" spans="2:15" ht="18">
      <c r="B19" s="193"/>
      <c r="C19" s="194"/>
      <c r="D19" s="195"/>
      <c r="E19" s="195"/>
      <c r="F19" s="195"/>
      <c r="G19" s="92"/>
      <c r="H19" s="179" t="s">
        <v>365</v>
      </c>
      <c r="I19" s="179">
        <v>95.1</v>
      </c>
      <c r="K19" s="196"/>
      <c r="L19" s="196"/>
      <c r="M19" s="207"/>
      <c r="N19" s="196"/>
      <c r="O19" s="198"/>
    </row>
    <row r="20" spans="2:15" ht="18">
      <c r="B20" s="196"/>
      <c r="C20" s="196"/>
      <c r="D20" s="197"/>
      <c r="E20" s="196"/>
      <c r="F20" s="198"/>
      <c r="G20" s="92"/>
      <c r="H20" s="86"/>
    </row>
    <row r="21" spans="2:15" ht="18">
      <c r="B21" s="199"/>
      <c r="C21" s="196"/>
      <c r="D21" s="197"/>
      <c r="E21" s="196"/>
      <c r="F21" s="198"/>
      <c r="G21" s="92"/>
      <c r="H21" s="189" t="s">
        <v>345</v>
      </c>
      <c r="I21" s="190">
        <f>AVERAGE(I9:I10)</f>
        <v>14.059999999999999</v>
      </c>
    </row>
    <row r="22" spans="2:15" ht="18">
      <c r="B22" s="199"/>
      <c r="C22" s="196"/>
      <c r="D22" s="197"/>
      <c r="E22" s="196"/>
      <c r="F22" s="198"/>
      <c r="G22" s="92"/>
      <c r="H22" s="189" t="s">
        <v>346</v>
      </c>
      <c r="I22" s="190">
        <f>AVERAGE(I11:I12)</f>
        <v>12.379999999999999</v>
      </c>
    </row>
    <row r="23" spans="2:15" ht="18">
      <c r="B23" s="200"/>
      <c r="C23" s="201"/>
      <c r="D23" s="191"/>
      <c r="E23" s="200"/>
      <c r="F23" s="202"/>
      <c r="G23" s="92"/>
      <c r="H23" s="189" t="s">
        <v>347</v>
      </c>
      <c r="I23" s="190">
        <f>AVERAGE(I13:I14)</f>
        <v>38.119999999999997</v>
      </c>
    </row>
    <row r="24" spans="2:15" ht="18">
      <c r="B24" s="196"/>
      <c r="C24" s="196"/>
      <c r="D24" s="192"/>
      <c r="E24" s="196"/>
      <c r="F24" s="198"/>
      <c r="H24" s="189" t="s">
        <v>348</v>
      </c>
      <c r="I24" s="190">
        <f>AVERAGE(I15:I16)</f>
        <v>49.08</v>
      </c>
    </row>
    <row r="25" spans="2:15" ht="18">
      <c r="B25" s="196"/>
      <c r="C25" s="196"/>
      <c r="D25" s="203"/>
      <c r="E25" s="196"/>
      <c r="F25" s="198"/>
      <c r="H25" s="189" t="s">
        <v>349</v>
      </c>
      <c r="I25" s="190">
        <f>AVERAGE(I17:I18)</f>
        <v>85.97</v>
      </c>
    </row>
    <row r="26" spans="2:15">
      <c r="B26" s="204"/>
      <c r="C26" s="204"/>
      <c r="D26" s="205"/>
      <c r="E26" s="204"/>
      <c r="F26" s="206"/>
      <c r="H26" s="86"/>
    </row>
    <row r="27" spans="2:15">
      <c r="B27" s="196"/>
      <c r="C27" s="196"/>
      <c r="D27" s="203"/>
      <c r="E27" s="196"/>
      <c r="F27" s="198"/>
    </row>
    <row r="28" spans="2:15">
      <c r="B28" s="196"/>
      <c r="C28" s="196"/>
      <c r="D28" s="207"/>
      <c r="E28" s="196"/>
      <c r="F28" s="198"/>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0D9FF-A8A4-3942-B4C4-74F78213856B}">
  <dimension ref="A1:AX33"/>
  <sheetViews>
    <sheetView showGridLines="0" tabSelected="1" zoomScale="75" workbookViewId="0">
      <selection activeCell="S23" sqref="S23"/>
    </sheetView>
  </sheetViews>
  <sheetFormatPr defaultColWidth="10.85546875" defaultRowHeight="18"/>
  <cols>
    <col min="1" max="1" width="2.35546875" style="17" customWidth="1"/>
    <col min="2" max="3" width="2.5" style="17" customWidth="1"/>
    <col min="4" max="4" width="10.85546875" style="17"/>
    <col min="5" max="8" width="10.85546875" style="17" customWidth="1"/>
    <col min="9" max="24" width="10.85546875" style="17"/>
    <col min="25" max="28" width="10.85546875" style="17" customWidth="1"/>
    <col min="29" max="16384" width="10.85546875" style="17"/>
  </cols>
  <sheetData>
    <row r="1" spans="1:50" ht="19.3">
      <c r="B1" s="18"/>
      <c r="C1" s="18"/>
      <c r="D1" s="18"/>
      <c r="E1" s="18"/>
      <c r="F1" s="18"/>
      <c r="G1" s="18"/>
      <c r="H1" s="18"/>
      <c r="I1" s="18"/>
      <c r="J1" s="18"/>
      <c r="K1" s="18"/>
      <c r="L1" s="18"/>
      <c r="M1" s="18"/>
      <c r="N1" s="18"/>
      <c r="O1" s="18"/>
      <c r="P1" s="18"/>
      <c r="Q1" s="18"/>
      <c r="R1" s="18"/>
      <c r="S1" s="18"/>
      <c r="T1" s="18"/>
      <c r="U1" s="18"/>
    </row>
    <row r="2" spans="1:50" s="22" customFormat="1" ht="86.15">
      <c r="A2" s="32" t="s">
        <v>254</v>
      </c>
      <c r="B2" s="31" t="s">
        <v>253</v>
      </c>
      <c r="C2" s="31"/>
      <c r="D2" s="31"/>
      <c r="E2" s="31"/>
      <c r="F2" s="30"/>
      <c r="G2" s="30"/>
      <c r="H2" s="30"/>
      <c r="I2" s="30"/>
      <c r="J2" s="30"/>
      <c r="K2" s="30"/>
      <c r="L2" s="30"/>
      <c r="M2" s="30"/>
      <c r="N2" s="30"/>
      <c r="O2" s="30"/>
      <c r="P2" s="30"/>
      <c r="Q2" s="30"/>
      <c r="R2" s="30"/>
      <c r="S2" s="30"/>
      <c r="T2" s="30"/>
      <c r="U2" s="30"/>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row>
    <row r="3" spans="1:50" s="22" customFormat="1" ht="23.15">
      <c r="B3" s="28" t="s">
        <v>252</v>
      </c>
      <c r="C3" s="28"/>
      <c r="D3" s="28"/>
      <c r="E3" s="28"/>
      <c r="F3" s="27"/>
      <c r="G3" s="27"/>
      <c r="H3" s="27"/>
      <c r="I3" s="27"/>
      <c r="J3" s="27"/>
      <c r="K3" s="27"/>
      <c r="L3" s="27"/>
      <c r="M3" s="27"/>
      <c r="N3" s="27"/>
      <c r="O3" s="27"/>
      <c r="P3" s="27"/>
      <c r="Q3" s="27"/>
      <c r="R3" s="27"/>
      <c r="S3" s="27"/>
      <c r="T3" s="27"/>
      <c r="U3" s="27"/>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row>
    <row r="4" spans="1:50" s="22" customFormat="1" ht="18.899999999999999">
      <c r="B4" s="25" t="s">
        <v>251</v>
      </c>
      <c r="C4" s="25"/>
      <c r="D4" s="25"/>
      <c r="E4" s="25"/>
      <c r="F4" s="24"/>
      <c r="G4" s="24"/>
      <c r="H4" s="24"/>
      <c r="I4" s="24"/>
      <c r="J4" s="24"/>
      <c r="K4" s="24"/>
      <c r="L4" s="24"/>
      <c r="M4" s="24"/>
      <c r="N4" s="24"/>
      <c r="O4" s="24"/>
      <c r="P4" s="24"/>
      <c r="Q4" s="24"/>
      <c r="R4" s="24"/>
      <c r="S4" s="24"/>
      <c r="T4" s="24"/>
      <c r="U4" s="24"/>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row>
    <row r="5" spans="1:50" ht="19.3">
      <c r="B5" s="18"/>
      <c r="C5" s="18"/>
      <c r="D5" s="18"/>
      <c r="E5" s="18"/>
      <c r="F5" s="18"/>
      <c r="G5" s="18"/>
      <c r="H5" s="18"/>
      <c r="I5" s="18"/>
      <c r="J5" s="18"/>
      <c r="K5" s="18"/>
      <c r="L5" s="18"/>
      <c r="M5" s="18"/>
      <c r="N5" s="18"/>
      <c r="O5" s="18"/>
      <c r="P5" s="18"/>
      <c r="Q5" s="18"/>
      <c r="R5" s="18"/>
      <c r="S5" s="18"/>
      <c r="T5" s="18"/>
      <c r="U5" s="18"/>
    </row>
    <row r="6" spans="1:50" ht="19.3">
      <c r="B6" s="58" t="s">
        <v>250</v>
      </c>
      <c r="C6" s="59"/>
      <c r="D6" s="59"/>
      <c r="E6" s="59" t="s">
        <v>221</v>
      </c>
      <c r="F6" s="59" t="s">
        <v>222</v>
      </c>
      <c r="G6" s="59" t="s">
        <v>223</v>
      </c>
      <c r="H6" s="59" t="s">
        <v>224</v>
      </c>
      <c r="I6" s="61" t="s">
        <v>225</v>
      </c>
      <c r="J6" s="59" t="s">
        <v>226</v>
      </c>
      <c r="K6" s="59" t="s">
        <v>227</v>
      </c>
      <c r="L6" s="59" t="s">
        <v>228</v>
      </c>
      <c r="M6" s="61" t="s">
        <v>229</v>
      </c>
      <c r="N6" s="59" t="s">
        <v>230</v>
      </c>
      <c r="O6" s="59" t="s">
        <v>231</v>
      </c>
      <c r="P6" s="59" t="s">
        <v>232</v>
      </c>
      <c r="Q6" s="217" t="s">
        <v>233</v>
      </c>
      <c r="R6" s="60" t="s">
        <v>234</v>
      </c>
      <c r="S6" s="60" t="s">
        <v>235</v>
      </c>
      <c r="T6" s="60" t="s">
        <v>236</v>
      </c>
      <c r="U6" s="217" t="s">
        <v>237</v>
      </c>
      <c r="V6" s="60" t="s">
        <v>238</v>
      </c>
      <c r="W6" s="60" t="s">
        <v>239</v>
      </c>
      <c r="X6" s="62" t="s">
        <v>240</v>
      </c>
      <c r="Y6" s="61">
        <v>2023</v>
      </c>
      <c r="Z6" s="59">
        <v>2024</v>
      </c>
      <c r="AA6" s="60" t="s">
        <v>241</v>
      </c>
      <c r="AB6" s="62" t="s">
        <v>267</v>
      </c>
    </row>
    <row r="7" spans="1:50" ht="19.3">
      <c r="B7" s="218" t="s">
        <v>249</v>
      </c>
      <c r="C7" s="219"/>
      <c r="D7" s="219"/>
      <c r="E7" s="220">
        <f t="shared" ref="E7:AB7" si="0">SUM(E9,E11,E13,E15,E17)</f>
        <v>28858</v>
      </c>
      <c r="F7" s="220">
        <f t="shared" si="0"/>
        <v>32932</v>
      </c>
      <c r="G7" s="220">
        <f t="shared" si="0"/>
        <v>32257</v>
      </c>
      <c r="H7" s="220">
        <f t="shared" si="0"/>
        <v>36460</v>
      </c>
      <c r="I7" s="221">
        <f t="shared" si="0"/>
        <v>30233</v>
      </c>
      <c r="J7" s="220">
        <f t="shared" si="0"/>
        <v>29082</v>
      </c>
      <c r="K7" s="220">
        <f t="shared" si="0"/>
        <v>26857</v>
      </c>
      <c r="L7" s="220">
        <f t="shared" si="0"/>
        <v>31619</v>
      </c>
      <c r="M7" s="221">
        <f t="shared" si="0"/>
        <v>30832</v>
      </c>
      <c r="N7" s="220">
        <f t="shared" si="0"/>
        <v>30725</v>
      </c>
      <c r="O7" s="220">
        <f t="shared" si="0"/>
        <v>32445</v>
      </c>
      <c r="P7" s="220">
        <f t="shared" si="0"/>
        <v>44724</v>
      </c>
      <c r="Q7" s="221">
        <f t="shared" si="0"/>
        <v>46219.126049999999</v>
      </c>
      <c r="R7" s="220">
        <f t="shared" si="0"/>
        <v>47788.8814889325</v>
      </c>
      <c r="S7" s="220">
        <f t="shared" si="0"/>
        <v>52843.288474643501</v>
      </c>
      <c r="T7" s="220">
        <f t="shared" si="0"/>
        <v>58553.886113018794</v>
      </c>
      <c r="U7" s="221">
        <f t="shared" si="0"/>
        <v>60199.121903256448</v>
      </c>
      <c r="V7" s="220">
        <f t="shared" si="0"/>
        <v>61894.360598642008</v>
      </c>
      <c r="W7" s="220">
        <f t="shared" si="0"/>
        <v>63641.234348195336</v>
      </c>
      <c r="X7" s="119">
        <f t="shared" si="0"/>
        <v>65441.432313276702</v>
      </c>
      <c r="Y7" s="19">
        <f t="shared" si="0"/>
        <v>117791</v>
      </c>
      <c r="Z7" s="19">
        <f t="shared" si="0"/>
        <v>138726</v>
      </c>
      <c r="AA7" s="19">
        <f t="shared" si="0"/>
        <v>205405.18212659477</v>
      </c>
      <c r="AB7" s="119">
        <f t="shared" si="0"/>
        <v>251176.14916337049</v>
      </c>
    </row>
    <row r="8" spans="1:50" s="20" customFormat="1" ht="19.3">
      <c r="B8" s="222"/>
      <c r="C8" s="51" t="s">
        <v>248</v>
      </c>
      <c r="D8" s="223"/>
      <c r="E8" s="224"/>
      <c r="F8" s="224"/>
      <c r="G8" s="224"/>
      <c r="H8" s="224"/>
      <c r="I8" s="57">
        <f t="shared" ref="I8:X8" si="1">I7/E7-1</f>
        <v>4.7647099591101361E-2</v>
      </c>
      <c r="J8" s="53">
        <f>J7/F7-1</f>
        <v>-0.11690756710798011</v>
      </c>
      <c r="K8" s="53">
        <f t="shared" si="1"/>
        <v>-0.1674055243823046</v>
      </c>
      <c r="L8" s="53">
        <f t="shared" si="1"/>
        <v>-0.13277564454196378</v>
      </c>
      <c r="M8" s="57">
        <f t="shared" si="1"/>
        <v>1.9812787351569439E-2</v>
      </c>
      <c r="N8" s="53">
        <f t="shared" si="1"/>
        <v>5.6495426724434417E-2</v>
      </c>
      <c r="O8" s="53">
        <f t="shared" si="1"/>
        <v>0.20806493651561975</v>
      </c>
      <c r="P8" s="53">
        <f t="shared" si="1"/>
        <v>0.41446598564154469</v>
      </c>
      <c r="Q8" s="57">
        <f t="shared" si="1"/>
        <v>0.49906350707057601</v>
      </c>
      <c r="R8" s="53">
        <f t="shared" si="1"/>
        <v>0.55537449923295368</v>
      </c>
      <c r="S8" s="53">
        <f t="shared" si="1"/>
        <v>0.62870360532111258</v>
      </c>
      <c r="T8" s="53">
        <f t="shared" si="1"/>
        <v>0.30922739721444392</v>
      </c>
      <c r="U8" s="57">
        <f t="shared" si="1"/>
        <v>0.30247209430426802</v>
      </c>
      <c r="V8" s="53">
        <f t="shared" si="1"/>
        <v>0.29516236141614272</v>
      </c>
      <c r="W8" s="53">
        <f t="shared" si="1"/>
        <v>0.20433902176116758</v>
      </c>
      <c r="X8" s="54">
        <f t="shared" si="1"/>
        <v>0.11762748226417963</v>
      </c>
      <c r="Y8" s="55"/>
      <c r="Z8" s="46">
        <f>Z7/Y7-1</f>
        <v>0.17773004728714414</v>
      </c>
      <c r="AA8" s="46">
        <f t="shared" ref="AA8:AB8" si="2">AA7/Z7-1</f>
        <v>0.48065382211405772</v>
      </c>
      <c r="AB8" s="48">
        <f t="shared" si="2"/>
        <v>0.22283258174356235</v>
      </c>
    </row>
    <row r="9" spans="1:50" ht="19.3">
      <c r="B9" s="218" t="s">
        <v>247</v>
      </c>
      <c r="C9" s="219"/>
      <c r="D9" s="219"/>
      <c r="E9" s="220">
        <f>5416+10999</f>
        <v>16415</v>
      </c>
      <c r="F9" s="220">
        <f>11170+25664-E9</f>
        <v>20419</v>
      </c>
      <c r="G9" s="220">
        <f>16973+38629-F9-E9</f>
        <v>18768</v>
      </c>
      <c r="H9" s="220">
        <f>25988+55745-G9-F9-E9</f>
        <v>26131</v>
      </c>
      <c r="I9" s="221">
        <f>9527+8273</f>
        <v>17800</v>
      </c>
      <c r="J9" s="220">
        <f>18695+13713-I9</f>
        <v>14608</v>
      </c>
      <c r="K9" s="220">
        <f>28145+18054-I9-J9</f>
        <v>13791</v>
      </c>
      <c r="L9" s="220">
        <f>38596+26141-(SUM(I9:K9))</f>
        <v>18538</v>
      </c>
      <c r="M9" s="221">
        <f>12541+6289</f>
        <v>18830</v>
      </c>
      <c r="N9" s="220">
        <f>23967+14388-M9</f>
        <v>19525</v>
      </c>
      <c r="O9" s="220">
        <f>34492+21633-M9-N9</f>
        <v>17770</v>
      </c>
      <c r="P9" s="220">
        <f>84790-SUM(M9:O9)</f>
        <v>28665</v>
      </c>
      <c r="Q9" s="221">
        <v>29453.287500000002</v>
      </c>
      <c r="R9" s="220">
        <v>30263.252906250003</v>
      </c>
      <c r="S9" s="220">
        <v>34500.108313124998</v>
      </c>
      <c r="T9" s="220">
        <v>39330.123476962493</v>
      </c>
      <c r="U9" s="221">
        <v>40411.701872578968</v>
      </c>
      <c r="V9" s="220">
        <v>41523.023674074895</v>
      </c>
      <c r="W9" s="220">
        <v>42664.906825111961</v>
      </c>
      <c r="X9" s="119">
        <v>43838.19176280254</v>
      </c>
      <c r="Y9" s="120">
        <f>SUM(I9:L9)</f>
        <v>64737</v>
      </c>
      <c r="Z9" s="172">
        <f>SUM(M9:P9)</f>
        <v>84790</v>
      </c>
      <c r="AA9" s="172">
        <f>SUM(Q9:T9)</f>
        <v>133546.77219633749</v>
      </c>
      <c r="AB9" s="174">
        <f>SUM(U9:X9)</f>
        <v>168437.82413456836</v>
      </c>
    </row>
    <row r="10" spans="1:50" s="20" customFormat="1" ht="19.3">
      <c r="B10" s="50"/>
      <c r="C10" s="225" t="s">
        <v>242</v>
      </c>
      <c r="D10" s="52"/>
      <c r="E10" s="53">
        <f t="shared" ref="E10:AB10" si="3">E9/E7</f>
        <v>0.56881973802758334</v>
      </c>
      <c r="F10" s="53">
        <f t="shared" si="3"/>
        <v>0.6200352240981416</v>
      </c>
      <c r="G10" s="53">
        <f t="shared" si="3"/>
        <v>0.58182720029760981</v>
      </c>
      <c r="H10" s="53">
        <f t="shared" si="3"/>
        <v>0.71670323642347777</v>
      </c>
      <c r="I10" s="57">
        <f t="shared" si="3"/>
        <v>0.58876062580623822</v>
      </c>
      <c r="J10" s="53">
        <f t="shared" si="3"/>
        <v>0.50230383054810535</v>
      </c>
      <c r="K10" s="53">
        <f t="shared" si="3"/>
        <v>0.51349741222027778</v>
      </c>
      <c r="L10" s="53">
        <f t="shared" si="3"/>
        <v>0.58629305164616208</v>
      </c>
      <c r="M10" s="57">
        <f t="shared" si="3"/>
        <v>0.61072911261027507</v>
      </c>
      <c r="N10" s="53">
        <f t="shared" si="3"/>
        <v>0.6354759967453214</v>
      </c>
      <c r="O10" s="53">
        <f t="shared" si="3"/>
        <v>0.54769610109415934</v>
      </c>
      <c r="P10" s="53">
        <f t="shared" si="3"/>
        <v>0.64093104373490739</v>
      </c>
      <c r="Q10" s="57">
        <f t="shared" si="3"/>
        <v>0.63725323296111958</v>
      </c>
      <c r="R10" s="53">
        <f t="shared" si="3"/>
        <v>0.63326974734193597</v>
      </c>
      <c r="S10" s="53">
        <f t="shared" si="3"/>
        <v>0.65287587712637607</v>
      </c>
      <c r="T10" s="53">
        <f t="shared" si="3"/>
        <v>0.67169108812092804</v>
      </c>
      <c r="U10" s="57">
        <f t="shared" si="3"/>
        <v>0.67130052058770828</v>
      </c>
      <c r="V10" s="53">
        <f t="shared" si="3"/>
        <v>0.67086925646317974</v>
      </c>
      <c r="W10" s="53">
        <f t="shared" si="3"/>
        <v>0.67039722378234801</v>
      </c>
      <c r="X10" s="54">
        <f t="shared" si="3"/>
        <v>0.66988435633473575</v>
      </c>
      <c r="Y10" s="21">
        <f t="shared" si="3"/>
        <v>0.5495920740973419</v>
      </c>
      <c r="Z10" s="21">
        <f>Z9/Z7</f>
        <v>0.61120482101408535</v>
      </c>
      <c r="AA10" s="21">
        <f>AA9/AA7</f>
        <v>0.65016262400833835</v>
      </c>
      <c r="AB10" s="49">
        <f t="shared" si="3"/>
        <v>0.67059641090768018</v>
      </c>
    </row>
    <row r="11" spans="1:50" ht="19.3">
      <c r="B11" s="218" t="s">
        <v>246</v>
      </c>
      <c r="C11" s="219"/>
      <c r="D11" s="219"/>
      <c r="E11" s="220">
        <f>5149+174</f>
        <v>5323</v>
      </c>
      <c r="F11" s="220">
        <f>11292+333-E11</f>
        <v>6302</v>
      </c>
      <c r="G11" s="220">
        <f>18368+490-F11-E11</f>
        <v>7233</v>
      </c>
      <c r="H11" s="220">
        <f>27347+684-(SUM(E11:G11))</f>
        <v>9173</v>
      </c>
      <c r="I11" s="221">
        <f>8310+149</f>
        <v>8459</v>
      </c>
      <c r="J11" s="220">
        <f>17758+392-I11</f>
        <v>9691</v>
      </c>
      <c r="K11" s="220">
        <f>26859+598-J11-I11</f>
        <v>9307</v>
      </c>
      <c r="L11" s="220">
        <f>35733+836-(SUM(I11:K11))</f>
        <v>9112</v>
      </c>
      <c r="M11" s="221">
        <f>7151+230</f>
        <v>7381</v>
      </c>
      <c r="N11" s="220">
        <f>14331+503-M11</f>
        <v>7453</v>
      </c>
      <c r="O11" s="220">
        <f>23485+723-N11-M11</f>
        <v>9374</v>
      </c>
      <c r="P11" s="220">
        <f>32835-SUM(M11:O11)</f>
        <v>8627</v>
      </c>
      <c r="Q11" s="226">
        <f>P11*1.0159</f>
        <v>8764.1692999999996</v>
      </c>
      <c r="R11" s="227">
        <f t="shared" ref="R11:X11" si="4">Q11*1.0159</f>
        <v>8903.5195918699992</v>
      </c>
      <c r="S11" s="227">
        <f t="shared" si="4"/>
        <v>9045.0855533807317</v>
      </c>
      <c r="T11" s="227">
        <f t="shared" si="4"/>
        <v>9188.9024136794851</v>
      </c>
      <c r="U11" s="226">
        <f t="shared" si="4"/>
        <v>9335.00596205699</v>
      </c>
      <c r="V11" s="227">
        <f t="shared" si="4"/>
        <v>9483.432556853697</v>
      </c>
      <c r="W11" s="227">
        <f t="shared" si="4"/>
        <v>9634.2191345076717</v>
      </c>
      <c r="X11" s="228">
        <f t="shared" si="4"/>
        <v>9787.4032187463436</v>
      </c>
      <c r="Y11" s="172">
        <f>SUM(I11:L11)</f>
        <v>36569</v>
      </c>
      <c r="Z11" s="172">
        <f>SUM(M11:P11)</f>
        <v>32835</v>
      </c>
      <c r="AA11" s="172">
        <f>SUM(Q11:T11)</f>
        <v>35901.676858930216</v>
      </c>
      <c r="AB11" s="174">
        <f>SUM(U11:X11)</f>
        <v>38240.0608721647</v>
      </c>
    </row>
    <row r="12" spans="1:50" s="20" customFormat="1" ht="19.3">
      <c r="B12" s="50"/>
      <c r="C12" s="51" t="s">
        <v>242</v>
      </c>
      <c r="D12" s="52"/>
      <c r="E12" s="53">
        <f t="shared" ref="E12:AB12" si="5">E11/E7</f>
        <v>0.1844549171806778</v>
      </c>
      <c r="F12" s="53">
        <f t="shared" si="5"/>
        <v>0.19136402283493259</v>
      </c>
      <c r="G12" s="53">
        <f t="shared" si="5"/>
        <v>0.22423039960318691</v>
      </c>
      <c r="H12" s="53">
        <f t="shared" si="5"/>
        <v>0.25159078442128358</v>
      </c>
      <c r="I12" s="57">
        <f t="shared" si="5"/>
        <v>0.2797936030165713</v>
      </c>
      <c r="J12" s="53">
        <f t="shared" si="5"/>
        <v>0.33323017674162714</v>
      </c>
      <c r="K12" s="53">
        <f t="shared" si="5"/>
        <v>0.34653907733551775</v>
      </c>
      <c r="L12" s="53">
        <f t="shared" si="5"/>
        <v>0.28818115689933266</v>
      </c>
      <c r="M12" s="57">
        <f t="shared" si="5"/>
        <v>0.23939413596263623</v>
      </c>
      <c r="N12" s="53">
        <f t="shared" si="5"/>
        <v>0.24257119609438568</v>
      </c>
      <c r="O12" s="53">
        <f t="shared" si="5"/>
        <v>0.28891971027893359</v>
      </c>
      <c r="P12" s="53">
        <f t="shared" si="5"/>
        <v>0.19289419551024059</v>
      </c>
      <c r="Q12" s="57">
        <f t="shared" si="5"/>
        <v>0.18962213371405798</v>
      </c>
      <c r="R12" s="53">
        <f t="shared" si="5"/>
        <v>0.1863094367239371</v>
      </c>
      <c r="S12" s="53">
        <f t="shared" si="5"/>
        <v>0.17116810506070143</v>
      </c>
      <c r="T12" s="53">
        <f t="shared" si="5"/>
        <v>0.15693070133625917</v>
      </c>
      <c r="U12" s="57">
        <f t="shared" si="5"/>
        <v>0.15506880610416374</v>
      </c>
      <c r="V12" s="53">
        <f t="shared" si="5"/>
        <v>0.15321965466853482</v>
      </c>
      <c r="W12" s="53">
        <f t="shared" si="5"/>
        <v>0.15138328527376949</v>
      </c>
      <c r="X12" s="54">
        <f t="shared" si="5"/>
        <v>0.14955973414354323</v>
      </c>
      <c r="Y12" s="21">
        <f t="shared" si="5"/>
        <v>0.31045665628104013</v>
      </c>
      <c r="Z12" s="21">
        <f>Z11/Z7</f>
        <v>0.23668958955062497</v>
      </c>
      <c r="AA12" s="21">
        <f>AA11/AA7</f>
        <v>0.17478466943839513</v>
      </c>
      <c r="AB12" s="49">
        <f t="shared" si="5"/>
        <v>0.15224399689037563</v>
      </c>
    </row>
    <row r="13" spans="1:50" ht="19.3">
      <c r="B13" s="218" t="s">
        <v>245</v>
      </c>
      <c r="C13" s="219"/>
      <c r="D13" s="219"/>
      <c r="E13" s="220">
        <f>4875+307</f>
        <v>5182</v>
      </c>
      <c r="F13" s="220">
        <f>8840+488-E13</f>
        <v>4146</v>
      </c>
      <c r="G13" s="220">
        <f>12834+714-F13-E13</f>
        <v>4220</v>
      </c>
      <c r="H13" s="220">
        <f>12832+1018-G13-F13-E13</f>
        <v>302</v>
      </c>
      <c r="I13" s="221">
        <f>1464+158</f>
        <v>1622</v>
      </c>
      <c r="J13" s="220">
        <f>2442+430-I13</f>
        <v>1250</v>
      </c>
      <c r="K13" s="220">
        <f>3099+1155-(SUM(I13:J13))</f>
        <v>1382</v>
      </c>
      <c r="L13" s="220">
        <f>4366+2048-(SUM(I13:K13))</f>
        <v>2160</v>
      </c>
      <c r="M13" s="221">
        <f>1119+593</f>
        <v>1712</v>
      </c>
      <c r="N13" s="220">
        <f>2069+1346-M13</f>
        <v>1703</v>
      </c>
      <c r="O13" s="220">
        <f>2984+2636-M13-N13</f>
        <v>2205</v>
      </c>
      <c r="P13" s="220">
        <f>7745-SUM(M13:O13)</f>
        <v>2125</v>
      </c>
      <c r="Q13" s="221">
        <f>P13*1.035</f>
        <v>2199.375</v>
      </c>
      <c r="R13" s="220">
        <f t="shared" ref="R13:X13" si="6">Q13*1.035</f>
        <v>2276.3531249999996</v>
      </c>
      <c r="S13" s="220">
        <f t="shared" si="6"/>
        <v>2356.0254843749995</v>
      </c>
      <c r="T13" s="220">
        <f t="shared" si="6"/>
        <v>2438.4863763281242</v>
      </c>
      <c r="U13" s="221">
        <f t="shared" si="6"/>
        <v>2523.8333994996083</v>
      </c>
      <c r="V13" s="220">
        <f t="shared" si="6"/>
        <v>2612.1675684820943</v>
      </c>
      <c r="W13" s="220">
        <f t="shared" si="6"/>
        <v>2703.5934333789673</v>
      </c>
      <c r="X13" s="119">
        <f t="shared" si="6"/>
        <v>2798.2192035472308</v>
      </c>
      <c r="Y13" s="172">
        <f>SUM(I13:L13)</f>
        <v>6414</v>
      </c>
      <c r="Z13" s="172">
        <f>SUM(M13:P13)</f>
        <v>7745</v>
      </c>
      <c r="AA13" s="172">
        <f>SUM(Q13:T13)</f>
        <v>9270.2399857031232</v>
      </c>
      <c r="AB13" s="174">
        <f>SUM(U13:X13)</f>
        <v>10637.8136049079</v>
      </c>
    </row>
    <row r="14" spans="1:50" s="20" customFormat="1" ht="19.3">
      <c r="B14" s="50"/>
      <c r="C14" s="51" t="s">
        <v>242</v>
      </c>
      <c r="D14" s="52"/>
      <c r="E14" s="53">
        <f t="shared" ref="E14:AB14" si="7">E13/E7</f>
        <v>0.17956892369533578</v>
      </c>
      <c r="F14" s="53">
        <f t="shared" si="7"/>
        <v>0.12589578525446374</v>
      </c>
      <c r="G14" s="53">
        <f t="shared" si="7"/>
        <v>0.13082431720246768</v>
      </c>
      <c r="H14" s="53">
        <f t="shared" si="7"/>
        <v>8.2830499177180463E-3</v>
      </c>
      <c r="I14" s="57">
        <f t="shared" si="7"/>
        <v>5.3649985115602157E-2</v>
      </c>
      <c r="J14" s="53">
        <f t="shared" si="7"/>
        <v>4.2981913210920847E-2</v>
      </c>
      <c r="K14" s="53">
        <f t="shared" si="7"/>
        <v>5.1457720519790001E-2</v>
      </c>
      <c r="L14" s="53">
        <f t="shared" si="7"/>
        <v>6.8313355893608277E-2</v>
      </c>
      <c r="M14" s="57">
        <f t="shared" si="7"/>
        <v>5.5526725480020758E-2</v>
      </c>
      <c r="N14" s="53">
        <f>N13/N7</f>
        <v>5.5427176566314074E-2</v>
      </c>
      <c r="O14" s="53">
        <f t="shared" si="7"/>
        <v>6.7961165048543687E-2</v>
      </c>
      <c r="P14" s="53">
        <f t="shared" si="7"/>
        <v>4.7513639209373043E-2</v>
      </c>
      <c r="Q14" s="57">
        <f t="shared" si="7"/>
        <v>4.7585819723650967E-2</v>
      </c>
      <c r="R14" s="53">
        <f t="shared" si="7"/>
        <v>4.7633530103172297E-2</v>
      </c>
      <c r="S14" s="53">
        <f t="shared" si="7"/>
        <v>4.4585141318476469E-2</v>
      </c>
      <c r="T14" s="53">
        <f t="shared" si="7"/>
        <v>4.164516718192602E-2</v>
      </c>
      <c r="U14" s="57">
        <f t="shared" si="7"/>
        <v>4.1924754376908652E-2</v>
      </c>
      <c r="V14" s="53">
        <f t="shared" si="7"/>
        <v>4.2203644131989085E-2</v>
      </c>
      <c r="W14" s="53">
        <f t="shared" si="7"/>
        <v>4.2481788121628922E-2</v>
      </c>
      <c r="X14" s="54">
        <f t="shared" si="7"/>
        <v>4.2759137516302961E-2</v>
      </c>
      <c r="Y14" s="21">
        <f t="shared" si="7"/>
        <v>5.4452377516109041E-2</v>
      </c>
      <c r="Z14" s="21">
        <f>Z13/Z7</f>
        <v>5.582947681040324E-2</v>
      </c>
      <c r="AA14" s="21">
        <f>AA13/AA7</f>
        <v>4.513148056795234E-2</v>
      </c>
      <c r="AB14" s="49">
        <f t="shared" si="7"/>
        <v>4.2352005317148299E-2</v>
      </c>
    </row>
    <row r="15" spans="1:50" ht="19.3">
      <c r="B15" s="218" t="s">
        <v>244</v>
      </c>
      <c r="C15" s="219"/>
      <c r="D15" s="219"/>
      <c r="E15" s="220">
        <f>2+1905</f>
        <v>1907</v>
      </c>
      <c r="F15" s="220">
        <f>2+3868-E15</f>
        <v>1963</v>
      </c>
      <c r="G15" s="220">
        <f>232+5565-F15-E15</f>
        <v>1927</v>
      </c>
      <c r="H15" s="220">
        <f>592+5867-E15-F15-G15</f>
        <v>662</v>
      </c>
      <c r="I15" s="221">
        <v>2213</v>
      </c>
      <c r="J15" s="220">
        <f>787+4715-I15</f>
        <v>3289</v>
      </c>
      <c r="K15" s="220">
        <f>787+6999-J15-I15</f>
        <v>2284</v>
      </c>
      <c r="L15" s="220">
        <f>787+8605-(SUM(I15:K15))</f>
        <v>1606</v>
      </c>
      <c r="M15" s="221">
        <f>55+2755</f>
        <v>2810</v>
      </c>
      <c r="N15" s="220">
        <f>55+4625-M15</f>
        <v>1870</v>
      </c>
      <c r="O15" s="220">
        <f>55+7500-M15-N15</f>
        <v>2875</v>
      </c>
      <c r="P15" s="220">
        <f>12648-SUM(M15:O15)</f>
        <v>5093</v>
      </c>
      <c r="Q15" s="229">
        <f>P15*1.045*1.05</f>
        <v>5588.2942499999999</v>
      </c>
      <c r="R15" s="230">
        <f t="shared" ref="R15:T15" si="8">Q15*1.045*1.05</f>
        <v>6131.7558658124999</v>
      </c>
      <c r="S15" s="230">
        <f t="shared" si="8"/>
        <v>6728.0691237627652</v>
      </c>
      <c r="T15" s="230">
        <f t="shared" si="8"/>
        <v>7382.3738460486938</v>
      </c>
      <c r="U15" s="229">
        <f>T15*1.045</f>
        <v>7714.5806691208845</v>
      </c>
      <c r="V15" s="230">
        <f t="shared" ref="V15:X15" si="9">U15*1.045</f>
        <v>8061.7367992313239</v>
      </c>
      <c r="W15" s="230">
        <f t="shared" si="9"/>
        <v>8424.5149551967334</v>
      </c>
      <c r="X15" s="231">
        <f t="shared" si="9"/>
        <v>8803.6181281805857</v>
      </c>
      <c r="Y15" s="120">
        <f>SUM(I15:L15)</f>
        <v>9392</v>
      </c>
      <c r="Z15" s="172">
        <f>SUM(M15:P15)</f>
        <v>12648</v>
      </c>
      <c r="AA15" s="173">
        <f>SUM(Q15:T15)</f>
        <v>25830.493085623959</v>
      </c>
      <c r="AB15" s="175">
        <f>SUM(U15:X15)</f>
        <v>33004.450551729526</v>
      </c>
    </row>
    <row r="16" spans="1:50" s="20" customFormat="1" ht="19.3">
      <c r="B16" s="50"/>
      <c r="C16" s="51" t="s">
        <v>242</v>
      </c>
      <c r="D16" s="52"/>
      <c r="E16" s="53">
        <f t="shared" ref="E16:AB16" si="10">E15/E7</f>
        <v>6.6082195578349157E-2</v>
      </c>
      <c r="F16" s="53">
        <f t="shared" si="10"/>
        <v>5.960767642414673E-2</v>
      </c>
      <c r="G16" s="53">
        <f t="shared" si="10"/>
        <v>5.9738971386055738E-2</v>
      </c>
      <c r="H16" s="53">
        <f t="shared" si="10"/>
        <v>1.8156884256719692E-2</v>
      </c>
      <c r="I16" s="57">
        <f t="shared" si="10"/>
        <v>7.3198160949955349E-2</v>
      </c>
      <c r="J16" s="53">
        <f t="shared" si="10"/>
        <v>0.11309401004057493</v>
      </c>
      <c r="K16" s="53">
        <f t="shared" si="10"/>
        <v>8.5043005547901854E-2</v>
      </c>
      <c r="L16" s="53">
        <f t="shared" si="10"/>
        <v>5.0792245169043931E-2</v>
      </c>
      <c r="M16" s="57">
        <f t="shared" si="10"/>
        <v>9.1139076284379866E-2</v>
      </c>
      <c r="N16" s="53">
        <f t="shared" si="10"/>
        <v>6.0862489829129375E-2</v>
      </c>
      <c r="O16" s="53">
        <f t="shared" si="10"/>
        <v>8.861149637848667E-2</v>
      </c>
      <c r="P16" s="53">
        <f t="shared" si="10"/>
        <v>0.11387621858509972</v>
      </c>
      <c r="Q16" s="57">
        <f t="shared" si="10"/>
        <v>0.12090869576275773</v>
      </c>
      <c r="R16" s="53">
        <f t="shared" si="10"/>
        <v>0.12830925677204985</v>
      </c>
      <c r="S16" s="53">
        <f t="shared" si="10"/>
        <v>0.12732116637652452</v>
      </c>
      <c r="T16" s="53">
        <f t="shared" si="10"/>
        <v>0.12607829020604161</v>
      </c>
      <c r="U16" s="57">
        <f t="shared" si="10"/>
        <v>0.12815104980299666</v>
      </c>
      <c r="V16" s="53">
        <f t="shared" si="10"/>
        <v>0.13024994072575011</v>
      </c>
      <c r="W16" s="53">
        <f t="shared" si="10"/>
        <v>0.1323751030519669</v>
      </c>
      <c r="X16" s="54">
        <f t="shared" si="10"/>
        <v>0.13452667243034219</v>
      </c>
      <c r="Y16" s="56">
        <f t="shared" si="10"/>
        <v>7.973444490665671E-2</v>
      </c>
      <c r="Z16" s="21">
        <f>Z15/Z7</f>
        <v>9.1172527139829596E-2</v>
      </c>
      <c r="AA16" s="21">
        <f>AA15/AA7</f>
        <v>0.12575385303426367</v>
      </c>
      <c r="AB16" s="49">
        <f t="shared" si="10"/>
        <v>0.13139961999442354</v>
      </c>
    </row>
    <row r="17" spans="2:28" ht="19.3">
      <c r="B17" s="47" t="s">
        <v>243</v>
      </c>
      <c r="C17" s="214"/>
      <c r="D17" s="214"/>
      <c r="E17" s="215">
        <f>23+8</f>
        <v>31</v>
      </c>
      <c r="F17" s="215">
        <f>59+74-E17</f>
        <v>102</v>
      </c>
      <c r="G17" s="215">
        <f>107+135-F17-E17</f>
        <v>109</v>
      </c>
      <c r="H17" s="215">
        <f>145+289-G17-F17-E17</f>
        <v>192</v>
      </c>
      <c r="I17" s="216">
        <v>139</v>
      </c>
      <c r="J17" s="215">
        <f>242+141-I17</f>
        <v>244</v>
      </c>
      <c r="K17" s="215">
        <f>321+155-J17-I17</f>
        <v>93</v>
      </c>
      <c r="L17" s="215">
        <f>449+230-(SUM(I17:K17))</f>
        <v>203</v>
      </c>
      <c r="M17" s="216">
        <f>53+46</f>
        <v>99</v>
      </c>
      <c r="N17" s="215">
        <f>181+92-M17</f>
        <v>174</v>
      </c>
      <c r="O17" s="215">
        <f>209+285-M17-N17</f>
        <v>221</v>
      </c>
      <c r="P17" s="215">
        <f>708-SUM(M17:O17)</f>
        <v>214</v>
      </c>
      <c r="Q17" s="216">
        <f>P17</f>
        <v>214</v>
      </c>
      <c r="R17" s="215">
        <f t="shared" ref="R17:X17" si="11">Q17</f>
        <v>214</v>
      </c>
      <c r="S17" s="215">
        <f t="shared" si="11"/>
        <v>214</v>
      </c>
      <c r="T17" s="215">
        <f t="shared" si="11"/>
        <v>214</v>
      </c>
      <c r="U17" s="216">
        <f t="shared" si="11"/>
        <v>214</v>
      </c>
      <c r="V17" s="215">
        <f t="shared" si="11"/>
        <v>214</v>
      </c>
      <c r="W17" s="215">
        <f t="shared" si="11"/>
        <v>214</v>
      </c>
      <c r="X17" s="122">
        <f t="shared" si="11"/>
        <v>214</v>
      </c>
      <c r="Y17" s="120">
        <f>SUM(I17:L17)</f>
        <v>679</v>
      </c>
      <c r="Z17" s="172">
        <f>SUM(M17:P17)</f>
        <v>708</v>
      </c>
      <c r="AA17" s="172">
        <f>SUM(Q17:T17)</f>
        <v>856</v>
      </c>
      <c r="AB17" s="174">
        <f>SUM(U17:X17)</f>
        <v>856</v>
      </c>
    </row>
    <row r="18" spans="2:28" s="20" customFormat="1" ht="19.3">
      <c r="B18" s="50"/>
      <c r="C18" s="51" t="s">
        <v>242</v>
      </c>
      <c r="D18" s="52"/>
      <c r="E18" s="53">
        <f t="shared" ref="E18:AB18" si="12">E17/E7</f>
        <v>1.0742255180539193E-3</v>
      </c>
      <c r="F18" s="53">
        <f t="shared" si="12"/>
        <v>3.0972913883153164E-3</v>
      </c>
      <c r="G18" s="53">
        <f t="shared" si="12"/>
        <v>3.3791115106798523E-3</v>
      </c>
      <c r="H18" s="53">
        <f t="shared" si="12"/>
        <v>5.2660449808008773E-3</v>
      </c>
      <c r="I18" s="57">
        <f t="shared" si="12"/>
        <v>4.5976251116329843E-3</v>
      </c>
      <c r="J18" s="53">
        <f t="shared" si="12"/>
        <v>8.390069458771748E-3</v>
      </c>
      <c r="K18" s="53">
        <f t="shared" si="12"/>
        <v>3.4627843765126409E-3</v>
      </c>
      <c r="L18" s="53">
        <f t="shared" si="12"/>
        <v>6.4201903918529998E-3</v>
      </c>
      <c r="M18" s="57">
        <f t="shared" si="12"/>
        <v>3.2109496626881165E-3</v>
      </c>
      <c r="N18" s="53">
        <f t="shared" si="12"/>
        <v>5.6631407648494708E-3</v>
      </c>
      <c r="O18" s="53">
        <f t="shared" si="12"/>
        <v>6.8115271998767145E-3</v>
      </c>
      <c r="P18" s="53">
        <f t="shared" si="12"/>
        <v>4.7849029603792151E-3</v>
      </c>
      <c r="Q18" s="57">
        <f t="shared" si="12"/>
        <v>4.6301178384137798E-3</v>
      </c>
      <c r="R18" s="53">
        <f t="shared" si="12"/>
        <v>4.4780290589048538E-3</v>
      </c>
      <c r="S18" s="53">
        <f t="shared" si="12"/>
        <v>4.0497101179213417E-3</v>
      </c>
      <c r="T18" s="53">
        <f t="shared" si="12"/>
        <v>3.6547531548451659E-3</v>
      </c>
      <c r="U18" s="57">
        <f t="shared" si="12"/>
        <v>3.5548691282226786E-3</v>
      </c>
      <c r="V18" s="53">
        <f t="shared" si="12"/>
        <v>3.4575040105462415E-3</v>
      </c>
      <c r="W18" s="53">
        <f t="shared" si="12"/>
        <v>3.3625997702866422E-3</v>
      </c>
      <c r="X18" s="54">
        <f t="shared" si="12"/>
        <v>3.2700995750758327E-3</v>
      </c>
      <c r="Y18" s="57">
        <f t="shared" si="12"/>
        <v>5.7644471988522045E-3</v>
      </c>
      <c r="Z18" s="53">
        <f t="shared" si="12"/>
        <v>5.1035854850568748E-3</v>
      </c>
      <c r="AA18" s="53">
        <f t="shared" si="12"/>
        <v>4.1673729510506331E-3</v>
      </c>
      <c r="AB18" s="54">
        <f t="shared" si="12"/>
        <v>3.4079668903723766E-3</v>
      </c>
    </row>
    <row r="19" spans="2:28" ht="19.3">
      <c r="B19" s="18"/>
      <c r="C19" s="18"/>
      <c r="D19" s="18"/>
      <c r="E19" s="19"/>
      <c r="F19" s="19"/>
      <c r="G19" s="19"/>
      <c r="H19" s="19"/>
      <c r="I19" s="19"/>
      <c r="J19" s="19"/>
      <c r="K19" s="19"/>
      <c r="L19" s="19"/>
      <c r="M19" s="19"/>
      <c r="N19" s="19"/>
      <c r="O19" s="19"/>
      <c r="P19" s="19"/>
      <c r="Q19" s="19"/>
      <c r="R19" s="18"/>
      <c r="S19" s="18"/>
      <c r="T19" s="18"/>
      <c r="U19" s="18"/>
    </row>
    <row r="20" spans="2:28" ht="19.3">
      <c r="B20" s="18"/>
      <c r="C20" s="18"/>
      <c r="D20" s="18"/>
      <c r="E20" s="19"/>
      <c r="F20" s="19"/>
      <c r="G20" s="19"/>
      <c r="H20" s="19"/>
      <c r="I20" s="19"/>
      <c r="J20" s="19"/>
      <c r="K20" s="19"/>
      <c r="L20" s="19"/>
      <c r="M20" s="19"/>
      <c r="N20" s="19"/>
      <c r="O20" s="19"/>
      <c r="P20" s="19"/>
      <c r="Q20" s="19"/>
      <c r="R20" s="18"/>
      <c r="S20" s="18"/>
      <c r="T20" s="18"/>
      <c r="U20" s="18"/>
    </row>
    <row r="21" spans="2:28" ht="19.3">
      <c r="B21" s="18"/>
      <c r="C21" s="18"/>
      <c r="E21" s="18"/>
      <c r="F21" s="18"/>
      <c r="G21" s="18"/>
      <c r="H21" s="18"/>
      <c r="I21" s="18"/>
      <c r="J21" s="18"/>
      <c r="K21" s="18"/>
      <c r="L21" s="18"/>
      <c r="M21" s="18"/>
      <c r="N21" s="18"/>
      <c r="O21" s="18"/>
      <c r="P21" s="18"/>
      <c r="Q21" s="18"/>
      <c r="R21" s="18"/>
      <c r="S21" s="18"/>
      <c r="T21" s="18"/>
      <c r="U21" s="18"/>
    </row>
    <row r="22" spans="2:28" ht="19.3">
      <c r="B22" s="18"/>
      <c r="C22" s="18"/>
      <c r="E22" s="18"/>
      <c r="F22" s="18"/>
      <c r="H22" s="18"/>
      <c r="I22" s="18"/>
      <c r="J22" s="18"/>
      <c r="K22" s="18"/>
      <c r="L22" s="18"/>
      <c r="M22" s="18"/>
      <c r="N22" s="18"/>
      <c r="O22" s="18"/>
      <c r="P22" s="18"/>
      <c r="Q22" s="18"/>
      <c r="R22" s="18"/>
      <c r="S22" s="18"/>
      <c r="T22" s="18"/>
      <c r="U22" s="18"/>
    </row>
    <row r="23" spans="2:28" ht="19.3">
      <c r="B23" s="18"/>
      <c r="C23" s="18"/>
      <c r="D23" s="18"/>
      <c r="E23" s="18"/>
      <c r="F23" s="18"/>
      <c r="H23" s="18"/>
      <c r="I23" s="18"/>
      <c r="J23" s="18"/>
      <c r="K23" s="18"/>
      <c r="L23" s="18"/>
      <c r="M23" s="18"/>
      <c r="N23" s="18"/>
      <c r="O23" s="18"/>
      <c r="P23" s="18"/>
      <c r="Q23" s="18"/>
      <c r="R23" s="18"/>
      <c r="S23" s="18"/>
      <c r="T23" s="18"/>
      <c r="U23" s="18"/>
    </row>
    <row r="24" spans="2:28" ht="19.3">
      <c r="B24" s="18"/>
      <c r="C24" s="18"/>
      <c r="D24" s="18"/>
      <c r="E24" s="18"/>
      <c r="F24" s="18"/>
      <c r="G24" s="18"/>
      <c r="H24" s="18"/>
      <c r="I24" s="18"/>
      <c r="J24" s="18"/>
      <c r="K24" s="18"/>
      <c r="L24" s="18"/>
      <c r="M24" s="18"/>
      <c r="N24" s="18"/>
      <c r="O24" s="18"/>
      <c r="P24" s="18"/>
      <c r="Q24" s="18"/>
      <c r="R24" s="18"/>
      <c r="S24" s="18"/>
      <c r="T24" s="18"/>
      <c r="U24" s="18"/>
    </row>
    <row r="25" spans="2:28" ht="19.3">
      <c r="B25" s="18"/>
      <c r="C25" s="18"/>
      <c r="D25" s="18"/>
      <c r="E25" s="18"/>
      <c r="F25" s="18"/>
      <c r="G25" s="18"/>
      <c r="H25" s="18"/>
      <c r="I25" s="18"/>
      <c r="J25" s="18"/>
      <c r="K25" s="18"/>
      <c r="L25" s="18"/>
      <c r="M25" s="18"/>
      <c r="N25" s="18"/>
      <c r="O25" s="18"/>
      <c r="P25" s="18"/>
      <c r="Q25" s="18"/>
      <c r="R25" s="18"/>
      <c r="S25" s="18"/>
      <c r="T25" s="18"/>
      <c r="U25" s="18"/>
    </row>
    <row r="26" spans="2:28" ht="19.3">
      <c r="B26" s="18"/>
      <c r="C26" s="18"/>
      <c r="D26" s="18"/>
      <c r="E26" s="18"/>
      <c r="F26" s="18"/>
      <c r="G26" s="18"/>
      <c r="H26" s="18"/>
      <c r="I26" s="18"/>
      <c r="J26" s="18"/>
      <c r="K26" s="18"/>
      <c r="L26" s="18"/>
      <c r="M26" s="18"/>
      <c r="N26" s="18"/>
      <c r="O26" s="18"/>
      <c r="P26" s="18"/>
      <c r="Q26" s="18"/>
      <c r="R26" s="18"/>
      <c r="S26" s="18"/>
      <c r="T26" s="18"/>
      <c r="U26" s="18"/>
    </row>
    <row r="27" spans="2:28" ht="19.3">
      <c r="B27" s="18"/>
      <c r="C27" s="18"/>
      <c r="D27" s="18"/>
      <c r="E27" s="18"/>
      <c r="F27" s="18"/>
      <c r="G27" s="18"/>
      <c r="H27" s="18"/>
      <c r="I27" s="18"/>
      <c r="J27" s="18"/>
      <c r="K27" s="18"/>
      <c r="L27" s="18"/>
      <c r="M27" s="18"/>
      <c r="N27" s="18"/>
      <c r="O27" s="18"/>
      <c r="P27" s="18"/>
      <c r="Q27" s="18"/>
      <c r="R27" s="18"/>
      <c r="S27" s="18"/>
      <c r="T27" s="18"/>
      <c r="U27" s="18"/>
    </row>
    <row r="28" spans="2:28" ht="19.3">
      <c r="B28" s="18"/>
      <c r="C28" s="18"/>
      <c r="D28" s="18"/>
      <c r="E28" s="18"/>
      <c r="F28" s="18"/>
      <c r="G28" s="18"/>
      <c r="H28" s="18"/>
      <c r="I28" s="18"/>
      <c r="J28" s="18"/>
      <c r="K28" s="18"/>
      <c r="L28" s="18"/>
      <c r="M28" s="18"/>
      <c r="N28" s="18"/>
      <c r="O28" s="18"/>
      <c r="P28" s="18"/>
      <c r="Q28" s="18"/>
      <c r="R28" s="18"/>
      <c r="S28" s="18"/>
      <c r="T28" s="18"/>
      <c r="U28" s="18"/>
    </row>
    <row r="29" spans="2:28" ht="19.3">
      <c r="B29" s="18"/>
      <c r="C29" s="18"/>
      <c r="D29" s="18"/>
      <c r="E29" s="18"/>
      <c r="F29" s="18"/>
      <c r="G29" s="18"/>
      <c r="H29" s="18"/>
      <c r="I29" s="18"/>
      <c r="J29" s="18"/>
      <c r="K29" s="18"/>
      <c r="L29" s="18"/>
      <c r="M29" s="18"/>
      <c r="N29" s="18"/>
      <c r="O29" s="18"/>
      <c r="P29" s="18"/>
      <c r="Q29" s="18"/>
      <c r="R29" s="18"/>
      <c r="S29" s="18"/>
      <c r="T29" s="18"/>
      <c r="U29" s="18"/>
    </row>
    <row r="30" spans="2:28" ht="19.3">
      <c r="B30" s="18"/>
      <c r="C30" s="18"/>
      <c r="D30" s="18"/>
      <c r="E30" s="18"/>
      <c r="F30" s="18"/>
      <c r="G30" s="18"/>
      <c r="H30" s="18"/>
      <c r="I30" s="18"/>
      <c r="J30" s="18"/>
      <c r="K30" s="18"/>
      <c r="L30" s="18"/>
      <c r="M30" s="18"/>
      <c r="N30" s="18"/>
      <c r="O30" s="18"/>
      <c r="P30" s="18"/>
      <c r="Q30" s="18"/>
      <c r="R30" s="18"/>
      <c r="S30" s="18"/>
      <c r="T30" s="18"/>
      <c r="U30" s="18"/>
    </row>
    <row r="31" spans="2:28" ht="19.3">
      <c r="B31" s="18"/>
      <c r="C31" s="18"/>
      <c r="D31" s="18"/>
      <c r="E31" s="18"/>
      <c r="F31" s="18"/>
      <c r="G31" s="18"/>
      <c r="H31" s="18"/>
      <c r="I31" s="18"/>
      <c r="J31" s="18"/>
      <c r="K31" s="18"/>
      <c r="L31" s="18"/>
      <c r="M31" s="18"/>
      <c r="N31" s="18"/>
      <c r="O31" s="18"/>
      <c r="P31" s="18"/>
      <c r="Q31" s="18"/>
      <c r="R31" s="18"/>
      <c r="S31" s="18"/>
      <c r="T31" s="18"/>
      <c r="U31" s="18"/>
    </row>
    <row r="32" spans="2:28" ht="19.3">
      <c r="B32" s="18"/>
      <c r="C32" s="18"/>
      <c r="D32" s="18"/>
      <c r="E32" s="18"/>
      <c r="F32" s="18"/>
      <c r="G32" s="18"/>
      <c r="H32" s="18"/>
      <c r="I32" s="18"/>
      <c r="J32" s="18"/>
      <c r="K32" s="18"/>
      <c r="L32" s="18"/>
      <c r="M32" s="18"/>
      <c r="N32" s="18"/>
      <c r="O32" s="18"/>
      <c r="P32" s="18"/>
      <c r="Q32" s="18"/>
      <c r="R32" s="18"/>
      <c r="S32" s="18"/>
      <c r="T32" s="18"/>
      <c r="U32" s="18"/>
    </row>
    <row r="33" spans="2:21" ht="19.3">
      <c r="B33" s="18"/>
      <c r="C33" s="18"/>
      <c r="D33" s="18"/>
      <c r="E33" s="18"/>
      <c r="F33" s="18"/>
      <c r="G33" s="18"/>
      <c r="H33" s="18"/>
      <c r="I33" s="18"/>
      <c r="J33" s="18"/>
      <c r="K33" s="18"/>
      <c r="L33" s="18"/>
      <c r="M33" s="18"/>
      <c r="N33" s="18"/>
      <c r="O33" s="18"/>
      <c r="P33" s="18"/>
      <c r="Q33" s="18"/>
      <c r="R33" s="18"/>
      <c r="S33" s="18"/>
      <c r="T33" s="18"/>
      <c r="U33" s="18"/>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9C-34A4-1040-9BA4-DA8FA2B42924}">
  <dimension ref="A1:Z55"/>
  <sheetViews>
    <sheetView showGridLines="0" topLeftCell="A9" zoomScale="61" workbookViewId="0">
      <selection activeCell="L44" sqref="L44"/>
    </sheetView>
  </sheetViews>
  <sheetFormatPr defaultColWidth="10.85546875" defaultRowHeight="17.600000000000001"/>
  <cols>
    <col min="1" max="1" width="3.140625" customWidth="1"/>
    <col min="2" max="2" width="3.85546875" customWidth="1"/>
  </cols>
  <sheetData>
    <row r="1" spans="2:26" ht="18">
      <c r="B1" s="92"/>
      <c r="C1" s="92"/>
      <c r="D1" s="92"/>
      <c r="E1" s="92"/>
      <c r="F1" s="92"/>
      <c r="G1" s="92"/>
      <c r="H1" s="92"/>
      <c r="I1" s="92"/>
      <c r="J1" s="92"/>
      <c r="K1" s="92"/>
      <c r="L1" s="92"/>
      <c r="M1" s="92"/>
      <c r="N1" s="92"/>
      <c r="O1" s="92"/>
      <c r="P1" s="92"/>
      <c r="Q1" s="92"/>
      <c r="R1" s="92"/>
      <c r="S1" s="92"/>
      <c r="T1" s="92"/>
      <c r="U1" s="92"/>
      <c r="V1" s="92"/>
      <c r="W1" s="92"/>
      <c r="X1" s="92"/>
      <c r="Y1" s="92"/>
      <c r="Z1" s="92"/>
    </row>
    <row r="2" spans="2:26" ht="18">
      <c r="B2" s="92"/>
      <c r="C2" s="92"/>
      <c r="D2" s="92"/>
      <c r="E2" s="92"/>
      <c r="F2" s="92"/>
      <c r="G2" s="92"/>
      <c r="H2" s="92"/>
      <c r="I2" s="92"/>
      <c r="J2" s="92"/>
      <c r="K2" s="92"/>
      <c r="L2" s="92"/>
      <c r="M2" s="92"/>
      <c r="N2" s="92"/>
      <c r="O2" s="92"/>
      <c r="P2" s="92"/>
      <c r="Q2" s="92"/>
      <c r="R2" s="92"/>
      <c r="S2" s="92"/>
      <c r="T2" s="92"/>
      <c r="U2" s="92"/>
      <c r="V2" s="92"/>
      <c r="W2" s="92"/>
      <c r="X2" s="92"/>
      <c r="Y2" s="92"/>
      <c r="Z2" s="92"/>
    </row>
    <row r="3" spans="2:26" ht="18">
      <c r="B3" s="92"/>
      <c r="C3" s="123" t="s">
        <v>247</v>
      </c>
      <c r="D3" s="92"/>
      <c r="E3" s="92"/>
      <c r="F3" s="92"/>
      <c r="G3" s="92"/>
      <c r="H3" s="92"/>
      <c r="I3" s="92"/>
      <c r="J3" s="92"/>
      <c r="K3" s="92"/>
      <c r="L3" s="92"/>
      <c r="M3" s="92"/>
      <c r="N3" s="92"/>
      <c r="O3" s="92"/>
      <c r="P3" s="92"/>
      <c r="Q3" s="92"/>
      <c r="R3" s="92"/>
      <c r="S3" s="92"/>
      <c r="T3" s="92"/>
      <c r="U3" s="92"/>
      <c r="V3" s="92"/>
      <c r="W3" s="92"/>
      <c r="X3" s="92"/>
      <c r="Y3" s="92"/>
      <c r="Z3" s="92"/>
    </row>
    <row r="4" spans="2:26" ht="18">
      <c r="B4" s="138" t="s">
        <v>250</v>
      </c>
      <c r="C4" s="139"/>
      <c r="D4" s="139"/>
      <c r="E4" s="139" t="s">
        <v>221</v>
      </c>
      <c r="F4" s="139" t="s">
        <v>222</v>
      </c>
      <c r="G4" s="139" t="s">
        <v>223</v>
      </c>
      <c r="H4" s="139" t="s">
        <v>224</v>
      </c>
      <c r="I4" s="139" t="s">
        <v>225</v>
      </c>
      <c r="J4" s="139" t="s">
        <v>226</v>
      </c>
      <c r="K4" s="139" t="s">
        <v>227</v>
      </c>
      <c r="L4" s="139" t="s">
        <v>228</v>
      </c>
      <c r="M4" s="139" t="s">
        <v>229</v>
      </c>
      <c r="N4" s="139" t="s">
        <v>230</v>
      </c>
      <c r="O4" s="139" t="s">
        <v>231</v>
      </c>
      <c r="P4" s="139" t="s">
        <v>232</v>
      </c>
      <c r="Q4" s="140" t="s">
        <v>233</v>
      </c>
      <c r="R4" s="140" t="s">
        <v>234</v>
      </c>
      <c r="S4" s="140" t="s">
        <v>235</v>
      </c>
      <c r="T4" s="140" t="s">
        <v>236</v>
      </c>
      <c r="U4" s="140" t="s">
        <v>237</v>
      </c>
      <c r="V4" s="140" t="s">
        <v>238</v>
      </c>
      <c r="W4" s="140" t="s">
        <v>239</v>
      </c>
      <c r="X4" s="141" t="s">
        <v>240</v>
      </c>
      <c r="Y4" s="92"/>
      <c r="Z4" s="92"/>
    </row>
    <row r="5" spans="2:26" ht="18">
      <c r="B5" s="142" t="s">
        <v>324</v>
      </c>
      <c r="C5" s="143"/>
      <c r="D5" s="143"/>
      <c r="E5" s="144">
        <v>16415</v>
      </c>
      <c r="F5" s="144">
        <v>20419</v>
      </c>
      <c r="G5" s="144">
        <v>18768</v>
      </c>
      <c r="H5" s="144">
        <v>26131</v>
      </c>
      <c r="I5" s="144">
        <v>17800</v>
      </c>
      <c r="J5" s="144">
        <v>14608</v>
      </c>
      <c r="K5" s="144">
        <v>13791</v>
      </c>
      <c r="L5" s="144">
        <v>18538</v>
      </c>
      <c r="M5" s="144">
        <v>18830</v>
      </c>
      <c r="N5" s="144">
        <v>19525</v>
      </c>
      <c r="O5" s="144">
        <v>17770</v>
      </c>
      <c r="P5" s="144">
        <v>28665</v>
      </c>
      <c r="Q5" s="144">
        <f>P5*1.0275</f>
        <v>29453.287500000002</v>
      </c>
      <c r="R5" s="144">
        <f t="shared" ref="R5" si="0">Q5*1.0275</f>
        <v>30263.252906250003</v>
      </c>
      <c r="S5" s="144">
        <f>R5*1.14</f>
        <v>34500.108313124998</v>
      </c>
      <c r="T5" s="144">
        <f>S5*1.14</f>
        <v>39330.123476962493</v>
      </c>
      <c r="U5" s="144">
        <f>T5*1.0275</f>
        <v>40411.701872578968</v>
      </c>
      <c r="V5" s="144">
        <f t="shared" ref="V5:X5" si="1">U5*1.0275</f>
        <v>41523.023674074895</v>
      </c>
      <c r="W5" s="144">
        <f t="shared" si="1"/>
        <v>42664.906825111961</v>
      </c>
      <c r="X5" s="187">
        <f t="shared" si="1"/>
        <v>43838.19176280254</v>
      </c>
      <c r="Y5" s="92"/>
      <c r="Z5" s="92"/>
    </row>
    <row r="6" spans="2:26" ht="18">
      <c r="B6" s="146"/>
      <c r="C6" s="147" t="s">
        <v>248</v>
      </c>
      <c r="D6" s="148"/>
      <c r="E6" s="149"/>
      <c r="F6" s="149"/>
      <c r="G6" s="149"/>
      <c r="H6" s="149"/>
      <c r="I6" s="149">
        <f>I5/E5-1</f>
        <v>8.4374048126713452E-2</v>
      </c>
      <c r="J6" s="149">
        <f t="shared" ref="J6:X6" si="2">J5/F5-1</f>
        <v>-0.28458788383368427</v>
      </c>
      <c r="K6" s="149">
        <f t="shared" si="2"/>
        <v>-0.26518542199488493</v>
      </c>
      <c r="L6" s="149">
        <f t="shared" si="2"/>
        <v>-0.29057441353182045</v>
      </c>
      <c r="M6" s="149">
        <f t="shared" si="2"/>
        <v>5.7865168539325884E-2</v>
      </c>
      <c r="N6" s="149">
        <f t="shared" si="2"/>
        <v>0.33659638554216875</v>
      </c>
      <c r="O6" s="149">
        <f t="shared" si="2"/>
        <v>0.28852149952867823</v>
      </c>
      <c r="P6" s="149">
        <f t="shared" si="2"/>
        <v>0.54628330995792429</v>
      </c>
      <c r="Q6" s="149">
        <f t="shared" si="2"/>
        <v>0.56416821561338293</v>
      </c>
      <c r="R6" s="149">
        <f t="shared" si="2"/>
        <v>0.54997454065300921</v>
      </c>
      <c r="S6" s="149">
        <f t="shared" si="2"/>
        <v>0.94148049032779957</v>
      </c>
      <c r="T6" s="149">
        <f t="shared" si="2"/>
        <v>0.37206082249999972</v>
      </c>
      <c r="U6" s="149">
        <f t="shared" si="2"/>
        <v>0.37206082249999994</v>
      </c>
      <c r="V6" s="149">
        <f t="shared" si="2"/>
        <v>0.37206082249999994</v>
      </c>
      <c r="W6" s="149">
        <f t="shared" si="2"/>
        <v>0.23666008343750033</v>
      </c>
      <c r="X6" s="150">
        <f t="shared" si="2"/>
        <v>0.11462125941406298</v>
      </c>
      <c r="Y6" s="92"/>
      <c r="Z6" s="92"/>
    </row>
    <row r="7" spans="2:26" ht="19.3">
      <c r="B7" s="18"/>
      <c r="C7" s="18"/>
      <c r="D7" s="18"/>
      <c r="E7" s="19"/>
      <c r="F7" s="19"/>
      <c r="G7" s="19"/>
      <c r="H7" s="19"/>
      <c r="I7" s="19"/>
      <c r="J7" s="19"/>
      <c r="K7" s="19"/>
      <c r="L7" s="137">
        <f>L5/K5-1</f>
        <v>0.34420999202378355</v>
      </c>
      <c r="M7" s="19"/>
      <c r="N7" s="19"/>
      <c r="O7" s="19"/>
      <c r="P7" s="19"/>
      <c r="Q7" s="19"/>
      <c r="R7" s="18"/>
      <c r="S7" s="18"/>
      <c r="T7" s="18"/>
      <c r="U7" s="18"/>
      <c r="V7" s="18"/>
      <c r="W7" s="18"/>
      <c r="X7" s="18"/>
      <c r="Y7" s="92"/>
      <c r="Z7" s="92"/>
    </row>
    <row r="8" spans="2:26" ht="19.3">
      <c r="B8" s="211" t="s">
        <v>325</v>
      </c>
      <c r="C8" s="212"/>
      <c r="D8" s="212"/>
      <c r="E8" s="212"/>
      <c r="F8" s="212"/>
      <c r="G8" s="212"/>
      <c r="H8" s="212"/>
      <c r="I8" s="212"/>
      <c r="J8" s="212"/>
      <c r="K8" s="212"/>
      <c r="L8" s="212"/>
      <c r="M8" s="213"/>
      <c r="N8" s="21"/>
      <c r="O8" s="21"/>
      <c r="P8" s="21"/>
      <c r="Q8" s="21"/>
      <c r="R8" s="21"/>
      <c r="S8" s="21"/>
      <c r="T8" s="21"/>
      <c r="U8" s="21"/>
      <c r="V8" s="21"/>
      <c r="W8" s="21"/>
      <c r="X8" s="21"/>
      <c r="Y8" s="92"/>
      <c r="Z8" s="92"/>
    </row>
    <row r="9" spans="2:26" ht="18">
      <c r="B9" s="133" t="s">
        <v>327</v>
      </c>
      <c r="C9" s="92"/>
      <c r="D9" s="92"/>
      <c r="E9" s="92"/>
      <c r="F9" s="159">
        <v>0.109</v>
      </c>
      <c r="G9" s="92"/>
      <c r="H9" s="92"/>
      <c r="I9" s="92"/>
      <c r="J9" s="92"/>
      <c r="K9" s="92"/>
      <c r="L9" s="92"/>
      <c r="M9" s="134"/>
      <c r="N9" s="92"/>
      <c r="O9" s="92"/>
      <c r="P9" s="92"/>
      <c r="Q9" s="92"/>
      <c r="R9" s="92"/>
      <c r="S9" s="92"/>
      <c r="T9" s="92"/>
      <c r="U9" s="92"/>
      <c r="V9" s="92"/>
      <c r="W9" s="92"/>
      <c r="X9" s="92"/>
      <c r="Y9" s="92"/>
      <c r="Z9" s="92"/>
    </row>
    <row r="10" spans="2:26" ht="18">
      <c r="B10" s="133"/>
      <c r="C10" s="92" t="s">
        <v>328</v>
      </c>
      <c r="D10" s="92"/>
      <c r="E10" s="92"/>
      <c r="F10" s="167">
        <v>2.725E-2</v>
      </c>
      <c r="G10" s="92"/>
      <c r="H10" s="92"/>
      <c r="I10" s="92"/>
      <c r="J10" s="92"/>
      <c r="K10" s="92"/>
      <c r="L10" s="92"/>
      <c r="M10" s="134"/>
      <c r="N10" s="92"/>
      <c r="O10" s="92"/>
      <c r="P10" s="92"/>
      <c r="Q10" s="92"/>
      <c r="R10" s="92"/>
      <c r="S10" s="92"/>
      <c r="T10" s="92"/>
      <c r="U10" s="92"/>
      <c r="V10" s="92"/>
      <c r="W10" s="92"/>
      <c r="X10" s="92"/>
      <c r="Y10" s="92"/>
      <c r="Z10" s="92"/>
    </row>
    <row r="11" spans="2:26" ht="18">
      <c r="B11" s="133"/>
      <c r="C11" s="92"/>
      <c r="D11" s="92"/>
      <c r="E11" s="92"/>
      <c r="F11" s="92"/>
      <c r="G11" s="92"/>
      <c r="H11" s="92"/>
      <c r="I11" s="92"/>
      <c r="J11" s="92"/>
      <c r="K11" s="92"/>
      <c r="L11" s="92"/>
      <c r="M11" s="134"/>
      <c r="N11" s="92"/>
      <c r="O11" s="92"/>
      <c r="P11" s="92"/>
      <c r="Q11" s="92"/>
      <c r="R11" s="92"/>
      <c r="S11" s="92"/>
      <c r="T11" s="92"/>
      <c r="U11" s="92"/>
      <c r="V11" s="92"/>
      <c r="W11" s="92"/>
      <c r="X11" s="92"/>
      <c r="Y11" s="92"/>
      <c r="Z11" s="92"/>
    </row>
    <row r="12" spans="2:26" ht="18">
      <c r="B12" s="133" t="s">
        <v>351</v>
      </c>
      <c r="C12" s="92"/>
      <c r="D12" s="92"/>
      <c r="E12" s="92"/>
      <c r="F12" s="92"/>
      <c r="G12" s="92"/>
      <c r="H12" s="92"/>
      <c r="I12" s="92"/>
      <c r="J12" s="92"/>
      <c r="K12" s="92"/>
      <c r="L12" s="92"/>
      <c r="M12" s="134"/>
      <c r="N12" s="92"/>
      <c r="O12" s="92"/>
      <c r="P12" s="92"/>
      <c r="Q12" s="92"/>
      <c r="R12" s="92"/>
      <c r="S12" s="92"/>
      <c r="T12" s="92"/>
      <c r="U12" s="92"/>
      <c r="V12" s="92"/>
      <c r="W12" s="92"/>
      <c r="X12" s="92"/>
      <c r="Y12" s="92"/>
      <c r="Z12" s="92"/>
    </row>
    <row r="13" spans="2:26" ht="18">
      <c r="B13" s="161"/>
      <c r="C13" s="92" t="s">
        <v>353</v>
      </c>
      <c r="D13" s="92"/>
      <c r="E13" s="92"/>
      <c r="F13" s="92"/>
      <c r="G13" s="92"/>
      <c r="H13" s="92"/>
      <c r="I13" s="92"/>
      <c r="J13" s="92"/>
      <c r="K13" s="92"/>
      <c r="L13" s="163">
        <f>L7</f>
        <v>0.34420999202378355</v>
      </c>
      <c r="M13" s="134"/>
      <c r="N13" s="92"/>
      <c r="O13" s="92"/>
      <c r="P13" s="92"/>
      <c r="Q13" s="92"/>
      <c r="R13" s="92"/>
      <c r="S13" s="92"/>
      <c r="T13" s="92"/>
      <c r="U13" s="92"/>
      <c r="V13" s="92"/>
      <c r="W13" s="92"/>
      <c r="X13" s="92"/>
      <c r="Y13" s="92"/>
      <c r="Z13" s="92"/>
    </row>
    <row r="14" spans="2:26">
      <c r="B14" s="161"/>
      <c r="C14" t="s">
        <v>354</v>
      </c>
      <c r="M14" s="162"/>
    </row>
    <row r="15" spans="2:26">
      <c r="B15" s="161"/>
      <c r="M15" s="162"/>
    </row>
    <row r="16" spans="2:26" ht="18">
      <c r="B16" s="164" t="s">
        <v>352</v>
      </c>
      <c r="C16" s="165"/>
      <c r="D16" s="165"/>
      <c r="E16" s="165"/>
      <c r="F16" s="165"/>
      <c r="G16" s="165"/>
      <c r="H16" s="165"/>
      <c r="I16" s="165"/>
      <c r="J16" s="165"/>
      <c r="K16" s="165"/>
      <c r="L16" s="165"/>
      <c r="M16" s="166"/>
      <c r="N16" s="92"/>
      <c r="O16" s="92"/>
      <c r="P16" s="92"/>
      <c r="Q16" s="92"/>
      <c r="R16" s="92"/>
      <c r="S16" s="92"/>
      <c r="T16" s="92"/>
      <c r="U16" s="92"/>
      <c r="V16" s="92"/>
      <c r="W16" s="92"/>
      <c r="X16" s="92"/>
      <c r="Y16" s="92"/>
      <c r="Z16" s="92"/>
    </row>
    <row r="17" spans="1:26" s="121" customFormat="1" ht="18">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spans="1:26" ht="18">
      <c r="B18" s="92"/>
      <c r="C18" s="123" t="s">
        <v>326</v>
      </c>
      <c r="D18" s="92"/>
      <c r="E18" s="92"/>
      <c r="F18" s="92"/>
      <c r="G18" s="92"/>
      <c r="H18" s="92"/>
      <c r="I18" s="92"/>
      <c r="J18" s="92"/>
      <c r="K18" s="92"/>
      <c r="L18" s="92"/>
      <c r="M18" s="92"/>
      <c r="N18" s="92"/>
      <c r="O18" s="92"/>
      <c r="P18" s="92"/>
      <c r="Q18" s="92"/>
      <c r="R18" s="92"/>
      <c r="S18" s="92"/>
      <c r="T18" s="92"/>
      <c r="U18" s="92"/>
      <c r="V18" s="92"/>
      <c r="W18" s="92"/>
      <c r="X18" s="92"/>
      <c r="Y18" s="92"/>
      <c r="Z18" s="92"/>
    </row>
    <row r="19" spans="1:26" ht="19.3">
      <c r="B19" s="58" t="s">
        <v>250</v>
      </c>
      <c r="C19" s="59"/>
      <c r="D19" s="59"/>
      <c r="E19" s="59" t="s">
        <v>221</v>
      </c>
      <c r="F19" s="59" t="s">
        <v>222</v>
      </c>
      <c r="G19" s="59" t="s">
        <v>223</v>
      </c>
      <c r="H19" s="59" t="s">
        <v>224</v>
      </c>
      <c r="I19" s="59" t="s">
        <v>225</v>
      </c>
      <c r="J19" s="59" t="s">
        <v>226</v>
      </c>
      <c r="K19" s="59" t="s">
        <v>227</v>
      </c>
      <c r="L19" s="59" t="s">
        <v>228</v>
      </c>
      <c r="M19" s="59" t="s">
        <v>229</v>
      </c>
      <c r="N19" s="59" t="s">
        <v>230</v>
      </c>
      <c r="O19" s="59" t="s">
        <v>231</v>
      </c>
      <c r="P19" s="59" t="s">
        <v>232</v>
      </c>
      <c r="Q19" s="60" t="s">
        <v>233</v>
      </c>
      <c r="R19" s="60" t="s">
        <v>234</v>
      </c>
      <c r="S19" s="60" t="s">
        <v>235</v>
      </c>
      <c r="T19" s="60" t="s">
        <v>236</v>
      </c>
      <c r="U19" s="60" t="s">
        <v>237</v>
      </c>
      <c r="V19" s="60" t="s">
        <v>238</v>
      </c>
      <c r="W19" s="60" t="s">
        <v>239</v>
      </c>
      <c r="X19" s="62" t="s">
        <v>240</v>
      </c>
      <c r="Y19" s="92"/>
      <c r="Z19" s="92"/>
    </row>
    <row r="20" spans="1:26" s="125" customFormat="1" ht="18">
      <c r="B20" s="127" t="s">
        <v>323</v>
      </c>
      <c r="C20" s="128"/>
      <c r="D20" s="128"/>
      <c r="E20" s="128">
        <v>5323</v>
      </c>
      <c r="F20" s="128">
        <v>6302</v>
      </c>
      <c r="G20" s="128">
        <v>7233</v>
      </c>
      <c r="H20" s="128">
        <v>9173</v>
      </c>
      <c r="I20" s="128">
        <v>8459</v>
      </c>
      <c r="J20" s="128">
        <v>9691</v>
      </c>
      <c r="K20" s="128">
        <v>9307</v>
      </c>
      <c r="L20" s="128">
        <v>9112</v>
      </c>
      <c r="M20" s="128">
        <v>7381</v>
      </c>
      <c r="N20" s="128">
        <v>7453</v>
      </c>
      <c r="O20" s="128">
        <v>9374</v>
      </c>
      <c r="P20" s="128">
        <v>8627</v>
      </c>
      <c r="Q20" s="128">
        <f>P20*1.0159</f>
        <v>8764.1692999999996</v>
      </c>
      <c r="R20" s="128">
        <f t="shared" ref="R20:X20" si="3">Q20*1.0159</f>
        <v>8903.5195918699992</v>
      </c>
      <c r="S20" s="128">
        <f t="shared" si="3"/>
        <v>9045.0855533807317</v>
      </c>
      <c r="T20" s="128">
        <f t="shared" si="3"/>
        <v>9188.9024136794851</v>
      </c>
      <c r="U20" s="128">
        <f t="shared" si="3"/>
        <v>9335.00596205699</v>
      </c>
      <c r="V20" s="128">
        <f t="shared" si="3"/>
        <v>9483.432556853697</v>
      </c>
      <c r="W20" s="128">
        <f t="shared" si="3"/>
        <v>9634.2191345076717</v>
      </c>
      <c r="X20" s="129">
        <f t="shared" si="3"/>
        <v>9787.4032187463436</v>
      </c>
      <c r="Y20" s="126"/>
      <c r="Z20" s="126"/>
    </row>
    <row r="21" spans="1:26" ht="18">
      <c r="A21" s="121"/>
      <c r="B21" s="130"/>
      <c r="C21" s="51" t="s">
        <v>248</v>
      </c>
      <c r="D21" s="131"/>
      <c r="E21" s="131"/>
      <c r="F21" s="131"/>
      <c r="G21" s="131"/>
      <c r="H21" s="131"/>
      <c r="I21" s="131">
        <f>I20/E20-1</f>
        <v>0.58914146158181468</v>
      </c>
      <c r="J21" s="131">
        <f t="shared" ref="J21:X21" si="4">J20/F20-1</f>
        <v>0.53776578863852742</v>
      </c>
      <c r="K21" s="131">
        <f t="shared" si="4"/>
        <v>0.28674132448499923</v>
      </c>
      <c r="L21" s="131">
        <f t="shared" si="4"/>
        <v>-6.6499509429848169E-3</v>
      </c>
      <c r="M21" s="131">
        <f t="shared" si="4"/>
        <v>-0.12743823146944078</v>
      </c>
      <c r="N21" s="131">
        <f t="shared" si="4"/>
        <v>-0.23093591992570428</v>
      </c>
      <c r="O21" s="131">
        <f t="shared" si="4"/>
        <v>7.1988825615127983E-3</v>
      </c>
      <c r="P21" s="131">
        <f t="shared" si="4"/>
        <v>-5.3226514486391596E-2</v>
      </c>
      <c r="Q21" s="131">
        <f t="shared" si="4"/>
        <v>0.18739592196179378</v>
      </c>
      <c r="R21" s="131">
        <f t="shared" si="4"/>
        <v>0.19462224498456981</v>
      </c>
      <c r="S21" s="131">
        <f t="shared" si="4"/>
        <v>-3.5087950354093067E-2</v>
      </c>
      <c r="T21" s="131">
        <f t="shared" si="4"/>
        <v>6.5133002628895875E-2</v>
      </c>
      <c r="U21" s="131">
        <f t="shared" si="4"/>
        <v>6.5133002628896097E-2</v>
      </c>
      <c r="V21" s="131">
        <f t="shared" si="4"/>
        <v>6.5133002628896319E-2</v>
      </c>
      <c r="W21" s="131">
        <f t="shared" si="4"/>
        <v>6.5133002628896319E-2</v>
      </c>
      <c r="X21" s="132">
        <f t="shared" si="4"/>
        <v>6.5133002628896319E-2</v>
      </c>
      <c r="Y21" s="124"/>
      <c r="Z21" s="124"/>
    </row>
    <row r="22" spans="1:26" ht="18">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spans="1:26" ht="18">
      <c r="B23" s="208" t="s">
        <v>325</v>
      </c>
      <c r="C23" s="209"/>
      <c r="D23" s="209"/>
      <c r="E23" s="209"/>
      <c r="F23" s="209"/>
      <c r="G23" s="209"/>
      <c r="H23" s="209"/>
      <c r="I23" s="209"/>
      <c r="J23" s="209"/>
      <c r="K23" s="209"/>
      <c r="L23" s="209"/>
      <c r="M23" s="210"/>
      <c r="N23" s="92"/>
      <c r="O23" s="92"/>
      <c r="P23" s="92"/>
      <c r="Q23" s="92"/>
      <c r="R23" s="92"/>
      <c r="S23" s="92"/>
      <c r="T23" s="92"/>
      <c r="U23" s="92"/>
      <c r="V23" s="92"/>
      <c r="W23" s="92"/>
      <c r="X23" s="92"/>
      <c r="Y23" s="92"/>
      <c r="Z23" s="92"/>
    </row>
    <row r="24" spans="1:26" ht="18">
      <c r="B24" s="133" t="s">
        <v>339</v>
      </c>
      <c r="C24" s="92"/>
      <c r="D24" s="92"/>
      <c r="E24" s="92"/>
      <c r="F24" s="92" t="s">
        <v>340</v>
      </c>
      <c r="G24" s="167">
        <v>1.5900000000000001E-2</v>
      </c>
      <c r="H24" s="92"/>
      <c r="I24" s="92"/>
      <c r="J24" s="92"/>
      <c r="K24" s="92"/>
      <c r="L24" s="92"/>
      <c r="M24" s="134"/>
      <c r="N24" s="92"/>
      <c r="O24" s="92"/>
      <c r="P24" s="92"/>
      <c r="Q24" s="92"/>
      <c r="R24" s="92"/>
      <c r="S24" s="92"/>
      <c r="T24" s="92"/>
      <c r="U24" s="92"/>
      <c r="V24" s="92"/>
      <c r="W24" s="92"/>
      <c r="X24" s="92"/>
      <c r="Y24" s="92"/>
      <c r="Z24" s="92"/>
    </row>
    <row r="25" spans="1:26" ht="18">
      <c r="B25" s="133"/>
      <c r="C25" s="92" t="s">
        <v>332</v>
      </c>
      <c r="D25" s="92"/>
      <c r="E25" s="92"/>
      <c r="F25" s="92"/>
      <c r="G25" s="92"/>
      <c r="H25" s="92"/>
      <c r="I25" s="92"/>
      <c r="J25" s="92"/>
      <c r="K25" s="92"/>
      <c r="L25" s="92"/>
      <c r="M25" s="134"/>
      <c r="N25" s="92"/>
      <c r="O25" s="92"/>
      <c r="P25" s="92"/>
      <c r="Q25" s="92"/>
      <c r="R25" s="92"/>
      <c r="S25" s="92"/>
      <c r="T25" s="92"/>
      <c r="U25" s="92"/>
      <c r="V25" s="92"/>
      <c r="W25" s="92"/>
      <c r="X25" s="92"/>
      <c r="Y25" s="92"/>
      <c r="Z25" s="92"/>
    </row>
    <row r="26" spans="1:26" ht="18">
      <c r="B26" s="133"/>
      <c r="C26" s="92"/>
      <c r="D26" s="92"/>
      <c r="E26" s="92"/>
      <c r="F26" s="92"/>
      <c r="G26" s="92"/>
      <c r="H26" s="92"/>
      <c r="I26" s="92"/>
      <c r="J26" s="92"/>
      <c r="K26" s="92"/>
      <c r="L26" s="92"/>
      <c r="M26" s="134"/>
      <c r="N26" s="92"/>
      <c r="O26" s="92"/>
      <c r="P26" s="92"/>
      <c r="Q26" s="92"/>
      <c r="R26" s="92"/>
      <c r="S26" s="92"/>
      <c r="T26" s="92"/>
      <c r="U26" s="92"/>
      <c r="V26" s="92"/>
      <c r="W26" s="92"/>
      <c r="X26" s="92"/>
      <c r="Y26" s="92"/>
      <c r="Z26" s="92"/>
    </row>
    <row r="27" spans="1:26">
      <c r="B27" s="169"/>
      <c r="C27" s="170"/>
      <c r="D27" s="170"/>
      <c r="E27" s="170"/>
      <c r="F27" s="170"/>
      <c r="G27" s="170"/>
      <c r="H27" s="170"/>
      <c r="I27" s="170"/>
      <c r="J27" s="170"/>
      <c r="K27" s="170"/>
      <c r="L27" s="170"/>
      <c r="M27" s="171"/>
    </row>
    <row r="29" spans="1:26" ht="18">
      <c r="B29" s="92"/>
      <c r="C29" s="123" t="s">
        <v>244</v>
      </c>
      <c r="D29" s="92"/>
      <c r="E29" s="92"/>
      <c r="F29" s="92"/>
      <c r="G29" s="92"/>
      <c r="H29" s="92"/>
      <c r="I29" s="92"/>
      <c r="J29" s="92"/>
      <c r="K29" s="92"/>
      <c r="L29" s="92"/>
      <c r="M29" s="92"/>
      <c r="N29" s="92"/>
      <c r="O29" s="92"/>
      <c r="P29" s="92"/>
      <c r="Q29" s="92"/>
      <c r="R29" s="92"/>
      <c r="S29" s="92"/>
      <c r="T29" s="92"/>
      <c r="U29" s="92"/>
      <c r="V29" s="92"/>
      <c r="W29" s="92"/>
      <c r="X29" s="92"/>
      <c r="Y29" s="92"/>
      <c r="Z29" s="92"/>
    </row>
    <row r="30" spans="1:26" ht="19.3">
      <c r="B30" s="58" t="s">
        <v>250</v>
      </c>
      <c r="C30" s="59"/>
      <c r="D30" s="59"/>
      <c r="E30" s="59" t="s">
        <v>221</v>
      </c>
      <c r="F30" s="59" t="s">
        <v>222</v>
      </c>
      <c r="G30" s="59" t="s">
        <v>223</v>
      </c>
      <c r="H30" s="59" t="s">
        <v>224</v>
      </c>
      <c r="I30" s="59" t="s">
        <v>225</v>
      </c>
      <c r="J30" s="59" t="s">
        <v>226</v>
      </c>
      <c r="K30" s="59" t="s">
        <v>227</v>
      </c>
      <c r="L30" s="59" t="s">
        <v>228</v>
      </c>
      <c r="M30" s="59" t="s">
        <v>229</v>
      </c>
      <c r="N30" s="59" t="s">
        <v>230</v>
      </c>
      <c r="O30" s="59" t="s">
        <v>231</v>
      </c>
      <c r="P30" s="59" t="s">
        <v>232</v>
      </c>
      <c r="Q30" s="60" t="s">
        <v>233</v>
      </c>
      <c r="R30" s="60" t="s">
        <v>234</v>
      </c>
      <c r="S30" s="60" t="s">
        <v>235</v>
      </c>
      <c r="T30" s="60" t="s">
        <v>236</v>
      </c>
      <c r="U30" s="60" t="s">
        <v>237</v>
      </c>
      <c r="V30" s="60" t="s">
        <v>238</v>
      </c>
      <c r="W30" s="60" t="s">
        <v>239</v>
      </c>
      <c r="X30" s="62" t="s">
        <v>240</v>
      </c>
      <c r="Y30" s="92"/>
      <c r="Z30" s="92"/>
    </row>
    <row r="31" spans="1:26" ht="18">
      <c r="B31" s="133" t="s">
        <v>329</v>
      </c>
      <c r="C31" s="92"/>
      <c r="D31" s="92"/>
      <c r="E31" s="92">
        <v>1907</v>
      </c>
      <c r="F31" s="92">
        <v>1963</v>
      </c>
      <c r="G31" s="92">
        <v>1927</v>
      </c>
      <c r="H31" s="92">
        <v>662</v>
      </c>
      <c r="I31" s="92">
        <v>2213</v>
      </c>
      <c r="J31" s="92">
        <v>3289</v>
      </c>
      <c r="K31" s="92">
        <v>2284</v>
      </c>
      <c r="L31" s="92">
        <v>1606</v>
      </c>
      <c r="M31" s="92">
        <v>2810</v>
      </c>
      <c r="N31" s="92">
        <v>1870</v>
      </c>
      <c r="O31" s="92">
        <v>2875</v>
      </c>
      <c r="P31" s="135">
        <v>5093</v>
      </c>
      <c r="Q31" s="135">
        <f>P31*1.045*1.05</f>
        <v>5588.2942499999999</v>
      </c>
      <c r="R31" s="135">
        <f t="shared" ref="R31:T31" si="5">Q31*1.045*1.05</f>
        <v>6131.7558658124999</v>
      </c>
      <c r="S31" s="135">
        <f t="shared" si="5"/>
        <v>6728.0691237627652</v>
      </c>
      <c r="T31" s="135">
        <f t="shared" si="5"/>
        <v>7382.3738460486938</v>
      </c>
      <c r="U31" s="135">
        <f>T31*1.045</f>
        <v>7714.5806691208845</v>
      </c>
      <c r="V31" s="135">
        <f t="shared" ref="V31:X31" si="6">U31*1.045</f>
        <v>8061.7367992313239</v>
      </c>
      <c r="W31" s="135">
        <f t="shared" si="6"/>
        <v>8424.5149551967334</v>
      </c>
      <c r="X31" s="136">
        <f t="shared" si="6"/>
        <v>8803.6181281805857</v>
      </c>
      <c r="Y31" s="92"/>
      <c r="Z31" s="92"/>
    </row>
    <row r="32" spans="1:26" s="121" customFormat="1" ht="18">
      <c r="B32" s="130"/>
      <c r="C32" s="51" t="s">
        <v>248</v>
      </c>
      <c r="D32" s="131"/>
      <c r="E32" s="131"/>
      <c r="F32" s="131"/>
      <c r="G32" s="131"/>
      <c r="H32" s="131"/>
      <c r="I32" s="131">
        <f>I31/E31-1</f>
        <v>0.16046145778710019</v>
      </c>
      <c r="J32" s="131">
        <f t="shared" ref="J32:X32" si="7">J31/F31-1</f>
        <v>0.67549668874172175</v>
      </c>
      <c r="K32" s="131">
        <f t="shared" si="7"/>
        <v>0.18526206538661127</v>
      </c>
      <c r="L32" s="131">
        <f t="shared" si="7"/>
        <v>1.4259818731117826</v>
      </c>
      <c r="M32" s="131">
        <f t="shared" si="7"/>
        <v>0.26976954360596483</v>
      </c>
      <c r="N32" s="131">
        <f t="shared" si="7"/>
        <v>-0.43143812709030105</v>
      </c>
      <c r="O32" s="131">
        <f t="shared" si="7"/>
        <v>0.25875656742556918</v>
      </c>
      <c r="P32" s="131">
        <f t="shared" si="7"/>
        <v>2.1712328767123288</v>
      </c>
      <c r="Q32" s="131">
        <f t="shared" si="7"/>
        <v>0.98871681494661923</v>
      </c>
      <c r="R32" s="131">
        <f t="shared" si="7"/>
        <v>2.2790138319852939</v>
      </c>
      <c r="S32" s="131">
        <f t="shared" si="7"/>
        <v>1.3401979560913966</v>
      </c>
      <c r="T32" s="131">
        <f t="shared" si="7"/>
        <v>0.44951381230094123</v>
      </c>
      <c r="U32" s="131">
        <f t="shared" si="7"/>
        <v>0.38048934504851539</v>
      </c>
      <c r="V32" s="131">
        <f t="shared" si="7"/>
        <v>0.31475175718906212</v>
      </c>
      <c r="W32" s="131">
        <f t="shared" si="7"/>
        <v>0.25214453065624975</v>
      </c>
      <c r="X32" s="132">
        <f t="shared" si="7"/>
        <v>0.1925186006249997</v>
      </c>
      <c r="Y32" s="124"/>
      <c r="Z32" s="124"/>
    </row>
    <row r="33" spans="2:26" ht="18">
      <c r="B33" s="92"/>
      <c r="C33" s="92"/>
      <c r="D33" s="92"/>
      <c r="E33" s="92"/>
      <c r="F33" s="92"/>
      <c r="G33" s="92"/>
      <c r="H33" s="92"/>
      <c r="I33" s="92"/>
      <c r="J33" s="92"/>
      <c r="K33" s="92"/>
      <c r="L33" s="92"/>
      <c r="M33" s="92"/>
      <c r="N33" s="92"/>
      <c r="O33" s="92"/>
      <c r="P33" s="124"/>
      <c r="Q33" s="92"/>
      <c r="R33" s="92"/>
      <c r="S33" s="92"/>
      <c r="T33" s="92"/>
      <c r="U33" s="92"/>
      <c r="V33" s="92"/>
      <c r="W33" s="92"/>
      <c r="X33" s="92"/>
      <c r="Y33" s="92"/>
      <c r="Z33" s="92"/>
    </row>
    <row r="34" spans="2:26" ht="18">
      <c r="B34" s="208" t="s">
        <v>325</v>
      </c>
      <c r="C34" s="209"/>
      <c r="D34" s="209"/>
      <c r="E34" s="209"/>
      <c r="F34" s="209"/>
      <c r="G34" s="209"/>
      <c r="H34" s="209"/>
      <c r="I34" s="209"/>
      <c r="J34" s="209"/>
      <c r="K34" s="209"/>
      <c r="L34" s="209"/>
      <c r="M34" s="210"/>
    </row>
    <row r="35" spans="2:26" ht="18">
      <c r="B35" s="142" t="s">
        <v>330</v>
      </c>
      <c r="C35" s="92"/>
      <c r="D35" s="92"/>
      <c r="E35" s="92"/>
      <c r="F35" s="92"/>
      <c r="G35" s="92"/>
      <c r="H35" s="159">
        <v>4.4999999999999998E-2</v>
      </c>
      <c r="I35" s="92"/>
      <c r="J35" s="92"/>
      <c r="K35" s="92"/>
      <c r="L35" s="92"/>
      <c r="M35" s="134"/>
    </row>
    <row r="36" spans="2:26" ht="18">
      <c r="B36" s="133"/>
      <c r="C36" s="92" t="s">
        <v>332</v>
      </c>
      <c r="D36" s="92"/>
      <c r="E36" s="160"/>
      <c r="F36" s="92"/>
      <c r="G36" s="92"/>
      <c r="H36" s="92"/>
      <c r="I36" s="92"/>
      <c r="J36" s="92"/>
      <c r="K36" s="92"/>
      <c r="L36" s="92"/>
      <c r="M36" s="134"/>
    </row>
    <row r="37" spans="2:26" ht="18">
      <c r="B37" s="133"/>
      <c r="C37" s="92"/>
      <c r="D37" s="92"/>
      <c r="E37" s="92"/>
      <c r="F37" s="92"/>
      <c r="G37" s="92"/>
      <c r="H37" s="92"/>
      <c r="I37" s="92"/>
      <c r="J37" s="92"/>
      <c r="K37" s="92"/>
      <c r="L37" s="92"/>
      <c r="M37" s="134"/>
    </row>
    <row r="38" spans="2:26" ht="18">
      <c r="B38" s="142" t="s">
        <v>335</v>
      </c>
      <c r="C38" s="92"/>
      <c r="D38" s="92"/>
      <c r="E38" s="92"/>
      <c r="F38" s="92"/>
      <c r="G38" s="92"/>
      <c r="H38" s="92"/>
      <c r="I38" s="92"/>
      <c r="J38" s="92"/>
      <c r="K38" s="92"/>
      <c r="L38" s="92"/>
      <c r="M38" s="134"/>
      <c r="N38" s="92"/>
      <c r="O38" s="92"/>
      <c r="P38" s="92"/>
      <c r="Q38" s="92"/>
      <c r="R38" s="92"/>
      <c r="S38" s="92"/>
      <c r="T38" s="92"/>
      <c r="U38" s="92"/>
      <c r="V38" s="92"/>
      <c r="W38" s="92"/>
      <c r="X38" s="92"/>
      <c r="Y38" s="92"/>
      <c r="Z38" s="92"/>
    </row>
    <row r="39" spans="2:26" ht="18">
      <c r="B39" s="133"/>
      <c r="C39" s="92" t="s">
        <v>336</v>
      </c>
      <c r="D39" s="92"/>
      <c r="E39" s="92"/>
      <c r="F39" s="92"/>
      <c r="G39" s="92"/>
      <c r="H39" s="92"/>
      <c r="I39" s="92"/>
      <c r="J39" s="92"/>
      <c r="K39" s="92"/>
      <c r="L39" s="92"/>
      <c r="M39" s="134"/>
      <c r="N39" s="92"/>
      <c r="O39" s="92"/>
      <c r="P39" s="92"/>
      <c r="Q39" s="92"/>
      <c r="R39" s="92"/>
      <c r="S39" s="92"/>
      <c r="T39" s="92"/>
      <c r="U39" s="92"/>
      <c r="V39" s="92"/>
      <c r="W39" s="92"/>
      <c r="X39" s="92"/>
      <c r="Y39" s="92"/>
      <c r="Z39" s="92"/>
    </row>
    <row r="40" spans="2:26">
      <c r="B40" s="161"/>
      <c r="M40" s="162"/>
    </row>
    <row r="41" spans="2:26" ht="18">
      <c r="B41" s="133" t="s">
        <v>334</v>
      </c>
      <c r="C41" s="92"/>
      <c r="D41" s="92"/>
      <c r="E41" s="92"/>
      <c r="F41" s="92"/>
      <c r="G41" s="92"/>
      <c r="H41" s="92"/>
      <c r="I41" s="92"/>
      <c r="J41" s="92"/>
      <c r="K41" s="92"/>
      <c r="L41" s="92"/>
      <c r="M41" s="134"/>
      <c r="N41" s="92"/>
      <c r="O41" s="92"/>
      <c r="P41" s="92"/>
      <c r="Q41" s="92"/>
      <c r="R41" s="92"/>
      <c r="S41" s="92"/>
      <c r="T41" s="92"/>
      <c r="U41" s="92"/>
      <c r="V41" s="92"/>
      <c r="W41" s="92"/>
      <c r="X41" s="92"/>
      <c r="Y41" s="92"/>
      <c r="Z41" s="92"/>
    </row>
    <row r="42" spans="2:26" ht="18">
      <c r="B42" s="133"/>
      <c r="C42" s="92" t="s">
        <v>333</v>
      </c>
      <c r="D42" s="92"/>
      <c r="E42" s="92"/>
      <c r="F42" s="92"/>
      <c r="G42" s="92"/>
      <c r="H42" s="92"/>
      <c r="I42" s="92"/>
      <c r="J42" s="163"/>
      <c r="K42" s="92"/>
      <c r="L42" s="92"/>
      <c r="M42" s="134"/>
      <c r="N42" s="92"/>
      <c r="O42" s="92"/>
      <c r="P42" s="92"/>
      <c r="Q42" s="92"/>
      <c r="R42" s="92"/>
      <c r="S42" s="92"/>
      <c r="T42" s="92"/>
      <c r="U42" s="92"/>
      <c r="V42" s="92"/>
      <c r="W42" s="92"/>
      <c r="X42" s="92"/>
      <c r="Y42" s="92"/>
      <c r="Z42" s="92"/>
    </row>
    <row r="43" spans="2:26" ht="18">
      <c r="B43" s="164"/>
      <c r="C43" s="165"/>
      <c r="D43" s="165"/>
      <c r="E43" s="165"/>
      <c r="F43" s="165"/>
      <c r="G43" s="165"/>
      <c r="H43" s="165"/>
      <c r="I43" s="165"/>
      <c r="J43" s="165"/>
      <c r="K43" s="165"/>
      <c r="L43" s="165"/>
      <c r="M43" s="166"/>
    </row>
    <row r="45" spans="2:26">
      <c r="C45" s="154" t="s">
        <v>245</v>
      </c>
    </row>
    <row r="46" spans="2:26" ht="18">
      <c r="B46" s="138" t="s">
        <v>250</v>
      </c>
      <c r="C46" s="139"/>
      <c r="D46" s="139"/>
      <c r="E46" s="139" t="s">
        <v>221</v>
      </c>
      <c r="F46" s="139" t="s">
        <v>222</v>
      </c>
      <c r="G46" s="139" t="s">
        <v>223</v>
      </c>
      <c r="H46" s="139" t="s">
        <v>224</v>
      </c>
      <c r="I46" s="139" t="s">
        <v>225</v>
      </c>
      <c r="J46" s="139" t="s">
        <v>226</v>
      </c>
      <c r="K46" s="139" t="s">
        <v>227</v>
      </c>
      <c r="L46" s="139" t="s">
        <v>228</v>
      </c>
      <c r="M46" s="139" t="s">
        <v>229</v>
      </c>
      <c r="N46" s="139" t="s">
        <v>230</v>
      </c>
      <c r="O46" s="139" t="s">
        <v>231</v>
      </c>
      <c r="P46" s="139" t="s">
        <v>232</v>
      </c>
      <c r="Q46" s="140" t="s">
        <v>233</v>
      </c>
      <c r="R46" s="140" t="s">
        <v>234</v>
      </c>
      <c r="S46" s="140" t="s">
        <v>235</v>
      </c>
      <c r="T46" s="140" t="s">
        <v>236</v>
      </c>
      <c r="U46" s="140" t="s">
        <v>237</v>
      </c>
      <c r="V46" s="140" t="s">
        <v>238</v>
      </c>
      <c r="W46" s="140" t="s">
        <v>239</v>
      </c>
      <c r="X46" s="141" t="s">
        <v>240</v>
      </c>
      <c r="Y46" s="92"/>
      <c r="Z46" s="92"/>
    </row>
    <row r="47" spans="2:26" ht="18">
      <c r="B47" s="142" t="s">
        <v>331</v>
      </c>
      <c r="C47" s="143"/>
      <c r="D47" s="143"/>
      <c r="E47" s="144">
        <v>5182</v>
      </c>
      <c r="F47" s="144">
        <v>4146</v>
      </c>
      <c r="G47" s="144">
        <v>4220</v>
      </c>
      <c r="H47" s="144">
        <v>302</v>
      </c>
      <c r="I47" s="144">
        <v>1622</v>
      </c>
      <c r="J47" s="144">
        <v>1250</v>
      </c>
      <c r="K47" s="144">
        <v>1382</v>
      </c>
      <c r="L47" s="144">
        <v>2160</v>
      </c>
      <c r="M47" s="144">
        <v>1712</v>
      </c>
      <c r="N47" s="144">
        <v>1703</v>
      </c>
      <c r="O47" s="144">
        <v>2205</v>
      </c>
      <c r="P47" s="144">
        <v>2125</v>
      </c>
      <c r="Q47" s="144">
        <f>P47*1.035</f>
        <v>2199.375</v>
      </c>
      <c r="R47" s="144">
        <f t="shared" ref="R47:X47" si="8">Q47*1.035</f>
        <v>2276.3531249999996</v>
      </c>
      <c r="S47" s="144">
        <f t="shared" si="8"/>
        <v>2356.0254843749995</v>
      </c>
      <c r="T47" s="144">
        <f t="shared" si="8"/>
        <v>2438.4863763281242</v>
      </c>
      <c r="U47" s="144">
        <f t="shared" si="8"/>
        <v>2523.8333994996083</v>
      </c>
      <c r="V47" s="144">
        <f t="shared" si="8"/>
        <v>2612.1675684820943</v>
      </c>
      <c r="W47" s="144">
        <f t="shared" si="8"/>
        <v>2703.5934333789673</v>
      </c>
      <c r="X47" s="145">
        <f t="shared" si="8"/>
        <v>2798.2192035472308</v>
      </c>
      <c r="Y47" s="92"/>
      <c r="Z47" s="92"/>
    </row>
    <row r="48" spans="2:26" ht="18">
      <c r="B48" s="155"/>
      <c r="C48" s="147" t="s">
        <v>248</v>
      </c>
      <c r="D48" s="156"/>
      <c r="E48" s="157"/>
      <c r="F48" s="157"/>
      <c r="G48" s="157"/>
      <c r="H48" s="157"/>
      <c r="I48" s="157">
        <f>I47/E47-1</f>
        <v>-0.68699343882670783</v>
      </c>
      <c r="J48" s="157">
        <f t="shared" ref="J48:X48" si="9">J47/F47-1</f>
        <v>-0.69850458273034244</v>
      </c>
      <c r="K48" s="157">
        <f t="shared" si="9"/>
        <v>-0.67251184834123223</v>
      </c>
      <c r="L48" s="157">
        <f t="shared" si="9"/>
        <v>6.1523178807947021</v>
      </c>
      <c r="M48" s="157">
        <f t="shared" si="9"/>
        <v>5.5487053020961685E-2</v>
      </c>
      <c r="N48" s="157">
        <f t="shared" si="9"/>
        <v>0.36240000000000006</v>
      </c>
      <c r="O48" s="157">
        <f t="shared" si="9"/>
        <v>0.59551374819102754</v>
      </c>
      <c r="P48" s="157">
        <f t="shared" si="9"/>
        <v>-1.620370370370372E-2</v>
      </c>
      <c r="Q48" s="157">
        <f t="shared" si="9"/>
        <v>0.28468165887850461</v>
      </c>
      <c r="R48" s="157">
        <f t="shared" si="9"/>
        <v>0.33667241632413369</v>
      </c>
      <c r="S48" s="157">
        <f t="shared" si="9"/>
        <v>6.8492283163265055E-2</v>
      </c>
      <c r="T48" s="157">
        <f t="shared" si="9"/>
        <v>0.14752300062499968</v>
      </c>
      <c r="U48" s="157">
        <f t="shared" si="9"/>
        <v>0.14752300062499946</v>
      </c>
      <c r="V48" s="157">
        <f t="shared" si="9"/>
        <v>0.14752300062499968</v>
      </c>
      <c r="W48" s="157">
        <f t="shared" si="9"/>
        <v>0.14752300062499946</v>
      </c>
      <c r="X48" s="158">
        <f t="shared" si="9"/>
        <v>0.14752300062499946</v>
      </c>
      <c r="Y48" s="92"/>
      <c r="Z48" s="92"/>
    </row>
    <row r="50" spans="2:13" ht="18">
      <c r="B50" s="208" t="s">
        <v>325</v>
      </c>
      <c r="C50" s="209"/>
      <c r="D50" s="209"/>
      <c r="E50" s="209"/>
      <c r="F50" s="209"/>
      <c r="G50" s="209"/>
      <c r="H50" s="209"/>
      <c r="I50" s="209"/>
      <c r="J50" s="209"/>
      <c r="K50" s="209"/>
      <c r="L50" s="209"/>
      <c r="M50" s="210"/>
    </row>
    <row r="51" spans="2:13">
      <c r="B51" s="161" t="s">
        <v>337</v>
      </c>
      <c r="E51" s="168">
        <v>0.14000000000000001</v>
      </c>
      <c r="G51" t="s">
        <v>338</v>
      </c>
      <c r="H51" s="168">
        <v>3.5000000000000003E-2</v>
      </c>
      <c r="M51" s="162"/>
    </row>
    <row r="52" spans="2:13">
      <c r="B52" s="161"/>
      <c r="C52" t="s">
        <v>332</v>
      </c>
      <c r="M52" s="162"/>
    </row>
    <row r="53" spans="2:13">
      <c r="B53" s="169"/>
      <c r="C53" s="170"/>
      <c r="D53" s="170"/>
      <c r="E53" s="170"/>
      <c r="F53" s="170"/>
      <c r="G53" s="170"/>
      <c r="H53" s="170"/>
      <c r="I53" s="170"/>
      <c r="J53" s="170"/>
      <c r="K53" s="170"/>
      <c r="L53" s="170"/>
      <c r="M53" s="171"/>
    </row>
    <row r="55" spans="2:13" ht="19.3">
      <c r="B55" s="18"/>
    </row>
  </sheetData>
  <mergeCells count="4">
    <mergeCell ref="B34:M34"/>
    <mergeCell ref="B8:M8"/>
    <mergeCell ref="B50:M50"/>
    <mergeCell ref="B23:M23"/>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A3EF9-A154-0940-B21F-0500402A926F}">
  <dimension ref="B2:H62"/>
  <sheetViews>
    <sheetView showGridLines="0" workbookViewId="0">
      <selection activeCell="F50" sqref="F50"/>
    </sheetView>
  </sheetViews>
  <sheetFormatPr defaultColWidth="10.85546875" defaultRowHeight="18"/>
  <cols>
    <col min="2" max="2" width="29" bestFit="1" customWidth="1"/>
    <col min="8" max="8" width="10.85546875" style="92"/>
  </cols>
  <sheetData>
    <row r="2" spans="2:8">
      <c r="B2" s="152" t="s">
        <v>292</v>
      </c>
      <c r="C2" s="153">
        <v>2022</v>
      </c>
      <c r="D2" s="153">
        <v>2023</v>
      </c>
      <c r="E2" s="151">
        <v>2024</v>
      </c>
      <c r="F2" s="94" t="s">
        <v>241</v>
      </c>
      <c r="G2" s="95" t="s">
        <v>267</v>
      </c>
    </row>
    <row r="3" spans="2:8">
      <c r="B3" s="96" t="s">
        <v>293</v>
      </c>
      <c r="C3" s="15">
        <v>131506.71548000001</v>
      </c>
      <c r="D3" s="15">
        <v>117789.81114000001</v>
      </c>
      <c r="E3" s="98">
        <v>138725</v>
      </c>
      <c r="F3" s="98">
        <v>205405.18212659477</v>
      </c>
      <c r="G3" s="99">
        <v>251176.14916337049</v>
      </c>
    </row>
    <row r="4" spans="2:8">
      <c r="B4" s="100" t="s">
        <v>294</v>
      </c>
      <c r="C4" s="15">
        <v>86713.040299999993</v>
      </c>
      <c r="D4" s="15">
        <v>75672.117230000003</v>
      </c>
      <c r="E4" s="98">
        <v>102450</v>
      </c>
      <c r="F4" s="98">
        <f>F3*F6</f>
        <v>139697.84428683258</v>
      </c>
      <c r="G4" s="101">
        <f>G3*G6</f>
        <v>172562.50048273275</v>
      </c>
    </row>
    <row r="5" spans="2:8">
      <c r="B5" s="96" t="s">
        <v>295</v>
      </c>
      <c r="C5" s="97">
        <f>C3-C4</f>
        <v>44793.67518000002</v>
      </c>
      <c r="D5" s="97">
        <f t="shared" ref="D5:G5" si="0">D3-D4</f>
        <v>42117.693910000002</v>
      </c>
      <c r="E5" s="97">
        <f t="shared" si="0"/>
        <v>36275</v>
      </c>
      <c r="F5" s="97">
        <f t="shared" si="0"/>
        <v>65707.337839762185</v>
      </c>
      <c r="G5" s="114">
        <f t="shared" si="0"/>
        <v>78613.648680637736</v>
      </c>
    </row>
    <row r="6" spans="2:8">
      <c r="B6" s="102" t="s">
        <v>296</v>
      </c>
      <c r="C6" s="103">
        <f>C4/C3</f>
        <v>0.65938108166945741</v>
      </c>
      <c r="D6" s="103">
        <f>D4/D3</f>
        <v>0.64243347109249804</v>
      </c>
      <c r="E6" s="103">
        <f>E4/E3</f>
        <v>0.73851144350333398</v>
      </c>
      <c r="F6" s="103">
        <f>AVERAGE(C6:E6)</f>
        <v>0.68010866542176318</v>
      </c>
      <c r="G6" s="104">
        <f>AVERAGE(D6:F6)</f>
        <v>0.68701786000586507</v>
      </c>
      <c r="H6" s="92" t="s">
        <v>341</v>
      </c>
    </row>
    <row r="7" spans="2:8">
      <c r="B7" s="105" t="s">
        <v>297</v>
      </c>
      <c r="C7" s="15">
        <v>9402.4193300000006</v>
      </c>
      <c r="D7" s="15">
        <v>12591.30328</v>
      </c>
      <c r="E7" s="98">
        <f>14109</f>
        <v>14109</v>
      </c>
      <c r="F7" s="98">
        <f>F3*F8</f>
        <v>19177.916275005402</v>
      </c>
      <c r="G7" s="101">
        <f>G3*G8</f>
        <v>25282.340831395828</v>
      </c>
    </row>
    <row r="8" spans="2:8">
      <c r="B8" s="106" t="s">
        <v>298</v>
      </c>
      <c r="C8" s="103">
        <f>C7/C3</f>
        <v>7.1497636418650826E-2</v>
      </c>
      <c r="D8" s="103">
        <f>D7/D3</f>
        <v>0.10689637039178633</v>
      </c>
      <c r="E8" s="103">
        <f>E7/E3</f>
        <v>0.10170481167777978</v>
      </c>
      <c r="F8" s="103">
        <f>AVERAGE(C8:E8)</f>
        <v>9.3366272829405642E-2</v>
      </c>
      <c r="G8" s="104">
        <f>AVERAGE(D8:F8)</f>
        <v>0.10065581829965725</v>
      </c>
      <c r="H8" s="92" t="s">
        <v>342</v>
      </c>
    </row>
    <row r="9" spans="2:8">
      <c r="B9" s="107" t="s">
        <v>299</v>
      </c>
      <c r="C9" s="15">
        <v>4052.346</v>
      </c>
      <c r="D9" s="15">
        <v>4841.8230000000003</v>
      </c>
      <c r="E9" s="98"/>
      <c r="F9" s="98"/>
      <c r="G9" s="101"/>
    </row>
    <row r="10" spans="2:8">
      <c r="B10" s="107" t="s">
        <v>300</v>
      </c>
      <c r="C10" s="15">
        <v>393.68900000000002</v>
      </c>
      <c r="D10" s="15">
        <v>530.62900000000002</v>
      </c>
      <c r="E10" s="98"/>
      <c r="F10" s="98"/>
      <c r="G10" s="101"/>
    </row>
    <row r="11" spans="2:8">
      <c r="B11" s="107" t="s">
        <v>301</v>
      </c>
      <c r="C11" s="15">
        <v>2395.797</v>
      </c>
      <c r="D11" s="15">
        <v>3701.9340000000002</v>
      </c>
      <c r="E11" s="98"/>
      <c r="F11" s="98"/>
      <c r="G11" s="101"/>
    </row>
    <row r="12" spans="2:8">
      <c r="B12" s="107" t="s">
        <v>302</v>
      </c>
      <c r="C12" s="15">
        <v>1.3009999999999999</v>
      </c>
      <c r="D12" s="15">
        <v>18.088999999999999</v>
      </c>
      <c r="E12" s="98"/>
      <c r="F12" s="98"/>
      <c r="G12" s="101"/>
    </row>
    <row r="13" spans="2:8">
      <c r="B13" s="107" t="s">
        <v>303</v>
      </c>
      <c r="C13" s="15">
        <v>388.16899999999998</v>
      </c>
      <c r="D13" s="15">
        <v>437.46100000000001</v>
      </c>
      <c r="E13" s="98"/>
      <c r="F13" s="98"/>
      <c r="G13" s="101"/>
    </row>
    <row r="14" spans="2:8">
      <c r="B14" s="107" t="s">
        <v>304</v>
      </c>
      <c r="C14" s="15">
        <v>2171.1179999999999</v>
      </c>
      <c r="D14" s="15">
        <v>3061.37</v>
      </c>
      <c r="E14" s="98"/>
      <c r="F14" s="98"/>
      <c r="G14" s="101"/>
    </row>
    <row r="15" spans="2:8">
      <c r="B15" s="107"/>
      <c r="E15" s="98"/>
      <c r="F15" s="98"/>
      <c r="G15" s="101"/>
    </row>
    <row r="16" spans="2:8">
      <c r="B16" s="96" t="s">
        <v>305</v>
      </c>
      <c r="C16" s="15">
        <v>35391.255839999998</v>
      </c>
      <c r="D16" s="15">
        <v>29526.390619999998</v>
      </c>
      <c r="E16" s="98">
        <f>22166</f>
        <v>22166</v>
      </c>
      <c r="F16" s="98">
        <f>F5-F7</f>
        <v>46529.421564756783</v>
      </c>
      <c r="G16" s="101">
        <f>G5-G7</f>
        <v>53331.307849241908</v>
      </c>
    </row>
    <row r="17" spans="2:8">
      <c r="B17" s="102"/>
      <c r="C17" s="98"/>
      <c r="D17" s="98"/>
      <c r="E17" s="98"/>
      <c r="F17" s="98"/>
      <c r="G17" s="101"/>
    </row>
    <row r="18" spans="2:8">
      <c r="B18" s="108" t="s">
        <v>306</v>
      </c>
      <c r="C18" s="15">
        <v>289.10000000000002</v>
      </c>
      <c r="D18" s="15">
        <v>1053.2360000000001</v>
      </c>
      <c r="E18" s="98">
        <f>2126</f>
        <v>2126</v>
      </c>
      <c r="F18" s="98">
        <f>AVERAGE(D18:E18)</f>
        <v>1589.6179999999999</v>
      </c>
      <c r="G18" s="101">
        <f>AVERAGE(E18:F18)</f>
        <v>1857.809</v>
      </c>
      <c r="H18" s="92" t="s">
        <v>343</v>
      </c>
    </row>
    <row r="19" spans="2:8">
      <c r="B19" s="102" t="s">
        <v>307</v>
      </c>
      <c r="C19" s="103">
        <f>C18/C3</f>
        <v>2.1983668206204065E-3</v>
      </c>
      <c r="D19" s="103">
        <f>D18/D3</f>
        <v>8.9416562417963998E-3</v>
      </c>
      <c r="E19" s="103">
        <f>E18/E3</f>
        <v>1.5325283834925213E-2</v>
      </c>
      <c r="F19" s="103">
        <f t="shared" ref="F19:G19" si="1">F18/F3</f>
        <v>7.7389381491859872E-3</v>
      </c>
      <c r="G19" s="104">
        <f t="shared" si="1"/>
        <v>7.3964387390605315E-3</v>
      </c>
    </row>
    <row r="20" spans="2:8">
      <c r="B20" s="109" t="s">
        <v>116</v>
      </c>
      <c r="C20" s="15">
        <v>288.96899999999999</v>
      </c>
      <c r="D20" s="15">
        <v>1002.907</v>
      </c>
      <c r="E20" s="98"/>
      <c r="F20" s="98"/>
      <c r="G20" s="101"/>
    </row>
    <row r="21" spans="2:8">
      <c r="B21" s="110" t="s">
        <v>308</v>
      </c>
      <c r="C21" s="15"/>
      <c r="D21" s="15"/>
      <c r="E21" s="98"/>
      <c r="F21" s="98"/>
      <c r="G21" s="101"/>
    </row>
    <row r="22" spans="2:8">
      <c r="B22" s="109" t="s">
        <v>309</v>
      </c>
      <c r="C22" s="97"/>
      <c r="D22" s="97"/>
      <c r="E22" s="98"/>
      <c r="F22" s="98"/>
      <c r="G22" s="101"/>
    </row>
    <row r="23" spans="2:8">
      <c r="B23" s="109" t="s">
        <v>310</v>
      </c>
      <c r="C23" s="15">
        <v>0.13100000000000001</v>
      </c>
      <c r="D23" s="15">
        <v>38.267000000000003</v>
      </c>
      <c r="E23" s="98"/>
      <c r="F23" s="98"/>
      <c r="G23" s="101"/>
    </row>
    <row r="24" spans="2:8">
      <c r="B24" s="109" t="s">
        <v>125</v>
      </c>
      <c r="C24" s="97"/>
      <c r="D24" s="97"/>
      <c r="E24" s="98"/>
      <c r="F24" s="98"/>
      <c r="G24" s="101"/>
    </row>
    <row r="25" spans="2:8">
      <c r="B25" s="102"/>
      <c r="C25" s="98"/>
      <c r="D25" s="98"/>
      <c r="E25" s="98"/>
      <c r="F25" s="98"/>
      <c r="G25" s="101"/>
    </row>
    <row r="26" spans="2:8">
      <c r="B26" s="108" t="s">
        <v>311</v>
      </c>
      <c r="C26" s="15">
        <v>2874.8739999999998</v>
      </c>
      <c r="D26" s="15">
        <v>6298.2550000000001</v>
      </c>
      <c r="E26" s="98">
        <f>7973</f>
        <v>7973</v>
      </c>
      <c r="F26" s="98">
        <f>AVERAGE(D26:E26)</f>
        <v>7135.6275000000005</v>
      </c>
      <c r="G26" s="101">
        <f>AVERAGE(E26:F26)</f>
        <v>7554.3137500000003</v>
      </c>
      <c r="H26" s="92" t="s">
        <v>343</v>
      </c>
    </row>
    <row r="27" spans="2:8">
      <c r="B27" s="109" t="s">
        <v>128</v>
      </c>
      <c r="C27" s="15">
        <v>2873.4690000000001</v>
      </c>
      <c r="D27" s="15">
        <v>6298.1329999999998</v>
      </c>
      <c r="E27" s="98"/>
      <c r="F27" s="98"/>
      <c r="G27" s="101"/>
    </row>
    <row r="28" spans="2:8">
      <c r="B28" s="109" t="s">
        <v>129</v>
      </c>
      <c r="C28" s="97"/>
      <c r="D28" s="97"/>
      <c r="E28" s="98"/>
      <c r="F28" s="98"/>
      <c r="G28" s="101"/>
    </row>
    <row r="29" spans="2:8">
      <c r="B29" s="109" t="s">
        <v>312</v>
      </c>
      <c r="C29" s="97"/>
      <c r="D29" s="97"/>
      <c r="E29" s="98"/>
      <c r="F29" s="98"/>
      <c r="G29" s="101"/>
    </row>
    <row r="30" spans="2:8">
      <c r="B30" s="109" t="s">
        <v>134</v>
      </c>
      <c r="C30" s="15">
        <v>1.405</v>
      </c>
      <c r="D30" s="15">
        <v>0.122</v>
      </c>
      <c r="E30" s="98"/>
      <c r="F30" s="98"/>
      <c r="G30" s="101"/>
    </row>
    <row r="31" spans="2:8">
      <c r="B31" s="109" t="s">
        <v>136</v>
      </c>
      <c r="C31" s="97"/>
      <c r="D31" s="97"/>
      <c r="E31" s="98"/>
      <c r="F31" s="98"/>
      <c r="G31" s="101"/>
    </row>
    <row r="32" spans="2:8">
      <c r="B32" s="102"/>
      <c r="C32" s="98"/>
      <c r="D32" s="98"/>
      <c r="E32" s="98"/>
      <c r="F32" s="98"/>
      <c r="G32" s="101"/>
    </row>
    <row r="33" spans="2:8">
      <c r="B33" s="108" t="s">
        <v>313</v>
      </c>
      <c r="C33" s="15">
        <v>3523.2150000000001</v>
      </c>
      <c r="D33" s="15">
        <v>3927.944</v>
      </c>
      <c r="E33" s="98">
        <f>4552</f>
        <v>4552</v>
      </c>
      <c r="F33" s="98">
        <f>AVERAGE(C33:E33)</f>
        <v>4001.0529999999999</v>
      </c>
      <c r="G33" s="101">
        <f>AVERAGE(D33:F33)</f>
        <v>4160.3323333333328</v>
      </c>
      <c r="H33" s="92" t="s">
        <v>342</v>
      </c>
    </row>
    <row r="34" spans="2:8">
      <c r="B34" s="109" t="s">
        <v>314</v>
      </c>
      <c r="C34" s="15">
        <v>152.44900000000001</v>
      </c>
      <c r="D34" s="15">
        <v>118.66500000000001</v>
      </c>
      <c r="E34" s="98"/>
      <c r="F34" s="98"/>
      <c r="G34" s="101"/>
    </row>
    <row r="35" spans="2:8">
      <c r="B35" s="111" t="s">
        <v>315</v>
      </c>
      <c r="C35" s="97"/>
      <c r="D35" s="97"/>
      <c r="E35" s="98"/>
      <c r="F35" s="98"/>
      <c r="G35" s="101"/>
    </row>
    <row r="36" spans="2:8">
      <c r="B36" s="109" t="s">
        <v>316</v>
      </c>
      <c r="C36" s="15">
        <v>76.471000000000004</v>
      </c>
      <c r="D36" s="15">
        <v>102.727</v>
      </c>
      <c r="E36" s="98"/>
      <c r="F36" s="98"/>
      <c r="G36" s="101"/>
    </row>
    <row r="37" spans="2:8">
      <c r="B37" s="102"/>
      <c r="C37" s="98"/>
      <c r="D37" s="98"/>
      <c r="E37" s="98"/>
      <c r="F37" s="98"/>
      <c r="G37" s="101"/>
    </row>
    <row r="38" spans="2:8">
      <c r="B38" s="108" t="s">
        <v>317</v>
      </c>
      <c r="C38" s="15">
        <v>6245.9570000000003</v>
      </c>
      <c r="D38" s="15">
        <v>3843.8530000000001</v>
      </c>
      <c r="E38" s="98">
        <f>2243</f>
        <v>2243</v>
      </c>
      <c r="F38" s="98">
        <f>AVERAGE(C38:E38)</f>
        <v>4110.9366666666674</v>
      </c>
      <c r="G38" s="101">
        <f>AVERAGE(D38:F38)</f>
        <v>3399.2632222222223</v>
      </c>
      <c r="H38" s="92" t="s">
        <v>342</v>
      </c>
    </row>
    <row r="39" spans="2:8">
      <c r="B39" s="109" t="s">
        <v>318</v>
      </c>
      <c r="C39" s="15">
        <v>245.17</v>
      </c>
      <c r="D39" s="15">
        <v>2.423</v>
      </c>
      <c r="E39" s="98"/>
      <c r="F39" s="112"/>
      <c r="G39" s="101"/>
    </row>
    <row r="40" spans="2:8">
      <c r="B40" s="109" t="s">
        <v>319</v>
      </c>
      <c r="C40" s="98"/>
      <c r="D40" s="98"/>
      <c r="E40" s="98"/>
      <c r="F40" s="98"/>
      <c r="G40" s="101"/>
    </row>
    <row r="41" spans="2:8">
      <c r="B41" s="109" t="s">
        <v>320</v>
      </c>
      <c r="C41" s="97"/>
      <c r="D41" s="97"/>
      <c r="E41" s="98"/>
      <c r="F41" s="98"/>
      <c r="G41" s="101"/>
    </row>
    <row r="42" spans="2:8">
      <c r="B42" s="109" t="s">
        <v>150</v>
      </c>
      <c r="C42" s="15">
        <v>2531.86</v>
      </c>
      <c r="D42" s="15">
        <v>201.46600000000001</v>
      </c>
      <c r="E42" s="98"/>
      <c r="F42" s="98"/>
      <c r="G42" s="101"/>
    </row>
    <row r="43" spans="2:8">
      <c r="B43" s="102"/>
      <c r="C43" s="98"/>
      <c r="D43" s="98"/>
      <c r="E43" s="98"/>
      <c r="F43" s="98"/>
      <c r="G43" s="101"/>
    </row>
    <row r="44" spans="2:8">
      <c r="B44" s="113" t="s">
        <v>321</v>
      </c>
      <c r="C44" s="97"/>
      <c r="D44" s="97"/>
      <c r="E44" s="97"/>
      <c r="F44" s="97"/>
      <c r="G44" s="114"/>
    </row>
    <row r="45" spans="2:8">
      <c r="B45" s="102"/>
      <c r="C45" s="98"/>
      <c r="D45" s="98"/>
      <c r="E45" s="98"/>
      <c r="F45" s="98"/>
      <c r="G45" s="101"/>
    </row>
    <row r="46" spans="2:8">
      <c r="B46" s="115" t="s">
        <v>164</v>
      </c>
      <c r="C46" s="15">
        <v>30082.73947</v>
      </c>
      <c r="D46" s="15">
        <v>24365.460129999999</v>
      </c>
      <c r="E46" s="98">
        <v>18628</v>
      </c>
      <c r="F46" s="98">
        <f>F16+F18-F26+F33-F38</f>
        <v>40873.528398090115</v>
      </c>
      <c r="G46" s="101">
        <f>G16+G18-G26+G33-G38</f>
        <v>48395.872210353016</v>
      </c>
    </row>
    <row r="47" spans="2:8">
      <c r="B47" s="102"/>
      <c r="C47" s="98"/>
      <c r="D47" s="98"/>
      <c r="E47" s="98"/>
      <c r="F47" s="98"/>
      <c r="G47" s="101"/>
    </row>
    <row r="48" spans="2:8">
      <c r="B48" s="113" t="s">
        <v>165</v>
      </c>
      <c r="C48" s="15">
        <v>2922.9159599999998</v>
      </c>
      <c r="D48" s="15">
        <v>-3.4681899999999999</v>
      </c>
      <c r="E48" s="98">
        <v>-2392</v>
      </c>
      <c r="F48" s="98">
        <f>F46*F49</f>
        <v>3678.6175558281102</v>
      </c>
      <c r="G48" s="101">
        <f>G46*G49</f>
        <v>4355.628498931771</v>
      </c>
    </row>
    <row r="49" spans="2:7">
      <c r="B49" s="102" t="s">
        <v>322</v>
      </c>
      <c r="C49" s="103">
        <f>C48/C46</f>
        <v>9.716255937777464E-2</v>
      </c>
      <c r="D49" s="103">
        <f>D48/D46</f>
        <v>-1.4234042704286087E-4</v>
      </c>
      <c r="E49" s="103">
        <f>E48/E46</f>
        <v>-0.12840884689714407</v>
      </c>
      <c r="F49" s="103">
        <v>0.09</v>
      </c>
      <c r="G49" s="104">
        <v>0.09</v>
      </c>
    </row>
    <row r="50" spans="2:7">
      <c r="B50" s="116" t="s">
        <v>170</v>
      </c>
      <c r="C50" s="117">
        <f>C46-C48</f>
        <v>27159.823510000002</v>
      </c>
      <c r="D50" s="117">
        <f t="shared" ref="D50:G50" si="2">D46-D48</f>
        <v>24368.928319999999</v>
      </c>
      <c r="E50" s="117">
        <f t="shared" si="2"/>
        <v>21020</v>
      </c>
      <c r="F50" s="117">
        <f t="shared" si="2"/>
        <v>37194.910842262005</v>
      </c>
      <c r="G50" s="118">
        <f t="shared" si="2"/>
        <v>44040.243711421244</v>
      </c>
    </row>
    <row r="62" spans="2:7">
      <c r="G62" s="92"/>
    </row>
  </sheetData>
  <phoneticPr fontId="3"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43C6-764D-3C4C-9D9D-3DD59CEA224A}">
  <sheetPr>
    <tabColor rgb="FF203864"/>
  </sheetPr>
  <dimension ref="A1:C21"/>
  <sheetViews>
    <sheetView showGridLines="0" zoomScaleNormal="100" workbookViewId="0">
      <selection activeCell="N23" sqref="N23"/>
    </sheetView>
  </sheetViews>
  <sheetFormatPr defaultColWidth="8" defaultRowHeight="17.600000000000001"/>
  <cols>
    <col min="1" max="16384" width="8" style="33"/>
  </cols>
  <sheetData>
    <row r="1" spans="1:3" s="44" customFormat="1" ht="14.15"/>
    <row r="2" spans="1:3" s="43" customFormat="1" ht="25.3"/>
    <row r="3" spans="1:3" s="41" customFormat="1" ht="35.6">
      <c r="A3" s="45" t="s">
        <v>262</v>
      </c>
      <c r="B3" s="42"/>
    </row>
    <row r="4" spans="1:3" s="40" customFormat="1" ht="12.9"/>
    <row r="5" spans="1:3" s="38" customFormat="1" ht="27">
      <c r="A5" s="39" t="s">
        <v>261</v>
      </c>
    </row>
    <row r="7" spans="1:3">
      <c r="C7" s="37" t="s">
        <v>260</v>
      </c>
    </row>
    <row r="8" spans="1:3" ht="59.15">
      <c r="C8" s="36" t="s">
        <v>259</v>
      </c>
    </row>
    <row r="9" spans="1:3" ht="59.15">
      <c r="C9" s="36" t="s">
        <v>258</v>
      </c>
    </row>
    <row r="19" spans="3:3">
      <c r="C19" s="35" t="s">
        <v>257</v>
      </c>
    </row>
    <row r="20" spans="3:3">
      <c r="C20" s="34" t="s">
        <v>256</v>
      </c>
    </row>
    <row r="21" spans="3:3">
      <c r="C21" s="34" t="s">
        <v>255</v>
      </c>
    </row>
  </sheetData>
  <phoneticPr fontId="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535B-9B56-4238-A209-2A1DF9EF0A3D}">
  <sheetPr codeName="Sheet1"/>
  <dimension ref="A1:N85"/>
  <sheetViews>
    <sheetView showGridLines="0" workbookViewId="0">
      <selection activeCell="J22" sqref="J22"/>
    </sheetView>
  </sheetViews>
  <sheetFormatPr defaultColWidth="8.85546875" defaultRowHeight="17.600000000000001"/>
  <cols>
    <col min="1" max="1" width="9.140625" bestFit="1" customWidth="1"/>
    <col min="2" max="2" width="51.640625" bestFit="1" customWidth="1"/>
    <col min="3" max="3" width="11.5" bestFit="1" customWidth="1"/>
    <col min="4" max="14" width="9.640625" bestFit="1" customWidth="1"/>
  </cols>
  <sheetData>
    <row r="1" spans="1:14">
      <c r="B1" s="2" t="s">
        <v>0</v>
      </c>
    </row>
    <row r="2" spans="1:14">
      <c r="A2" s="3" t="s">
        <v>1</v>
      </c>
      <c r="B2" s="3"/>
      <c r="C2" s="3"/>
      <c r="D2" s="3"/>
      <c r="E2" s="3"/>
      <c r="F2" s="3"/>
      <c r="G2" s="3"/>
      <c r="H2" s="3"/>
      <c r="I2" s="3"/>
      <c r="J2" s="3"/>
      <c r="K2" s="3"/>
      <c r="L2" s="3"/>
      <c r="M2" s="3"/>
      <c r="N2" s="3"/>
    </row>
    <row r="3" spans="1:14">
      <c r="A3" s="4" t="s">
        <v>4</v>
      </c>
      <c r="B3" s="4" t="s">
        <v>93</v>
      </c>
      <c r="C3" s="4"/>
      <c r="D3" s="4"/>
      <c r="E3" s="4"/>
      <c r="F3" s="4"/>
      <c r="G3" s="4"/>
      <c r="H3" s="4"/>
      <c r="I3" s="4"/>
      <c r="J3" s="4"/>
      <c r="K3" s="4"/>
      <c r="L3" s="4"/>
      <c r="M3" s="4"/>
      <c r="N3" s="4"/>
    </row>
    <row r="4" spans="1:14">
      <c r="A4" s="4" t="s">
        <v>5</v>
      </c>
      <c r="B4" s="8" t="s">
        <v>98</v>
      </c>
      <c r="C4" s="4" t="s">
        <v>2</v>
      </c>
      <c r="D4" s="4" t="s">
        <v>97</v>
      </c>
      <c r="E4" s="4"/>
      <c r="F4" s="4"/>
      <c r="G4" s="4"/>
      <c r="H4" s="4"/>
      <c r="I4" s="4"/>
      <c r="J4" s="4"/>
      <c r="K4" s="4"/>
      <c r="L4" s="4"/>
      <c r="M4" s="4"/>
      <c r="N4" s="4"/>
    </row>
    <row r="5" spans="1:14">
      <c r="A5" s="4" t="s">
        <v>6</v>
      </c>
      <c r="B5" s="11" t="s">
        <v>94</v>
      </c>
      <c r="C5" s="4" t="s">
        <v>3</v>
      </c>
      <c r="D5" s="4"/>
      <c r="E5" s="4"/>
      <c r="F5" s="4"/>
      <c r="G5" s="4"/>
      <c r="H5" s="4"/>
      <c r="I5" s="4"/>
      <c r="J5" s="4"/>
      <c r="K5" s="4"/>
      <c r="L5" s="4"/>
      <c r="M5" s="4"/>
      <c r="N5" s="4"/>
    </row>
    <row r="6" spans="1:14">
      <c r="A6" s="4" t="s">
        <v>7</v>
      </c>
      <c r="B6" s="9" t="s">
        <v>95</v>
      </c>
      <c r="C6" s="4"/>
      <c r="D6" s="4"/>
      <c r="E6" s="4"/>
      <c r="F6" s="4"/>
      <c r="G6" s="4"/>
      <c r="H6" s="4"/>
      <c r="I6" s="4"/>
      <c r="J6" s="4"/>
      <c r="K6" s="4"/>
      <c r="L6" s="4"/>
      <c r="M6" s="4"/>
      <c r="N6" s="4"/>
    </row>
    <row r="7" spans="1:14">
      <c r="A7" s="4" t="s">
        <v>8</v>
      </c>
      <c r="B7" s="12" t="s">
        <v>96</v>
      </c>
      <c r="C7" s="9" t="s">
        <v>25</v>
      </c>
      <c r="D7" s="4"/>
      <c r="E7" s="4"/>
      <c r="F7" s="4"/>
      <c r="G7" s="4"/>
      <c r="H7" s="4"/>
      <c r="I7" s="4"/>
      <c r="J7" s="4"/>
      <c r="K7" s="4"/>
      <c r="L7" s="4"/>
      <c r="M7" s="4"/>
      <c r="N7" s="4"/>
    </row>
    <row r="8" spans="1:14">
      <c r="A8" s="5" t="s">
        <v>92</v>
      </c>
      <c r="B8" s="10">
        <v>2022</v>
      </c>
      <c r="C8" s="8" t="s">
        <v>99</v>
      </c>
      <c r="D8" s="5"/>
      <c r="E8" s="5"/>
      <c r="F8" s="5"/>
      <c r="G8" s="5"/>
      <c r="H8" s="5"/>
      <c r="I8" s="5"/>
      <c r="J8" s="5"/>
      <c r="K8" s="5"/>
      <c r="L8" s="5"/>
      <c r="M8" s="5"/>
      <c r="N8" s="5"/>
    </row>
    <row r="9" spans="1:14">
      <c r="A9" s="6" t="s">
        <v>9</v>
      </c>
      <c r="B9" s="13" t="s">
        <v>10</v>
      </c>
      <c r="C9" s="13" t="s">
        <v>11</v>
      </c>
      <c r="D9" s="6" t="s">
        <v>12</v>
      </c>
      <c r="E9" s="6" t="s">
        <v>13</v>
      </c>
      <c r="F9" s="6" t="s">
        <v>14</v>
      </c>
      <c r="G9" s="6" t="s">
        <v>15</v>
      </c>
      <c r="H9" s="6" t="s">
        <v>16</v>
      </c>
      <c r="I9" s="6" t="s">
        <v>17</v>
      </c>
      <c r="J9" s="6" t="s">
        <v>18</v>
      </c>
      <c r="K9" s="6" t="s">
        <v>19</v>
      </c>
      <c r="L9" s="6" t="s">
        <v>20</v>
      </c>
      <c r="M9" s="6" t="s">
        <v>21</v>
      </c>
      <c r="N9" s="6" t="s">
        <v>22</v>
      </c>
    </row>
    <row r="10" spans="1:14">
      <c r="A10" s="7"/>
      <c r="B10" s="7"/>
      <c r="C10" s="7"/>
      <c r="D10" s="7" t="s">
        <v>23</v>
      </c>
      <c r="E10" s="7" t="s">
        <v>23</v>
      </c>
      <c r="F10" s="7" t="s">
        <v>23</v>
      </c>
      <c r="G10" s="7" t="s">
        <v>23</v>
      </c>
      <c r="H10" s="7" t="s">
        <v>23</v>
      </c>
      <c r="I10" s="7" t="s">
        <v>23</v>
      </c>
      <c r="J10" s="7" t="s">
        <v>23</v>
      </c>
      <c r="K10" s="7" t="s">
        <v>23</v>
      </c>
      <c r="L10" s="7" t="s">
        <v>23</v>
      </c>
      <c r="M10" s="7" t="s">
        <v>23</v>
      </c>
      <c r="N10" s="7" t="s">
        <v>23</v>
      </c>
    </row>
    <row r="11" spans="1:14">
      <c r="A11" s="14">
        <v>4001190010</v>
      </c>
      <c r="B11" s="14" t="s">
        <v>24</v>
      </c>
      <c r="C11" s="14" t="s">
        <v>25</v>
      </c>
      <c r="D11" s="15">
        <v>164195.93888999999</v>
      </c>
      <c r="E11" s="15">
        <v>175072.87917999999</v>
      </c>
      <c r="F11" s="15">
        <v>197217.29375000001</v>
      </c>
      <c r="G11" s="15">
        <v>213510.13678999999</v>
      </c>
      <c r="H11" s="15">
        <v>226688.55009999999</v>
      </c>
      <c r="I11" s="15">
        <v>257612.77317999999</v>
      </c>
      <c r="J11" s="15">
        <v>292483.19863</v>
      </c>
      <c r="K11" s="15">
        <v>299869.69624999998</v>
      </c>
      <c r="L11" s="15">
        <v>318754.59512000001</v>
      </c>
      <c r="M11" s="15">
        <v>342700.64953</v>
      </c>
      <c r="N11" s="15">
        <v>354324.78603999998</v>
      </c>
    </row>
    <row r="12" spans="1:14">
      <c r="A12" s="14">
        <v>4001190240</v>
      </c>
      <c r="B12" s="14" t="s">
        <v>26</v>
      </c>
      <c r="C12" s="14" t="s">
        <v>25</v>
      </c>
      <c r="D12" s="15">
        <v>64788.172599999998</v>
      </c>
      <c r="E12" s="15">
        <v>69644.160510000002</v>
      </c>
      <c r="F12" s="15">
        <v>84852.778579999998</v>
      </c>
      <c r="G12" s="15">
        <v>86395.353499999997</v>
      </c>
      <c r="H12" s="15">
        <v>93751.490650000007</v>
      </c>
      <c r="I12" s="15">
        <v>107255.87841</v>
      </c>
      <c r="J12" s="15">
        <v>121223.03821</v>
      </c>
      <c r="K12" s="15">
        <v>118800.27842</v>
      </c>
      <c r="L12" s="15">
        <v>126919.46933000001</v>
      </c>
      <c r="M12" s="15">
        <v>144438.83309999999</v>
      </c>
      <c r="N12" s="15">
        <v>143269.95034000001</v>
      </c>
    </row>
    <row r="13" spans="1:14">
      <c r="A13" s="14">
        <v>4001190250</v>
      </c>
      <c r="B13" s="14" t="s">
        <v>27</v>
      </c>
      <c r="C13" s="14" t="s">
        <v>25</v>
      </c>
      <c r="D13" s="15">
        <v>30181.176360000001</v>
      </c>
      <c r="E13" s="15">
        <v>31198.483080000002</v>
      </c>
      <c r="F13" s="15">
        <v>35492.669970000003</v>
      </c>
      <c r="G13" s="15">
        <v>36853.005409999998</v>
      </c>
      <c r="H13" s="15">
        <v>43843.750090000001</v>
      </c>
      <c r="I13" s="15">
        <v>51923.497600000002</v>
      </c>
      <c r="J13" s="15">
        <v>56181.682520000002</v>
      </c>
      <c r="K13" s="15">
        <v>58066.633909999997</v>
      </c>
      <c r="L13" s="15">
        <v>63848.814780000001</v>
      </c>
      <c r="M13" s="15">
        <v>68814.313540000003</v>
      </c>
      <c r="N13" s="15">
        <v>75011.322090000001</v>
      </c>
    </row>
    <row r="14" spans="1:14">
      <c r="A14" s="14">
        <v>4001190260</v>
      </c>
      <c r="B14" s="14" t="s">
        <v>28</v>
      </c>
      <c r="C14" s="14" t="s">
        <v>25</v>
      </c>
      <c r="D14" s="15"/>
      <c r="E14" s="15"/>
      <c r="F14" s="15"/>
      <c r="G14" s="15"/>
      <c r="H14" s="15"/>
      <c r="I14" s="15"/>
      <c r="J14" s="15"/>
      <c r="K14" s="15"/>
      <c r="L14" s="15"/>
      <c r="M14" s="15"/>
      <c r="N14" s="15"/>
    </row>
    <row r="15" spans="1:14">
      <c r="A15" s="14">
        <v>4001190270</v>
      </c>
      <c r="B15" s="14" t="s">
        <v>29</v>
      </c>
      <c r="C15" s="14" t="s">
        <v>25</v>
      </c>
      <c r="D15" s="15">
        <v>20</v>
      </c>
      <c r="E15" s="15">
        <v>48</v>
      </c>
      <c r="F15" s="15">
        <v>48</v>
      </c>
      <c r="G15" s="15">
        <v>1248</v>
      </c>
      <c r="H15" s="15">
        <v>258</v>
      </c>
      <c r="I15" s="15">
        <v>2260</v>
      </c>
      <c r="J15" s="15">
        <v>4289.1369999999997</v>
      </c>
      <c r="K15" s="15">
        <v>6014.1917599999997</v>
      </c>
      <c r="L15" s="15">
        <v>15262.71818</v>
      </c>
      <c r="M15" s="15">
        <v>16807.239099999999</v>
      </c>
      <c r="N15" s="15">
        <v>11173.40393</v>
      </c>
    </row>
    <row r="16" spans="1:14">
      <c r="A16" s="14">
        <v>4001190300</v>
      </c>
      <c r="B16" s="14" t="s">
        <v>30</v>
      </c>
      <c r="C16" s="14" t="s">
        <v>25</v>
      </c>
      <c r="D16" s="15">
        <v>15815.526</v>
      </c>
      <c r="E16" s="15">
        <v>23425.659</v>
      </c>
      <c r="F16" s="15">
        <v>19807.649000000001</v>
      </c>
      <c r="G16" s="15">
        <v>22067.63</v>
      </c>
      <c r="H16" s="15">
        <v>19012.332999999999</v>
      </c>
      <c r="I16" s="15">
        <v>18091.388999999999</v>
      </c>
      <c r="J16" s="15">
        <v>15975.960999999999</v>
      </c>
      <c r="K16" s="15">
        <v>16463.513999999999</v>
      </c>
      <c r="L16" s="15">
        <v>18132.556</v>
      </c>
      <c r="M16" s="15">
        <v>16604.657999999999</v>
      </c>
      <c r="N16" s="15">
        <v>22085.993999999999</v>
      </c>
    </row>
    <row r="17" spans="1:14">
      <c r="A17" s="14">
        <v>4001113900</v>
      </c>
      <c r="B17" s="14" t="s">
        <v>31</v>
      </c>
      <c r="C17" s="14" t="s">
        <v>25</v>
      </c>
      <c r="D17" s="15">
        <v>6.5536300000000001</v>
      </c>
      <c r="E17" s="15">
        <v>0.2142</v>
      </c>
      <c r="F17" s="15">
        <v>1.6975499999999999</v>
      </c>
      <c r="G17" s="15">
        <v>0.28999999999999998</v>
      </c>
      <c r="H17" s="15"/>
      <c r="I17" s="15">
        <v>1.54E-2</v>
      </c>
      <c r="J17" s="15">
        <v>1.925E-2</v>
      </c>
      <c r="K17" s="15">
        <v>0.1232</v>
      </c>
      <c r="L17" s="15">
        <v>0.2576</v>
      </c>
      <c r="M17" s="15">
        <v>0.47871999999999998</v>
      </c>
      <c r="N17" s="15">
        <v>0.47871999999999998</v>
      </c>
    </row>
    <row r="18" spans="1:14">
      <c r="A18" s="14">
        <v>4001180995</v>
      </c>
      <c r="B18" s="14" t="s">
        <v>32</v>
      </c>
      <c r="C18" s="14" t="s">
        <v>25</v>
      </c>
      <c r="D18" s="15"/>
      <c r="E18" s="15"/>
      <c r="F18" s="15"/>
      <c r="G18" s="15"/>
      <c r="H18" s="15"/>
      <c r="I18" s="15"/>
      <c r="J18" s="15"/>
      <c r="K18" s="15"/>
      <c r="L18" s="15"/>
      <c r="M18" s="15"/>
      <c r="N18" s="15"/>
    </row>
    <row r="19" spans="1:14">
      <c r="A19" s="14">
        <v>4001113903</v>
      </c>
      <c r="B19" s="14" t="s">
        <v>33</v>
      </c>
      <c r="C19" s="14" t="s">
        <v>25</v>
      </c>
      <c r="D19" s="15"/>
      <c r="E19" s="15"/>
      <c r="F19" s="15"/>
      <c r="G19" s="15"/>
      <c r="H19" s="15"/>
      <c r="I19" s="15"/>
      <c r="J19" s="15"/>
      <c r="K19" s="15"/>
      <c r="L19" s="15"/>
      <c r="M19" s="15"/>
      <c r="N19" s="15"/>
    </row>
    <row r="20" spans="1:14">
      <c r="A20" s="14">
        <v>4001113904</v>
      </c>
      <c r="B20" s="14" t="s">
        <v>34</v>
      </c>
      <c r="C20" s="14" t="s">
        <v>25</v>
      </c>
      <c r="D20" s="15"/>
      <c r="E20" s="15"/>
      <c r="F20" s="15"/>
      <c r="G20" s="15"/>
      <c r="H20" s="15"/>
      <c r="I20" s="15"/>
      <c r="J20" s="15"/>
      <c r="K20" s="15"/>
      <c r="L20" s="15"/>
      <c r="M20" s="15"/>
      <c r="N20" s="15"/>
    </row>
    <row r="21" spans="1:14">
      <c r="A21" s="14">
        <v>4001190340</v>
      </c>
      <c r="B21" s="14" t="s">
        <v>35</v>
      </c>
      <c r="C21" s="14" t="s">
        <v>25</v>
      </c>
      <c r="D21" s="15">
        <v>1852.26909</v>
      </c>
      <c r="E21" s="15">
        <v>2337.1396100000002</v>
      </c>
      <c r="F21" s="15">
        <v>1561.1791900000001</v>
      </c>
      <c r="G21" s="15">
        <v>2695.2187600000002</v>
      </c>
      <c r="H21" s="15">
        <v>1801.3159900000001</v>
      </c>
      <c r="I21" s="15">
        <v>3366.78352</v>
      </c>
      <c r="J21" s="15">
        <v>2681.1624000000002</v>
      </c>
      <c r="K21" s="15">
        <v>2449.2224099999999</v>
      </c>
      <c r="L21" s="15">
        <v>3495.9307699999999</v>
      </c>
      <c r="M21" s="15">
        <v>1696.2658300000001</v>
      </c>
      <c r="N21" s="15">
        <v>4024.6750200000001</v>
      </c>
    </row>
    <row r="22" spans="1:14">
      <c r="A22" s="14">
        <v>4001190370</v>
      </c>
      <c r="B22" s="14" t="s">
        <v>36</v>
      </c>
      <c r="C22" s="14" t="s">
        <v>25</v>
      </c>
      <c r="D22" s="15">
        <v>16912.648000000001</v>
      </c>
      <c r="E22" s="15">
        <v>12634.665000000001</v>
      </c>
      <c r="F22" s="15">
        <v>27941.581999999999</v>
      </c>
      <c r="G22" s="15">
        <v>23531.208999999999</v>
      </c>
      <c r="H22" s="15">
        <v>28836.092000000001</v>
      </c>
      <c r="I22" s="15">
        <v>31614.191999999999</v>
      </c>
      <c r="J22" s="15">
        <v>42095.076000000001</v>
      </c>
      <c r="K22" s="15">
        <v>35806.593999999997</v>
      </c>
      <c r="L22" s="15">
        <v>26179.190999999999</v>
      </c>
      <c r="M22" s="15">
        <v>40515.877999999997</v>
      </c>
      <c r="N22" s="15">
        <v>30974.077000000001</v>
      </c>
    </row>
    <row r="23" spans="1:14">
      <c r="A23" s="14">
        <v>4001114130</v>
      </c>
      <c r="B23" s="14" t="s">
        <v>37</v>
      </c>
      <c r="C23" s="14" t="s">
        <v>25</v>
      </c>
      <c r="D23" s="15"/>
      <c r="E23" s="15"/>
      <c r="F23" s="15"/>
      <c r="G23" s="15"/>
      <c r="H23" s="15"/>
      <c r="I23" s="15"/>
      <c r="J23" s="15"/>
      <c r="K23" s="15"/>
      <c r="L23" s="15"/>
      <c r="M23" s="15"/>
      <c r="N23" s="15"/>
    </row>
    <row r="24" spans="1:14">
      <c r="A24" s="14">
        <v>4001190020</v>
      </c>
      <c r="B24" s="14" t="s">
        <v>38</v>
      </c>
      <c r="C24" s="14" t="s">
        <v>25</v>
      </c>
      <c r="D24" s="15">
        <v>99407.76629</v>
      </c>
      <c r="E24" s="15">
        <v>105428.71868000001</v>
      </c>
      <c r="F24" s="15">
        <v>112364.51517</v>
      </c>
      <c r="G24" s="15">
        <v>127114.78329000001</v>
      </c>
      <c r="H24" s="15">
        <v>132937.05945</v>
      </c>
      <c r="I24" s="15">
        <v>150356.89477000001</v>
      </c>
      <c r="J24" s="15">
        <v>171260.16042</v>
      </c>
      <c r="K24" s="15">
        <v>181069.41782999999</v>
      </c>
      <c r="L24" s="15">
        <v>191835.12578</v>
      </c>
      <c r="M24" s="15">
        <v>198261.81643000001</v>
      </c>
      <c r="N24" s="15">
        <v>211054.8357</v>
      </c>
    </row>
    <row r="25" spans="1:14">
      <c r="A25" s="14">
        <v>4001190030</v>
      </c>
      <c r="B25" s="14" t="s">
        <v>39</v>
      </c>
      <c r="C25" s="14" t="s">
        <v>25</v>
      </c>
      <c r="D25" s="15">
        <v>95434.022660000002</v>
      </c>
      <c r="E25" s="15">
        <v>101783.69491999999</v>
      </c>
      <c r="F25" s="15">
        <v>108055.46752999999</v>
      </c>
      <c r="G25" s="15">
        <v>122019.65983999999</v>
      </c>
      <c r="H25" s="15">
        <v>127263.60347</v>
      </c>
      <c r="I25" s="15">
        <v>144568.16449</v>
      </c>
      <c r="J25" s="15">
        <v>163239.38691999999</v>
      </c>
      <c r="K25" s="15">
        <v>171751.4265</v>
      </c>
      <c r="L25" s="15">
        <v>181916.38638000001</v>
      </c>
      <c r="M25" s="15">
        <v>187217.27333</v>
      </c>
      <c r="N25" s="15">
        <v>198607.29863</v>
      </c>
    </row>
    <row r="26" spans="1:14">
      <c r="A26" s="14">
        <v>4001190070</v>
      </c>
      <c r="B26" s="14" t="s">
        <v>40</v>
      </c>
      <c r="C26" s="14" t="s">
        <v>25</v>
      </c>
      <c r="D26" s="15">
        <v>444.87299999999999</v>
      </c>
      <c r="E26" s="15">
        <v>421.04300000000001</v>
      </c>
      <c r="F26" s="15">
        <v>440.35599999999999</v>
      </c>
      <c r="G26" s="15">
        <v>411.02199999999999</v>
      </c>
      <c r="H26" s="15">
        <v>439.24099999999999</v>
      </c>
      <c r="I26" s="15">
        <v>392.55099999999999</v>
      </c>
      <c r="J26" s="15">
        <v>552.70799999999997</v>
      </c>
      <c r="K26" s="15">
        <v>935.10299999999995</v>
      </c>
      <c r="L26" s="15">
        <v>1147.421</v>
      </c>
      <c r="M26" s="15">
        <v>1103.4359999999999</v>
      </c>
      <c r="N26" s="15">
        <v>1058.08</v>
      </c>
    </row>
    <row r="27" spans="1:14">
      <c r="A27" s="14">
        <v>4001190110</v>
      </c>
      <c r="B27" s="14" t="s">
        <v>41</v>
      </c>
      <c r="C27" s="14" t="s">
        <v>25</v>
      </c>
      <c r="D27" s="15"/>
      <c r="E27" s="15"/>
      <c r="F27" s="15"/>
      <c r="G27" s="15"/>
      <c r="H27" s="15"/>
      <c r="I27" s="15"/>
      <c r="J27" s="15"/>
      <c r="K27" s="15"/>
      <c r="L27" s="15"/>
      <c r="M27" s="15"/>
      <c r="N27" s="15"/>
    </row>
    <row r="28" spans="1:14">
      <c r="A28" s="14">
        <v>4001190120</v>
      </c>
      <c r="B28" s="14" t="s">
        <v>42</v>
      </c>
      <c r="C28" s="14" t="s">
        <v>25</v>
      </c>
      <c r="D28" s="15"/>
      <c r="E28" s="15"/>
      <c r="F28" s="15"/>
      <c r="G28" s="15"/>
      <c r="H28" s="15"/>
      <c r="I28" s="15"/>
      <c r="J28" s="15"/>
      <c r="K28" s="15"/>
      <c r="L28" s="15"/>
      <c r="M28" s="15"/>
      <c r="N28" s="15"/>
    </row>
    <row r="29" spans="1:14">
      <c r="A29" s="14">
        <v>4001190130</v>
      </c>
      <c r="B29" s="14" t="s">
        <v>43</v>
      </c>
      <c r="C29" s="14" t="s">
        <v>25</v>
      </c>
      <c r="D29" s="15">
        <v>1168.8616500000001</v>
      </c>
      <c r="E29" s="15">
        <v>1230.36211</v>
      </c>
      <c r="F29" s="15">
        <v>1496.0161800000001</v>
      </c>
      <c r="G29" s="15">
        <v>1356.0283400000001</v>
      </c>
      <c r="H29" s="15">
        <v>1461.06825</v>
      </c>
      <c r="I29" s="15">
        <v>1701.5461399999999</v>
      </c>
      <c r="J29" s="15">
        <v>2728.9839999999999</v>
      </c>
      <c r="K29" s="15">
        <v>3154.7585100000001</v>
      </c>
      <c r="L29" s="15">
        <v>3199.0511900000001</v>
      </c>
      <c r="M29" s="15">
        <v>3305.2964999999999</v>
      </c>
      <c r="N29" s="15">
        <v>3376.6561099999999</v>
      </c>
    </row>
    <row r="30" spans="1:14">
      <c r="A30" s="14">
        <v>4001111660</v>
      </c>
      <c r="B30" s="14" t="s">
        <v>44</v>
      </c>
      <c r="C30" s="14" t="s">
        <v>25</v>
      </c>
      <c r="D30" s="15"/>
      <c r="E30" s="15"/>
      <c r="F30" s="15"/>
      <c r="G30" s="15"/>
      <c r="H30" s="15"/>
      <c r="I30" s="15"/>
      <c r="J30" s="15"/>
      <c r="K30" s="15"/>
      <c r="L30" s="15"/>
      <c r="M30" s="15"/>
      <c r="N30" s="15"/>
    </row>
    <row r="31" spans="1:14">
      <c r="A31" s="14">
        <v>4001190160</v>
      </c>
      <c r="B31" s="14" t="s">
        <v>45</v>
      </c>
      <c r="C31" s="14" t="s">
        <v>25</v>
      </c>
      <c r="D31" s="15"/>
      <c r="E31" s="15"/>
      <c r="F31" s="15"/>
      <c r="G31" s="15"/>
      <c r="H31" s="15"/>
      <c r="I31" s="15"/>
      <c r="J31" s="15"/>
      <c r="K31" s="15"/>
      <c r="L31" s="15"/>
      <c r="M31" s="15"/>
      <c r="N31" s="15"/>
    </row>
    <row r="32" spans="1:14">
      <c r="A32" s="14">
        <v>4001112490</v>
      </c>
      <c r="B32" s="14" t="s">
        <v>46</v>
      </c>
      <c r="C32" s="14" t="s">
        <v>25</v>
      </c>
      <c r="D32" s="15">
        <v>2352.9076799999998</v>
      </c>
      <c r="E32" s="15">
        <v>1988.0012099999999</v>
      </c>
      <c r="F32" s="15">
        <v>2368.5553199999999</v>
      </c>
      <c r="G32" s="15">
        <v>3325.45264</v>
      </c>
      <c r="H32" s="15">
        <v>3769.9766500000001</v>
      </c>
      <c r="I32" s="15">
        <v>3657.4160999999999</v>
      </c>
      <c r="J32" s="15">
        <v>4706.8235199999999</v>
      </c>
      <c r="K32" s="15">
        <v>5200.8297000000002</v>
      </c>
      <c r="L32" s="15">
        <v>5549.6461099999997</v>
      </c>
      <c r="M32" s="15">
        <v>6617.8337300000003</v>
      </c>
      <c r="N32" s="15">
        <v>7997.43271</v>
      </c>
    </row>
    <row r="33" spans="1:14">
      <c r="A33" s="14">
        <v>4001112500</v>
      </c>
      <c r="B33" s="14" t="s">
        <v>47</v>
      </c>
      <c r="C33" s="14" t="s">
        <v>25</v>
      </c>
      <c r="D33" s="15"/>
      <c r="E33" s="15"/>
      <c r="F33" s="15"/>
      <c r="G33" s="15"/>
      <c r="H33" s="15"/>
      <c r="I33" s="15"/>
      <c r="J33" s="15"/>
      <c r="K33" s="15"/>
      <c r="L33" s="15"/>
      <c r="M33" s="15"/>
      <c r="N33" s="15"/>
    </row>
    <row r="34" spans="1:14">
      <c r="A34" s="14">
        <v>4001180575</v>
      </c>
      <c r="B34" s="14" t="s">
        <v>32</v>
      </c>
      <c r="C34" s="14" t="s">
        <v>25</v>
      </c>
      <c r="D34" s="15"/>
      <c r="E34" s="15"/>
      <c r="F34" s="15"/>
      <c r="G34" s="15"/>
      <c r="H34" s="15"/>
      <c r="I34" s="15"/>
      <c r="J34" s="15"/>
      <c r="K34" s="15"/>
      <c r="L34" s="15"/>
      <c r="M34" s="15"/>
      <c r="N34" s="15"/>
    </row>
    <row r="35" spans="1:14">
      <c r="A35" s="14">
        <v>4001112503</v>
      </c>
      <c r="B35" s="14" t="s">
        <v>33</v>
      </c>
      <c r="C35" s="14" t="s">
        <v>25</v>
      </c>
      <c r="D35" s="15"/>
      <c r="E35" s="15"/>
      <c r="F35" s="15"/>
      <c r="G35" s="15"/>
      <c r="H35" s="15"/>
      <c r="I35" s="15"/>
      <c r="J35" s="15"/>
      <c r="K35" s="15"/>
      <c r="L35" s="15"/>
      <c r="M35" s="15"/>
      <c r="N35" s="15"/>
    </row>
    <row r="36" spans="1:14">
      <c r="A36" s="14">
        <v>4001112504</v>
      </c>
      <c r="B36" s="14" t="s">
        <v>34</v>
      </c>
      <c r="C36" s="14" t="s">
        <v>25</v>
      </c>
      <c r="D36" s="15"/>
      <c r="E36" s="15"/>
      <c r="F36" s="15"/>
      <c r="G36" s="15"/>
      <c r="H36" s="15"/>
      <c r="I36" s="15"/>
      <c r="J36" s="15"/>
      <c r="K36" s="15"/>
      <c r="L36" s="15"/>
      <c r="M36" s="15"/>
      <c r="N36" s="15"/>
    </row>
    <row r="37" spans="1:14">
      <c r="A37" s="14">
        <v>4001190200</v>
      </c>
      <c r="B37" s="14" t="s">
        <v>48</v>
      </c>
      <c r="C37" s="14" t="s">
        <v>25</v>
      </c>
      <c r="D37" s="15">
        <v>7.1011699999999998</v>
      </c>
      <c r="E37" s="15">
        <v>5.6186999999999996</v>
      </c>
      <c r="F37" s="15">
        <v>4.1199300000000001</v>
      </c>
      <c r="G37" s="15">
        <v>2.6211600000000002</v>
      </c>
      <c r="H37" s="15">
        <v>3.1710600000000002</v>
      </c>
      <c r="I37" s="15">
        <v>37.21837</v>
      </c>
      <c r="J37" s="15">
        <v>32.259230000000002</v>
      </c>
      <c r="K37" s="15">
        <v>27.300080000000001</v>
      </c>
      <c r="L37" s="15">
        <v>22.621110000000002</v>
      </c>
      <c r="M37" s="15">
        <v>17.97729</v>
      </c>
      <c r="N37" s="15">
        <v>15.368040000000001</v>
      </c>
    </row>
    <row r="38" spans="1:14">
      <c r="A38" s="14">
        <v>4001112880</v>
      </c>
      <c r="B38" s="14" t="s">
        <v>49</v>
      </c>
      <c r="C38" s="14" t="s">
        <v>25</v>
      </c>
      <c r="D38" s="15"/>
      <c r="E38" s="15"/>
      <c r="F38" s="15"/>
      <c r="G38" s="15"/>
      <c r="H38" s="15"/>
      <c r="I38" s="15"/>
      <c r="J38" s="15"/>
      <c r="K38" s="15"/>
      <c r="L38" s="15"/>
      <c r="M38" s="15"/>
      <c r="N38" s="15"/>
    </row>
    <row r="39" spans="1:14">
      <c r="A39" s="14">
        <v>4001190440</v>
      </c>
      <c r="B39" s="14" t="s">
        <v>50</v>
      </c>
      <c r="C39" s="14" t="s">
        <v>25</v>
      </c>
      <c r="D39" s="15">
        <v>99170.151930000007</v>
      </c>
      <c r="E39" s="15">
        <v>104896.27473999999</v>
      </c>
      <c r="F39" s="15">
        <v>119938.05839999999</v>
      </c>
      <c r="G39" s="15">
        <v>126727.50634000001</v>
      </c>
      <c r="H39" s="15">
        <v>131922.5693</v>
      </c>
      <c r="I39" s="15">
        <v>157730.5466</v>
      </c>
      <c r="J39" s="15">
        <v>188274.79574999999</v>
      </c>
      <c r="K39" s="15">
        <v>189134.71247</v>
      </c>
      <c r="L39" s="15">
        <v>203815.62856000001</v>
      </c>
      <c r="M39" s="15">
        <v>223570.29198000001</v>
      </c>
      <c r="N39" s="15">
        <v>232280.73871999999</v>
      </c>
    </row>
    <row r="40" spans="1:14">
      <c r="A40" s="14">
        <v>4001190610</v>
      </c>
      <c r="B40" s="14" t="s">
        <v>51</v>
      </c>
      <c r="C40" s="14" t="s">
        <v>25</v>
      </c>
      <c r="D40" s="15">
        <v>55920.915630000003</v>
      </c>
      <c r="E40" s="15">
        <v>57751.855869999999</v>
      </c>
      <c r="F40" s="15">
        <v>71439.806570000001</v>
      </c>
      <c r="G40" s="15">
        <v>76900.458190000005</v>
      </c>
      <c r="H40" s="15">
        <v>78225.296319999994</v>
      </c>
      <c r="I40" s="15">
        <v>95901.006250000006</v>
      </c>
      <c r="J40" s="15">
        <v>107074.77735999999</v>
      </c>
      <c r="K40" s="15">
        <v>103482.36410000001</v>
      </c>
      <c r="L40" s="15">
        <v>112473.78975</v>
      </c>
      <c r="M40" s="15">
        <v>124635.94701</v>
      </c>
      <c r="N40" s="15">
        <v>127943.87634</v>
      </c>
    </row>
    <row r="41" spans="1:14">
      <c r="A41" s="14">
        <v>4001181470</v>
      </c>
      <c r="B41" s="14" t="s">
        <v>52</v>
      </c>
      <c r="C41" s="14" t="s">
        <v>25</v>
      </c>
      <c r="D41" s="15"/>
      <c r="E41" s="15"/>
      <c r="F41" s="15"/>
      <c r="G41" s="15"/>
      <c r="H41" s="15"/>
      <c r="I41" s="15"/>
      <c r="J41" s="15"/>
      <c r="K41" s="15"/>
      <c r="L41" s="15"/>
      <c r="M41" s="15"/>
      <c r="N41" s="15"/>
    </row>
    <row r="42" spans="1:14">
      <c r="A42" s="14">
        <v>4001121700</v>
      </c>
      <c r="B42" s="14" t="s">
        <v>53</v>
      </c>
      <c r="C42" s="14" t="s">
        <v>25</v>
      </c>
      <c r="D42" s="15">
        <v>38210</v>
      </c>
      <c r="E42" s="15">
        <v>38170</v>
      </c>
      <c r="F42" s="15">
        <v>49600</v>
      </c>
      <c r="G42" s="15">
        <v>53520</v>
      </c>
      <c r="H42" s="15">
        <v>56430</v>
      </c>
      <c r="I42" s="15">
        <v>69795.981220000001</v>
      </c>
      <c r="J42" s="15">
        <v>78796.916190000004</v>
      </c>
      <c r="K42" s="15">
        <v>79452</v>
      </c>
      <c r="L42" s="15">
        <v>82272</v>
      </c>
      <c r="M42" s="15">
        <v>93092</v>
      </c>
      <c r="N42" s="15">
        <v>92892</v>
      </c>
    </row>
    <row r="43" spans="1:14">
      <c r="A43" s="14">
        <v>4001190620</v>
      </c>
      <c r="B43" s="14" t="s">
        <v>54</v>
      </c>
      <c r="C43" s="14" t="s">
        <v>25</v>
      </c>
      <c r="D43" s="15">
        <v>6023.9076599999999</v>
      </c>
      <c r="E43" s="15">
        <v>6273.7015199999996</v>
      </c>
      <c r="F43" s="15">
        <v>5829.96</v>
      </c>
      <c r="G43" s="15">
        <v>7066</v>
      </c>
      <c r="H43" s="15">
        <v>6597.24</v>
      </c>
      <c r="I43" s="15">
        <v>8705.2360000000008</v>
      </c>
      <c r="J43" s="15">
        <v>9140.1509999999998</v>
      </c>
      <c r="K43" s="15">
        <v>11006.771000000001</v>
      </c>
      <c r="L43" s="15">
        <v>12139.61702</v>
      </c>
      <c r="M43" s="15">
        <v>14559.289000000001</v>
      </c>
      <c r="N43" s="15">
        <v>15347.954</v>
      </c>
    </row>
    <row r="44" spans="1:14">
      <c r="A44" s="14">
        <v>4001190630</v>
      </c>
      <c r="B44" s="14" t="s">
        <v>55</v>
      </c>
      <c r="C44" s="14" t="s">
        <v>25</v>
      </c>
      <c r="D44" s="15"/>
      <c r="E44" s="15"/>
      <c r="F44" s="15">
        <v>494.33800000000002</v>
      </c>
      <c r="G44" s="15">
        <v>410.67572000000001</v>
      </c>
      <c r="H44" s="15">
        <v>458.40600000000001</v>
      </c>
      <c r="I44" s="15">
        <v>429.92399999999998</v>
      </c>
      <c r="J44" s="15">
        <v>442.84300000000002</v>
      </c>
      <c r="K44" s="15">
        <v>445.09025000000003</v>
      </c>
      <c r="L44" s="15"/>
      <c r="M44" s="15">
        <v>445.255</v>
      </c>
      <c r="N44" s="15">
        <v>433.61900000000003</v>
      </c>
    </row>
    <row r="45" spans="1:14">
      <c r="A45" s="14">
        <v>4001190660</v>
      </c>
      <c r="B45" s="14" t="s">
        <v>56</v>
      </c>
      <c r="C45" s="14" t="s">
        <v>25</v>
      </c>
      <c r="D45" s="15">
        <v>10981.669</v>
      </c>
      <c r="E45" s="15">
        <v>11658.125</v>
      </c>
      <c r="F45" s="15">
        <v>11820.705</v>
      </c>
      <c r="G45" s="15">
        <v>12600.934999999999</v>
      </c>
      <c r="H45" s="15">
        <v>11427.481</v>
      </c>
      <c r="I45" s="15">
        <v>13249.333000000001</v>
      </c>
      <c r="J45" s="15">
        <v>16413.422999999999</v>
      </c>
      <c r="K45" s="15">
        <v>10064.954</v>
      </c>
      <c r="L45" s="15">
        <v>16275.268</v>
      </c>
      <c r="M45" s="15">
        <v>15541.326999999999</v>
      </c>
      <c r="N45" s="15">
        <v>18934.569</v>
      </c>
    </row>
    <row r="46" spans="1:14">
      <c r="A46" s="14">
        <v>4001190680</v>
      </c>
      <c r="B46" s="14" t="s">
        <v>57</v>
      </c>
      <c r="C46" s="14" t="s">
        <v>25</v>
      </c>
      <c r="D46" s="15"/>
      <c r="E46" s="15"/>
      <c r="F46" s="15"/>
      <c r="G46" s="15"/>
      <c r="H46" s="15"/>
      <c r="I46" s="15"/>
      <c r="J46" s="15"/>
      <c r="K46" s="15"/>
      <c r="L46" s="15"/>
      <c r="M46" s="15"/>
      <c r="N46" s="15"/>
    </row>
    <row r="47" spans="1:14">
      <c r="A47" s="14">
        <v>4001122460</v>
      </c>
      <c r="B47" s="14" t="s">
        <v>58</v>
      </c>
      <c r="C47" s="14" t="s">
        <v>25</v>
      </c>
      <c r="D47" s="15">
        <v>9.7208900000000007</v>
      </c>
      <c r="E47" s="15">
        <v>10.742649999999999</v>
      </c>
      <c r="F47" s="15">
        <v>8.7155900000000006</v>
      </c>
      <c r="G47" s="15">
        <v>1.7597</v>
      </c>
      <c r="H47" s="15">
        <v>1.5494699999999999</v>
      </c>
      <c r="I47" s="15">
        <v>1.4193499999999999</v>
      </c>
      <c r="J47" s="15">
        <v>5.0681599999999998</v>
      </c>
      <c r="K47" s="15">
        <v>17.20327</v>
      </c>
      <c r="L47" s="15">
        <v>18.658080000000002</v>
      </c>
      <c r="M47" s="15">
        <v>19.711449999999999</v>
      </c>
      <c r="N47" s="15">
        <v>20.167470000000002</v>
      </c>
    </row>
    <row r="48" spans="1:14">
      <c r="A48" s="14">
        <v>4001122560</v>
      </c>
      <c r="B48" s="14" t="s">
        <v>59</v>
      </c>
      <c r="C48" s="14" t="s">
        <v>25</v>
      </c>
      <c r="D48" s="15">
        <v>692.40147999999999</v>
      </c>
      <c r="E48" s="15">
        <v>1636.05755</v>
      </c>
      <c r="F48" s="15">
        <v>3378.85439</v>
      </c>
      <c r="G48" s="15">
        <v>3038.6689999999999</v>
      </c>
      <c r="H48" s="15">
        <v>3084.3541300000002</v>
      </c>
      <c r="I48" s="15">
        <v>3330.66599</v>
      </c>
      <c r="J48" s="15">
        <v>2033.8355300000001</v>
      </c>
      <c r="K48" s="15">
        <v>2292.4703300000001</v>
      </c>
      <c r="L48" s="15">
        <v>1728.14544</v>
      </c>
      <c r="M48" s="15">
        <v>978.36470999999995</v>
      </c>
      <c r="N48" s="15">
        <v>315.56698999999998</v>
      </c>
    </row>
    <row r="49" spans="1:14">
      <c r="A49" s="14">
        <v>4001122561</v>
      </c>
      <c r="B49" s="14" t="s">
        <v>60</v>
      </c>
      <c r="C49" s="14" t="s">
        <v>25</v>
      </c>
      <c r="D49" s="15"/>
      <c r="E49" s="15"/>
      <c r="F49" s="15"/>
      <c r="G49" s="15">
        <v>43.767749999999999</v>
      </c>
      <c r="H49" s="15"/>
      <c r="I49" s="15">
        <v>43.23</v>
      </c>
      <c r="J49" s="15">
        <v>43.23</v>
      </c>
      <c r="K49" s="15">
        <v>200.65875</v>
      </c>
      <c r="L49" s="15">
        <v>40.101750000000003</v>
      </c>
      <c r="M49" s="15"/>
      <c r="N49" s="15"/>
    </row>
    <row r="50" spans="1:14">
      <c r="A50" s="14">
        <v>4001122562</v>
      </c>
      <c r="B50" s="14" t="s">
        <v>61</v>
      </c>
      <c r="C50" s="14" t="s">
        <v>25</v>
      </c>
      <c r="D50" s="15"/>
      <c r="E50" s="15"/>
      <c r="F50" s="15"/>
      <c r="G50" s="15"/>
      <c r="H50" s="15"/>
      <c r="I50" s="15"/>
      <c r="J50" s="15"/>
      <c r="K50" s="15"/>
      <c r="L50" s="15"/>
      <c r="M50" s="15"/>
      <c r="N50" s="15"/>
    </row>
    <row r="51" spans="1:14">
      <c r="A51" s="14">
        <v>4001122563</v>
      </c>
      <c r="B51" s="14" t="s">
        <v>62</v>
      </c>
      <c r="C51" s="14" t="s">
        <v>25</v>
      </c>
      <c r="D51" s="15"/>
      <c r="E51" s="15"/>
      <c r="F51" s="15"/>
      <c r="G51" s="15"/>
      <c r="H51" s="15"/>
      <c r="I51" s="15"/>
      <c r="J51" s="15"/>
      <c r="K51" s="15"/>
      <c r="L51" s="15"/>
      <c r="M51" s="15"/>
      <c r="N51" s="15"/>
    </row>
    <row r="52" spans="1:14">
      <c r="A52" s="14">
        <v>4001190690</v>
      </c>
      <c r="B52" s="14" t="s">
        <v>63</v>
      </c>
      <c r="C52" s="14" t="s">
        <v>25</v>
      </c>
      <c r="D52" s="15">
        <v>3.2170000000000001</v>
      </c>
      <c r="E52" s="15">
        <v>3.23</v>
      </c>
      <c r="F52" s="15">
        <v>307.23399999999998</v>
      </c>
      <c r="G52" s="15">
        <v>218.65100000000001</v>
      </c>
      <c r="H52" s="15">
        <v>226.26599999999999</v>
      </c>
      <c r="I52" s="15">
        <v>345.21699999999998</v>
      </c>
      <c r="J52" s="15">
        <v>199.31</v>
      </c>
      <c r="K52" s="15">
        <v>3.2170000000000001</v>
      </c>
      <c r="L52" s="15"/>
      <c r="M52" s="15"/>
      <c r="N52" s="15"/>
    </row>
    <row r="53" spans="1:14">
      <c r="A53" s="14">
        <v>4001122680</v>
      </c>
      <c r="B53" s="14" t="s">
        <v>64</v>
      </c>
      <c r="C53" s="14" t="s">
        <v>25</v>
      </c>
      <c r="D53" s="15"/>
      <c r="E53" s="15"/>
      <c r="F53" s="15"/>
      <c r="G53" s="15"/>
      <c r="H53" s="15"/>
      <c r="I53" s="15"/>
      <c r="J53" s="15"/>
      <c r="K53" s="15"/>
      <c r="L53" s="15"/>
      <c r="M53" s="15"/>
      <c r="N53" s="15"/>
    </row>
    <row r="54" spans="1:14">
      <c r="A54" s="14">
        <v>4001190450</v>
      </c>
      <c r="B54" s="14" t="s">
        <v>65</v>
      </c>
      <c r="C54" s="14" t="s">
        <v>25</v>
      </c>
      <c r="D54" s="15">
        <v>43249.236299999997</v>
      </c>
      <c r="E54" s="15">
        <v>47144.418879999997</v>
      </c>
      <c r="F54" s="15">
        <v>48498.251830000001</v>
      </c>
      <c r="G54" s="15">
        <v>49827.048150000002</v>
      </c>
      <c r="H54" s="15">
        <v>53697.272980000002</v>
      </c>
      <c r="I54" s="15">
        <v>61829.540350000003</v>
      </c>
      <c r="J54" s="15">
        <v>81200.018389999997</v>
      </c>
      <c r="K54" s="15">
        <v>85652.348370000007</v>
      </c>
      <c r="L54" s="15">
        <v>91341.838810000001</v>
      </c>
      <c r="M54" s="15">
        <v>98934.344970000006</v>
      </c>
      <c r="N54" s="15">
        <v>104336.86238000001</v>
      </c>
    </row>
    <row r="55" spans="1:14">
      <c r="A55" s="14">
        <v>4001190460</v>
      </c>
      <c r="B55" s="14" t="s">
        <v>66</v>
      </c>
      <c r="C55" s="14" t="s">
        <v>25</v>
      </c>
      <c r="D55" s="15"/>
      <c r="E55" s="15"/>
      <c r="F55" s="15"/>
      <c r="G55" s="15"/>
      <c r="H55" s="15"/>
      <c r="I55" s="15"/>
      <c r="J55" s="15"/>
      <c r="K55" s="15"/>
      <c r="L55" s="15"/>
      <c r="M55" s="15"/>
      <c r="N55" s="15"/>
    </row>
    <row r="56" spans="1:14">
      <c r="A56" s="14">
        <v>4001190470</v>
      </c>
      <c r="B56" s="14" t="s">
        <v>67</v>
      </c>
      <c r="C56" s="14" t="s">
        <v>25</v>
      </c>
      <c r="D56" s="15">
        <v>38248.9</v>
      </c>
      <c r="E56" s="15">
        <v>42123.09</v>
      </c>
      <c r="F56" s="15">
        <v>42852.28</v>
      </c>
      <c r="G56" s="15">
        <v>45556.47</v>
      </c>
      <c r="H56" s="15">
        <v>49052.66</v>
      </c>
      <c r="I56" s="15">
        <v>56803.508999999998</v>
      </c>
      <c r="J56" s="15">
        <v>75888.464999999997</v>
      </c>
      <c r="K56" s="15">
        <v>81157.671000000002</v>
      </c>
      <c r="L56" s="15">
        <v>86587.036999999997</v>
      </c>
      <c r="M56" s="15">
        <v>94229.204750000004</v>
      </c>
      <c r="N56" s="15">
        <v>99299.641189999995</v>
      </c>
    </row>
    <row r="57" spans="1:14">
      <c r="A57" s="14">
        <v>4001190480</v>
      </c>
      <c r="B57" s="14" t="s">
        <v>68</v>
      </c>
      <c r="C57" s="14" t="s">
        <v>25</v>
      </c>
      <c r="D57" s="15">
        <v>300.87360999999999</v>
      </c>
      <c r="E57" s="15">
        <v>311.70870000000002</v>
      </c>
      <c r="F57" s="15">
        <v>549.53715</v>
      </c>
      <c r="G57" s="15">
        <v>454.46996000000001</v>
      </c>
      <c r="H57" s="15">
        <v>582.60924999999997</v>
      </c>
      <c r="I57" s="15">
        <v>732.81030999999996</v>
      </c>
      <c r="J57" s="15">
        <v>703.88432</v>
      </c>
      <c r="K57" s="15">
        <v>639.16864999999996</v>
      </c>
      <c r="L57" s="15">
        <v>567.22374000000002</v>
      </c>
      <c r="M57" s="15">
        <v>484.46255000000002</v>
      </c>
      <c r="N57" s="15">
        <v>471.64429999999999</v>
      </c>
    </row>
    <row r="58" spans="1:14">
      <c r="A58" s="14">
        <v>4001190500</v>
      </c>
      <c r="B58" s="14" t="s">
        <v>69</v>
      </c>
      <c r="C58" s="14" t="s">
        <v>25</v>
      </c>
      <c r="D58" s="15">
        <v>159.50838999999999</v>
      </c>
      <c r="E58" s="15">
        <v>163.71482</v>
      </c>
      <c r="F58" s="15">
        <v>170.05817999999999</v>
      </c>
      <c r="G58" s="15">
        <v>180.96899999999999</v>
      </c>
      <c r="H58" s="15">
        <v>180.96899999999999</v>
      </c>
      <c r="I58" s="15">
        <v>52.545000000000002</v>
      </c>
      <c r="J58" s="15">
        <v>63.155000000000001</v>
      </c>
      <c r="K58" s="15">
        <v>70.183000000000007</v>
      </c>
      <c r="L58" s="15">
        <v>72.650999999999996</v>
      </c>
      <c r="M58" s="15">
        <v>75.688000000000002</v>
      </c>
      <c r="N58" s="15">
        <v>80.602999999999994</v>
      </c>
    </row>
    <row r="59" spans="1:14">
      <c r="A59" s="14">
        <v>4001190570</v>
      </c>
      <c r="B59" s="14" t="s">
        <v>70</v>
      </c>
      <c r="C59" s="14" t="s">
        <v>25</v>
      </c>
      <c r="D59" s="15">
        <v>4539.9543000000003</v>
      </c>
      <c r="E59" s="15">
        <v>4545.9053599999997</v>
      </c>
      <c r="F59" s="15">
        <v>4926.3765000000003</v>
      </c>
      <c r="G59" s="15">
        <v>3635.13868</v>
      </c>
      <c r="H59" s="15">
        <v>3881.0342300000002</v>
      </c>
      <c r="I59" s="15">
        <v>4240.6763799999999</v>
      </c>
      <c r="J59" s="15">
        <v>4544.5139399999998</v>
      </c>
      <c r="K59" s="15">
        <v>3785.3261000000002</v>
      </c>
      <c r="L59" s="15">
        <v>4114.9269000000004</v>
      </c>
      <c r="M59" s="15">
        <v>4144.9893300000003</v>
      </c>
      <c r="N59" s="15">
        <v>4484.9739499999996</v>
      </c>
    </row>
    <row r="60" spans="1:14">
      <c r="A60" s="14">
        <v>4001121280</v>
      </c>
      <c r="B60" s="14" t="s">
        <v>71</v>
      </c>
      <c r="C60" s="14" t="s">
        <v>25</v>
      </c>
      <c r="D60" s="15"/>
      <c r="E60" s="15"/>
      <c r="F60" s="15"/>
      <c r="G60" s="15"/>
      <c r="H60" s="15"/>
      <c r="I60" s="15"/>
      <c r="J60" s="15"/>
      <c r="K60" s="15"/>
      <c r="L60" s="15"/>
      <c r="M60" s="15"/>
      <c r="N60" s="15"/>
    </row>
    <row r="61" spans="1:14">
      <c r="A61" s="14">
        <v>4001121380</v>
      </c>
      <c r="B61" s="14" t="s">
        <v>72</v>
      </c>
      <c r="C61" s="14" t="s">
        <v>25</v>
      </c>
      <c r="D61" s="15"/>
      <c r="E61" s="15"/>
      <c r="F61" s="15"/>
      <c r="G61" s="15"/>
      <c r="H61" s="15"/>
      <c r="I61" s="15"/>
      <c r="J61" s="15"/>
      <c r="K61" s="15"/>
      <c r="L61" s="15"/>
      <c r="M61" s="15"/>
      <c r="N61" s="15"/>
    </row>
    <row r="62" spans="1:14">
      <c r="A62" s="14">
        <v>4001181370</v>
      </c>
      <c r="B62" s="14" t="s">
        <v>73</v>
      </c>
      <c r="C62" s="14" t="s">
        <v>25</v>
      </c>
      <c r="D62" s="15"/>
      <c r="E62" s="15"/>
      <c r="F62" s="15"/>
      <c r="G62" s="15"/>
      <c r="H62" s="15"/>
      <c r="I62" s="15"/>
      <c r="J62" s="15"/>
      <c r="K62" s="15"/>
      <c r="L62" s="15"/>
      <c r="M62" s="15"/>
      <c r="N62" s="15"/>
    </row>
    <row r="63" spans="1:14">
      <c r="A63" s="14">
        <v>4001121401</v>
      </c>
      <c r="B63" s="14" t="s">
        <v>60</v>
      </c>
      <c r="C63" s="14" t="s">
        <v>25</v>
      </c>
      <c r="D63" s="15"/>
      <c r="E63" s="15"/>
      <c r="F63" s="15"/>
      <c r="G63" s="15"/>
      <c r="H63" s="15"/>
      <c r="I63" s="15"/>
      <c r="J63" s="15"/>
      <c r="K63" s="15"/>
      <c r="L63" s="15"/>
      <c r="M63" s="15"/>
      <c r="N63" s="15"/>
    </row>
    <row r="64" spans="1:14">
      <c r="A64" s="14">
        <v>4001121402</v>
      </c>
      <c r="B64" s="14" t="s">
        <v>61</v>
      </c>
      <c r="C64" s="14" t="s">
        <v>25</v>
      </c>
      <c r="D64" s="15"/>
      <c r="E64" s="15"/>
      <c r="F64" s="15"/>
      <c r="G64" s="15"/>
      <c r="H64" s="15"/>
      <c r="I64" s="15"/>
      <c r="J64" s="15"/>
      <c r="K64" s="15"/>
      <c r="L64" s="15"/>
      <c r="M64" s="15"/>
      <c r="N64" s="15"/>
    </row>
    <row r="65" spans="1:14">
      <c r="A65" s="14">
        <v>4001121403</v>
      </c>
      <c r="B65" s="14" t="s">
        <v>62</v>
      </c>
      <c r="C65" s="14" t="s">
        <v>25</v>
      </c>
      <c r="D65" s="15"/>
      <c r="E65" s="15"/>
      <c r="F65" s="15"/>
      <c r="G65" s="15"/>
      <c r="H65" s="15"/>
      <c r="I65" s="15"/>
      <c r="J65" s="15"/>
      <c r="K65" s="15"/>
      <c r="L65" s="15"/>
      <c r="M65" s="15"/>
      <c r="N65" s="15"/>
    </row>
    <row r="66" spans="1:14">
      <c r="A66" s="14">
        <v>4001190580</v>
      </c>
      <c r="B66" s="14" t="s">
        <v>74</v>
      </c>
      <c r="C66" s="14" t="s">
        <v>25</v>
      </c>
      <c r="D66" s="15"/>
      <c r="E66" s="15"/>
      <c r="F66" s="15"/>
      <c r="G66" s="15"/>
      <c r="H66" s="15"/>
      <c r="I66" s="15"/>
      <c r="J66" s="15"/>
      <c r="K66" s="15"/>
      <c r="L66" s="15"/>
      <c r="M66" s="15"/>
      <c r="N66" s="15"/>
    </row>
    <row r="67" spans="1:14">
      <c r="A67" s="14">
        <v>4001121620</v>
      </c>
      <c r="B67" s="14" t="s">
        <v>75</v>
      </c>
      <c r="C67" s="14" t="s">
        <v>25</v>
      </c>
      <c r="D67" s="15"/>
      <c r="E67" s="15"/>
      <c r="F67" s="15"/>
      <c r="G67" s="15"/>
      <c r="H67" s="15"/>
      <c r="I67" s="15"/>
      <c r="J67" s="15"/>
      <c r="K67" s="15"/>
      <c r="L67" s="15"/>
      <c r="M67" s="15"/>
      <c r="N67" s="15"/>
    </row>
    <row r="68" spans="1:14">
      <c r="A68" s="14">
        <v>4001190380</v>
      </c>
      <c r="B68" s="14" t="s">
        <v>76</v>
      </c>
      <c r="C68" s="14" t="s">
        <v>25</v>
      </c>
      <c r="D68" s="15">
        <v>65025.786959999998</v>
      </c>
      <c r="E68" s="15">
        <v>70176.604439999996</v>
      </c>
      <c r="F68" s="15">
        <v>77279.235350000003</v>
      </c>
      <c r="G68" s="15">
        <v>86782.630439999994</v>
      </c>
      <c r="H68" s="15">
        <v>94765.980800000005</v>
      </c>
      <c r="I68" s="15">
        <v>99882.226580000002</v>
      </c>
      <c r="J68" s="15">
        <v>104208.40289</v>
      </c>
      <c r="K68" s="15">
        <v>110734.98378</v>
      </c>
      <c r="L68" s="15">
        <v>114938.96656</v>
      </c>
      <c r="M68" s="15">
        <v>119130.35755</v>
      </c>
      <c r="N68" s="15">
        <v>122044.04732</v>
      </c>
    </row>
    <row r="69" spans="1:14">
      <c r="A69" s="14">
        <v>4001130010</v>
      </c>
      <c r="B69" s="14" t="s">
        <v>77</v>
      </c>
      <c r="C69" s="14" t="s">
        <v>78</v>
      </c>
      <c r="D69" s="15">
        <v>500000000</v>
      </c>
      <c r="E69" s="15">
        <v>500000000</v>
      </c>
      <c r="F69" s="15">
        <v>500000000</v>
      </c>
      <c r="G69" s="15">
        <v>500000000</v>
      </c>
      <c r="H69" s="15">
        <v>500000000</v>
      </c>
      <c r="I69" s="15">
        <v>500000000</v>
      </c>
      <c r="J69" s="15">
        <v>500000000</v>
      </c>
      <c r="K69" s="15">
        <v>500000000</v>
      </c>
      <c r="L69" s="15">
        <v>500000000</v>
      </c>
      <c r="M69" s="15">
        <v>500000000</v>
      </c>
      <c r="N69" s="15">
        <v>500000000</v>
      </c>
    </row>
    <row r="70" spans="1:14">
      <c r="A70" s="14">
        <v>4001130020</v>
      </c>
      <c r="B70" s="14" t="s">
        <v>79</v>
      </c>
      <c r="C70" s="14" t="s">
        <v>80</v>
      </c>
      <c r="D70" s="15">
        <v>100</v>
      </c>
      <c r="E70" s="15">
        <v>100</v>
      </c>
      <c r="F70" s="15">
        <v>100</v>
      </c>
      <c r="G70" s="15">
        <v>100</v>
      </c>
      <c r="H70" s="15">
        <v>100</v>
      </c>
      <c r="I70" s="15">
        <v>100</v>
      </c>
      <c r="J70" s="15">
        <v>100</v>
      </c>
      <c r="K70" s="15">
        <v>100</v>
      </c>
      <c r="L70" s="15">
        <v>100</v>
      </c>
      <c r="M70" s="15">
        <v>100</v>
      </c>
      <c r="N70" s="15">
        <v>100</v>
      </c>
    </row>
    <row r="71" spans="1:14">
      <c r="A71" s="14">
        <v>4001130030</v>
      </c>
      <c r="B71" s="14" t="s">
        <v>81</v>
      </c>
      <c r="C71" s="14" t="s">
        <v>78</v>
      </c>
      <c r="D71" s="15">
        <v>65730548</v>
      </c>
      <c r="E71" s="15">
        <v>65730548</v>
      </c>
      <c r="F71" s="15">
        <v>65730548</v>
      </c>
      <c r="G71" s="15">
        <v>65730548</v>
      </c>
      <c r="H71" s="15">
        <v>65730548</v>
      </c>
      <c r="I71" s="15">
        <v>65730548</v>
      </c>
      <c r="J71" s="15">
        <v>65730548</v>
      </c>
      <c r="K71" s="15">
        <v>65730548</v>
      </c>
      <c r="L71" s="15">
        <v>65730548</v>
      </c>
      <c r="M71" s="15">
        <v>65730548</v>
      </c>
      <c r="N71" s="15">
        <v>65730548</v>
      </c>
    </row>
    <row r="72" spans="1:14">
      <c r="A72" s="14">
        <v>4001130040</v>
      </c>
      <c r="B72" s="14" t="s">
        <v>82</v>
      </c>
      <c r="C72" s="14" t="s">
        <v>78</v>
      </c>
      <c r="D72" s="15">
        <v>65730548</v>
      </c>
      <c r="E72" s="15">
        <v>65730548</v>
      </c>
      <c r="F72" s="15">
        <v>65730548</v>
      </c>
      <c r="G72" s="15">
        <v>65730548</v>
      </c>
      <c r="H72" s="15">
        <v>65730548</v>
      </c>
      <c r="I72" s="15">
        <v>65730548</v>
      </c>
      <c r="J72" s="15">
        <v>65730548</v>
      </c>
      <c r="K72" s="15">
        <v>65730548</v>
      </c>
      <c r="L72" s="15">
        <v>65730548</v>
      </c>
      <c r="M72" s="15">
        <v>65730548</v>
      </c>
      <c r="N72" s="15">
        <v>65730548</v>
      </c>
    </row>
    <row r="73" spans="1:14">
      <c r="A73" s="14">
        <v>4001130050</v>
      </c>
      <c r="B73" s="14" t="s">
        <v>83</v>
      </c>
      <c r="C73" s="14" t="s">
        <v>78</v>
      </c>
      <c r="D73" s="15"/>
      <c r="E73" s="15"/>
      <c r="F73" s="15"/>
      <c r="G73" s="15"/>
      <c r="H73" s="15"/>
      <c r="I73" s="15"/>
      <c r="J73" s="15"/>
      <c r="K73" s="15"/>
      <c r="L73" s="15"/>
      <c r="M73" s="15"/>
      <c r="N73" s="15"/>
    </row>
    <row r="74" spans="1:14">
      <c r="A74" s="14">
        <v>4001190390</v>
      </c>
      <c r="B74" s="14" t="s">
        <v>84</v>
      </c>
      <c r="C74" s="14" t="s">
        <v>25</v>
      </c>
      <c r="D74" s="15">
        <v>64542.867230000003</v>
      </c>
      <c r="E74" s="15">
        <v>69615.450589999993</v>
      </c>
      <c r="F74" s="15">
        <v>76806.261459999994</v>
      </c>
      <c r="G74" s="15">
        <v>86075.722510000007</v>
      </c>
      <c r="H74" s="15">
        <v>94122.435379999995</v>
      </c>
      <c r="I74" s="15">
        <v>99236.367209999997</v>
      </c>
      <c r="J74" s="15">
        <v>103530.92892000001</v>
      </c>
      <c r="K74" s="15">
        <v>109813.55381</v>
      </c>
      <c r="L74" s="15">
        <v>114022.14075000001</v>
      </c>
      <c r="M74" s="15">
        <v>118214.44344</v>
      </c>
      <c r="N74" s="15">
        <v>121134.37953999999</v>
      </c>
    </row>
    <row r="75" spans="1:14">
      <c r="A75" s="14">
        <v>4001130070</v>
      </c>
      <c r="B75" s="14" t="s">
        <v>85</v>
      </c>
      <c r="C75" s="14" t="s">
        <v>25</v>
      </c>
      <c r="D75" s="15">
        <v>6573.0547999999999</v>
      </c>
      <c r="E75" s="15">
        <v>6573.0547999999999</v>
      </c>
      <c r="F75" s="15">
        <v>6573.0547999999999</v>
      </c>
      <c r="G75" s="15">
        <v>6573.0547999999999</v>
      </c>
      <c r="H75" s="15">
        <v>6573.0547999999999</v>
      </c>
      <c r="I75" s="15">
        <v>6573.0547999999999</v>
      </c>
      <c r="J75" s="15">
        <v>6573.0547999999999</v>
      </c>
      <c r="K75" s="15">
        <v>6573.0547999999999</v>
      </c>
      <c r="L75" s="15">
        <v>6573.0547999999999</v>
      </c>
      <c r="M75" s="15">
        <v>6573.0547999999999</v>
      </c>
      <c r="N75" s="15">
        <v>6573.0547999999999</v>
      </c>
    </row>
    <row r="76" spans="1:14">
      <c r="A76" s="14">
        <v>4001130670</v>
      </c>
      <c r="B76" s="14" t="s">
        <v>86</v>
      </c>
      <c r="C76" s="14" t="s">
        <v>25</v>
      </c>
      <c r="D76" s="15"/>
      <c r="E76" s="15"/>
      <c r="F76" s="15"/>
      <c r="G76" s="15"/>
      <c r="H76" s="15"/>
      <c r="I76" s="15"/>
      <c r="J76" s="15"/>
      <c r="K76" s="15"/>
      <c r="L76" s="15"/>
      <c r="M76" s="15"/>
      <c r="N76" s="15"/>
    </row>
    <row r="77" spans="1:14">
      <c r="A77" s="14">
        <v>4001190400</v>
      </c>
      <c r="B77" s="14" t="s">
        <v>87</v>
      </c>
      <c r="C77" s="14" t="s">
        <v>25</v>
      </c>
      <c r="D77" s="15">
        <v>29289.164799999999</v>
      </c>
      <c r="E77" s="15">
        <v>29289.164799999999</v>
      </c>
      <c r="F77" s="15">
        <v>29289.164799999999</v>
      </c>
      <c r="G77" s="15">
        <v>29289.164799999999</v>
      </c>
      <c r="H77" s="15">
        <v>29289.164799999999</v>
      </c>
      <c r="I77" s="15">
        <v>29289.164799999999</v>
      </c>
      <c r="J77" s="15">
        <v>29289.164799999999</v>
      </c>
      <c r="K77" s="15">
        <v>29289.164799999999</v>
      </c>
      <c r="L77" s="15">
        <v>29289.164799999999</v>
      </c>
      <c r="M77" s="15">
        <v>29289.164799999999</v>
      </c>
      <c r="N77" s="15">
        <v>29289.164799999999</v>
      </c>
    </row>
    <row r="78" spans="1:14">
      <c r="A78" s="14">
        <v>4001190420</v>
      </c>
      <c r="B78" s="14" t="s">
        <v>88</v>
      </c>
      <c r="C78" s="14" t="s">
        <v>25</v>
      </c>
      <c r="D78" s="15">
        <v>-3.5729999999999998E-2</v>
      </c>
      <c r="E78" s="15">
        <v>-3.5729999999999998E-2</v>
      </c>
      <c r="F78" s="15">
        <v>-3.5729999999999998E-2</v>
      </c>
      <c r="G78" s="15">
        <v>-3.5729999999999998E-2</v>
      </c>
      <c r="H78" s="15">
        <v>-3.5729999999999998E-2</v>
      </c>
      <c r="I78" s="15">
        <v>-3.5729999999999998E-2</v>
      </c>
      <c r="J78" s="15">
        <v>-3.5729999999999998E-2</v>
      </c>
      <c r="K78" s="15">
        <v>-3.5729999999999998E-2</v>
      </c>
      <c r="L78" s="15">
        <v>-3.5729999999999998E-2</v>
      </c>
      <c r="M78" s="15">
        <v>-3.5729999999999998E-2</v>
      </c>
      <c r="N78" s="15">
        <v>-3.5729999999999998E-2</v>
      </c>
    </row>
    <row r="79" spans="1:14">
      <c r="A79" s="14">
        <v>4001130360</v>
      </c>
      <c r="B79" s="14" t="s">
        <v>89</v>
      </c>
      <c r="C79" s="14" t="s">
        <v>25</v>
      </c>
      <c r="D79" s="15">
        <v>51.603180000000002</v>
      </c>
      <c r="E79" s="15">
        <v>56.089669999999998</v>
      </c>
      <c r="F79" s="15">
        <v>69.024519999999995</v>
      </c>
      <c r="G79" s="15">
        <v>28.142910000000001</v>
      </c>
      <c r="H79" s="15">
        <v>50.134</v>
      </c>
      <c r="I79" s="15">
        <v>26.032609999999998</v>
      </c>
      <c r="J79" s="15">
        <v>40.087290000000003</v>
      </c>
      <c r="K79" s="15">
        <v>10.64259</v>
      </c>
      <c r="L79" s="15">
        <v>43.412489999999998</v>
      </c>
      <c r="M79" s="15">
        <v>73.436239999999998</v>
      </c>
      <c r="N79" s="15">
        <v>41.995310000000003</v>
      </c>
    </row>
    <row r="80" spans="1:14">
      <c r="A80" s="14">
        <v>4001130470</v>
      </c>
      <c r="B80" s="14" t="s">
        <v>90</v>
      </c>
      <c r="C80" s="14" t="s">
        <v>25</v>
      </c>
      <c r="D80" s="15">
        <v>28629.080170000001</v>
      </c>
      <c r="E80" s="15">
        <v>33697.177049999998</v>
      </c>
      <c r="F80" s="15">
        <v>40875.053070000002</v>
      </c>
      <c r="G80" s="15">
        <v>50185.39572</v>
      </c>
      <c r="H80" s="15">
        <v>58210.117010000002</v>
      </c>
      <c r="I80" s="15">
        <v>63348.150730000001</v>
      </c>
      <c r="J80" s="15">
        <v>67628.657760000002</v>
      </c>
      <c r="K80" s="15">
        <v>73940.727339999998</v>
      </c>
      <c r="L80" s="15">
        <v>78116.544389999995</v>
      </c>
      <c r="M80" s="15">
        <v>82278.823319999996</v>
      </c>
      <c r="N80" s="15">
        <v>85230.200349999999</v>
      </c>
    </row>
    <row r="81" spans="1:14">
      <c r="A81" s="14">
        <v>4001130640</v>
      </c>
      <c r="B81" s="14" t="s">
        <v>91</v>
      </c>
      <c r="C81" s="14" t="s">
        <v>25</v>
      </c>
      <c r="D81" s="15">
        <v>482.91973999999999</v>
      </c>
      <c r="E81" s="15">
        <v>561.15385000000003</v>
      </c>
      <c r="F81" s="15">
        <v>472.97388999999998</v>
      </c>
      <c r="G81" s="15">
        <v>706.90792999999996</v>
      </c>
      <c r="H81" s="15">
        <v>643.54543000000001</v>
      </c>
      <c r="I81" s="15">
        <v>645.85937000000001</v>
      </c>
      <c r="J81" s="15">
        <v>677.47397000000001</v>
      </c>
      <c r="K81" s="15">
        <v>921.42996000000005</v>
      </c>
      <c r="L81" s="15">
        <v>916.82581000000005</v>
      </c>
      <c r="M81" s="15">
        <v>915.91412000000003</v>
      </c>
      <c r="N81" s="15">
        <v>909.66778999999997</v>
      </c>
    </row>
    <row r="82" spans="1:14">
      <c r="A82" s="1"/>
      <c r="B82" s="1"/>
      <c r="C82" s="1"/>
      <c r="D82" s="15"/>
      <c r="E82" s="15"/>
      <c r="F82" s="15"/>
      <c r="G82" s="15"/>
      <c r="H82" s="15"/>
      <c r="I82" s="15"/>
      <c r="J82" s="15"/>
      <c r="K82" s="15"/>
      <c r="L82" s="15"/>
      <c r="M82" s="15"/>
      <c r="N82" s="15"/>
    </row>
    <row r="83" spans="1:14">
      <c r="D83" s="16"/>
      <c r="E83" s="16"/>
      <c r="F83" s="16"/>
      <c r="G83" s="16"/>
      <c r="H83" s="16"/>
      <c r="I83" s="16"/>
      <c r="J83" s="16"/>
      <c r="K83" s="16"/>
      <c r="L83" s="16"/>
      <c r="M83" s="16"/>
      <c r="N83" s="16"/>
    </row>
    <row r="84" spans="1:14">
      <c r="D84" s="16"/>
      <c r="E84" s="16"/>
      <c r="F84" s="16"/>
      <c r="G84" s="16"/>
      <c r="H84" s="16"/>
      <c r="I84" s="16"/>
      <c r="J84" s="16"/>
      <c r="K84" s="16"/>
      <c r="L84" s="16"/>
      <c r="M84" s="16"/>
      <c r="N84" s="16"/>
    </row>
    <row r="85" spans="1:14">
      <c r="D85" s="16"/>
      <c r="E85" s="16"/>
      <c r="F85" s="16"/>
      <c r="G85" s="16"/>
      <c r="H85" s="16"/>
      <c r="I85" s="16"/>
      <c r="J85" s="16"/>
      <c r="K85" s="16"/>
      <c r="L85" s="16"/>
      <c r="M85" s="16"/>
      <c r="N85" s="16"/>
    </row>
  </sheetData>
  <phoneticPr fontId="3" type="noConversion"/>
  <conditionalFormatting sqref="B1">
    <cfRule type="expression" dxfId="5" priority="1" stopIfTrue="1">
      <formula>MID($B$1, 15, 10)-TODAY() &lt; 0</formula>
    </cfRule>
  </conditionalFormatting>
  <dataValidations count="7">
    <dataValidation type="list" allowBlank="1" showInputMessage="1" sqref="B5" xr:uid="{D9663B06-348E-4981-8771-AD7C04EA7CD6}">
      <formula1>"전체,재무상태표,손익계산서,현금흐름표,자본금변동표"</formula1>
    </dataValidation>
    <dataValidation type="list" allowBlank="1" showInputMessage="1" sqref="B6" xr:uid="{14811B17-5623-429A-91DE-E850E5641376}">
      <formula1>"상세(총액),상세(순액),요약,약식"</formula1>
    </dataValidation>
    <dataValidation type="list" allowBlank="1" showInputMessage="1" sqref="B7" xr:uid="{762ED86C-C4E0-4F5B-B680-72FBA1D0179C}">
      <formula1>"결산,누적분기,당분기"</formula1>
    </dataValidation>
    <dataValidation type="list" allowBlank="1" showInputMessage="1" sqref="C7" xr:uid="{81E5741E-B10E-454B-958F-0CFE02CD5F53}">
      <formula1>"천원,백만원,억원,십억원"</formula1>
    </dataValidation>
    <dataValidation type="list" allowBlank="1" showInputMessage="1" sqref="B4" xr:uid="{108E9C13-863A-4047-BD77-33E29F1458FA}">
      <formula1>"별도,연결"</formula1>
    </dataValidation>
    <dataValidation type="list" allowBlank="1" showInputMessage="1" sqref="B8" xr:uid="{815E892D-A23B-435C-B987-2AB25BAF45E0}">
      <formula1>"1983,1984,1985,1986,1987,1988,1989,1990,1991,1992,1993,1994,1995,1996,1997,1998,1999,2000,2001,2002,2003,2004,2005,2006,2007,2008,2009,2010,2011,2012,2013,2014,2015,2016,2017,2018,2019,2020,2021,2022,2023,2024,2025"</formula1>
    </dataValidation>
    <dataValidation type="list" allowBlank="1" showInputMessage="1" sqref="C8" xr:uid="{6473CDFB-4892-4ED6-9726-B8B0E9B857FA}">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FCCD-B5A3-4AEF-93DC-3D8E59C16DAA}">
  <sheetPr codeName="Sheet3"/>
  <dimension ref="A1:N108"/>
  <sheetViews>
    <sheetView showGridLines="0" workbookViewId="0"/>
  </sheetViews>
  <sheetFormatPr defaultColWidth="8.85546875" defaultRowHeight="17.600000000000001"/>
  <cols>
    <col min="1" max="1" width="9.140625" bestFit="1" customWidth="1"/>
    <col min="2" max="2" width="51.640625" bestFit="1" customWidth="1"/>
    <col min="3" max="3" width="11.5" bestFit="1" customWidth="1"/>
    <col min="4" max="14" width="9" bestFit="1" customWidth="1"/>
  </cols>
  <sheetData>
    <row r="1" spans="1:14">
      <c r="B1" s="2" t="s">
        <v>217</v>
      </c>
    </row>
    <row r="2" spans="1:14">
      <c r="A2" s="3" t="s">
        <v>1</v>
      </c>
      <c r="B2" s="3"/>
      <c r="C2" s="3"/>
      <c r="D2" s="3"/>
      <c r="E2" s="3"/>
      <c r="F2" s="3"/>
      <c r="G2" s="3"/>
      <c r="H2" s="3"/>
      <c r="I2" s="3"/>
      <c r="J2" s="3"/>
      <c r="K2" s="3"/>
      <c r="L2" s="3"/>
      <c r="M2" s="3"/>
      <c r="N2" s="3"/>
    </row>
    <row r="3" spans="1:14">
      <c r="A3" s="4" t="s">
        <v>4</v>
      </c>
      <c r="B3" s="4" t="s">
        <v>93</v>
      </c>
      <c r="C3" s="4"/>
      <c r="D3" s="4"/>
      <c r="E3" s="4"/>
      <c r="F3" s="4"/>
      <c r="G3" s="4"/>
      <c r="H3" s="4"/>
      <c r="I3" s="4"/>
      <c r="J3" s="4"/>
      <c r="K3" s="4"/>
      <c r="L3" s="4"/>
      <c r="M3" s="4"/>
      <c r="N3" s="4"/>
    </row>
    <row r="4" spans="1:14">
      <c r="A4" s="4" t="s">
        <v>5</v>
      </c>
      <c r="B4" s="8" t="s">
        <v>98</v>
      </c>
      <c r="C4" s="4" t="s">
        <v>2</v>
      </c>
      <c r="D4" s="4" t="s">
        <v>97</v>
      </c>
      <c r="E4" s="4"/>
      <c r="F4" s="4"/>
      <c r="G4" s="4"/>
      <c r="H4" s="4"/>
      <c r="I4" s="4"/>
      <c r="J4" s="4"/>
      <c r="K4" s="4"/>
      <c r="L4" s="4"/>
      <c r="M4" s="4"/>
      <c r="N4" s="4"/>
    </row>
    <row r="5" spans="1:14">
      <c r="A5" s="4" t="s">
        <v>6</v>
      </c>
      <c r="B5" s="11" t="s">
        <v>218</v>
      </c>
      <c r="C5" s="4" t="s">
        <v>3</v>
      </c>
      <c r="D5" s="4"/>
      <c r="E5" s="4"/>
      <c r="F5" s="4"/>
      <c r="G5" s="4"/>
      <c r="H5" s="4"/>
      <c r="I5" s="4"/>
      <c r="J5" s="4"/>
      <c r="K5" s="4"/>
      <c r="L5" s="4"/>
      <c r="M5" s="4"/>
      <c r="N5" s="4"/>
    </row>
    <row r="6" spans="1:14">
      <c r="A6" s="4" t="s">
        <v>7</v>
      </c>
      <c r="B6" s="9" t="s">
        <v>95</v>
      </c>
      <c r="C6" s="4"/>
      <c r="D6" s="4"/>
      <c r="E6" s="4"/>
      <c r="F6" s="4"/>
      <c r="G6" s="4"/>
      <c r="H6" s="4"/>
      <c r="I6" s="4"/>
      <c r="J6" s="4"/>
      <c r="K6" s="4"/>
      <c r="L6" s="4"/>
      <c r="M6" s="4"/>
      <c r="N6" s="4"/>
    </row>
    <row r="7" spans="1:14">
      <c r="A7" s="4" t="s">
        <v>8</v>
      </c>
      <c r="B7" s="12" t="s">
        <v>96</v>
      </c>
      <c r="C7" s="9" t="s">
        <v>25</v>
      </c>
      <c r="D7" s="4"/>
      <c r="E7" s="4"/>
      <c r="F7" s="4"/>
      <c r="G7" s="4"/>
      <c r="H7" s="4"/>
      <c r="I7" s="4"/>
      <c r="J7" s="4"/>
      <c r="K7" s="4"/>
      <c r="L7" s="4"/>
      <c r="M7" s="4"/>
      <c r="N7" s="4"/>
    </row>
    <row r="8" spans="1:14">
      <c r="A8" s="5" t="s">
        <v>92</v>
      </c>
      <c r="B8" s="10">
        <v>2022</v>
      </c>
      <c r="C8" s="8" t="s">
        <v>99</v>
      </c>
      <c r="D8" s="5"/>
      <c r="E8" s="5"/>
      <c r="F8" s="5"/>
      <c r="G8" s="5"/>
      <c r="H8" s="5"/>
      <c r="I8" s="5"/>
      <c r="J8" s="5"/>
      <c r="K8" s="5"/>
      <c r="L8" s="5"/>
      <c r="M8" s="5"/>
      <c r="N8" s="5"/>
    </row>
    <row r="9" spans="1:14">
      <c r="A9" s="6" t="s">
        <v>9</v>
      </c>
      <c r="B9" s="13" t="s">
        <v>10</v>
      </c>
      <c r="C9" s="13" t="s">
        <v>11</v>
      </c>
      <c r="D9" s="6" t="s">
        <v>12</v>
      </c>
      <c r="E9" s="6" t="s">
        <v>13</v>
      </c>
      <c r="F9" s="6" t="s">
        <v>14</v>
      </c>
      <c r="G9" s="6" t="s">
        <v>15</v>
      </c>
      <c r="H9" s="6" t="s">
        <v>16</v>
      </c>
      <c r="I9" s="6" t="s">
        <v>17</v>
      </c>
      <c r="J9" s="6" t="s">
        <v>18</v>
      </c>
      <c r="K9" s="6" t="s">
        <v>19</v>
      </c>
      <c r="L9" s="6" t="s">
        <v>20</v>
      </c>
      <c r="M9" s="6" t="s">
        <v>21</v>
      </c>
      <c r="N9" s="6" t="s">
        <v>22</v>
      </c>
    </row>
    <row r="10" spans="1:14">
      <c r="A10" s="7"/>
      <c r="B10" s="7"/>
      <c r="C10" s="7"/>
      <c r="D10" s="7" t="s">
        <v>23</v>
      </c>
      <c r="E10" s="7" t="s">
        <v>23</v>
      </c>
      <c r="F10" s="7" t="s">
        <v>23</v>
      </c>
      <c r="G10" s="7" t="s">
        <v>23</v>
      </c>
      <c r="H10" s="7" t="s">
        <v>23</v>
      </c>
      <c r="I10" s="7" t="s">
        <v>23</v>
      </c>
      <c r="J10" s="7" t="s">
        <v>23</v>
      </c>
      <c r="K10" s="7" t="s">
        <v>23</v>
      </c>
      <c r="L10" s="7" t="s">
        <v>23</v>
      </c>
      <c r="M10" s="7" t="s">
        <v>23</v>
      </c>
      <c r="N10" s="7" t="s">
        <v>23</v>
      </c>
    </row>
    <row r="11" spans="1:14">
      <c r="A11" s="14">
        <v>4001210000</v>
      </c>
      <c r="B11" s="14" t="s">
        <v>100</v>
      </c>
      <c r="C11" s="14" t="s">
        <v>25</v>
      </c>
      <c r="D11" s="15">
        <v>28859.951949999999</v>
      </c>
      <c r="E11" s="15">
        <v>32928.920259999999</v>
      </c>
      <c r="F11" s="15">
        <v>32257.861939999999</v>
      </c>
      <c r="G11" s="15">
        <v>37459.981330000002</v>
      </c>
      <c r="H11" s="15">
        <v>30232.35007</v>
      </c>
      <c r="I11" s="15">
        <v>29082.048930000001</v>
      </c>
      <c r="J11" s="15">
        <v>26856.84706</v>
      </c>
      <c r="K11" s="15">
        <v>31618.56508</v>
      </c>
      <c r="L11" s="15">
        <v>30831.559010000001</v>
      </c>
      <c r="M11" s="15">
        <v>30724.989679999999</v>
      </c>
      <c r="N11" s="15">
        <v>32443.77347</v>
      </c>
    </row>
    <row r="12" spans="1:14">
      <c r="A12" s="14">
        <v>4001210010</v>
      </c>
      <c r="B12" s="14" t="s">
        <v>101</v>
      </c>
      <c r="C12" s="14" t="s">
        <v>25</v>
      </c>
      <c r="D12" s="15"/>
      <c r="E12" s="15"/>
      <c r="F12" s="15"/>
      <c r="G12" s="15"/>
      <c r="H12" s="15"/>
      <c r="I12" s="15"/>
      <c r="J12" s="15"/>
      <c r="K12" s="15">
        <v>79930</v>
      </c>
      <c r="L12" s="15">
        <v>20919</v>
      </c>
      <c r="M12" s="15">
        <v>19684</v>
      </c>
      <c r="N12" s="15">
        <v>20621</v>
      </c>
    </row>
    <row r="13" spans="1:14">
      <c r="A13" s="14">
        <v>4001210020</v>
      </c>
      <c r="B13" s="14" t="s">
        <v>102</v>
      </c>
      <c r="C13" s="14" t="s">
        <v>25</v>
      </c>
      <c r="D13" s="15"/>
      <c r="E13" s="15"/>
      <c r="F13" s="15"/>
      <c r="G13" s="15"/>
      <c r="H13" s="15"/>
      <c r="I13" s="15"/>
      <c r="J13" s="15"/>
      <c r="K13" s="15">
        <v>37860</v>
      </c>
      <c r="L13" s="15">
        <v>9913</v>
      </c>
      <c r="M13" s="15">
        <v>11041</v>
      </c>
      <c r="N13" s="15">
        <v>11822</v>
      </c>
    </row>
    <row r="14" spans="1:14">
      <c r="A14" s="14">
        <v>4001210320</v>
      </c>
      <c r="B14" s="14" t="s">
        <v>103</v>
      </c>
      <c r="C14" s="14" t="s">
        <v>25</v>
      </c>
      <c r="D14" s="15">
        <v>18989.874299999999</v>
      </c>
      <c r="E14" s="15">
        <v>21274.027409999999</v>
      </c>
      <c r="F14" s="15">
        <v>21754.96297</v>
      </c>
      <c r="G14" s="15">
        <v>24694.175620000002</v>
      </c>
      <c r="H14" s="15">
        <v>18969.141950000001</v>
      </c>
      <c r="I14" s="15">
        <v>17543.41402</v>
      </c>
      <c r="J14" s="15">
        <v>19749.96184</v>
      </c>
      <c r="K14" s="15">
        <v>19409.599419999999</v>
      </c>
      <c r="L14" s="15">
        <v>22241.40063</v>
      </c>
      <c r="M14" s="15">
        <v>22169.420020000001</v>
      </c>
      <c r="N14" s="15">
        <v>25242.512320000002</v>
      </c>
    </row>
    <row r="15" spans="1:14">
      <c r="A15" s="14">
        <v>4001210780</v>
      </c>
      <c r="B15" s="14" t="s">
        <v>104</v>
      </c>
      <c r="C15" s="14" t="s">
        <v>25</v>
      </c>
      <c r="D15" s="15">
        <v>9870.0776399999995</v>
      </c>
      <c r="E15" s="15">
        <v>11654.89285</v>
      </c>
      <c r="F15" s="15">
        <v>10502.89897</v>
      </c>
      <c r="G15" s="15">
        <v>12765.805710000001</v>
      </c>
      <c r="H15" s="15">
        <v>11263.208119999999</v>
      </c>
      <c r="I15" s="15">
        <v>11538.634910000001</v>
      </c>
      <c r="J15" s="15">
        <v>7106.8852299999999</v>
      </c>
      <c r="K15" s="15">
        <v>12208.96564</v>
      </c>
      <c r="L15" s="15">
        <v>8590.1583699999992</v>
      </c>
      <c r="M15" s="15">
        <v>8555.5696599999992</v>
      </c>
      <c r="N15" s="15">
        <v>7201.2611500000003</v>
      </c>
    </row>
    <row r="16" spans="1:14">
      <c r="A16" s="14">
        <v>4001290000</v>
      </c>
      <c r="B16" s="14" t="s">
        <v>105</v>
      </c>
      <c r="C16" s="14" t="s">
        <v>25</v>
      </c>
      <c r="D16" s="15">
        <v>2153.87709</v>
      </c>
      <c r="E16" s="15">
        <v>2284.0258699999999</v>
      </c>
      <c r="F16" s="15">
        <v>2324.89705</v>
      </c>
      <c r="G16" s="15">
        <v>2639.6193199999998</v>
      </c>
      <c r="H16" s="15">
        <v>2949.8394800000001</v>
      </c>
      <c r="I16" s="15">
        <v>3575.8966300000002</v>
      </c>
      <c r="J16" s="15">
        <v>3048.7579999999998</v>
      </c>
      <c r="K16" s="15">
        <v>3016.80917</v>
      </c>
      <c r="L16" s="15">
        <v>3665.3783400000002</v>
      </c>
      <c r="M16" s="15">
        <v>3497.7858500000002</v>
      </c>
      <c r="N16" s="15">
        <v>3245.8871199999999</v>
      </c>
    </row>
    <row r="17" spans="1:14">
      <c r="A17" s="14">
        <v>4001290010</v>
      </c>
      <c r="B17" s="14" t="s">
        <v>106</v>
      </c>
      <c r="C17" s="14" t="s">
        <v>25</v>
      </c>
      <c r="D17" s="15">
        <v>946.54899999999998</v>
      </c>
      <c r="E17" s="15">
        <v>982.16</v>
      </c>
      <c r="F17" s="15">
        <v>1004.254</v>
      </c>
      <c r="G17" s="15">
        <v>1119.383</v>
      </c>
      <c r="H17" s="15">
        <v>1185.942</v>
      </c>
      <c r="I17" s="15">
        <v>1162.3610000000001</v>
      </c>
      <c r="J17" s="15">
        <v>1317.508</v>
      </c>
      <c r="K17" s="15">
        <v>1176.0119999999999</v>
      </c>
      <c r="L17" s="15">
        <v>1446.2670000000001</v>
      </c>
      <c r="M17" s="15">
        <v>1464.9259999999999</v>
      </c>
      <c r="N17" s="15">
        <v>1288.3119999999999</v>
      </c>
    </row>
    <row r="18" spans="1:14">
      <c r="A18" s="14">
        <v>4001290020</v>
      </c>
      <c r="B18" s="14" t="s">
        <v>107</v>
      </c>
      <c r="C18" s="14" t="s">
        <v>25</v>
      </c>
      <c r="D18" s="15">
        <v>89.497</v>
      </c>
      <c r="E18" s="15">
        <v>88.94</v>
      </c>
      <c r="F18" s="15">
        <v>99.254999999999995</v>
      </c>
      <c r="G18" s="15">
        <v>115.997</v>
      </c>
      <c r="H18" s="15">
        <v>128.154</v>
      </c>
      <c r="I18" s="15">
        <v>135.97999999999999</v>
      </c>
      <c r="J18" s="15">
        <v>136.571</v>
      </c>
      <c r="K18" s="15">
        <v>129.92400000000001</v>
      </c>
      <c r="L18" s="15">
        <v>106.366</v>
      </c>
      <c r="M18" s="15">
        <v>105.96299999999999</v>
      </c>
      <c r="N18" s="15">
        <v>112.188</v>
      </c>
    </row>
    <row r="19" spans="1:14">
      <c r="A19" s="14">
        <v>4001211300</v>
      </c>
      <c r="B19" s="14" t="s">
        <v>108</v>
      </c>
      <c r="C19" s="14" t="s">
        <v>25</v>
      </c>
      <c r="D19" s="15">
        <v>529.56500000000005</v>
      </c>
      <c r="E19" s="15">
        <v>571.18200000000002</v>
      </c>
      <c r="F19" s="15">
        <v>622.32299999999998</v>
      </c>
      <c r="G19" s="15">
        <v>672.72699999999998</v>
      </c>
      <c r="H19" s="15">
        <v>788.02599999999995</v>
      </c>
      <c r="I19" s="15">
        <v>1246.6969999999999</v>
      </c>
      <c r="J19" s="15">
        <v>794.87300000000005</v>
      </c>
      <c r="K19" s="15">
        <v>872.33799999999997</v>
      </c>
      <c r="L19" s="15">
        <v>1024.1990000000001</v>
      </c>
      <c r="M19" s="15">
        <v>1098.6780000000001</v>
      </c>
      <c r="N19" s="15">
        <v>931.21400000000006</v>
      </c>
    </row>
    <row r="20" spans="1:14">
      <c r="A20" s="14">
        <v>4001211060</v>
      </c>
      <c r="B20" s="14" t="s">
        <v>109</v>
      </c>
      <c r="C20" s="14" t="s">
        <v>25</v>
      </c>
      <c r="D20" s="15"/>
      <c r="E20" s="15">
        <v>0.48</v>
      </c>
      <c r="F20" s="15"/>
      <c r="G20" s="15">
        <v>0.82099999999999995</v>
      </c>
      <c r="H20" s="15">
        <v>4.57</v>
      </c>
      <c r="I20" s="15"/>
      <c r="J20" s="15">
        <v>5.6550000000000002</v>
      </c>
      <c r="K20" s="15">
        <v>7.8639999999999999</v>
      </c>
      <c r="L20" s="15">
        <v>26.709</v>
      </c>
      <c r="M20" s="15">
        <v>7.8949999999999996</v>
      </c>
      <c r="N20" s="15">
        <v>7.6929999999999996</v>
      </c>
    </row>
    <row r="21" spans="1:14">
      <c r="A21" s="14">
        <v>4001290040</v>
      </c>
      <c r="B21" s="14" t="s">
        <v>110</v>
      </c>
      <c r="C21" s="14" t="s">
        <v>25</v>
      </c>
      <c r="D21" s="15">
        <v>66.775000000000006</v>
      </c>
      <c r="E21" s="15">
        <v>138.58699999999999</v>
      </c>
      <c r="F21" s="15">
        <v>51.21</v>
      </c>
      <c r="G21" s="15">
        <v>131.59700000000001</v>
      </c>
      <c r="H21" s="15">
        <v>85.024000000000001</v>
      </c>
      <c r="I21" s="15">
        <v>106.58199999999999</v>
      </c>
      <c r="J21" s="15">
        <v>114.36799999999999</v>
      </c>
      <c r="K21" s="15">
        <v>131.48699999999999</v>
      </c>
      <c r="L21" s="15">
        <v>166.34800000000001</v>
      </c>
      <c r="M21" s="15">
        <v>115.318</v>
      </c>
      <c r="N21" s="15">
        <v>115.44199999999999</v>
      </c>
    </row>
    <row r="22" spans="1:14">
      <c r="A22" s="14">
        <v>4001290090</v>
      </c>
      <c r="B22" s="14" t="s">
        <v>111</v>
      </c>
      <c r="C22" s="14" t="s">
        <v>25</v>
      </c>
      <c r="D22" s="15">
        <v>521.49199999999996</v>
      </c>
      <c r="E22" s="15">
        <v>502.67700000000002</v>
      </c>
      <c r="F22" s="15">
        <v>547.85599999999999</v>
      </c>
      <c r="G22" s="15">
        <v>599.09299999999996</v>
      </c>
      <c r="H22" s="15">
        <v>758.12199999999996</v>
      </c>
      <c r="I22" s="15">
        <v>924.27700000000004</v>
      </c>
      <c r="J22" s="15">
        <v>679.78</v>
      </c>
      <c r="K22" s="15">
        <v>699.19100000000003</v>
      </c>
      <c r="L22" s="15">
        <v>895.49</v>
      </c>
      <c r="M22" s="15">
        <v>705.00599999999997</v>
      </c>
      <c r="N22" s="15">
        <v>791.03800000000001</v>
      </c>
    </row>
    <row r="23" spans="1:14">
      <c r="A23" s="14">
        <v>4001290110</v>
      </c>
      <c r="B23" s="14" t="s">
        <v>112</v>
      </c>
      <c r="C23" s="14" t="s">
        <v>25</v>
      </c>
      <c r="D23" s="15"/>
      <c r="E23" s="15"/>
      <c r="F23" s="15"/>
      <c r="G23" s="15"/>
      <c r="H23" s="15"/>
      <c r="I23" s="15"/>
      <c r="J23" s="15"/>
      <c r="K23" s="15"/>
      <c r="L23" s="15"/>
      <c r="M23" s="15"/>
      <c r="N23" s="15"/>
    </row>
    <row r="24" spans="1:14">
      <c r="A24" s="14">
        <v>4001211420</v>
      </c>
      <c r="B24" s="14" t="s">
        <v>113</v>
      </c>
      <c r="C24" s="14" t="s">
        <v>25</v>
      </c>
      <c r="D24" s="15"/>
      <c r="E24" s="15"/>
      <c r="F24" s="15"/>
      <c r="G24" s="15"/>
      <c r="H24" s="15"/>
      <c r="I24" s="15"/>
      <c r="J24" s="15"/>
      <c r="K24" s="15"/>
      <c r="L24" s="15"/>
      <c r="M24" s="15"/>
      <c r="N24" s="15"/>
    </row>
    <row r="25" spans="1:14">
      <c r="A25" s="14">
        <v>4001211430</v>
      </c>
      <c r="B25" s="14" t="s">
        <v>114</v>
      </c>
      <c r="C25" s="14" t="s">
        <v>25</v>
      </c>
      <c r="D25" s="15">
        <v>7716.2005499999996</v>
      </c>
      <c r="E25" s="15">
        <v>9370.8669800000007</v>
      </c>
      <c r="F25" s="15">
        <v>8178.0019300000004</v>
      </c>
      <c r="G25" s="15">
        <v>10126.186379999999</v>
      </c>
      <c r="H25" s="15">
        <v>8313.3686400000006</v>
      </c>
      <c r="I25" s="15">
        <v>7962.7382699999998</v>
      </c>
      <c r="J25" s="15">
        <v>4058.1272300000001</v>
      </c>
      <c r="K25" s="15">
        <v>9192.1564799999996</v>
      </c>
      <c r="L25" s="15">
        <v>4924.7800399999996</v>
      </c>
      <c r="M25" s="15">
        <v>5057.7838000000002</v>
      </c>
      <c r="N25" s="15">
        <v>3955.3740299999999</v>
      </c>
    </row>
    <row r="26" spans="1:14">
      <c r="A26" s="14">
        <v>4001290120</v>
      </c>
      <c r="B26" s="14" t="s">
        <v>115</v>
      </c>
      <c r="C26" s="14" t="s">
        <v>25</v>
      </c>
      <c r="D26" s="15">
        <v>22.82</v>
      </c>
      <c r="E26" s="15">
        <v>33.700000000000003</v>
      </c>
      <c r="F26" s="15">
        <v>70.477999999999994</v>
      </c>
      <c r="G26" s="15">
        <v>162.102</v>
      </c>
      <c r="H26" s="15">
        <v>174.886</v>
      </c>
      <c r="I26" s="15">
        <v>183.61600000000001</v>
      </c>
      <c r="J26" s="15">
        <v>318.517</v>
      </c>
      <c r="K26" s="15">
        <v>376.21699999999998</v>
      </c>
      <c r="L26" s="15">
        <v>544.42999999999995</v>
      </c>
      <c r="M26" s="15">
        <v>719.06500000000005</v>
      </c>
      <c r="N26" s="15">
        <v>422.911</v>
      </c>
    </row>
    <row r="27" spans="1:14">
      <c r="A27" s="14">
        <v>4001290750</v>
      </c>
      <c r="B27" s="14" t="s">
        <v>116</v>
      </c>
      <c r="C27" s="14" t="s">
        <v>25</v>
      </c>
      <c r="D27" s="15">
        <v>22.82</v>
      </c>
      <c r="E27" s="15">
        <v>33.700000000000003</v>
      </c>
      <c r="F27" s="15">
        <v>70.477999999999994</v>
      </c>
      <c r="G27" s="15">
        <v>161.971</v>
      </c>
      <c r="H27" s="15">
        <v>174.56399999999999</v>
      </c>
      <c r="I27" s="15">
        <v>182.74199999999999</v>
      </c>
      <c r="J27" s="15">
        <v>308.61500000000001</v>
      </c>
      <c r="K27" s="15">
        <v>336.98599999999999</v>
      </c>
      <c r="L27" s="15">
        <v>360.75200000000001</v>
      </c>
      <c r="M27" s="15">
        <v>516.91600000000005</v>
      </c>
      <c r="N27" s="15">
        <v>306.00200000000001</v>
      </c>
    </row>
    <row r="28" spans="1:14">
      <c r="A28" s="14">
        <v>4001290760</v>
      </c>
      <c r="B28" s="14" t="s">
        <v>117</v>
      </c>
      <c r="C28" s="14" t="s">
        <v>25</v>
      </c>
      <c r="D28" s="15"/>
      <c r="E28" s="15"/>
      <c r="F28" s="15"/>
      <c r="G28" s="15"/>
      <c r="H28" s="15"/>
      <c r="I28" s="15">
        <v>0.34399999999999997</v>
      </c>
      <c r="J28" s="15"/>
      <c r="K28" s="15">
        <v>11.718</v>
      </c>
      <c r="L28" s="15">
        <v>11.718</v>
      </c>
      <c r="M28" s="15">
        <v>14.72</v>
      </c>
      <c r="N28" s="15">
        <v>22.914000000000001</v>
      </c>
    </row>
    <row r="29" spans="1:14">
      <c r="A29" s="14">
        <v>4001211480</v>
      </c>
      <c r="B29" s="14" t="s">
        <v>118</v>
      </c>
      <c r="C29" s="14" t="s">
        <v>25</v>
      </c>
      <c r="D29" s="15"/>
      <c r="E29" s="15"/>
      <c r="F29" s="15"/>
      <c r="G29" s="15"/>
      <c r="H29" s="15"/>
      <c r="I29" s="15"/>
      <c r="J29" s="15"/>
      <c r="K29" s="15"/>
      <c r="L29" s="15"/>
      <c r="M29" s="15"/>
      <c r="N29" s="15"/>
    </row>
    <row r="30" spans="1:14">
      <c r="A30" s="14">
        <v>4001211520</v>
      </c>
      <c r="B30" s="14" t="s">
        <v>119</v>
      </c>
      <c r="C30" s="14" t="s">
        <v>25</v>
      </c>
      <c r="D30" s="15"/>
      <c r="E30" s="15"/>
      <c r="F30" s="15"/>
      <c r="G30" s="15"/>
      <c r="H30" s="15"/>
      <c r="I30" s="15"/>
      <c r="J30" s="15"/>
      <c r="K30" s="15"/>
      <c r="L30" s="15"/>
      <c r="M30" s="15"/>
      <c r="N30" s="15"/>
    </row>
    <row r="31" spans="1:14">
      <c r="A31" s="14">
        <v>4001211600</v>
      </c>
      <c r="B31" s="14" t="s">
        <v>120</v>
      </c>
      <c r="C31" s="14" t="s">
        <v>25</v>
      </c>
      <c r="D31" s="15"/>
      <c r="E31" s="15"/>
      <c r="F31" s="15"/>
      <c r="G31" s="15"/>
      <c r="H31" s="15"/>
      <c r="I31" s="15"/>
      <c r="J31" s="15"/>
      <c r="K31" s="15"/>
      <c r="L31" s="15"/>
      <c r="M31" s="15"/>
      <c r="N31" s="15"/>
    </row>
    <row r="32" spans="1:14">
      <c r="A32" s="14">
        <v>4001211605</v>
      </c>
      <c r="B32" s="14" t="s">
        <v>121</v>
      </c>
      <c r="C32" s="14" t="s">
        <v>25</v>
      </c>
      <c r="D32" s="15"/>
      <c r="E32" s="15"/>
      <c r="F32" s="15"/>
      <c r="G32" s="15"/>
      <c r="H32" s="15"/>
      <c r="I32" s="15"/>
      <c r="J32" s="15"/>
      <c r="K32" s="15"/>
      <c r="L32" s="15"/>
      <c r="M32" s="15"/>
      <c r="N32" s="15"/>
    </row>
    <row r="33" spans="1:14">
      <c r="A33" s="14">
        <v>4001290130</v>
      </c>
      <c r="B33" s="14" t="s">
        <v>122</v>
      </c>
      <c r="C33" s="14" t="s">
        <v>25</v>
      </c>
      <c r="D33" s="15"/>
      <c r="E33" s="15"/>
      <c r="F33" s="15"/>
      <c r="G33" s="15"/>
      <c r="H33" s="15"/>
      <c r="I33" s="15"/>
      <c r="J33" s="15"/>
      <c r="K33" s="15"/>
      <c r="L33" s="15">
        <v>53.273000000000003</v>
      </c>
      <c r="M33" s="15">
        <v>-14.068</v>
      </c>
      <c r="N33" s="15">
        <v>52.615000000000002</v>
      </c>
    </row>
    <row r="34" spans="1:14">
      <c r="A34" s="14">
        <v>4001290150</v>
      </c>
      <c r="B34" s="14" t="s">
        <v>123</v>
      </c>
      <c r="C34" s="14" t="s">
        <v>25</v>
      </c>
      <c r="D34" s="15"/>
      <c r="E34" s="15"/>
      <c r="F34" s="15"/>
      <c r="G34" s="15">
        <v>0.13100000000000001</v>
      </c>
      <c r="H34" s="15">
        <v>0.32200000000000001</v>
      </c>
      <c r="I34" s="15">
        <v>0.53</v>
      </c>
      <c r="J34" s="15">
        <v>9.9019999999999992</v>
      </c>
      <c r="K34" s="15">
        <v>27.513000000000002</v>
      </c>
      <c r="L34" s="15">
        <v>118.687</v>
      </c>
      <c r="M34" s="15">
        <v>201.49700000000001</v>
      </c>
      <c r="N34" s="15">
        <v>41.38</v>
      </c>
    </row>
    <row r="35" spans="1:14">
      <c r="A35" s="14">
        <v>4001211720</v>
      </c>
      <c r="B35" s="14" t="s">
        <v>124</v>
      </c>
      <c r="C35" s="14" t="s">
        <v>25</v>
      </c>
      <c r="D35" s="15"/>
      <c r="E35" s="15"/>
      <c r="F35" s="15"/>
      <c r="G35" s="15"/>
      <c r="H35" s="15"/>
      <c r="I35" s="15"/>
      <c r="J35" s="15"/>
      <c r="K35" s="15"/>
      <c r="L35" s="15"/>
      <c r="M35" s="15"/>
      <c r="N35" s="15"/>
    </row>
    <row r="36" spans="1:14">
      <c r="A36" s="14">
        <v>4001211680</v>
      </c>
      <c r="B36" s="14" t="s">
        <v>125</v>
      </c>
      <c r="C36" s="14" t="s">
        <v>25</v>
      </c>
      <c r="D36" s="15"/>
      <c r="E36" s="15"/>
      <c r="F36" s="15"/>
      <c r="G36" s="15"/>
      <c r="H36" s="15"/>
      <c r="I36" s="15"/>
      <c r="J36" s="15"/>
      <c r="K36" s="15"/>
      <c r="L36" s="15"/>
      <c r="M36" s="15"/>
      <c r="N36" s="15"/>
    </row>
    <row r="37" spans="1:14">
      <c r="A37" s="14">
        <v>4001290170</v>
      </c>
      <c r="B37" s="14" t="s">
        <v>126</v>
      </c>
      <c r="C37" s="14" t="s">
        <v>25</v>
      </c>
      <c r="D37" s="15"/>
      <c r="E37" s="15"/>
      <c r="F37" s="15"/>
      <c r="G37" s="15"/>
      <c r="H37" s="15"/>
      <c r="I37" s="15"/>
      <c r="J37" s="15"/>
      <c r="K37" s="15"/>
      <c r="L37" s="15"/>
      <c r="M37" s="15"/>
      <c r="N37" s="15"/>
    </row>
    <row r="38" spans="1:14">
      <c r="A38" s="14">
        <v>4001290180</v>
      </c>
      <c r="B38" s="14" t="s">
        <v>127</v>
      </c>
      <c r="C38" s="14" t="s">
        <v>25</v>
      </c>
      <c r="D38" s="15">
        <v>486.00700000000001</v>
      </c>
      <c r="E38" s="15">
        <v>620.16600000000005</v>
      </c>
      <c r="F38" s="15">
        <v>769.154</v>
      </c>
      <c r="G38" s="15">
        <v>999.54700000000003</v>
      </c>
      <c r="H38" s="15">
        <v>1188.06</v>
      </c>
      <c r="I38" s="15">
        <v>1431.606</v>
      </c>
      <c r="J38" s="15">
        <v>1654.5070000000001</v>
      </c>
      <c r="K38" s="15">
        <v>2024.0820000000001</v>
      </c>
      <c r="L38" s="15">
        <v>2083.0590000000002</v>
      </c>
      <c r="M38" s="15">
        <v>2173.0740000000001</v>
      </c>
      <c r="N38" s="15">
        <v>2321.855</v>
      </c>
    </row>
    <row r="39" spans="1:14">
      <c r="A39" s="14">
        <v>4001290770</v>
      </c>
      <c r="B39" s="14" t="s">
        <v>128</v>
      </c>
      <c r="C39" s="14" t="s">
        <v>25</v>
      </c>
      <c r="D39" s="15">
        <v>486.00700000000001</v>
      </c>
      <c r="E39" s="15">
        <v>619.71699999999998</v>
      </c>
      <c r="F39" s="15">
        <v>768.94799999999998</v>
      </c>
      <c r="G39" s="15">
        <v>998.79700000000003</v>
      </c>
      <c r="H39" s="15">
        <v>1187.9970000000001</v>
      </c>
      <c r="I39" s="15">
        <v>1431.566</v>
      </c>
      <c r="J39" s="15">
        <v>1654.4880000000001</v>
      </c>
      <c r="K39" s="15">
        <v>2024.0820000000001</v>
      </c>
      <c r="L39" s="15">
        <v>2083.0590000000002</v>
      </c>
      <c r="M39" s="15">
        <v>2173.0740000000001</v>
      </c>
      <c r="N39" s="15">
        <v>2321.855</v>
      </c>
    </row>
    <row r="40" spans="1:14">
      <c r="A40" s="14">
        <v>4001211820</v>
      </c>
      <c r="B40" s="14" t="s">
        <v>129</v>
      </c>
      <c r="C40" s="14" t="s">
        <v>25</v>
      </c>
      <c r="D40" s="15"/>
      <c r="E40" s="15"/>
      <c r="F40" s="15"/>
      <c r="G40" s="15"/>
      <c r="H40" s="15"/>
      <c r="I40" s="15"/>
      <c r="J40" s="15"/>
      <c r="K40" s="15"/>
      <c r="L40" s="15"/>
      <c r="M40" s="15"/>
      <c r="N40" s="15"/>
    </row>
    <row r="41" spans="1:14">
      <c r="A41" s="14">
        <v>4001211860</v>
      </c>
      <c r="B41" s="14" t="s">
        <v>130</v>
      </c>
      <c r="C41" s="14" t="s">
        <v>25</v>
      </c>
      <c r="D41" s="15"/>
      <c r="E41" s="15"/>
      <c r="F41" s="15"/>
      <c r="G41" s="15"/>
      <c r="H41" s="15"/>
      <c r="I41" s="15"/>
      <c r="J41" s="15"/>
      <c r="K41" s="15"/>
      <c r="L41" s="15"/>
      <c r="M41" s="15"/>
      <c r="N41" s="15"/>
    </row>
    <row r="42" spans="1:14">
      <c r="A42" s="14">
        <v>4001211865</v>
      </c>
      <c r="B42" s="14" t="s">
        <v>131</v>
      </c>
      <c r="C42" s="14" t="s">
        <v>25</v>
      </c>
      <c r="D42" s="15"/>
      <c r="E42" s="15"/>
      <c r="F42" s="15"/>
      <c r="G42" s="15"/>
      <c r="H42" s="15"/>
      <c r="I42" s="15"/>
      <c r="J42" s="15"/>
      <c r="K42" s="15"/>
      <c r="L42" s="15"/>
      <c r="M42" s="15"/>
      <c r="N42" s="15"/>
    </row>
    <row r="43" spans="1:14">
      <c r="A43" s="14">
        <v>4001211940</v>
      </c>
      <c r="B43" s="14" t="s">
        <v>132</v>
      </c>
      <c r="C43" s="14" t="s">
        <v>25</v>
      </c>
      <c r="D43" s="15"/>
      <c r="E43" s="15"/>
      <c r="F43" s="15"/>
      <c r="G43" s="15"/>
      <c r="H43" s="15"/>
      <c r="I43" s="15"/>
      <c r="J43" s="15"/>
      <c r="K43" s="15"/>
      <c r="L43" s="15"/>
      <c r="M43" s="15"/>
      <c r="N43" s="15"/>
    </row>
    <row r="44" spans="1:14">
      <c r="A44" s="14">
        <v>4001290190</v>
      </c>
      <c r="B44" s="14" t="s">
        <v>133</v>
      </c>
      <c r="C44" s="14" t="s">
        <v>25</v>
      </c>
      <c r="D44" s="15"/>
      <c r="E44" s="15"/>
      <c r="F44" s="15"/>
      <c r="G44" s="15"/>
      <c r="H44" s="15"/>
      <c r="I44" s="15"/>
      <c r="J44" s="15"/>
      <c r="K44" s="15"/>
      <c r="L44" s="15"/>
      <c r="M44" s="15"/>
      <c r="N44" s="15"/>
    </row>
    <row r="45" spans="1:14">
      <c r="A45" s="14">
        <v>4001290210</v>
      </c>
      <c r="B45" s="14" t="s">
        <v>134</v>
      </c>
      <c r="C45" s="14" t="s">
        <v>25</v>
      </c>
      <c r="D45" s="15"/>
      <c r="E45" s="15">
        <v>0.44900000000000001</v>
      </c>
      <c r="F45" s="15">
        <v>0.20599999999999999</v>
      </c>
      <c r="G45" s="15">
        <v>0.75</v>
      </c>
      <c r="H45" s="15">
        <v>6.3E-2</v>
      </c>
      <c r="I45" s="15">
        <v>0.04</v>
      </c>
      <c r="J45" s="15">
        <v>1.9E-2</v>
      </c>
      <c r="K45" s="15"/>
      <c r="L45" s="15"/>
      <c r="M45" s="15"/>
      <c r="N45" s="15"/>
    </row>
    <row r="46" spans="1:14">
      <c r="A46" s="14">
        <v>4001212060</v>
      </c>
      <c r="B46" s="14" t="s">
        <v>135</v>
      </c>
      <c r="C46" s="14" t="s">
        <v>25</v>
      </c>
      <c r="D46" s="15"/>
      <c r="E46" s="15"/>
      <c r="F46" s="15"/>
      <c r="G46" s="15"/>
      <c r="H46" s="15"/>
      <c r="I46" s="15"/>
      <c r="J46" s="15"/>
      <c r="K46" s="15"/>
      <c r="L46" s="15"/>
      <c r="M46" s="15"/>
      <c r="N46" s="15"/>
    </row>
    <row r="47" spans="1:14">
      <c r="A47" s="14">
        <v>4001212020</v>
      </c>
      <c r="B47" s="14" t="s">
        <v>136</v>
      </c>
      <c r="C47" s="14" t="s">
        <v>25</v>
      </c>
      <c r="D47" s="15"/>
      <c r="E47" s="15"/>
      <c r="F47" s="15"/>
      <c r="G47" s="15"/>
      <c r="H47" s="15"/>
      <c r="I47" s="15"/>
      <c r="J47" s="15"/>
      <c r="K47" s="15"/>
      <c r="L47" s="15"/>
      <c r="M47" s="15"/>
      <c r="N47" s="15"/>
    </row>
    <row r="48" spans="1:14">
      <c r="A48" s="14">
        <v>4001290230</v>
      </c>
      <c r="B48" s="14" t="s">
        <v>137</v>
      </c>
      <c r="C48" s="14" t="s">
        <v>25</v>
      </c>
      <c r="D48" s="15"/>
      <c r="E48" s="15"/>
      <c r="F48" s="15"/>
      <c r="G48" s="15"/>
      <c r="H48" s="15"/>
      <c r="I48" s="15"/>
      <c r="J48" s="15"/>
      <c r="K48" s="15"/>
      <c r="L48" s="15"/>
      <c r="M48" s="15"/>
      <c r="N48" s="15"/>
    </row>
    <row r="49" spans="1:14">
      <c r="A49" s="14">
        <v>4001290240</v>
      </c>
      <c r="B49" s="14" t="s">
        <v>138</v>
      </c>
      <c r="C49" s="14" t="s">
        <v>25</v>
      </c>
      <c r="D49" s="15">
        <v>434.95400000000001</v>
      </c>
      <c r="E49" s="15">
        <v>774.93</v>
      </c>
      <c r="F49" s="15">
        <v>1660.7739999999999</v>
      </c>
      <c r="G49" s="15">
        <v>652.55700000000002</v>
      </c>
      <c r="H49" s="15">
        <v>1945.213</v>
      </c>
      <c r="I49" s="15">
        <v>493.62099999999998</v>
      </c>
      <c r="J49" s="15">
        <v>1158.204</v>
      </c>
      <c r="K49" s="15">
        <v>330.90600000000001</v>
      </c>
      <c r="L49" s="15">
        <v>1163.9570000000001</v>
      </c>
      <c r="M49" s="15">
        <v>754.10299999999995</v>
      </c>
      <c r="N49" s="15">
        <v>78.001999999999995</v>
      </c>
    </row>
    <row r="50" spans="1:14">
      <c r="A50" s="14">
        <v>4001280000</v>
      </c>
      <c r="B50" s="14" t="s">
        <v>116</v>
      </c>
      <c r="C50" s="14" t="s">
        <v>25</v>
      </c>
      <c r="D50" s="15"/>
      <c r="E50" s="15"/>
      <c r="F50" s="15"/>
      <c r="G50" s="15"/>
      <c r="H50" s="15"/>
      <c r="I50" s="15"/>
      <c r="J50" s="15"/>
      <c r="K50" s="15"/>
      <c r="L50" s="15"/>
      <c r="M50" s="15"/>
      <c r="N50" s="15"/>
    </row>
    <row r="51" spans="1:14">
      <c r="A51" s="14">
        <v>4001280010</v>
      </c>
      <c r="B51" s="14" t="s">
        <v>117</v>
      </c>
      <c r="C51" s="14" t="s">
        <v>25</v>
      </c>
      <c r="D51" s="15"/>
      <c r="E51" s="15"/>
      <c r="F51" s="15"/>
      <c r="G51" s="15"/>
      <c r="H51" s="15"/>
      <c r="I51" s="15"/>
      <c r="J51" s="15"/>
      <c r="K51" s="15"/>
      <c r="L51" s="15"/>
      <c r="M51" s="15"/>
      <c r="N51" s="15"/>
    </row>
    <row r="52" spans="1:14">
      <c r="A52" s="14">
        <v>4001290250</v>
      </c>
      <c r="B52" s="14" t="s">
        <v>118</v>
      </c>
      <c r="C52" s="14" t="s">
        <v>25</v>
      </c>
      <c r="D52" s="15">
        <v>352.58100000000002</v>
      </c>
      <c r="E52" s="15">
        <v>756.202</v>
      </c>
      <c r="F52" s="15">
        <v>1602.4010000000001</v>
      </c>
      <c r="G52" s="15">
        <v>561.56100000000004</v>
      </c>
      <c r="H52" s="15">
        <v>1854.2059999999999</v>
      </c>
      <c r="I52" s="15">
        <v>439.01400000000001</v>
      </c>
      <c r="J52" s="15">
        <v>1129.172</v>
      </c>
      <c r="K52" s="15">
        <v>248.32900000000001</v>
      </c>
      <c r="L52" s="15">
        <v>1079.8399999999999</v>
      </c>
      <c r="M52" s="15">
        <v>731.01900000000001</v>
      </c>
      <c r="N52" s="15">
        <v>63.411999999999999</v>
      </c>
    </row>
    <row r="53" spans="1:14">
      <c r="A53" s="14">
        <v>4001280050</v>
      </c>
      <c r="B53" s="14" t="s">
        <v>139</v>
      </c>
      <c r="C53" s="14" t="s">
        <v>25</v>
      </c>
      <c r="D53" s="15"/>
      <c r="E53" s="15"/>
      <c r="F53" s="15"/>
      <c r="G53" s="15"/>
      <c r="H53" s="15"/>
      <c r="I53" s="15"/>
      <c r="J53" s="15"/>
      <c r="K53" s="15"/>
      <c r="L53" s="15"/>
      <c r="M53" s="15"/>
      <c r="N53" s="15"/>
    </row>
    <row r="54" spans="1:14">
      <c r="A54" s="14">
        <v>4001280060</v>
      </c>
      <c r="B54" s="14" t="s">
        <v>140</v>
      </c>
      <c r="C54" s="14" t="s">
        <v>25</v>
      </c>
      <c r="D54" s="15"/>
      <c r="E54" s="15"/>
      <c r="F54" s="15"/>
      <c r="G54" s="15"/>
      <c r="H54" s="15"/>
      <c r="I54" s="15"/>
      <c r="J54" s="15"/>
      <c r="K54" s="15"/>
      <c r="L54" s="15"/>
      <c r="M54" s="15"/>
      <c r="N54" s="15"/>
    </row>
    <row r="55" spans="1:14">
      <c r="A55" s="14">
        <v>4001280065</v>
      </c>
      <c r="B55" s="14" t="s">
        <v>141</v>
      </c>
      <c r="C55" s="14" t="s">
        <v>25</v>
      </c>
      <c r="D55" s="15"/>
      <c r="E55" s="15"/>
      <c r="F55" s="15"/>
      <c r="G55" s="15"/>
      <c r="H55" s="15"/>
      <c r="I55" s="15"/>
      <c r="J55" s="15"/>
      <c r="K55" s="15"/>
      <c r="L55" s="15"/>
      <c r="M55" s="15"/>
      <c r="N55" s="15"/>
    </row>
    <row r="56" spans="1:14">
      <c r="A56" s="14">
        <v>4001290260</v>
      </c>
      <c r="B56" s="14" t="s">
        <v>142</v>
      </c>
      <c r="C56" s="14" t="s">
        <v>25</v>
      </c>
      <c r="D56" s="15">
        <v>74.3</v>
      </c>
      <c r="E56" s="15">
        <v>0.16900000000000001</v>
      </c>
      <c r="F56" s="15">
        <v>3.081</v>
      </c>
      <c r="G56" s="15">
        <v>74.899000000000001</v>
      </c>
      <c r="H56" s="15">
        <v>66.733999999999995</v>
      </c>
      <c r="I56" s="15">
        <v>20.212</v>
      </c>
      <c r="J56" s="15">
        <v>4.8049999999999997</v>
      </c>
      <c r="K56" s="15">
        <v>26.914000000000001</v>
      </c>
      <c r="L56" s="15">
        <v>4.2930000000000001</v>
      </c>
      <c r="M56" s="15">
        <v>5.077</v>
      </c>
      <c r="N56" s="15">
        <v>0.28000000000000003</v>
      </c>
    </row>
    <row r="57" spans="1:14">
      <c r="A57" s="14">
        <v>4001280140</v>
      </c>
      <c r="B57" s="14" t="s">
        <v>143</v>
      </c>
      <c r="C57" s="14" t="s">
        <v>25</v>
      </c>
      <c r="D57" s="15"/>
      <c r="E57" s="15"/>
      <c r="F57" s="15"/>
      <c r="G57" s="15"/>
      <c r="H57" s="15"/>
      <c r="I57" s="15"/>
      <c r="J57" s="15"/>
      <c r="K57" s="15"/>
      <c r="L57" s="15"/>
      <c r="M57" s="15"/>
      <c r="N57" s="15"/>
    </row>
    <row r="58" spans="1:14">
      <c r="A58" s="14">
        <v>4001290280</v>
      </c>
      <c r="B58" s="14" t="s">
        <v>144</v>
      </c>
      <c r="C58" s="14" t="s">
        <v>25</v>
      </c>
      <c r="D58" s="15">
        <v>6.8659999999999997</v>
      </c>
      <c r="E58" s="15">
        <v>0.48499999999999999</v>
      </c>
      <c r="F58" s="15">
        <v>9.0589999999999993</v>
      </c>
      <c r="G58" s="15">
        <v>5.14</v>
      </c>
      <c r="H58" s="15"/>
      <c r="I58" s="15">
        <v>2.7639999999999998</v>
      </c>
      <c r="J58" s="15">
        <v>4.6870000000000003</v>
      </c>
      <c r="K58" s="15">
        <v>28.38</v>
      </c>
      <c r="L58" s="15"/>
      <c r="M58" s="15">
        <v>1.613</v>
      </c>
      <c r="N58" s="15">
        <v>9.8539999999999992</v>
      </c>
    </row>
    <row r="59" spans="1:14">
      <c r="A59" s="14">
        <v>4001290300</v>
      </c>
      <c r="B59" s="14" t="s">
        <v>125</v>
      </c>
      <c r="C59" s="14" t="s">
        <v>25</v>
      </c>
      <c r="D59" s="15"/>
      <c r="E59" s="15"/>
      <c r="F59" s="15"/>
      <c r="G59" s="15"/>
      <c r="H59" s="15"/>
      <c r="I59" s="15"/>
      <c r="J59" s="15"/>
      <c r="K59" s="15"/>
      <c r="L59" s="15"/>
      <c r="M59" s="15"/>
      <c r="N59" s="15"/>
    </row>
    <row r="60" spans="1:14">
      <c r="A60" s="14">
        <v>4001280240</v>
      </c>
      <c r="B60" s="14" t="s">
        <v>145</v>
      </c>
      <c r="C60" s="14" t="s">
        <v>25</v>
      </c>
      <c r="D60" s="15"/>
      <c r="E60" s="15"/>
      <c r="F60" s="15"/>
      <c r="G60" s="15"/>
      <c r="H60" s="15"/>
      <c r="I60" s="15"/>
      <c r="J60" s="15"/>
      <c r="K60" s="15"/>
      <c r="L60" s="15"/>
      <c r="M60" s="15"/>
      <c r="N60" s="15"/>
    </row>
    <row r="61" spans="1:14">
      <c r="A61" s="14">
        <v>4001280250</v>
      </c>
      <c r="B61" s="14" t="s">
        <v>146</v>
      </c>
      <c r="C61" s="14" t="s">
        <v>25</v>
      </c>
      <c r="D61" s="15"/>
      <c r="E61" s="15"/>
      <c r="F61" s="15"/>
      <c r="G61" s="15"/>
      <c r="H61" s="15"/>
      <c r="I61" s="15"/>
      <c r="J61" s="15"/>
      <c r="K61" s="15"/>
      <c r="L61" s="15"/>
      <c r="M61" s="15"/>
      <c r="N61" s="15"/>
    </row>
    <row r="62" spans="1:14">
      <c r="A62" s="14">
        <v>4001280260</v>
      </c>
      <c r="B62" s="14" t="s">
        <v>147</v>
      </c>
      <c r="C62" s="14" t="s">
        <v>25</v>
      </c>
      <c r="D62" s="15"/>
      <c r="E62" s="15"/>
      <c r="F62" s="15"/>
      <c r="G62" s="15"/>
      <c r="H62" s="15"/>
      <c r="I62" s="15"/>
      <c r="J62" s="15"/>
      <c r="K62" s="15"/>
      <c r="L62" s="15"/>
      <c r="M62" s="15"/>
      <c r="N62" s="15"/>
    </row>
    <row r="63" spans="1:14">
      <c r="A63" s="14">
        <v>4001280270</v>
      </c>
      <c r="B63" s="14" t="s">
        <v>148</v>
      </c>
      <c r="C63" s="14" t="s">
        <v>25</v>
      </c>
      <c r="D63" s="15"/>
      <c r="E63" s="15"/>
      <c r="F63" s="15"/>
      <c r="G63" s="15"/>
      <c r="H63" s="15">
        <v>3.3000000000000002E-2</v>
      </c>
      <c r="I63" s="15"/>
      <c r="J63" s="15"/>
      <c r="K63" s="15">
        <v>-3.3000000000000002E-2</v>
      </c>
      <c r="L63" s="15">
        <v>0.16200000000000001</v>
      </c>
      <c r="M63" s="15"/>
      <c r="N63" s="15"/>
    </row>
    <row r="64" spans="1:14">
      <c r="A64" s="14">
        <v>4001280280</v>
      </c>
      <c r="B64" s="14" t="s">
        <v>149</v>
      </c>
      <c r="C64" s="14" t="s">
        <v>25</v>
      </c>
      <c r="D64" s="15"/>
      <c r="E64" s="15"/>
      <c r="F64" s="15"/>
      <c r="G64" s="15"/>
      <c r="H64" s="15"/>
      <c r="I64" s="15"/>
      <c r="J64" s="15"/>
      <c r="K64" s="15"/>
      <c r="L64" s="15"/>
      <c r="M64" s="15"/>
      <c r="N64" s="15"/>
    </row>
    <row r="65" spans="1:14">
      <c r="A65" s="14">
        <v>4001290310</v>
      </c>
      <c r="B65" s="14" t="s">
        <v>150</v>
      </c>
      <c r="C65" s="14" t="s">
        <v>25</v>
      </c>
      <c r="D65" s="15">
        <v>1.2070000000000001</v>
      </c>
      <c r="E65" s="15">
        <v>18.074000000000002</v>
      </c>
      <c r="F65" s="15">
        <v>46.232999999999997</v>
      </c>
      <c r="G65" s="15">
        <v>10.957000000000001</v>
      </c>
      <c r="H65" s="15">
        <v>24.24</v>
      </c>
      <c r="I65" s="15">
        <v>31.631</v>
      </c>
      <c r="J65" s="15">
        <v>19.54</v>
      </c>
      <c r="K65" s="15">
        <v>27.315999999999999</v>
      </c>
      <c r="L65" s="15">
        <v>79.662000000000006</v>
      </c>
      <c r="M65" s="15">
        <v>16.393999999999998</v>
      </c>
      <c r="N65" s="15">
        <v>4.4560000000000004</v>
      </c>
    </row>
    <row r="66" spans="1:14">
      <c r="A66" s="14">
        <v>4001290320</v>
      </c>
      <c r="B66" s="14" t="s">
        <v>151</v>
      </c>
      <c r="C66" s="14" t="s">
        <v>25</v>
      </c>
      <c r="D66" s="15">
        <v>327.64100000000002</v>
      </c>
      <c r="E66" s="15">
        <v>2456.3829999999998</v>
      </c>
      <c r="F66" s="15">
        <v>654.65899999999999</v>
      </c>
      <c r="G66" s="15">
        <v>2807.2739999999999</v>
      </c>
      <c r="H66" s="15">
        <v>1492.1220000000001</v>
      </c>
      <c r="I66" s="15">
        <v>589.37800000000004</v>
      </c>
      <c r="J66" s="15">
        <v>498.64400000000001</v>
      </c>
      <c r="K66" s="15">
        <v>1263.7090000000001</v>
      </c>
      <c r="L66" s="15">
        <v>259.75700000000001</v>
      </c>
      <c r="M66" s="15">
        <v>365.5</v>
      </c>
      <c r="N66" s="15">
        <v>1049.7840000000001</v>
      </c>
    </row>
    <row r="67" spans="1:14">
      <c r="A67" s="14">
        <v>4001280400</v>
      </c>
      <c r="B67" s="14" t="s">
        <v>128</v>
      </c>
      <c r="C67" s="14" t="s">
        <v>25</v>
      </c>
      <c r="D67" s="15"/>
      <c r="E67" s="15"/>
      <c r="F67" s="15"/>
      <c r="G67" s="15"/>
      <c r="H67" s="15"/>
      <c r="I67" s="15"/>
      <c r="J67" s="15"/>
      <c r="K67" s="15"/>
      <c r="L67" s="15"/>
      <c r="M67" s="15"/>
      <c r="N67" s="15"/>
    </row>
    <row r="68" spans="1:14">
      <c r="A68" s="14">
        <v>4001290330</v>
      </c>
      <c r="B68" s="14" t="s">
        <v>129</v>
      </c>
      <c r="C68" s="14" t="s">
        <v>25</v>
      </c>
      <c r="D68" s="15">
        <v>304.08800000000002</v>
      </c>
      <c r="E68" s="15">
        <v>371.04300000000001</v>
      </c>
      <c r="F68" s="15">
        <v>593.66800000000001</v>
      </c>
      <c r="G68" s="15">
        <v>2141.5630000000001</v>
      </c>
      <c r="H68" s="15">
        <v>1383.4010000000001</v>
      </c>
      <c r="I68" s="15">
        <v>482.17700000000002</v>
      </c>
      <c r="J68" s="15">
        <v>480.464</v>
      </c>
      <c r="K68" s="15">
        <v>1247.94</v>
      </c>
      <c r="L68" s="15">
        <v>228.42599999999999</v>
      </c>
      <c r="M68" s="15">
        <v>322.61500000000001</v>
      </c>
      <c r="N68" s="15">
        <v>929.89400000000001</v>
      </c>
    </row>
    <row r="69" spans="1:14">
      <c r="A69" s="14">
        <v>4001280440</v>
      </c>
      <c r="B69" s="14" t="s">
        <v>152</v>
      </c>
      <c r="C69" s="14" t="s">
        <v>25</v>
      </c>
      <c r="D69" s="15"/>
      <c r="E69" s="15"/>
      <c r="F69" s="15"/>
      <c r="G69" s="15"/>
      <c r="H69" s="15"/>
      <c r="I69" s="15"/>
      <c r="J69" s="15"/>
      <c r="K69" s="15"/>
      <c r="L69" s="15"/>
      <c r="M69" s="15"/>
      <c r="N69" s="15"/>
    </row>
    <row r="70" spans="1:14">
      <c r="A70" s="14">
        <v>4001280450</v>
      </c>
      <c r="B70" s="14" t="s">
        <v>153</v>
      </c>
      <c r="C70" s="14" t="s">
        <v>25</v>
      </c>
      <c r="D70" s="15"/>
      <c r="E70" s="15"/>
      <c r="F70" s="15"/>
      <c r="G70" s="15">
        <v>15.803000000000001</v>
      </c>
      <c r="H70" s="15"/>
      <c r="I70" s="15"/>
      <c r="J70" s="15"/>
      <c r="K70" s="15"/>
      <c r="L70" s="15"/>
      <c r="M70" s="15"/>
      <c r="N70" s="15"/>
    </row>
    <row r="71" spans="1:14">
      <c r="A71" s="14">
        <v>4001280455</v>
      </c>
      <c r="B71" s="14" t="s">
        <v>154</v>
      </c>
      <c r="C71" s="14" t="s">
        <v>25</v>
      </c>
      <c r="D71" s="15">
        <v>0.66</v>
      </c>
      <c r="E71" s="15"/>
      <c r="F71" s="15"/>
      <c r="G71" s="15">
        <v>-0.66</v>
      </c>
      <c r="H71" s="15"/>
      <c r="I71" s="15"/>
      <c r="J71" s="15"/>
      <c r="K71" s="15"/>
      <c r="L71" s="15"/>
      <c r="M71" s="15"/>
      <c r="N71" s="15"/>
    </row>
    <row r="72" spans="1:14">
      <c r="A72" s="14">
        <v>4001290340</v>
      </c>
      <c r="B72" s="14" t="s">
        <v>155</v>
      </c>
      <c r="C72" s="14" t="s">
        <v>25</v>
      </c>
      <c r="D72" s="15">
        <v>10.635999999999999</v>
      </c>
      <c r="E72" s="15">
        <v>113.85899999999999</v>
      </c>
      <c r="F72" s="15">
        <v>21.225000000000001</v>
      </c>
      <c r="G72" s="15">
        <v>99.45</v>
      </c>
      <c r="H72" s="15">
        <v>2.3119999999999998</v>
      </c>
      <c r="I72" s="15"/>
      <c r="J72" s="15"/>
      <c r="K72" s="15">
        <v>0.111</v>
      </c>
      <c r="L72" s="15">
        <v>14.938000000000001</v>
      </c>
      <c r="M72" s="15"/>
      <c r="N72" s="15">
        <v>24.192</v>
      </c>
    </row>
    <row r="73" spans="1:14">
      <c r="A73" s="14">
        <v>4001280540</v>
      </c>
      <c r="B73" s="14" t="s">
        <v>156</v>
      </c>
      <c r="C73" s="14" t="s">
        <v>25</v>
      </c>
      <c r="D73" s="15"/>
      <c r="E73" s="15"/>
      <c r="F73" s="15"/>
      <c r="G73" s="15"/>
      <c r="H73" s="15"/>
      <c r="I73" s="15"/>
      <c r="J73" s="15"/>
      <c r="K73" s="15"/>
      <c r="L73" s="15"/>
      <c r="M73" s="15"/>
      <c r="N73" s="15"/>
    </row>
    <row r="74" spans="1:14">
      <c r="A74" s="14">
        <v>4001290360</v>
      </c>
      <c r="B74" s="14" t="s">
        <v>157</v>
      </c>
      <c r="C74" s="14" t="s">
        <v>25</v>
      </c>
      <c r="D74" s="15">
        <v>6.657</v>
      </c>
      <c r="E74" s="15">
        <v>6.0620000000000003</v>
      </c>
      <c r="F74" s="15">
        <v>2.8039999999999998</v>
      </c>
      <c r="G74" s="15">
        <v>27.239000000000001</v>
      </c>
      <c r="H74" s="15">
        <v>26.8</v>
      </c>
      <c r="I74" s="15">
        <v>6.9279999999999999</v>
      </c>
      <c r="J74" s="15">
        <v>5.5960000000000001</v>
      </c>
      <c r="K74" s="15">
        <v>6.6580000000000004</v>
      </c>
      <c r="L74" s="15">
        <v>0.79300000000000004</v>
      </c>
      <c r="M74" s="15">
        <v>1.621</v>
      </c>
      <c r="N74" s="15">
        <v>0.45400000000000001</v>
      </c>
    </row>
    <row r="75" spans="1:14">
      <c r="A75" s="14">
        <v>4001290380</v>
      </c>
      <c r="B75" s="14" t="s">
        <v>136</v>
      </c>
      <c r="C75" s="14" t="s">
        <v>25</v>
      </c>
      <c r="D75" s="15"/>
      <c r="E75" s="15"/>
      <c r="F75" s="15"/>
      <c r="G75" s="15"/>
      <c r="H75" s="15"/>
      <c r="I75" s="15"/>
      <c r="J75" s="15"/>
      <c r="K75" s="15"/>
      <c r="L75" s="15"/>
      <c r="M75" s="15"/>
      <c r="N75" s="15"/>
    </row>
    <row r="76" spans="1:14">
      <c r="A76" s="14">
        <v>4001280650</v>
      </c>
      <c r="B76" s="14" t="s">
        <v>158</v>
      </c>
      <c r="C76" s="14" t="s">
        <v>25</v>
      </c>
      <c r="D76" s="15"/>
      <c r="E76" s="15"/>
      <c r="F76" s="15"/>
      <c r="G76" s="15"/>
      <c r="H76" s="15"/>
      <c r="I76" s="15"/>
      <c r="J76" s="15"/>
      <c r="K76" s="15"/>
      <c r="L76" s="15"/>
      <c r="M76" s="15"/>
      <c r="N76" s="15"/>
    </row>
    <row r="77" spans="1:14">
      <c r="A77" s="14">
        <v>4001280660</v>
      </c>
      <c r="B77" s="14" t="s">
        <v>159</v>
      </c>
      <c r="C77" s="14" t="s">
        <v>25</v>
      </c>
      <c r="D77" s="15"/>
      <c r="E77" s="15"/>
      <c r="F77" s="15"/>
      <c r="G77" s="15"/>
      <c r="H77" s="15"/>
      <c r="I77" s="15"/>
      <c r="J77" s="15"/>
      <c r="K77" s="15"/>
      <c r="L77" s="15"/>
      <c r="M77" s="15"/>
      <c r="N77" s="15"/>
    </row>
    <row r="78" spans="1:14">
      <c r="A78" s="14">
        <v>4001290390</v>
      </c>
      <c r="B78" s="14" t="s">
        <v>150</v>
      </c>
      <c r="C78" s="14" t="s">
        <v>25</v>
      </c>
      <c r="D78" s="15">
        <v>5.6</v>
      </c>
      <c r="E78" s="15">
        <v>1965.4190000000001</v>
      </c>
      <c r="F78" s="15">
        <v>36.962000000000003</v>
      </c>
      <c r="G78" s="15">
        <v>523.87900000000002</v>
      </c>
      <c r="H78" s="15">
        <v>79.608999999999995</v>
      </c>
      <c r="I78" s="15">
        <v>100.273</v>
      </c>
      <c r="J78" s="15">
        <v>12.584</v>
      </c>
      <c r="K78" s="15">
        <v>9</v>
      </c>
      <c r="L78" s="15">
        <v>15.6</v>
      </c>
      <c r="M78" s="15">
        <v>41.264000000000003</v>
      </c>
      <c r="N78" s="15">
        <v>95.244</v>
      </c>
    </row>
    <row r="79" spans="1:14">
      <c r="A79" s="14">
        <v>4001290640</v>
      </c>
      <c r="B79" s="14" t="s">
        <v>160</v>
      </c>
      <c r="C79" s="14" t="s">
        <v>25</v>
      </c>
      <c r="D79" s="15"/>
      <c r="E79" s="15"/>
      <c r="F79" s="15"/>
      <c r="G79" s="15"/>
      <c r="H79" s="15"/>
      <c r="I79" s="15"/>
      <c r="J79" s="15"/>
      <c r="K79" s="15"/>
      <c r="L79" s="15"/>
      <c r="M79" s="15"/>
      <c r="N79" s="15"/>
    </row>
    <row r="80" spans="1:14">
      <c r="A80" s="14">
        <v>4001290650</v>
      </c>
      <c r="B80" s="14" t="s">
        <v>161</v>
      </c>
      <c r="C80" s="14" t="s">
        <v>25</v>
      </c>
      <c r="D80" s="15"/>
      <c r="E80" s="15"/>
      <c r="F80" s="15"/>
      <c r="G80" s="15"/>
      <c r="H80" s="15"/>
      <c r="I80" s="15"/>
      <c r="J80" s="15"/>
      <c r="K80" s="15"/>
      <c r="L80" s="15"/>
      <c r="M80" s="15"/>
      <c r="N80" s="15"/>
    </row>
    <row r="81" spans="1:14">
      <c r="A81" s="14">
        <v>4001290680</v>
      </c>
      <c r="B81" s="14" t="s">
        <v>162</v>
      </c>
      <c r="C81" s="14" t="s">
        <v>25</v>
      </c>
      <c r="D81" s="15"/>
      <c r="E81" s="15"/>
      <c r="F81" s="15"/>
      <c r="G81" s="15"/>
      <c r="H81" s="15"/>
      <c r="I81" s="15"/>
      <c r="J81" s="15"/>
      <c r="K81" s="15"/>
      <c r="L81" s="15"/>
      <c r="M81" s="15"/>
      <c r="N81" s="15"/>
    </row>
    <row r="82" spans="1:14">
      <c r="A82" s="14">
        <v>4001290710</v>
      </c>
      <c r="B82" s="14" t="s">
        <v>163</v>
      </c>
      <c r="C82" s="14" t="s">
        <v>25</v>
      </c>
      <c r="D82" s="15"/>
      <c r="E82" s="15"/>
      <c r="F82" s="15"/>
      <c r="G82" s="15"/>
      <c r="H82" s="15"/>
      <c r="I82" s="15"/>
      <c r="J82" s="15"/>
      <c r="K82" s="15"/>
      <c r="L82" s="15"/>
      <c r="M82" s="15"/>
      <c r="N82" s="15"/>
    </row>
    <row r="83" spans="1:14">
      <c r="A83" s="14">
        <v>4001290740</v>
      </c>
      <c r="B83" s="14" t="s">
        <v>150</v>
      </c>
      <c r="C83" s="14" t="s">
        <v>25</v>
      </c>
      <c r="D83" s="15"/>
      <c r="E83" s="15"/>
      <c r="F83" s="15"/>
      <c r="G83" s="15"/>
      <c r="H83" s="15"/>
      <c r="I83" s="15"/>
      <c r="J83" s="15"/>
      <c r="K83" s="15"/>
      <c r="L83" s="15"/>
      <c r="M83" s="15"/>
      <c r="N83" s="15"/>
    </row>
    <row r="84" spans="1:14">
      <c r="A84" s="14">
        <v>4001212380</v>
      </c>
      <c r="B84" s="14" t="s">
        <v>164</v>
      </c>
      <c r="C84" s="14" t="s">
        <v>25</v>
      </c>
      <c r="D84" s="15">
        <v>7360.3255300000001</v>
      </c>
      <c r="E84" s="15">
        <v>7102.9485199999999</v>
      </c>
      <c r="F84" s="15">
        <v>8485.4416700000002</v>
      </c>
      <c r="G84" s="15">
        <v>7134.0237500000003</v>
      </c>
      <c r="H84" s="15">
        <v>7753.2834300000004</v>
      </c>
      <c r="I84" s="15">
        <v>6618.9920700000002</v>
      </c>
      <c r="J84" s="15">
        <v>3381.6963900000001</v>
      </c>
      <c r="K84" s="15">
        <v>6611.4882399999997</v>
      </c>
      <c r="L84" s="15">
        <v>4290.3512499999997</v>
      </c>
      <c r="M84" s="15">
        <v>3992.3775900000001</v>
      </c>
      <c r="N84" s="15">
        <v>1084.6464800000001</v>
      </c>
    </row>
    <row r="85" spans="1:14">
      <c r="A85" s="14">
        <v>4001212390</v>
      </c>
      <c r="B85" s="14" t="s">
        <v>165</v>
      </c>
      <c r="C85" s="14" t="s">
        <v>25</v>
      </c>
      <c r="D85" s="15">
        <v>1006.68728</v>
      </c>
      <c r="E85" s="15">
        <v>2017.1522</v>
      </c>
      <c r="F85" s="15">
        <v>1395.7456199999999</v>
      </c>
      <c r="G85" s="15">
        <v>-1496.66914</v>
      </c>
      <c r="H85" s="15">
        <v>-208.07534999999999</v>
      </c>
      <c r="I85" s="15">
        <v>1163.9360099999999</v>
      </c>
      <c r="J85" s="15">
        <v>-1013.57827</v>
      </c>
      <c r="K85" s="15">
        <v>54.249420000000001</v>
      </c>
      <c r="L85" s="15">
        <v>119.13836999999999</v>
      </c>
      <c r="M85" s="15">
        <v>-371.93970999999999</v>
      </c>
      <c r="N85" s="15">
        <v>-1860.4842100000001</v>
      </c>
    </row>
    <row r="86" spans="1:14">
      <c r="A86" s="14">
        <v>4001212400</v>
      </c>
      <c r="B86" s="14" t="s">
        <v>166</v>
      </c>
      <c r="C86" s="14" t="s">
        <v>25</v>
      </c>
      <c r="D86" s="15"/>
      <c r="E86" s="15"/>
      <c r="F86" s="15"/>
      <c r="G86" s="15"/>
      <c r="H86" s="15"/>
      <c r="I86" s="15"/>
      <c r="J86" s="15"/>
      <c r="K86" s="15"/>
      <c r="L86" s="15"/>
      <c r="M86" s="15"/>
      <c r="N86" s="15"/>
    </row>
    <row r="87" spans="1:14">
      <c r="A87" s="14">
        <v>4001212410</v>
      </c>
      <c r="B87" s="14" t="s">
        <v>167</v>
      </c>
      <c r="C87" s="14" t="s">
        <v>25</v>
      </c>
      <c r="D87" s="15"/>
      <c r="E87" s="15"/>
      <c r="F87" s="15"/>
      <c r="G87" s="15"/>
      <c r="H87" s="15"/>
      <c r="I87" s="15"/>
      <c r="J87" s="15"/>
      <c r="K87" s="15"/>
      <c r="L87" s="15"/>
      <c r="M87" s="15"/>
      <c r="N87" s="15"/>
    </row>
    <row r="88" spans="1:14">
      <c r="A88" s="14">
        <v>4001212420</v>
      </c>
      <c r="B88" s="14" t="s">
        <v>168</v>
      </c>
      <c r="C88" s="14" t="s">
        <v>25</v>
      </c>
      <c r="D88" s="15">
        <v>6353.63825</v>
      </c>
      <c r="E88" s="15">
        <v>5085.7963300000001</v>
      </c>
      <c r="F88" s="15">
        <v>7089.6960600000002</v>
      </c>
      <c r="G88" s="15">
        <v>8630.6928599999992</v>
      </c>
      <c r="H88" s="15">
        <v>7961.3587799999996</v>
      </c>
      <c r="I88" s="15">
        <v>5455.0560599999999</v>
      </c>
      <c r="J88" s="15">
        <v>4395.27466</v>
      </c>
      <c r="K88" s="15">
        <v>6557.2388300000002</v>
      </c>
      <c r="L88" s="15">
        <v>4171.21288</v>
      </c>
      <c r="M88" s="15">
        <v>4364.31729</v>
      </c>
      <c r="N88" s="15">
        <v>2945.1307000000002</v>
      </c>
    </row>
    <row r="89" spans="1:14">
      <c r="A89" s="14">
        <v>4001212430</v>
      </c>
      <c r="B89" s="14" t="s">
        <v>169</v>
      </c>
      <c r="C89" s="14" t="s">
        <v>25</v>
      </c>
      <c r="D89" s="15"/>
      <c r="E89" s="15"/>
      <c r="F89" s="15"/>
      <c r="G89" s="15"/>
      <c r="H89" s="15"/>
      <c r="I89" s="15"/>
      <c r="J89" s="15"/>
      <c r="K89" s="15"/>
      <c r="L89" s="15"/>
      <c r="M89" s="15"/>
      <c r="N89" s="15"/>
    </row>
    <row r="90" spans="1:14">
      <c r="A90" s="14">
        <v>4001212450</v>
      </c>
      <c r="B90" s="14" t="s">
        <v>170</v>
      </c>
      <c r="C90" s="14" t="s">
        <v>25</v>
      </c>
      <c r="D90" s="15">
        <v>6353.63825</v>
      </c>
      <c r="E90" s="15">
        <v>5085.7963300000001</v>
      </c>
      <c r="F90" s="15">
        <v>7089.6960600000002</v>
      </c>
      <c r="G90" s="15">
        <v>8630.6928599999992</v>
      </c>
      <c r="H90" s="15">
        <v>7961.3587799999996</v>
      </c>
      <c r="I90" s="15">
        <v>5455.0560599999999</v>
      </c>
      <c r="J90" s="15">
        <v>4395.27466</v>
      </c>
      <c r="K90" s="15">
        <v>6557.2388300000002</v>
      </c>
      <c r="L90" s="15">
        <v>4171.21288</v>
      </c>
      <c r="M90" s="15">
        <v>4364.31729</v>
      </c>
      <c r="N90" s="15">
        <v>2945.1307000000002</v>
      </c>
    </row>
    <row r="91" spans="1:14">
      <c r="A91" s="14">
        <v>4001220000</v>
      </c>
      <c r="B91" s="14" t="s">
        <v>171</v>
      </c>
      <c r="C91" s="14" t="s">
        <v>25</v>
      </c>
      <c r="D91" s="15">
        <v>8.8473900000000008</v>
      </c>
      <c r="E91" s="15">
        <v>65.021150000000006</v>
      </c>
      <c r="F91" s="15">
        <v>12.93486</v>
      </c>
      <c r="G91" s="15">
        <v>872.70222000000001</v>
      </c>
      <c r="H91" s="15">
        <v>21.991569999999999</v>
      </c>
      <c r="I91" s="15">
        <v>-338.81027999999998</v>
      </c>
      <c r="J91" s="15">
        <v>-69.09836</v>
      </c>
      <c r="K91" s="15">
        <v>-30.65793</v>
      </c>
      <c r="L91" s="15">
        <v>32.7699</v>
      </c>
      <c r="M91" s="15">
        <v>-172.9263</v>
      </c>
      <c r="N91" s="15">
        <v>-31.440930000000002</v>
      </c>
    </row>
    <row r="92" spans="1:14">
      <c r="A92" s="14">
        <v>4001220120</v>
      </c>
      <c r="B92" s="14" t="s">
        <v>172</v>
      </c>
      <c r="C92" s="14" t="s">
        <v>25</v>
      </c>
      <c r="D92" s="15">
        <v>6362.4856399999999</v>
      </c>
      <c r="E92" s="15">
        <v>5150.8174799999997</v>
      </c>
      <c r="F92" s="15">
        <v>7102.6309099999999</v>
      </c>
      <c r="G92" s="15">
        <v>9503.39509</v>
      </c>
      <c r="H92" s="15">
        <v>7983.3503600000004</v>
      </c>
      <c r="I92" s="15">
        <v>5116.2457800000002</v>
      </c>
      <c r="J92" s="15">
        <v>4326.1763099999998</v>
      </c>
      <c r="K92" s="15">
        <v>6526.5808800000004</v>
      </c>
      <c r="L92" s="15">
        <v>4203.9827800000003</v>
      </c>
      <c r="M92" s="15">
        <v>4191.3909999999996</v>
      </c>
      <c r="N92" s="15">
        <v>2913.68977</v>
      </c>
    </row>
    <row r="93" spans="1:14">
      <c r="A93" s="14">
        <v>4001230000</v>
      </c>
      <c r="B93" s="14" t="s">
        <v>173</v>
      </c>
      <c r="C93" s="14" t="s">
        <v>25</v>
      </c>
      <c r="D93" s="15">
        <v>6397.65841</v>
      </c>
      <c r="E93" s="15">
        <v>5017.8537900000001</v>
      </c>
      <c r="F93" s="15">
        <v>7177.87601</v>
      </c>
      <c r="G93" s="15">
        <v>8416.10952</v>
      </c>
      <c r="H93" s="15">
        <v>8024.7212900000004</v>
      </c>
      <c r="I93" s="15">
        <v>5438.2722700000004</v>
      </c>
      <c r="J93" s="15">
        <v>4359.8368</v>
      </c>
      <c r="K93" s="15">
        <v>6307.0752199999997</v>
      </c>
      <c r="L93" s="15">
        <v>4175.8170399999999</v>
      </c>
      <c r="M93" s="15">
        <v>4362.3971000000001</v>
      </c>
      <c r="N93" s="15">
        <v>2951.3770300000001</v>
      </c>
    </row>
    <row r="94" spans="1:14">
      <c r="A94" s="14">
        <v>4001230030</v>
      </c>
      <c r="B94" s="14" t="s">
        <v>174</v>
      </c>
      <c r="C94" s="14" t="s">
        <v>25</v>
      </c>
      <c r="D94" s="15">
        <v>-44.02017</v>
      </c>
      <c r="E94" s="15">
        <v>67.942530000000005</v>
      </c>
      <c r="F94" s="15">
        <v>-88.179959999999994</v>
      </c>
      <c r="G94" s="15">
        <v>214.58337</v>
      </c>
      <c r="H94" s="15">
        <v>-63.36251</v>
      </c>
      <c r="I94" s="15">
        <v>16.78379</v>
      </c>
      <c r="J94" s="15">
        <v>35.437860000000001</v>
      </c>
      <c r="K94" s="15">
        <v>250.16361000000001</v>
      </c>
      <c r="L94" s="15">
        <v>-4.6041600000000003</v>
      </c>
      <c r="M94" s="15">
        <v>1.9201999999999999</v>
      </c>
      <c r="N94" s="15">
        <v>-6.2463300000000004</v>
      </c>
    </row>
    <row r="95" spans="1:14">
      <c r="A95" s="14">
        <v>4001230060</v>
      </c>
      <c r="B95" s="14" t="s">
        <v>175</v>
      </c>
      <c r="C95" s="14" t="s">
        <v>25</v>
      </c>
      <c r="D95" s="15">
        <v>6406.5057999999999</v>
      </c>
      <c r="E95" s="15">
        <v>5072.5833700000003</v>
      </c>
      <c r="F95" s="15">
        <v>7190.8108700000003</v>
      </c>
      <c r="G95" s="15">
        <v>9269.4610499999999</v>
      </c>
      <c r="H95" s="15">
        <v>8046.7128700000003</v>
      </c>
      <c r="I95" s="15">
        <v>5113.9318400000002</v>
      </c>
      <c r="J95" s="15">
        <v>4230.5974200000001</v>
      </c>
      <c r="K95" s="15">
        <v>6346.5891600000004</v>
      </c>
      <c r="L95" s="15">
        <v>4208.5869400000001</v>
      </c>
      <c r="M95" s="15">
        <v>4192.3026799999998</v>
      </c>
      <c r="N95" s="15">
        <v>2919.9360999999999</v>
      </c>
    </row>
    <row r="96" spans="1:14">
      <c r="A96" s="14">
        <v>4001230070</v>
      </c>
      <c r="B96" s="14" t="s">
        <v>176</v>
      </c>
      <c r="C96" s="14" t="s">
        <v>25</v>
      </c>
      <c r="D96" s="15">
        <v>-44.02017</v>
      </c>
      <c r="E96" s="15">
        <v>78.234110000000001</v>
      </c>
      <c r="F96" s="15">
        <v>-88.179959999999994</v>
      </c>
      <c r="G96" s="15">
        <v>233.93405000000001</v>
      </c>
      <c r="H96" s="15">
        <v>-63.36251</v>
      </c>
      <c r="I96" s="15">
        <v>2.3139400000000001</v>
      </c>
      <c r="J96" s="15">
        <v>95.578879999999998</v>
      </c>
      <c r="K96" s="15">
        <v>179.99171999999999</v>
      </c>
      <c r="L96" s="15">
        <v>-4.6041600000000003</v>
      </c>
      <c r="M96" s="15">
        <v>-0.91169</v>
      </c>
      <c r="N96" s="15">
        <v>-6.2463300000000004</v>
      </c>
    </row>
    <row r="97" spans="1:14">
      <c r="A97" s="14">
        <v>4001230080</v>
      </c>
      <c r="B97" s="14" t="s">
        <v>177</v>
      </c>
      <c r="C97" s="14" t="s">
        <v>80</v>
      </c>
      <c r="D97" s="15"/>
      <c r="E97" s="15"/>
      <c r="F97" s="15"/>
      <c r="G97" s="15"/>
      <c r="H97" s="15"/>
      <c r="I97" s="15"/>
      <c r="J97" s="15"/>
      <c r="K97" s="15"/>
      <c r="L97" s="15"/>
      <c r="M97" s="15"/>
      <c r="N97" s="15"/>
    </row>
    <row r="98" spans="1:14">
      <c r="A98" s="14">
        <v>4001230090</v>
      </c>
      <c r="B98" s="14" t="s">
        <v>178</v>
      </c>
      <c r="C98" s="14" t="s">
        <v>80</v>
      </c>
      <c r="D98" s="15"/>
      <c r="E98" s="15"/>
      <c r="F98" s="15"/>
      <c r="G98" s="15"/>
      <c r="H98" s="15"/>
      <c r="I98" s="15"/>
      <c r="J98" s="15"/>
      <c r="K98" s="15"/>
      <c r="L98" s="15"/>
      <c r="M98" s="15"/>
      <c r="N98" s="15"/>
    </row>
    <row r="99" spans="1:14">
      <c r="A99" s="14">
        <v>4001230100</v>
      </c>
      <c r="B99" s="14" t="s">
        <v>179</v>
      </c>
      <c r="C99" s="14" t="s">
        <v>80</v>
      </c>
      <c r="D99" s="15"/>
      <c r="E99" s="15"/>
      <c r="F99" s="15"/>
      <c r="G99" s="15"/>
      <c r="H99" s="15"/>
      <c r="I99" s="15"/>
      <c r="J99" s="15"/>
      <c r="K99" s="15"/>
      <c r="L99" s="15"/>
      <c r="M99" s="15"/>
      <c r="N99" s="15"/>
    </row>
    <row r="100" spans="1:14">
      <c r="A100" s="14">
        <v>4001230110</v>
      </c>
      <c r="B100" s="14" t="s">
        <v>180</v>
      </c>
      <c r="C100" s="14" t="s">
        <v>80</v>
      </c>
      <c r="D100" s="15"/>
      <c r="E100" s="15"/>
      <c r="F100" s="15"/>
      <c r="G100" s="15"/>
      <c r="H100" s="15"/>
      <c r="I100" s="15"/>
      <c r="J100" s="15"/>
      <c r="K100" s="15"/>
      <c r="L100" s="15"/>
      <c r="M100" s="15"/>
      <c r="N100" s="15"/>
    </row>
    <row r="101" spans="1:14">
      <c r="A101" s="14">
        <v>4001230120</v>
      </c>
      <c r="B101" s="14" t="s">
        <v>181</v>
      </c>
      <c r="C101" s="14" t="s">
        <v>80</v>
      </c>
      <c r="D101" s="15">
        <v>97</v>
      </c>
      <c r="E101" s="15">
        <v>76</v>
      </c>
      <c r="F101" s="15">
        <v>109</v>
      </c>
      <c r="G101" s="15">
        <v>129</v>
      </c>
      <c r="H101" s="15">
        <v>122</v>
      </c>
      <c r="I101" s="15">
        <v>83</v>
      </c>
      <c r="J101" s="15">
        <v>66</v>
      </c>
      <c r="K101" s="15">
        <v>96</v>
      </c>
      <c r="L101" s="15">
        <v>64</v>
      </c>
      <c r="M101" s="15">
        <v>66</v>
      </c>
      <c r="N101" s="15">
        <v>45</v>
      </c>
    </row>
    <row r="102" spans="1:14">
      <c r="A102" s="14">
        <v>4001230130</v>
      </c>
      <c r="B102" s="14" t="s">
        <v>182</v>
      </c>
      <c r="C102" s="14" t="s">
        <v>80</v>
      </c>
      <c r="D102" s="15">
        <v>97</v>
      </c>
      <c r="E102" s="15">
        <v>76</v>
      </c>
      <c r="F102" s="15">
        <v>109</v>
      </c>
      <c r="G102" s="15">
        <v>129</v>
      </c>
      <c r="H102" s="15">
        <v>122</v>
      </c>
      <c r="I102" s="15">
        <v>83</v>
      </c>
      <c r="J102" s="15">
        <v>66</v>
      </c>
      <c r="K102" s="15">
        <v>96</v>
      </c>
      <c r="L102" s="15">
        <v>64</v>
      </c>
      <c r="M102" s="15">
        <v>66</v>
      </c>
      <c r="N102" s="15">
        <v>45</v>
      </c>
    </row>
    <row r="103" spans="1:14">
      <c r="A103" s="14">
        <v>4001230140</v>
      </c>
      <c r="B103" s="14" t="s">
        <v>183</v>
      </c>
      <c r="C103" s="14" t="s">
        <v>80</v>
      </c>
      <c r="D103" s="15"/>
      <c r="E103" s="15"/>
      <c r="F103" s="15"/>
      <c r="G103" s="15"/>
      <c r="H103" s="15"/>
      <c r="I103" s="15"/>
      <c r="J103" s="15"/>
      <c r="K103" s="15"/>
      <c r="L103" s="15"/>
      <c r="M103" s="15"/>
      <c r="N103" s="15"/>
    </row>
    <row r="104" spans="1:14">
      <c r="A104" s="14">
        <v>4001230150</v>
      </c>
      <c r="B104" s="14" t="s">
        <v>184</v>
      </c>
      <c r="C104" s="14" t="s">
        <v>80</v>
      </c>
      <c r="D104" s="15"/>
      <c r="E104" s="15"/>
      <c r="F104" s="15"/>
      <c r="G104" s="15"/>
      <c r="H104" s="15"/>
      <c r="I104" s="15"/>
      <c r="J104" s="15"/>
      <c r="K104" s="15"/>
      <c r="L104" s="15"/>
      <c r="M104" s="15"/>
      <c r="N104" s="15"/>
    </row>
    <row r="105" spans="1:14">
      <c r="A105" s="1"/>
      <c r="B105" s="1"/>
      <c r="C105" s="1"/>
      <c r="D105" s="15"/>
      <c r="E105" s="15"/>
      <c r="F105" s="15"/>
      <c r="G105" s="15"/>
      <c r="H105" s="15"/>
      <c r="I105" s="15"/>
      <c r="J105" s="15"/>
      <c r="K105" s="15"/>
      <c r="L105" s="15"/>
      <c r="M105" s="15"/>
      <c r="N105" s="15"/>
    </row>
    <row r="106" spans="1:14">
      <c r="D106" s="16"/>
      <c r="E106" s="16"/>
      <c r="F106" s="16"/>
      <c r="G106" s="16"/>
      <c r="H106" s="16"/>
      <c r="I106" s="16"/>
      <c r="J106" s="16"/>
      <c r="K106" s="16"/>
      <c r="L106" s="16"/>
      <c r="M106" s="16"/>
      <c r="N106" s="16"/>
    </row>
    <row r="107" spans="1:14">
      <c r="D107" s="16"/>
      <c r="E107" s="16"/>
      <c r="F107" s="16"/>
      <c r="G107" s="16"/>
      <c r="H107" s="16"/>
      <c r="I107" s="16"/>
      <c r="J107" s="16"/>
      <c r="K107" s="16"/>
      <c r="L107" s="16"/>
      <c r="M107" s="16"/>
      <c r="N107" s="16"/>
    </row>
    <row r="108" spans="1:14">
      <c r="D108" s="16"/>
      <c r="E108" s="16"/>
      <c r="F108" s="16"/>
      <c r="G108" s="16"/>
      <c r="H108" s="16"/>
      <c r="I108" s="16"/>
      <c r="J108" s="16"/>
      <c r="K108" s="16"/>
      <c r="L108" s="16"/>
      <c r="M108" s="16"/>
      <c r="N108" s="16"/>
    </row>
  </sheetData>
  <phoneticPr fontId="3" type="noConversion"/>
  <conditionalFormatting sqref="B1">
    <cfRule type="expression" dxfId="4" priority="1" stopIfTrue="1">
      <formula>MID($B$1, 15, 10)-TODAY() &lt; 0</formula>
    </cfRule>
  </conditionalFormatting>
  <dataValidations count="7">
    <dataValidation type="list" allowBlank="1" showInputMessage="1" sqref="B5" xr:uid="{E3658752-8231-43FA-A913-4B835785D3FE}">
      <formula1>"전체,재무상태표,손익계산서,현금흐름표,자본금변동표"</formula1>
    </dataValidation>
    <dataValidation type="list" allowBlank="1" showInputMessage="1" sqref="B6" xr:uid="{6299E1FA-2629-4CB1-B363-0B964EAC2C02}">
      <formula1>"상세(총액),상세(순액),요약,약식"</formula1>
    </dataValidation>
    <dataValidation type="list" allowBlank="1" showInputMessage="1" sqref="B7" xr:uid="{3A55732A-B949-4B6C-9C3D-7246E3305089}">
      <formula1>"결산,누적분기,당분기"</formula1>
    </dataValidation>
    <dataValidation type="list" allowBlank="1" showInputMessage="1" sqref="C7" xr:uid="{5B5CE1F9-B88A-4FD8-914F-5C8529BF97BF}">
      <formula1>"천원,백만원,억원,십억원"</formula1>
    </dataValidation>
    <dataValidation type="list" allowBlank="1" showInputMessage="1" sqref="B4" xr:uid="{12F7CC8C-56D2-4811-B4C3-1010703E886A}">
      <formula1>"별도,연결"</formula1>
    </dataValidation>
    <dataValidation type="list" allowBlank="1" showInputMessage="1" sqref="B8" xr:uid="{B6B5EA05-248E-4815-8ACA-68EC368A275B}">
      <formula1>"1983,1984,1985,1986,1987,1988,1989,1990,1991,1992,1993,1994,1995,1996,1997,1998,1999,2000,2001,2002,2003,2004,2005,2006,2007,2008,2009,2010,2011,2012,2013,2014,2015,2016,2017,2018,2019,2020,2021,2022,2023,2024,2025"</formula1>
    </dataValidation>
    <dataValidation type="list" allowBlank="1" showInputMessage="1" sqref="C8" xr:uid="{E4527AAC-A4C4-4BFE-B268-3DAA56EE4CF4}">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33E0D-E5E3-421B-BC29-77D377FF16C7}">
  <sheetPr codeName="Sheet4"/>
  <dimension ref="A1:N60"/>
  <sheetViews>
    <sheetView showGridLines="0" workbookViewId="0">
      <selection activeCell="B17" sqref="B17"/>
    </sheetView>
  </sheetViews>
  <sheetFormatPr defaultColWidth="8.85546875" defaultRowHeight="17.600000000000001"/>
  <cols>
    <col min="1" max="1" width="9.140625" bestFit="1" customWidth="1"/>
    <col min="2" max="2" width="51.640625" bestFit="1" customWidth="1"/>
    <col min="3" max="3" width="11.5" bestFit="1" customWidth="1"/>
    <col min="4" max="14" width="9" bestFit="1" customWidth="1"/>
  </cols>
  <sheetData>
    <row r="1" spans="1:14">
      <c r="B1" s="2" t="s">
        <v>219</v>
      </c>
    </row>
    <row r="2" spans="1:14">
      <c r="A2" s="3" t="s">
        <v>1</v>
      </c>
      <c r="B2" s="3"/>
      <c r="C2" s="3"/>
      <c r="D2" s="3"/>
      <c r="E2" s="3"/>
      <c r="F2" s="3"/>
      <c r="G2" s="3"/>
      <c r="H2" s="3"/>
      <c r="I2" s="3"/>
      <c r="J2" s="3"/>
      <c r="K2" s="3"/>
      <c r="L2" s="3"/>
      <c r="M2" s="3"/>
      <c r="N2" s="3"/>
    </row>
    <row r="3" spans="1:14">
      <c r="A3" s="4" t="s">
        <v>4</v>
      </c>
      <c r="B3" s="4" t="s">
        <v>93</v>
      </c>
      <c r="C3" s="4"/>
      <c r="D3" s="4"/>
      <c r="E3" s="4"/>
      <c r="F3" s="4"/>
      <c r="G3" s="4"/>
      <c r="H3" s="4"/>
      <c r="I3" s="4"/>
      <c r="J3" s="4"/>
      <c r="K3" s="4"/>
      <c r="L3" s="4"/>
      <c r="M3" s="4"/>
      <c r="N3" s="4"/>
    </row>
    <row r="4" spans="1:14">
      <c r="A4" s="4" t="s">
        <v>5</v>
      </c>
      <c r="B4" s="8" t="s">
        <v>98</v>
      </c>
      <c r="C4" s="4" t="s">
        <v>2</v>
      </c>
      <c r="D4" s="4" t="s">
        <v>97</v>
      </c>
      <c r="E4" s="4"/>
      <c r="F4" s="4"/>
      <c r="G4" s="4"/>
      <c r="H4" s="4"/>
      <c r="I4" s="4"/>
      <c r="J4" s="4"/>
      <c r="K4" s="4"/>
      <c r="L4" s="4"/>
      <c r="M4" s="4"/>
      <c r="N4" s="4"/>
    </row>
    <row r="5" spans="1:14">
      <c r="A5" s="4" t="s">
        <v>6</v>
      </c>
      <c r="B5" s="11" t="s">
        <v>220</v>
      </c>
      <c r="C5" s="4" t="s">
        <v>3</v>
      </c>
      <c r="D5" s="4"/>
      <c r="E5" s="4"/>
      <c r="F5" s="4"/>
      <c r="G5" s="4"/>
      <c r="H5" s="4"/>
      <c r="I5" s="4"/>
      <c r="J5" s="4"/>
      <c r="K5" s="4"/>
      <c r="L5" s="4"/>
      <c r="M5" s="4"/>
      <c r="N5" s="4"/>
    </row>
    <row r="6" spans="1:14">
      <c r="A6" s="4" t="s">
        <v>7</v>
      </c>
      <c r="B6" s="9" t="s">
        <v>95</v>
      </c>
      <c r="C6" s="4"/>
      <c r="D6" s="4"/>
      <c r="E6" s="4"/>
      <c r="F6" s="4"/>
      <c r="G6" s="4"/>
      <c r="H6" s="4"/>
      <c r="I6" s="4"/>
      <c r="J6" s="4"/>
      <c r="K6" s="4"/>
      <c r="L6" s="4"/>
      <c r="M6" s="4"/>
      <c r="N6" s="4"/>
    </row>
    <row r="7" spans="1:14">
      <c r="A7" s="4" t="s">
        <v>8</v>
      </c>
      <c r="B7" s="12" t="s">
        <v>96</v>
      </c>
      <c r="C7" s="9" t="s">
        <v>25</v>
      </c>
      <c r="D7" s="4"/>
      <c r="E7" s="4"/>
      <c r="F7" s="4"/>
      <c r="G7" s="4"/>
      <c r="H7" s="4"/>
      <c r="I7" s="4"/>
      <c r="J7" s="4"/>
      <c r="K7" s="4"/>
      <c r="L7" s="4"/>
      <c r="M7" s="4"/>
      <c r="N7" s="4"/>
    </row>
    <row r="8" spans="1:14">
      <c r="A8" s="5" t="s">
        <v>92</v>
      </c>
      <c r="B8" s="10">
        <v>2022</v>
      </c>
      <c r="C8" s="8" t="s">
        <v>99</v>
      </c>
      <c r="D8" s="5"/>
      <c r="E8" s="5"/>
      <c r="F8" s="5"/>
      <c r="G8" s="5"/>
      <c r="H8" s="5"/>
      <c r="I8" s="5"/>
      <c r="J8" s="5"/>
      <c r="K8" s="5"/>
      <c r="L8" s="5"/>
      <c r="M8" s="5"/>
      <c r="N8" s="5"/>
    </row>
    <row r="9" spans="1:14">
      <c r="A9" s="6" t="s">
        <v>9</v>
      </c>
      <c r="B9" s="13" t="s">
        <v>10</v>
      </c>
      <c r="C9" s="13" t="s">
        <v>11</v>
      </c>
      <c r="D9" s="6" t="s">
        <v>12</v>
      </c>
      <c r="E9" s="6" t="s">
        <v>13</v>
      </c>
      <c r="F9" s="6" t="s">
        <v>14</v>
      </c>
      <c r="G9" s="6" t="s">
        <v>15</v>
      </c>
      <c r="H9" s="6" t="s">
        <v>16</v>
      </c>
      <c r="I9" s="6" t="s">
        <v>17</v>
      </c>
      <c r="J9" s="6" t="s">
        <v>18</v>
      </c>
      <c r="K9" s="6" t="s">
        <v>19</v>
      </c>
      <c r="L9" s="6" t="s">
        <v>20</v>
      </c>
      <c r="M9" s="6" t="s">
        <v>21</v>
      </c>
      <c r="N9" s="6" t="s">
        <v>22</v>
      </c>
    </row>
    <row r="10" spans="1:14">
      <c r="A10" s="7"/>
      <c r="B10" s="7"/>
      <c r="C10" s="7"/>
      <c r="D10" s="7" t="s">
        <v>23</v>
      </c>
      <c r="E10" s="7" t="s">
        <v>23</v>
      </c>
      <c r="F10" s="7" t="s">
        <v>23</v>
      </c>
      <c r="G10" s="7" t="s">
        <v>23</v>
      </c>
      <c r="H10" s="7" t="s">
        <v>23</v>
      </c>
      <c r="I10" s="7" t="s">
        <v>23</v>
      </c>
      <c r="J10" s="7" t="s">
        <v>23</v>
      </c>
      <c r="K10" s="7" t="s">
        <v>23</v>
      </c>
      <c r="L10" s="7" t="s">
        <v>23</v>
      </c>
      <c r="M10" s="7" t="s">
        <v>23</v>
      </c>
      <c r="N10" s="7" t="s">
        <v>23</v>
      </c>
    </row>
    <row r="11" spans="1:14">
      <c r="A11" s="14">
        <v>4001390000</v>
      </c>
      <c r="B11" s="14" t="s">
        <v>185</v>
      </c>
      <c r="C11" s="14" t="s">
        <v>25</v>
      </c>
      <c r="D11" s="15">
        <v>264.66399999999999</v>
      </c>
      <c r="E11" s="15">
        <v>1304.5740900000001</v>
      </c>
      <c r="F11" s="15">
        <v>11354.26683</v>
      </c>
      <c r="G11" s="15">
        <v>4072.6882799999998</v>
      </c>
      <c r="H11" s="15">
        <v>7170.2198099999996</v>
      </c>
      <c r="I11" s="15">
        <v>1124.85844</v>
      </c>
      <c r="J11" s="15">
        <v>2713.79153</v>
      </c>
      <c r="K11" s="15">
        <v>3764.2705900000001</v>
      </c>
      <c r="L11" s="15">
        <v>-465.23928000000001</v>
      </c>
      <c r="M11" s="15">
        <v>6273.7614899999999</v>
      </c>
      <c r="N11" s="15">
        <v>-9730.8691600000002</v>
      </c>
    </row>
    <row r="12" spans="1:14">
      <c r="A12" s="14">
        <v>4001310010</v>
      </c>
      <c r="B12" s="14" t="s">
        <v>186</v>
      </c>
      <c r="C12" s="14" t="s">
        <v>25</v>
      </c>
      <c r="D12" s="15"/>
      <c r="E12" s="15"/>
      <c r="F12" s="15"/>
      <c r="G12" s="15"/>
      <c r="H12" s="15"/>
      <c r="I12" s="15"/>
      <c r="J12" s="15"/>
      <c r="K12" s="15"/>
      <c r="L12" s="15"/>
      <c r="M12" s="15"/>
      <c r="N12" s="15"/>
    </row>
    <row r="13" spans="1:14">
      <c r="A13" s="14">
        <v>4001310100</v>
      </c>
      <c r="B13" s="14" t="s">
        <v>187</v>
      </c>
      <c r="C13" s="14" t="s">
        <v>25</v>
      </c>
      <c r="D13" s="15"/>
      <c r="E13" s="15"/>
      <c r="F13" s="15"/>
      <c r="G13" s="15"/>
      <c r="H13" s="15"/>
      <c r="I13" s="15"/>
      <c r="J13" s="15"/>
      <c r="K13" s="15"/>
      <c r="L13" s="15"/>
      <c r="M13" s="15"/>
      <c r="N13" s="15"/>
    </row>
    <row r="14" spans="1:14">
      <c r="A14" s="14">
        <v>4001310190</v>
      </c>
      <c r="B14" s="14" t="s">
        <v>188</v>
      </c>
      <c r="C14" s="14" t="s">
        <v>25</v>
      </c>
      <c r="D14" s="15">
        <v>6353.63825</v>
      </c>
      <c r="E14" s="15">
        <v>5085.7963200000004</v>
      </c>
      <c r="F14" s="15">
        <v>7089.6960600000002</v>
      </c>
      <c r="G14" s="15">
        <v>8630.6928700000008</v>
      </c>
      <c r="H14" s="15">
        <v>7961.3587799999996</v>
      </c>
      <c r="I14" s="15">
        <v>5455.0560599999999</v>
      </c>
      <c r="J14" s="15">
        <v>4395.27466</v>
      </c>
      <c r="K14" s="15">
        <v>6557.2388300000002</v>
      </c>
      <c r="L14" s="15">
        <v>4171.21288</v>
      </c>
      <c r="M14" s="15">
        <v>4364.31729</v>
      </c>
      <c r="N14" s="15">
        <v>2945.1307000000002</v>
      </c>
    </row>
    <row r="15" spans="1:14">
      <c r="A15" s="14">
        <v>4001310200</v>
      </c>
      <c r="B15" s="14" t="s">
        <v>189</v>
      </c>
      <c r="C15" s="14" t="s">
        <v>25</v>
      </c>
      <c r="D15" s="15"/>
      <c r="E15" s="15"/>
      <c r="F15" s="15"/>
      <c r="G15" s="15"/>
      <c r="H15" s="15"/>
      <c r="I15" s="15"/>
      <c r="J15" s="15"/>
      <c r="K15" s="15"/>
      <c r="L15" s="15"/>
      <c r="M15" s="15"/>
      <c r="N15" s="15"/>
    </row>
    <row r="16" spans="1:14">
      <c r="A16" s="14">
        <v>4001390010</v>
      </c>
      <c r="B16" s="14" t="s">
        <v>190</v>
      </c>
      <c r="C16" s="14" t="s">
        <v>25</v>
      </c>
      <c r="D16" s="15">
        <v>3741.127</v>
      </c>
      <c r="E16" s="15">
        <v>6954.4560000000001</v>
      </c>
      <c r="F16" s="15">
        <v>4573.32</v>
      </c>
      <c r="G16" s="15">
        <v>4068.34</v>
      </c>
      <c r="H16" s="15">
        <v>4975.567</v>
      </c>
      <c r="I16" s="15">
        <v>6263.34</v>
      </c>
      <c r="J16" s="15">
        <v>4977.4709999999995</v>
      </c>
      <c r="K16" s="15">
        <v>4834.6750000000002</v>
      </c>
      <c r="L16" s="15">
        <v>6327.2020000000002</v>
      </c>
      <c r="M16" s="15">
        <v>6268.6580000000004</v>
      </c>
      <c r="N16" s="15">
        <v>5008.6549999999997</v>
      </c>
    </row>
    <row r="17" spans="1:14">
      <c r="A17" s="14">
        <v>4001390040</v>
      </c>
      <c r="B17" s="14" t="s">
        <v>191</v>
      </c>
      <c r="C17" s="14" t="s">
        <v>25</v>
      </c>
      <c r="D17" s="15">
        <v>309.47000000000003</v>
      </c>
      <c r="E17" s="15">
        <v>393.40899999999999</v>
      </c>
      <c r="F17" s="15">
        <v>495.47</v>
      </c>
      <c r="G17" s="15">
        <v>-652.20699999999999</v>
      </c>
      <c r="H17" s="15">
        <v>736.68299999999999</v>
      </c>
      <c r="I17" s="15">
        <v>-206.72300000000001</v>
      </c>
      <c r="J17" s="15">
        <v>979.78300000000002</v>
      </c>
      <c r="K17" s="15">
        <v>-154.40700000000001</v>
      </c>
      <c r="L17" s="15">
        <v>734.29899999999998</v>
      </c>
      <c r="M17" s="15">
        <v>1067.7860000000001</v>
      </c>
      <c r="N17" s="15">
        <v>2059.0630000000001</v>
      </c>
    </row>
    <row r="18" spans="1:14">
      <c r="A18" s="14">
        <v>4001390060</v>
      </c>
      <c r="B18" s="14" t="s">
        <v>192</v>
      </c>
      <c r="C18" s="14" t="s">
        <v>25</v>
      </c>
      <c r="D18" s="15">
        <v>-8837.2019999999993</v>
      </c>
      <c r="E18" s="15">
        <v>-8954.8250599999992</v>
      </c>
      <c r="F18" s="15">
        <v>1005.76135</v>
      </c>
      <c r="G18" s="15">
        <v>-8357.0727100000004</v>
      </c>
      <c r="H18" s="15">
        <v>-3816.0895399999999</v>
      </c>
      <c r="I18" s="15">
        <v>-8675.7469299999993</v>
      </c>
      <c r="J18" s="15">
        <v>-2893.0600899999999</v>
      </c>
      <c r="K18" s="15">
        <v>-5853.51134</v>
      </c>
      <c r="L18" s="15">
        <v>-7424.8793400000004</v>
      </c>
      <c r="M18" s="15">
        <v>-300.07875000000001</v>
      </c>
      <c r="N18" s="15">
        <v>-13209.64877</v>
      </c>
    </row>
    <row r="19" spans="1:14">
      <c r="A19" s="14">
        <v>4001390070</v>
      </c>
      <c r="B19" s="14" t="s">
        <v>193</v>
      </c>
      <c r="C19" s="14" t="s">
        <v>25</v>
      </c>
      <c r="D19" s="15">
        <v>-4512.1059999999998</v>
      </c>
      <c r="E19" s="15">
        <v>-10215.709000000001</v>
      </c>
      <c r="F19" s="15">
        <v>428.375</v>
      </c>
      <c r="G19" s="15">
        <v>-6729.6930000000002</v>
      </c>
      <c r="H19" s="15">
        <v>-3791.08</v>
      </c>
      <c r="I19" s="15">
        <v>-9945.616</v>
      </c>
      <c r="J19" s="15">
        <v>-2538.6619999999998</v>
      </c>
      <c r="K19" s="15">
        <v>-2220.3449999999998</v>
      </c>
      <c r="L19" s="15">
        <v>-9261.0049999999992</v>
      </c>
      <c r="M19" s="15">
        <v>-2374.9209999999998</v>
      </c>
      <c r="N19" s="15">
        <v>-13518.56</v>
      </c>
    </row>
    <row r="20" spans="1:14">
      <c r="A20" s="14">
        <v>4001390110</v>
      </c>
      <c r="B20" s="14" t="s">
        <v>194</v>
      </c>
      <c r="C20" s="14" t="s">
        <v>25</v>
      </c>
      <c r="D20" s="15">
        <v>-4325.0950000000003</v>
      </c>
      <c r="E20" s="15">
        <v>1260.883</v>
      </c>
      <c r="F20" s="15">
        <v>577.38599999999997</v>
      </c>
      <c r="G20" s="15">
        <v>-1627.3789999999999</v>
      </c>
      <c r="H20" s="15">
        <v>-25.010999999999999</v>
      </c>
      <c r="I20" s="15">
        <v>1269.8710000000001</v>
      </c>
      <c r="J20" s="15">
        <v>-354.4</v>
      </c>
      <c r="K20" s="15">
        <v>-3633.165</v>
      </c>
      <c r="L20" s="15">
        <v>1836.126</v>
      </c>
      <c r="M20" s="15">
        <v>2074.8420000000001</v>
      </c>
      <c r="N20" s="15">
        <v>308.911</v>
      </c>
    </row>
    <row r="21" spans="1:14">
      <c r="A21" s="14">
        <v>4001312260</v>
      </c>
      <c r="B21" s="14" t="s">
        <v>195</v>
      </c>
      <c r="C21" s="14" t="s">
        <v>25</v>
      </c>
      <c r="D21" s="15"/>
      <c r="E21" s="15"/>
      <c r="F21" s="15"/>
      <c r="G21" s="15"/>
      <c r="H21" s="15"/>
      <c r="I21" s="15"/>
      <c r="J21" s="15"/>
      <c r="K21" s="15"/>
      <c r="L21" s="15"/>
      <c r="M21" s="15"/>
      <c r="N21" s="15"/>
    </row>
    <row r="22" spans="1:14">
      <c r="A22" s="14">
        <v>4001312270</v>
      </c>
      <c r="B22" s="14" t="s">
        <v>196</v>
      </c>
      <c r="C22" s="14" t="s">
        <v>25</v>
      </c>
      <c r="D22" s="15"/>
      <c r="E22" s="15"/>
      <c r="F22" s="15"/>
      <c r="G22" s="15"/>
      <c r="H22" s="15"/>
      <c r="I22" s="15"/>
      <c r="J22" s="15"/>
      <c r="K22" s="15"/>
      <c r="L22" s="15"/>
      <c r="M22" s="15"/>
      <c r="N22" s="15"/>
    </row>
    <row r="23" spans="1:14">
      <c r="A23" s="14">
        <v>4001312280</v>
      </c>
      <c r="B23" s="14" t="s">
        <v>197</v>
      </c>
      <c r="C23" s="14" t="s">
        <v>25</v>
      </c>
      <c r="D23" s="15">
        <v>948.09315000000004</v>
      </c>
      <c r="E23" s="15">
        <v>2692.01836</v>
      </c>
      <c r="F23" s="15">
        <v>12173.307409999999</v>
      </c>
      <c r="G23" s="15">
        <v>4994.16716</v>
      </c>
      <c r="H23" s="15">
        <v>8384.1532399999996</v>
      </c>
      <c r="I23" s="15">
        <v>3249.3721300000002</v>
      </c>
      <c r="J23" s="15">
        <v>5499.9025700000002</v>
      </c>
      <c r="K23" s="15">
        <v>5692.8094899999996</v>
      </c>
      <c r="L23" s="15">
        <v>2339.2365399999999</v>
      </c>
      <c r="M23" s="15">
        <v>9265.1105399999997</v>
      </c>
      <c r="N23" s="15">
        <v>-7314.9260700000004</v>
      </c>
    </row>
    <row r="24" spans="1:14">
      <c r="A24" s="14">
        <v>4001312290</v>
      </c>
      <c r="B24" s="14" t="s">
        <v>198</v>
      </c>
      <c r="C24" s="14" t="s">
        <v>25</v>
      </c>
      <c r="D24" s="15">
        <v>16.592269999999999</v>
      </c>
      <c r="E24" s="15">
        <v>25.479410000000001</v>
      </c>
      <c r="F24" s="15">
        <v>56.282809999999998</v>
      </c>
      <c r="G24" s="15">
        <v>140.34631999999999</v>
      </c>
      <c r="H24" s="15">
        <v>153.03765999999999</v>
      </c>
      <c r="I24" s="15">
        <v>186.84577999999999</v>
      </c>
      <c r="J24" s="15">
        <v>265.35975999999999</v>
      </c>
      <c r="K24" s="15">
        <v>362.96210000000002</v>
      </c>
      <c r="L24" s="15">
        <v>329.74919999999997</v>
      </c>
      <c r="M24" s="15">
        <v>531.37882999999999</v>
      </c>
      <c r="N24" s="15">
        <v>276.8569</v>
      </c>
    </row>
    <row r="25" spans="1:14">
      <c r="A25" s="14">
        <v>4001312300</v>
      </c>
      <c r="B25" s="14" t="s">
        <v>199</v>
      </c>
      <c r="C25" s="14" t="s">
        <v>25</v>
      </c>
      <c r="D25" s="15">
        <v>-461.94542999999999</v>
      </c>
      <c r="E25" s="15">
        <v>-691.63914999999997</v>
      </c>
      <c r="F25" s="15">
        <v>-840.33662000000004</v>
      </c>
      <c r="G25" s="15">
        <v>-1003.45347</v>
      </c>
      <c r="H25" s="15">
        <v>-1176.02223</v>
      </c>
      <c r="I25" s="15">
        <v>-1589.12051</v>
      </c>
      <c r="J25" s="15">
        <v>-1636.44409</v>
      </c>
      <c r="K25" s="15">
        <v>-2115.0438300000001</v>
      </c>
      <c r="L25" s="15">
        <v>-2113.2318</v>
      </c>
      <c r="M25" s="15">
        <v>-2145.0698200000002</v>
      </c>
      <c r="N25" s="15">
        <v>-2444.83556</v>
      </c>
    </row>
    <row r="26" spans="1:14">
      <c r="A26" s="14">
        <v>4001312310</v>
      </c>
      <c r="B26" s="14" t="s">
        <v>200</v>
      </c>
      <c r="C26" s="14" t="s">
        <v>25</v>
      </c>
      <c r="D26" s="15"/>
      <c r="E26" s="15"/>
      <c r="F26" s="15"/>
      <c r="G26" s="15"/>
      <c r="H26" s="15"/>
      <c r="I26" s="15"/>
      <c r="J26" s="15"/>
      <c r="K26" s="15">
        <v>12.062200000000001</v>
      </c>
      <c r="L26" s="15">
        <v>12.06221</v>
      </c>
      <c r="M26" s="15">
        <v>14.37575</v>
      </c>
      <c r="N26" s="15">
        <v>22.91442</v>
      </c>
    </row>
    <row r="27" spans="1:14">
      <c r="A27" s="14">
        <v>4001312320</v>
      </c>
      <c r="B27" s="14" t="s">
        <v>201</v>
      </c>
      <c r="C27" s="14" t="s">
        <v>25</v>
      </c>
      <c r="D27" s="15"/>
      <c r="E27" s="15"/>
      <c r="F27" s="15"/>
      <c r="G27" s="15"/>
      <c r="H27" s="15"/>
      <c r="I27" s="15"/>
      <c r="J27" s="15"/>
      <c r="K27" s="15"/>
      <c r="L27" s="15"/>
      <c r="M27" s="15"/>
      <c r="N27" s="15"/>
    </row>
    <row r="28" spans="1:14">
      <c r="A28" s="14">
        <v>4001312330</v>
      </c>
      <c r="B28" s="14" t="s">
        <v>202</v>
      </c>
      <c r="C28" s="14" t="s">
        <v>25</v>
      </c>
      <c r="D28" s="15"/>
      <c r="E28" s="15"/>
      <c r="F28" s="15"/>
      <c r="G28" s="15"/>
      <c r="H28" s="15"/>
      <c r="I28" s="15"/>
      <c r="J28" s="15"/>
      <c r="K28" s="15"/>
      <c r="L28" s="15"/>
      <c r="M28" s="15"/>
      <c r="N28" s="15"/>
    </row>
    <row r="29" spans="1:14">
      <c r="A29" s="14">
        <v>4001312340</v>
      </c>
      <c r="B29" s="14" t="s">
        <v>203</v>
      </c>
      <c r="C29" s="14" t="s">
        <v>25</v>
      </c>
      <c r="D29" s="15">
        <v>-238.07812999999999</v>
      </c>
      <c r="E29" s="15">
        <v>-721.28332999999998</v>
      </c>
      <c r="F29" s="15">
        <v>-34.986240000000002</v>
      </c>
      <c r="G29" s="15">
        <v>-58.370600000000003</v>
      </c>
      <c r="H29" s="15">
        <v>-190.94994</v>
      </c>
      <c r="I29" s="15">
        <v>-722.23802000000001</v>
      </c>
      <c r="J29" s="15">
        <v>-1415.0280299999999</v>
      </c>
      <c r="K29" s="15">
        <v>-188.51741000000001</v>
      </c>
      <c r="L29" s="15">
        <v>-1033.0536199999999</v>
      </c>
      <c r="M29" s="15">
        <v>-1392.0344600000001</v>
      </c>
      <c r="N29" s="15">
        <v>-270.88080000000002</v>
      </c>
    </row>
    <row r="30" spans="1:14">
      <c r="A30" s="14">
        <v>4001312350</v>
      </c>
      <c r="B30" s="14" t="s">
        <v>204</v>
      </c>
      <c r="C30" s="14" t="s">
        <v>25</v>
      </c>
      <c r="D30" s="15"/>
      <c r="E30" s="15"/>
      <c r="F30" s="15"/>
      <c r="G30" s="15"/>
      <c r="H30" s="15"/>
      <c r="I30" s="15"/>
      <c r="J30" s="15"/>
      <c r="K30" s="15"/>
      <c r="L30" s="15"/>
      <c r="M30" s="15"/>
      <c r="N30" s="15"/>
    </row>
    <row r="31" spans="1:14">
      <c r="A31" s="14">
        <v>4001390160</v>
      </c>
      <c r="B31" s="14" t="s">
        <v>205</v>
      </c>
      <c r="C31" s="14" t="s">
        <v>25</v>
      </c>
      <c r="D31" s="15">
        <v>-11351.20982</v>
      </c>
      <c r="E31" s="15">
        <v>-9569.6802599999992</v>
      </c>
      <c r="F31" s="15">
        <v>-8161.4428900000003</v>
      </c>
      <c r="G31" s="15">
        <v>-15722.35291</v>
      </c>
      <c r="H31" s="15">
        <v>-7644.2530800000004</v>
      </c>
      <c r="I31" s="15">
        <v>-21312.773379999999</v>
      </c>
      <c r="J31" s="15">
        <v>-20926.033609999999</v>
      </c>
      <c r="K31" s="15">
        <v>-17556.111239999998</v>
      </c>
      <c r="L31" s="15">
        <v>-18082.749830000001</v>
      </c>
      <c r="M31" s="15">
        <v>-13156.723679999999</v>
      </c>
      <c r="N31" s="15">
        <v>-5169.4259199999997</v>
      </c>
    </row>
    <row r="32" spans="1:14">
      <c r="A32" s="14">
        <v>4001390170</v>
      </c>
      <c r="B32" s="14" t="s">
        <v>206</v>
      </c>
      <c r="C32" s="14" t="s">
        <v>25</v>
      </c>
      <c r="D32" s="15">
        <v>103.27555</v>
      </c>
      <c r="E32" s="15">
        <v>22</v>
      </c>
      <c r="F32" s="15">
        <v>324.86002999999999</v>
      </c>
      <c r="G32" s="15">
        <v>92.937629999999999</v>
      </c>
      <c r="H32" s="15">
        <v>1177.9326000000001</v>
      </c>
      <c r="I32" s="15">
        <v>233.09666000000001</v>
      </c>
      <c r="J32" s="15">
        <v>2168.0491000000002</v>
      </c>
      <c r="K32" s="15">
        <v>5642.1034399999999</v>
      </c>
      <c r="L32" s="15">
        <v>8780.0918399999991</v>
      </c>
      <c r="M32" s="15">
        <v>5052.1178200000004</v>
      </c>
      <c r="N32" s="15">
        <v>9659.8306200000006</v>
      </c>
    </row>
    <row r="33" spans="1:14">
      <c r="A33" s="14">
        <v>4001390270</v>
      </c>
      <c r="B33" s="14" t="s">
        <v>207</v>
      </c>
      <c r="C33" s="14" t="s">
        <v>25</v>
      </c>
      <c r="D33" s="15">
        <v>11454.48537</v>
      </c>
      <c r="E33" s="15">
        <v>9591.6802499999994</v>
      </c>
      <c r="F33" s="15">
        <v>8486.3029299999998</v>
      </c>
      <c r="G33" s="15">
        <v>15815.29055</v>
      </c>
      <c r="H33" s="15">
        <v>8822.1856800000005</v>
      </c>
      <c r="I33" s="15">
        <v>21545.870040000002</v>
      </c>
      <c r="J33" s="15">
        <v>23094.082709999999</v>
      </c>
      <c r="K33" s="15">
        <v>23198.214690000001</v>
      </c>
      <c r="L33" s="15">
        <v>26862.841670000002</v>
      </c>
      <c r="M33" s="15">
        <v>18208.841499999999</v>
      </c>
      <c r="N33" s="15">
        <v>14829.25654</v>
      </c>
    </row>
    <row r="34" spans="1:14">
      <c r="A34" s="14">
        <v>4001321350</v>
      </c>
      <c r="B34" s="14" t="s">
        <v>198</v>
      </c>
      <c r="C34" s="14" t="s">
        <v>25</v>
      </c>
      <c r="D34" s="15"/>
      <c r="E34" s="15"/>
      <c r="F34" s="15"/>
      <c r="G34" s="15"/>
      <c r="H34" s="15"/>
      <c r="I34" s="15"/>
      <c r="J34" s="15"/>
      <c r="K34" s="15"/>
      <c r="L34" s="15"/>
      <c r="M34" s="15"/>
      <c r="N34" s="15"/>
    </row>
    <row r="35" spans="1:14">
      <c r="A35" s="14">
        <v>4001321360</v>
      </c>
      <c r="B35" s="14" t="s">
        <v>199</v>
      </c>
      <c r="C35" s="14" t="s">
        <v>25</v>
      </c>
      <c r="D35" s="15"/>
      <c r="E35" s="15"/>
      <c r="F35" s="15"/>
      <c r="G35" s="15"/>
      <c r="H35" s="15"/>
      <c r="I35" s="15"/>
      <c r="J35" s="15"/>
      <c r="K35" s="15"/>
      <c r="L35" s="15"/>
      <c r="M35" s="15"/>
      <c r="N35" s="15"/>
    </row>
    <row r="36" spans="1:14">
      <c r="A36" s="14">
        <v>4001321370</v>
      </c>
      <c r="B36" s="14" t="s">
        <v>200</v>
      </c>
      <c r="C36" s="14" t="s">
        <v>25</v>
      </c>
      <c r="D36" s="15"/>
      <c r="E36" s="15"/>
      <c r="F36" s="15"/>
      <c r="G36" s="15"/>
      <c r="H36" s="15"/>
      <c r="I36" s="15"/>
      <c r="J36" s="15"/>
      <c r="K36" s="15"/>
      <c r="L36" s="15"/>
      <c r="M36" s="15"/>
      <c r="N36" s="15"/>
    </row>
    <row r="37" spans="1:14">
      <c r="A37" s="14">
        <v>4001321380</v>
      </c>
      <c r="B37" s="14" t="s">
        <v>201</v>
      </c>
      <c r="C37" s="14" t="s">
        <v>25</v>
      </c>
      <c r="D37" s="15"/>
      <c r="E37" s="15"/>
      <c r="F37" s="15"/>
      <c r="G37" s="15"/>
      <c r="H37" s="15"/>
      <c r="I37" s="15"/>
      <c r="J37" s="15"/>
      <c r="K37" s="15"/>
      <c r="L37" s="15"/>
      <c r="M37" s="15"/>
      <c r="N37" s="15"/>
    </row>
    <row r="38" spans="1:14">
      <c r="A38" s="14">
        <v>4001321390</v>
      </c>
      <c r="B38" s="14" t="s">
        <v>202</v>
      </c>
      <c r="C38" s="14" t="s">
        <v>25</v>
      </c>
      <c r="D38" s="15"/>
      <c r="E38" s="15"/>
      <c r="F38" s="15"/>
      <c r="G38" s="15"/>
      <c r="H38" s="15"/>
      <c r="I38" s="15"/>
      <c r="J38" s="15"/>
      <c r="K38" s="15"/>
      <c r="L38" s="15"/>
      <c r="M38" s="15"/>
      <c r="N38" s="15"/>
    </row>
    <row r="39" spans="1:14">
      <c r="A39" s="14">
        <v>4001321400</v>
      </c>
      <c r="B39" s="14" t="s">
        <v>203</v>
      </c>
      <c r="C39" s="14" t="s">
        <v>25</v>
      </c>
      <c r="D39" s="15"/>
      <c r="E39" s="15"/>
      <c r="F39" s="15"/>
      <c r="G39" s="15"/>
      <c r="H39" s="15"/>
      <c r="I39" s="15"/>
      <c r="J39" s="15"/>
      <c r="K39" s="15"/>
      <c r="L39" s="15"/>
      <c r="M39" s="15"/>
      <c r="N39" s="15"/>
    </row>
    <row r="40" spans="1:14">
      <c r="A40" s="14">
        <v>4001321410</v>
      </c>
      <c r="B40" s="14" t="s">
        <v>204</v>
      </c>
      <c r="C40" s="14" t="s">
        <v>25</v>
      </c>
      <c r="D40" s="15"/>
      <c r="E40" s="15"/>
      <c r="F40" s="15"/>
      <c r="G40" s="15"/>
      <c r="H40" s="15"/>
      <c r="I40" s="15"/>
      <c r="J40" s="15"/>
      <c r="K40" s="15"/>
      <c r="L40" s="15"/>
      <c r="M40" s="15"/>
      <c r="N40" s="15"/>
    </row>
    <row r="41" spans="1:14">
      <c r="A41" s="14">
        <v>4001390370</v>
      </c>
      <c r="B41" s="14" t="s">
        <v>208</v>
      </c>
      <c r="C41" s="14" t="s">
        <v>25</v>
      </c>
      <c r="D41" s="15">
        <v>12761.560030000001</v>
      </c>
      <c r="E41" s="15">
        <v>3958.3524200000002</v>
      </c>
      <c r="F41" s="15">
        <v>12033.159229999999</v>
      </c>
      <c r="G41" s="15">
        <v>7739.0400900000004</v>
      </c>
      <c r="H41" s="15">
        <v>5805.6865900000003</v>
      </c>
      <c r="I41" s="15">
        <v>22985.355479999998</v>
      </c>
      <c r="J41" s="15">
        <v>28378.758809999999</v>
      </c>
      <c r="K41" s="15">
        <v>7687.5141100000001</v>
      </c>
      <c r="L41" s="15">
        <v>8830.9908799999994</v>
      </c>
      <c r="M41" s="15">
        <v>21207.69022</v>
      </c>
      <c r="N41" s="15">
        <v>5549.1673499999997</v>
      </c>
    </row>
    <row r="42" spans="1:14">
      <c r="A42" s="14">
        <v>4001390380</v>
      </c>
      <c r="B42" s="14" t="s">
        <v>209</v>
      </c>
      <c r="C42" s="14" t="s">
        <v>25</v>
      </c>
      <c r="D42" s="15">
        <v>18702.682359999999</v>
      </c>
      <c r="E42" s="15">
        <v>4732.2064300000002</v>
      </c>
      <c r="F42" s="15">
        <v>37169.343359999999</v>
      </c>
      <c r="G42" s="15">
        <v>8568.9113099999995</v>
      </c>
      <c r="H42" s="15">
        <v>27680</v>
      </c>
      <c r="I42" s="15">
        <v>32696.59879</v>
      </c>
      <c r="J42" s="15">
        <v>51182.611980000001</v>
      </c>
      <c r="K42" s="15">
        <v>13127.63795</v>
      </c>
      <c r="L42" s="15">
        <v>34002.468560000001</v>
      </c>
      <c r="M42" s="15">
        <v>42433.03716</v>
      </c>
      <c r="N42" s="15">
        <v>47204.91461</v>
      </c>
    </row>
    <row r="43" spans="1:14">
      <c r="A43" s="14">
        <v>4001390470</v>
      </c>
      <c r="B43" s="14" t="s">
        <v>210</v>
      </c>
      <c r="C43" s="14" t="s">
        <v>25</v>
      </c>
      <c r="D43" s="15">
        <v>5941.1223300000001</v>
      </c>
      <c r="E43" s="15">
        <v>773.85401000000002</v>
      </c>
      <c r="F43" s="15">
        <v>25136.184130000001</v>
      </c>
      <c r="G43" s="15">
        <v>829.87121999999999</v>
      </c>
      <c r="H43" s="15">
        <v>21874.313419999999</v>
      </c>
      <c r="I43" s="15">
        <v>9711.2433000000001</v>
      </c>
      <c r="J43" s="15">
        <v>22803.853169999998</v>
      </c>
      <c r="K43" s="15">
        <v>5440.1238300000005</v>
      </c>
      <c r="L43" s="15">
        <v>25171.47767</v>
      </c>
      <c r="M43" s="15">
        <v>21225.346949999999</v>
      </c>
      <c r="N43" s="15">
        <v>41655.747259999996</v>
      </c>
    </row>
    <row r="44" spans="1:14">
      <c r="A44" s="14">
        <v>4001330680</v>
      </c>
      <c r="B44" s="14" t="s">
        <v>198</v>
      </c>
      <c r="C44" s="14" t="s">
        <v>25</v>
      </c>
      <c r="D44" s="15"/>
      <c r="E44" s="15"/>
      <c r="F44" s="15"/>
      <c r="G44" s="15"/>
      <c r="H44" s="15"/>
      <c r="I44" s="15"/>
      <c r="J44" s="15"/>
      <c r="K44" s="15"/>
      <c r="L44" s="15"/>
      <c r="M44" s="15"/>
      <c r="N44" s="15"/>
    </row>
    <row r="45" spans="1:14">
      <c r="A45" s="14">
        <v>4001330690</v>
      </c>
      <c r="B45" s="14" t="s">
        <v>199</v>
      </c>
      <c r="C45" s="14" t="s">
        <v>25</v>
      </c>
      <c r="D45" s="15"/>
      <c r="E45" s="15"/>
      <c r="F45" s="15"/>
      <c r="G45" s="15"/>
      <c r="H45" s="15"/>
      <c r="I45" s="15"/>
      <c r="J45" s="15"/>
      <c r="K45" s="15"/>
      <c r="L45" s="15"/>
      <c r="M45" s="15"/>
      <c r="N45" s="15"/>
    </row>
    <row r="46" spans="1:14">
      <c r="A46" s="14">
        <v>4001330700</v>
      </c>
      <c r="B46" s="14" t="s">
        <v>200</v>
      </c>
      <c r="C46" s="14" t="s">
        <v>25</v>
      </c>
      <c r="D46" s="15"/>
      <c r="E46" s="15"/>
      <c r="F46" s="15"/>
      <c r="G46" s="15"/>
      <c r="H46" s="15"/>
      <c r="I46" s="15"/>
      <c r="J46" s="15"/>
      <c r="K46" s="15"/>
      <c r="L46" s="15"/>
      <c r="M46" s="15"/>
      <c r="N46" s="15"/>
    </row>
    <row r="47" spans="1:14">
      <c r="A47" s="14">
        <v>4001330710</v>
      </c>
      <c r="B47" s="14" t="s">
        <v>201</v>
      </c>
      <c r="C47" s="14" t="s">
        <v>25</v>
      </c>
      <c r="D47" s="15"/>
      <c r="E47" s="15"/>
      <c r="F47" s="15"/>
      <c r="G47" s="15"/>
      <c r="H47" s="15"/>
      <c r="I47" s="15"/>
      <c r="J47" s="15"/>
      <c r="K47" s="15"/>
      <c r="L47" s="15"/>
      <c r="M47" s="15"/>
      <c r="N47" s="15"/>
    </row>
    <row r="48" spans="1:14">
      <c r="A48" s="14">
        <v>4001330720</v>
      </c>
      <c r="B48" s="14" t="s">
        <v>202</v>
      </c>
      <c r="C48" s="14" t="s">
        <v>25</v>
      </c>
      <c r="D48" s="15"/>
      <c r="E48" s="15"/>
      <c r="F48" s="15"/>
      <c r="G48" s="15"/>
      <c r="H48" s="15"/>
      <c r="I48" s="15"/>
      <c r="J48" s="15"/>
      <c r="K48" s="15"/>
      <c r="L48" s="15"/>
      <c r="M48" s="15"/>
      <c r="N48" s="15"/>
    </row>
    <row r="49" spans="1:14">
      <c r="A49" s="14">
        <v>4001330730</v>
      </c>
      <c r="B49" s="14" t="s">
        <v>203</v>
      </c>
      <c r="C49" s="14" t="s">
        <v>25</v>
      </c>
      <c r="D49" s="15"/>
      <c r="E49" s="15"/>
      <c r="F49" s="15"/>
      <c r="G49" s="15"/>
      <c r="H49" s="15"/>
      <c r="I49" s="15"/>
      <c r="J49" s="15"/>
      <c r="K49" s="15"/>
      <c r="L49" s="15"/>
      <c r="M49" s="15"/>
      <c r="N49" s="15"/>
    </row>
    <row r="50" spans="1:14">
      <c r="A50" s="14">
        <v>4001330740</v>
      </c>
      <c r="B50" s="14" t="s">
        <v>204</v>
      </c>
      <c r="C50" s="14" t="s">
        <v>25</v>
      </c>
      <c r="D50" s="15"/>
      <c r="E50" s="15"/>
      <c r="F50" s="15"/>
      <c r="G50" s="15"/>
      <c r="H50" s="15"/>
      <c r="I50" s="15"/>
      <c r="J50" s="15"/>
      <c r="K50" s="15"/>
      <c r="L50" s="15"/>
      <c r="M50" s="15"/>
      <c r="N50" s="15"/>
    </row>
    <row r="51" spans="1:14">
      <c r="A51" s="14">
        <v>4001340000</v>
      </c>
      <c r="B51" s="14" t="s">
        <v>211</v>
      </c>
      <c r="C51" s="14" t="s">
        <v>25</v>
      </c>
      <c r="D51" s="15"/>
      <c r="E51" s="15"/>
      <c r="F51" s="15"/>
      <c r="G51" s="15"/>
      <c r="H51" s="15"/>
      <c r="I51" s="15"/>
      <c r="J51" s="15"/>
      <c r="K51" s="15"/>
      <c r="L51" s="15"/>
      <c r="M51" s="15"/>
      <c r="N51" s="15"/>
    </row>
    <row r="52" spans="1:14">
      <c r="A52" s="14">
        <v>4001340010</v>
      </c>
      <c r="B52" s="14" t="s">
        <v>212</v>
      </c>
      <c r="C52" s="14" t="s">
        <v>25</v>
      </c>
      <c r="D52" s="15"/>
      <c r="E52" s="15"/>
      <c r="F52" s="15"/>
      <c r="G52" s="15"/>
      <c r="H52" s="15"/>
      <c r="I52" s="15"/>
      <c r="J52" s="15"/>
      <c r="K52" s="15"/>
      <c r="L52" s="15"/>
      <c r="M52" s="15"/>
      <c r="N52" s="15"/>
    </row>
    <row r="53" spans="1:14">
      <c r="A53" s="14">
        <v>4001340020</v>
      </c>
      <c r="B53" s="14" t="s">
        <v>213</v>
      </c>
      <c r="C53" s="14" t="s">
        <v>25</v>
      </c>
      <c r="D53" s="15">
        <v>73.803569999999993</v>
      </c>
      <c r="E53" s="15">
        <v>28.772169999999999</v>
      </c>
      <c r="F53" s="15">
        <v>80.934449999999998</v>
      </c>
      <c r="G53" s="15">
        <v>-499.74847999999997</v>
      </c>
      <c r="H53" s="15">
        <v>-26.770820000000001</v>
      </c>
      <c r="I53" s="15">
        <v>-19.339659999999999</v>
      </c>
      <c r="J53" s="15">
        <v>314.36651000000001</v>
      </c>
      <c r="K53" s="15">
        <v>-184.15627000000001</v>
      </c>
      <c r="L53" s="15">
        <v>89.595920000000007</v>
      </c>
      <c r="M53" s="15">
        <v>11.959009999999999</v>
      </c>
      <c r="N53" s="15">
        <v>-190.67305999999999</v>
      </c>
    </row>
    <row r="54" spans="1:14">
      <c r="A54" s="14">
        <v>4001340030</v>
      </c>
      <c r="B54" s="14" t="s">
        <v>214</v>
      </c>
      <c r="C54" s="14" t="s">
        <v>25</v>
      </c>
      <c r="D54" s="15">
        <v>1748.8189</v>
      </c>
      <c r="E54" s="15">
        <v>-4277.9826899999998</v>
      </c>
      <c r="F54" s="15">
        <v>15306.91761</v>
      </c>
      <c r="G54" s="15">
        <v>-4410.37302</v>
      </c>
      <c r="H54" s="15">
        <v>5304.8824999999997</v>
      </c>
      <c r="I54" s="15">
        <v>2778.10088</v>
      </c>
      <c r="J54" s="15">
        <v>10480.883239999999</v>
      </c>
      <c r="K54" s="15">
        <v>-6288.4828100000004</v>
      </c>
      <c r="L54" s="15">
        <v>-9627.4023099999995</v>
      </c>
      <c r="M54" s="15">
        <v>14336.687040000001</v>
      </c>
      <c r="N54" s="15">
        <v>-9541.8007899999993</v>
      </c>
    </row>
    <row r="55" spans="1:14">
      <c r="A55" s="14">
        <v>4001340040</v>
      </c>
      <c r="B55" s="14" t="s">
        <v>215</v>
      </c>
      <c r="C55" s="14" t="s">
        <v>25</v>
      </c>
      <c r="D55" s="15">
        <v>15163.828680000001</v>
      </c>
      <c r="E55" s="15">
        <v>16912.647570000001</v>
      </c>
      <c r="F55" s="15">
        <v>12634.66488</v>
      </c>
      <c r="G55" s="15">
        <v>27941.582490000001</v>
      </c>
      <c r="H55" s="15">
        <v>23531.209480000001</v>
      </c>
      <c r="I55" s="15">
        <v>28836.091980000001</v>
      </c>
      <c r="J55" s="15">
        <v>31614.192859999999</v>
      </c>
      <c r="K55" s="15">
        <v>42095.076110000002</v>
      </c>
      <c r="L55" s="15">
        <v>35806.593309999997</v>
      </c>
      <c r="M55" s="15">
        <v>26179.190999999999</v>
      </c>
      <c r="N55" s="15">
        <v>40515.878040000003</v>
      </c>
    </row>
    <row r="56" spans="1:14">
      <c r="A56" s="14">
        <v>4001340050</v>
      </c>
      <c r="B56" s="14" t="s">
        <v>216</v>
      </c>
      <c r="C56" s="14" t="s">
        <v>25</v>
      </c>
      <c r="D56" s="15">
        <v>16912.647570000001</v>
      </c>
      <c r="E56" s="15">
        <v>12634.66488</v>
      </c>
      <c r="F56" s="15">
        <v>27941.582490000001</v>
      </c>
      <c r="G56" s="15">
        <v>23531.209480000001</v>
      </c>
      <c r="H56" s="15">
        <v>28836.091980000001</v>
      </c>
      <c r="I56" s="15">
        <v>31614.192859999999</v>
      </c>
      <c r="J56" s="15">
        <v>42095.076110000002</v>
      </c>
      <c r="K56" s="15">
        <v>35806.5933</v>
      </c>
      <c r="L56" s="15">
        <v>26179.190999999999</v>
      </c>
      <c r="M56" s="15">
        <v>40515.878040000003</v>
      </c>
      <c r="N56" s="15">
        <v>30974.077249999998</v>
      </c>
    </row>
    <row r="57" spans="1:14">
      <c r="A57" s="1"/>
      <c r="B57" s="1"/>
      <c r="C57" s="1"/>
      <c r="D57" s="15"/>
      <c r="E57" s="15"/>
      <c r="F57" s="15"/>
      <c r="G57" s="15"/>
      <c r="H57" s="15"/>
      <c r="I57" s="15"/>
      <c r="J57" s="15"/>
      <c r="K57" s="15"/>
      <c r="L57" s="15"/>
      <c r="M57" s="15"/>
      <c r="N57" s="15"/>
    </row>
    <row r="58" spans="1:14">
      <c r="D58" s="16"/>
      <c r="E58" s="16"/>
      <c r="F58" s="16"/>
      <c r="G58" s="16"/>
      <c r="H58" s="16"/>
      <c r="I58" s="16"/>
      <c r="J58" s="16"/>
      <c r="K58" s="16"/>
      <c r="L58" s="16"/>
      <c r="M58" s="16"/>
      <c r="N58" s="16"/>
    </row>
    <row r="59" spans="1:14">
      <c r="D59" s="16"/>
      <c r="E59" s="16"/>
      <c r="F59" s="16"/>
      <c r="G59" s="16"/>
      <c r="H59" s="16"/>
      <c r="I59" s="16"/>
      <c r="J59" s="16"/>
      <c r="K59" s="16"/>
      <c r="L59" s="16"/>
      <c r="M59" s="16"/>
      <c r="N59" s="16"/>
    </row>
    <row r="60" spans="1:14">
      <c r="D60" s="16"/>
      <c r="E60" s="16"/>
      <c r="F60" s="16"/>
      <c r="G60" s="16"/>
      <c r="H60" s="16"/>
      <c r="I60" s="16"/>
      <c r="J60" s="16"/>
      <c r="K60" s="16"/>
      <c r="L60" s="16"/>
      <c r="M60" s="16"/>
      <c r="N60" s="16"/>
    </row>
  </sheetData>
  <phoneticPr fontId="3" type="noConversion"/>
  <conditionalFormatting sqref="B1">
    <cfRule type="expression" dxfId="3" priority="1" stopIfTrue="1">
      <formula>MID($B$1, 15, 10)-TODAY() &lt; 0</formula>
    </cfRule>
  </conditionalFormatting>
  <dataValidations count="7">
    <dataValidation type="list" allowBlank="1" showInputMessage="1" sqref="B5" xr:uid="{ADCBC386-7170-4353-8E13-235AFD19A951}">
      <formula1>"전체,재무상태표,손익계산서,현금흐름표,자본금변동표"</formula1>
    </dataValidation>
    <dataValidation type="list" allowBlank="1" showInputMessage="1" sqref="B6" xr:uid="{215D52B3-1638-4D13-BA2F-294BDD9D7D87}">
      <formula1>"상세(총액),상세(순액),요약,약식"</formula1>
    </dataValidation>
    <dataValidation type="list" allowBlank="1" showInputMessage="1" sqref="B7" xr:uid="{FDB0091C-9282-44ED-906E-E68D7F7EB55D}">
      <formula1>"결산,누적분기,당분기"</formula1>
    </dataValidation>
    <dataValidation type="list" allowBlank="1" showInputMessage="1" sqref="C7" xr:uid="{E16FBD51-6677-4777-8714-40592602BB22}">
      <formula1>"천원,백만원,억원,십억원"</formula1>
    </dataValidation>
    <dataValidation type="list" allowBlank="1" showInputMessage="1" sqref="B4" xr:uid="{58FB6BB8-3047-45F7-B062-EE104A332973}">
      <formula1>"별도,연결"</formula1>
    </dataValidation>
    <dataValidation type="list" allowBlank="1" showInputMessage="1" sqref="B8" xr:uid="{B3602AF6-15B0-47C5-BBD1-CF843E0D6CDA}">
      <formula1>"1983,1984,1985,1986,1987,1988,1989,1990,1991,1992,1993,1994,1995,1996,1997,1998,1999,2000,2001,2002,2003,2004,2005,2006,2007,2008,2009,2010,2011,2012,2013,2014,2015,2016,2017,2018,2019,2020,2021,2022,2023,2024,2025"</formula1>
    </dataValidation>
    <dataValidation type="list" allowBlank="1" showInputMessage="1" sqref="C8" xr:uid="{B9DBC6FF-F3D9-48E8-9894-DA2AF1A60453}">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3262-7B4B-A749-AABA-8657B1530153}">
  <dimension ref="A1:E85"/>
  <sheetViews>
    <sheetView showGridLines="0" workbookViewId="0">
      <selection activeCell="G6" sqref="G6"/>
    </sheetView>
  </sheetViews>
  <sheetFormatPr defaultColWidth="8.85546875" defaultRowHeight="17.600000000000001"/>
  <cols>
    <col min="1" max="1" width="9.140625" bestFit="1" customWidth="1"/>
    <col min="2" max="2" width="51.640625" bestFit="1" customWidth="1"/>
    <col min="3" max="3" width="11.5" bestFit="1" customWidth="1"/>
    <col min="4" max="5" width="9.640625" bestFit="1" customWidth="1"/>
  </cols>
  <sheetData>
    <row r="1" spans="1:5">
      <c r="B1" s="2" t="s">
        <v>264</v>
      </c>
    </row>
    <row r="2" spans="1:5">
      <c r="A2" s="3" t="s">
        <v>1</v>
      </c>
      <c r="B2" s="3"/>
      <c r="C2" s="3"/>
      <c r="D2" s="3"/>
      <c r="E2" s="3"/>
    </row>
    <row r="3" spans="1:5">
      <c r="A3" s="4" t="s">
        <v>4</v>
      </c>
      <c r="B3" s="4" t="s">
        <v>93</v>
      </c>
      <c r="C3" s="4"/>
      <c r="D3" s="4"/>
      <c r="E3" s="4"/>
    </row>
    <row r="4" spans="1:5">
      <c r="A4" s="4" t="s">
        <v>5</v>
      </c>
      <c r="B4" s="8" t="s">
        <v>98</v>
      </c>
      <c r="C4" s="4" t="s">
        <v>2</v>
      </c>
      <c r="D4" s="4" t="s">
        <v>97</v>
      </c>
      <c r="E4" s="4"/>
    </row>
    <row r="5" spans="1:5">
      <c r="A5" s="4" t="s">
        <v>6</v>
      </c>
      <c r="B5" s="11" t="s">
        <v>94</v>
      </c>
      <c r="C5" s="4" t="s">
        <v>3</v>
      </c>
      <c r="D5" s="4"/>
      <c r="E5" s="4"/>
    </row>
    <row r="6" spans="1:5">
      <c r="A6" s="4" t="s">
        <v>7</v>
      </c>
      <c r="B6" s="9" t="s">
        <v>95</v>
      </c>
      <c r="C6" s="4"/>
      <c r="D6" s="4"/>
      <c r="E6" s="4"/>
    </row>
    <row r="7" spans="1:5">
      <c r="A7" s="4" t="s">
        <v>8</v>
      </c>
      <c r="B7" s="12" t="s">
        <v>263</v>
      </c>
      <c r="C7" s="9" t="s">
        <v>25</v>
      </c>
      <c r="D7" s="4"/>
      <c r="E7" s="4"/>
    </row>
    <row r="8" spans="1:5">
      <c r="A8" s="5" t="s">
        <v>92</v>
      </c>
      <c r="B8" s="10">
        <v>2022</v>
      </c>
      <c r="C8" s="8" t="s">
        <v>99</v>
      </c>
      <c r="D8" s="5"/>
      <c r="E8" s="5"/>
    </row>
    <row r="9" spans="1:5">
      <c r="A9" s="6" t="s">
        <v>9</v>
      </c>
      <c r="B9" s="13" t="s">
        <v>10</v>
      </c>
      <c r="C9" s="13" t="s">
        <v>11</v>
      </c>
      <c r="D9" s="6">
        <v>202212</v>
      </c>
      <c r="E9" s="6">
        <v>202312</v>
      </c>
    </row>
    <row r="10" spans="1:5">
      <c r="A10" s="7"/>
      <c r="B10" s="7"/>
      <c r="C10" s="7"/>
      <c r="D10" s="7" t="s">
        <v>23</v>
      </c>
      <c r="E10" s="7" t="s">
        <v>23</v>
      </c>
    </row>
    <row r="11" spans="1:5">
      <c r="A11" s="14">
        <v>4001190010</v>
      </c>
      <c r="B11" s="14" t="s">
        <v>24</v>
      </c>
      <c r="C11" s="14" t="s">
        <v>25</v>
      </c>
      <c r="D11" s="15">
        <v>213510.13678999999</v>
      </c>
      <c r="E11" s="15">
        <v>299869.69624999998</v>
      </c>
    </row>
    <row r="12" spans="1:5">
      <c r="A12" s="14">
        <v>4001190240</v>
      </c>
      <c r="B12" s="14" t="s">
        <v>26</v>
      </c>
      <c r="C12" s="14" t="s">
        <v>25</v>
      </c>
      <c r="D12" s="15">
        <v>86395.353499999997</v>
      </c>
      <c r="E12" s="15">
        <v>118800.27842</v>
      </c>
    </row>
    <row r="13" spans="1:5">
      <c r="A13" s="14">
        <v>4001190250</v>
      </c>
      <c r="B13" s="14" t="s">
        <v>27</v>
      </c>
      <c r="C13" s="14" t="s">
        <v>25</v>
      </c>
      <c r="D13" s="15">
        <v>36853.005409999998</v>
      </c>
      <c r="E13" s="15">
        <v>58066.633909999997</v>
      </c>
    </row>
    <row r="14" spans="1:5">
      <c r="A14" s="14">
        <v>4001190260</v>
      </c>
      <c r="B14" s="14" t="s">
        <v>28</v>
      </c>
      <c r="C14" s="14" t="s">
        <v>25</v>
      </c>
      <c r="D14" s="15"/>
      <c r="E14" s="15"/>
    </row>
    <row r="15" spans="1:5">
      <c r="A15" s="14">
        <v>4001190270</v>
      </c>
      <c r="B15" s="14" t="s">
        <v>29</v>
      </c>
      <c r="C15" s="14" t="s">
        <v>25</v>
      </c>
      <c r="D15" s="15">
        <v>1248</v>
      </c>
      <c r="E15" s="15">
        <v>6014.1917599999997</v>
      </c>
    </row>
    <row r="16" spans="1:5">
      <c r="A16" s="14">
        <v>4001190300</v>
      </c>
      <c r="B16" s="14" t="s">
        <v>30</v>
      </c>
      <c r="C16" s="14" t="s">
        <v>25</v>
      </c>
      <c r="D16" s="15">
        <v>22067.63</v>
      </c>
      <c r="E16" s="15">
        <v>16463.513999999999</v>
      </c>
    </row>
    <row r="17" spans="1:5">
      <c r="A17" s="14">
        <v>4001113900</v>
      </c>
      <c r="B17" s="14" t="s">
        <v>31</v>
      </c>
      <c r="C17" s="14" t="s">
        <v>25</v>
      </c>
      <c r="D17" s="15">
        <v>0.28999999999999998</v>
      </c>
      <c r="E17" s="15">
        <v>0.1232</v>
      </c>
    </row>
    <row r="18" spans="1:5">
      <c r="A18" s="14">
        <v>4001180995</v>
      </c>
      <c r="B18" s="14" t="s">
        <v>32</v>
      </c>
      <c r="C18" s="14" t="s">
        <v>25</v>
      </c>
      <c r="D18" s="15"/>
      <c r="E18" s="15"/>
    </row>
    <row r="19" spans="1:5">
      <c r="A19" s="14">
        <v>4001113903</v>
      </c>
      <c r="B19" s="14" t="s">
        <v>33</v>
      </c>
      <c r="C19" s="14" t="s">
        <v>25</v>
      </c>
      <c r="D19" s="15"/>
      <c r="E19" s="15"/>
    </row>
    <row r="20" spans="1:5">
      <c r="A20" s="14">
        <v>4001113904</v>
      </c>
      <c r="B20" s="14" t="s">
        <v>34</v>
      </c>
      <c r="C20" s="14" t="s">
        <v>25</v>
      </c>
      <c r="D20" s="15"/>
      <c r="E20" s="15"/>
    </row>
    <row r="21" spans="1:5">
      <c r="A21" s="14">
        <v>4001190340</v>
      </c>
      <c r="B21" s="14" t="s">
        <v>35</v>
      </c>
      <c r="C21" s="14" t="s">
        <v>25</v>
      </c>
      <c r="D21" s="15">
        <v>2695.2187600000002</v>
      </c>
      <c r="E21" s="15">
        <v>2449.2224099999999</v>
      </c>
    </row>
    <row r="22" spans="1:5">
      <c r="A22" s="14">
        <v>4001190370</v>
      </c>
      <c r="B22" s="14" t="s">
        <v>36</v>
      </c>
      <c r="C22" s="14" t="s">
        <v>25</v>
      </c>
      <c r="D22" s="15">
        <v>23531.208999999999</v>
      </c>
      <c r="E22" s="15">
        <v>35806.593999999997</v>
      </c>
    </row>
    <row r="23" spans="1:5">
      <c r="A23" s="14">
        <v>4001114130</v>
      </c>
      <c r="B23" s="14" t="s">
        <v>37</v>
      </c>
      <c r="C23" s="14" t="s">
        <v>25</v>
      </c>
      <c r="D23" s="15"/>
      <c r="E23" s="15"/>
    </row>
    <row r="24" spans="1:5">
      <c r="A24" s="14">
        <v>4001190020</v>
      </c>
      <c r="B24" s="14" t="s">
        <v>38</v>
      </c>
      <c r="C24" s="14" t="s">
        <v>25</v>
      </c>
      <c r="D24" s="15">
        <v>127114.78329000001</v>
      </c>
      <c r="E24" s="15">
        <v>181069.41782999999</v>
      </c>
    </row>
    <row r="25" spans="1:5">
      <c r="A25" s="14">
        <v>4001190030</v>
      </c>
      <c r="B25" s="14" t="s">
        <v>39</v>
      </c>
      <c r="C25" s="14" t="s">
        <v>25</v>
      </c>
      <c r="D25" s="15">
        <v>122019.65983999999</v>
      </c>
      <c r="E25" s="15">
        <v>171751.4265</v>
      </c>
    </row>
    <row r="26" spans="1:5">
      <c r="A26" s="14">
        <v>4001190070</v>
      </c>
      <c r="B26" s="14" t="s">
        <v>40</v>
      </c>
      <c r="C26" s="14" t="s">
        <v>25</v>
      </c>
      <c r="D26" s="15">
        <v>411.02199999999999</v>
      </c>
      <c r="E26" s="15">
        <v>935.10299999999995</v>
      </c>
    </row>
    <row r="27" spans="1:5">
      <c r="A27" s="14">
        <v>4001190110</v>
      </c>
      <c r="B27" s="14" t="s">
        <v>41</v>
      </c>
      <c r="C27" s="14" t="s">
        <v>25</v>
      </c>
      <c r="D27" s="15"/>
      <c r="E27" s="15"/>
    </row>
    <row r="28" spans="1:5">
      <c r="A28" s="14">
        <v>4001190120</v>
      </c>
      <c r="B28" s="14" t="s">
        <v>42</v>
      </c>
      <c r="C28" s="14" t="s">
        <v>25</v>
      </c>
      <c r="D28" s="15"/>
      <c r="E28" s="15"/>
    </row>
    <row r="29" spans="1:5">
      <c r="A29" s="14">
        <v>4001190130</v>
      </c>
      <c r="B29" s="14" t="s">
        <v>43</v>
      </c>
      <c r="C29" s="14" t="s">
        <v>25</v>
      </c>
      <c r="D29" s="15">
        <v>1356.0283400000001</v>
      </c>
      <c r="E29" s="15">
        <v>3154.7585100000001</v>
      </c>
    </row>
    <row r="30" spans="1:5">
      <c r="A30" s="14">
        <v>4001111660</v>
      </c>
      <c r="B30" s="14" t="s">
        <v>44</v>
      </c>
      <c r="C30" s="14" t="s">
        <v>25</v>
      </c>
      <c r="D30" s="15"/>
      <c r="E30" s="15"/>
    </row>
    <row r="31" spans="1:5">
      <c r="A31" s="14">
        <v>4001190160</v>
      </c>
      <c r="B31" s="14" t="s">
        <v>45</v>
      </c>
      <c r="C31" s="14" t="s">
        <v>25</v>
      </c>
      <c r="D31" s="15"/>
      <c r="E31" s="15"/>
    </row>
    <row r="32" spans="1:5">
      <c r="A32" s="14">
        <v>4001112490</v>
      </c>
      <c r="B32" s="14" t="s">
        <v>46</v>
      </c>
      <c r="C32" s="14" t="s">
        <v>25</v>
      </c>
      <c r="D32" s="15">
        <v>3325.45264</v>
      </c>
      <c r="E32" s="15">
        <v>5200.8297000000002</v>
      </c>
    </row>
    <row r="33" spans="1:5">
      <c r="A33" s="14">
        <v>4001112500</v>
      </c>
      <c r="B33" s="14" t="s">
        <v>47</v>
      </c>
      <c r="C33" s="14" t="s">
        <v>25</v>
      </c>
      <c r="D33" s="15"/>
      <c r="E33" s="15"/>
    </row>
    <row r="34" spans="1:5">
      <c r="A34" s="14">
        <v>4001180575</v>
      </c>
      <c r="B34" s="14" t="s">
        <v>32</v>
      </c>
      <c r="C34" s="14" t="s">
        <v>25</v>
      </c>
      <c r="D34" s="15"/>
      <c r="E34" s="15"/>
    </row>
    <row r="35" spans="1:5">
      <c r="A35" s="14">
        <v>4001112503</v>
      </c>
      <c r="B35" s="14" t="s">
        <v>33</v>
      </c>
      <c r="C35" s="14" t="s">
        <v>25</v>
      </c>
      <c r="D35" s="15"/>
      <c r="E35" s="15"/>
    </row>
    <row r="36" spans="1:5">
      <c r="A36" s="14">
        <v>4001112504</v>
      </c>
      <c r="B36" s="14" t="s">
        <v>34</v>
      </c>
      <c r="C36" s="14" t="s">
        <v>25</v>
      </c>
      <c r="D36" s="15"/>
      <c r="E36" s="15"/>
    </row>
    <row r="37" spans="1:5">
      <c r="A37" s="14">
        <v>4001190200</v>
      </c>
      <c r="B37" s="14" t="s">
        <v>48</v>
      </c>
      <c r="C37" s="14" t="s">
        <v>25</v>
      </c>
      <c r="D37" s="15">
        <v>2.6211600000000002</v>
      </c>
      <c r="E37" s="15">
        <v>27.300080000000001</v>
      </c>
    </row>
    <row r="38" spans="1:5">
      <c r="A38" s="14">
        <v>4001112880</v>
      </c>
      <c r="B38" s="14" t="s">
        <v>49</v>
      </c>
      <c r="C38" s="14" t="s">
        <v>25</v>
      </c>
      <c r="D38" s="15"/>
      <c r="E38" s="15"/>
    </row>
    <row r="39" spans="1:5">
      <c r="A39" s="14">
        <v>4001190440</v>
      </c>
      <c r="B39" s="14" t="s">
        <v>50</v>
      </c>
      <c r="C39" s="14" t="s">
        <v>25</v>
      </c>
      <c r="D39" s="15">
        <v>126727.50634000001</v>
      </c>
      <c r="E39" s="15">
        <v>189134.71247</v>
      </c>
    </row>
    <row r="40" spans="1:5">
      <c r="A40" s="14">
        <v>4001190610</v>
      </c>
      <c r="B40" s="14" t="s">
        <v>51</v>
      </c>
      <c r="C40" s="14" t="s">
        <v>25</v>
      </c>
      <c r="D40" s="15">
        <v>76900.458190000005</v>
      </c>
      <c r="E40" s="15">
        <v>103482.36410000001</v>
      </c>
    </row>
    <row r="41" spans="1:5">
      <c r="A41" s="14">
        <v>4001181470</v>
      </c>
      <c r="B41" s="14" t="s">
        <v>52</v>
      </c>
      <c r="C41" s="14" t="s">
        <v>25</v>
      </c>
      <c r="D41" s="15"/>
      <c r="E41" s="15"/>
    </row>
    <row r="42" spans="1:5">
      <c r="A42" s="14">
        <v>4001121700</v>
      </c>
      <c r="B42" s="14" t="s">
        <v>53</v>
      </c>
      <c r="C42" s="14" t="s">
        <v>25</v>
      </c>
      <c r="D42" s="15">
        <v>53520</v>
      </c>
      <c r="E42" s="15">
        <v>79452</v>
      </c>
    </row>
    <row r="43" spans="1:5">
      <c r="A43" s="14">
        <v>4001190620</v>
      </c>
      <c r="B43" s="14" t="s">
        <v>54</v>
      </c>
      <c r="C43" s="14" t="s">
        <v>25</v>
      </c>
      <c r="D43" s="15">
        <v>7066</v>
      </c>
      <c r="E43" s="15">
        <v>11006.771000000001</v>
      </c>
    </row>
    <row r="44" spans="1:5">
      <c r="A44" s="14">
        <v>4001190630</v>
      </c>
      <c r="B44" s="14" t="s">
        <v>55</v>
      </c>
      <c r="C44" s="14" t="s">
        <v>25</v>
      </c>
      <c r="D44" s="15">
        <v>410.67572000000001</v>
      </c>
      <c r="E44" s="15">
        <v>445.09025000000003</v>
      </c>
    </row>
    <row r="45" spans="1:5">
      <c r="A45" s="14">
        <v>4001190660</v>
      </c>
      <c r="B45" s="14" t="s">
        <v>56</v>
      </c>
      <c r="C45" s="14" t="s">
        <v>25</v>
      </c>
      <c r="D45" s="15">
        <v>12600.934999999999</v>
      </c>
      <c r="E45" s="15">
        <v>10064.954</v>
      </c>
    </row>
    <row r="46" spans="1:5">
      <c r="A46" s="14">
        <v>4001190680</v>
      </c>
      <c r="B46" s="14" t="s">
        <v>57</v>
      </c>
      <c r="C46" s="14" t="s">
        <v>25</v>
      </c>
      <c r="D46" s="15"/>
      <c r="E46" s="15"/>
    </row>
    <row r="47" spans="1:5">
      <c r="A47" s="14">
        <v>4001122460</v>
      </c>
      <c r="B47" s="14" t="s">
        <v>58</v>
      </c>
      <c r="C47" s="14" t="s">
        <v>25</v>
      </c>
      <c r="D47" s="15">
        <v>1.7597</v>
      </c>
      <c r="E47" s="15">
        <v>17.20327</v>
      </c>
    </row>
    <row r="48" spans="1:5">
      <c r="A48" s="14">
        <v>4001122560</v>
      </c>
      <c r="B48" s="14" t="s">
        <v>59</v>
      </c>
      <c r="C48" s="14" t="s">
        <v>25</v>
      </c>
      <c r="D48" s="15">
        <v>3038.6689999999999</v>
      </c>
      <c r="E48" s="15">
        <v>2292.4703300000001</v>
      </c>
    </row>
    <row r="49" spans="1:5">
      <c r="A49" s="14">
        <v>4001122561</v>
      </c>
      <c r="B49" s="14" t="s">
        <v>60</v>
      </c>
      <c r="C49" s="14" t="s">
        <v>25</v>
      </c>
      <c r="D49" s="15">
        <v>43.767749999999999</v>
      </c>
      <c r="E49" s="15">
        <v>200.65875</v>
      </c>
    </row>
    <row r="50" spans="1:5">
      <c r="A50" s="14">
        <v>4001122562</v>
      </c>
      <c r="B50" s="14" t="s">
        <v>61</v>
      </c>
      <c r="C50" s="14" t="s">
        <v>25</v>
      </c>
      <c r="D50" s="15"/>
      <c r="E50" s="15"/>
    </row>
    <row r="51" spans="1:5">
      <c r="A51" s="14">
        <v>4001122563</v>
      </c>
      <c r="B51" s="14" t="s">
        <v>62</v>
      </c>
      <c r="C51" s="14" t="s">
        <v>25</v>
      </c>
      <c r="D51" s="15"/>
      <c r="E51" s="15"/>
    </row>
    <row r="52" spans="1:5">
      <c r="A52" s="14">
        <v>4001190690</v>
      </c>
      <c r="B52" s="14" t="s">
        <v>63</v>
      </c>
      <c r="C52" s="14" t="s">
        <v>25</v>
      </c>
      <c r="D52" s="15">
        <v>218.65100000000001</v>
      </c>
      <c r="E52" s="15">
        <v>3.2170000000000001</v>
      </c>
    </row>
    <row r="53" spans="1:5">
      <c r="A53" s="14">
        <v>4001122680</v>
      </c>
      <c r="B53" s="14" t="s">
        <v>64</v>
      </c>
      <c r="C53" s="14" t="s">
        <v>25</v>
      </c>
      <c r="D53" s="15"/>
      <c r="E53" s="15"/>
    </row>
    <row r="54" spans="1:5">
      <c r="A54" s="14">
        <v>4001190450</v>
      </c>
      <c r="B54" s="14" t="s">
        <v>65</v>
      </c>
      <c r="C54" s="14" t="s">
        <v>25</v>
      </c>
      <c r="D54" s="15">
        <v>49827.048150000002</v>
      </c>
      <c r="E54" s="15">
        <v>85652.348370000007</v>
      </c>
    </row>
    <row r="55" spans="1:5">
      <c r="A55" s="14">
        <v>4001190460</v>
      </c>
      <c r="B55" s="14" t="s">
        <v>66</v>
      </c>
      <c r="C55" s="14" t="s">
        <v>25</v>
      </c>
      <c r="D55" s="15"/>
      <c r="E55" s="15"/>
    </row>
    <row r="56" spans="1:5">
      <c r="A56" s="14">
        <v>4001190470</v>
      </c>
      <c r="B56" s="14" t="s">
        <v>67</v>
      </c>
      <c r="C56" s="14" t="s">
        <v>25</v>
      </c>
      <c r="D56" s="15">
        <v>45556.47</v>
      </c>
      <c r="E56" s="15">
        <v>81157.671000000002</v>
      </c>
    </row>
    <row r="57" spans="1:5">
      <c r="A57" s="14">
        <v>4001190480</v>
      </c>
      <c r="B57" s="14" t="s">
        <v>68</v>
      </c>
      <c r="C57" s="14" t="s">
        <v>25</v>
      </c>
      <c r="D57" s="15">
        <v>454.46996000000001</v>
      </c>
      <c r="E57" s="15">
        <v>639.16864999999996</v>
      </c>
    </row>
    <row r="58" spans="1:5">
      <c r="A58" s="14">
        <v>4001190500</v>
      </c>
      <c r="B58" s="14" t="s">
        <v>69</v>
      </c>
      <c r="C58" s="14" t="s">
        <v>25</v>
      </c>
      <c r="D58" s="15">
        <v>180.96899999999999</v>
      </c>
      <c r="E58" s="15">
        <v>70.183000000000007</v>
      </c>
    </row>
    <row r="59" spans="1:5">
      <c r="A59" s="14">
        <v>4001190570</v>
      </c>
      <c r="B59" s="14" t="s">
        <v>70</v>
      </c>
      <c r="C59" s="14" t="s">
        <v>25</v>
      </c>
      <c r="D59" s="15">
        <v>3635.13868</v>
      </c>
      <c r="E59" s="15">
        <v>3785.3261000000002</v>
      </c>
    </row>
    <row r="60" spans="1:5">
      <c r="A60" s="14">
        <v>4001121280</v>
      </c>
      <c r="B60" s="14" t="s">
        <v>71</v>
      </c>
      <c r="C60" s="14" t="s">
        <v>25</v>
      </c>
      <c r="D60" s="15"/>
      <c r="E60" s="15"/>
    </row>
    <row r="61" spans="1:5">
      <c r="A61" s="14">
        <v>4001121380</v>
      </c>
      <c r="B61" s="14" t="s">
        <v>72</v>
      </c>
      <c r="C61" s="14" t="s">
        <v>25</v>
      </c>
      <c r="D61" s="15"/>
      <c r="E61" s="15"/>
    </row>
    <row r="62" spans="1:5">
      <c r="A62" s="14">
        <v>4001181370</v>
      </c>
      <c r="B62" s="14" t="s">
        <v>73</v>
      </c>
      <c r="C62" s="14" t="s">
        <v>25</v>
      </c>
      <c r="D62" s="15"/>
      <c r="E62" s="15"/>
    </row>
    <row r="63" spans="1:5">
      <c r="A63" s="14">
        <v>4001121401</v>
      </c>
      <c r="B63" s="14" t="s">
        <v>60</v>
      </c>
      <c r="C63" s="14" t="s">
        <v>25</v>
      </c>
      <c r="D63" s="15"/>
      <c r="E63" s="15"/>
    </row>
    <row r="64" spans="1:5">
      <c r="A64" s="14">
        <v>4001121402</v>
      </c>
      <c r="B64" s="14" t="s">
        <v>61</v>
      </c>
      <c r="C64" s="14" t="s">
        <v>25</v>
      </c>
      <c r="D64" s="15"/>
      <c r="E64" s="15"/>
    </row>
    <row r="65" spans="1:5">
      <c r="A65" s="14">
        <v>4001121403</v>
      </c>
      <c r="B65" s="14" t="s">
        <v>62</v>
      </c>
      <c r="C65" s="14" t="s">
        <v>25</v>
      </c>
      <c r="D65" s="15"/>
      <c r="E65" s="15"/>
    </row>
    <row r="66" spans="1:5">
      <c r="A66" s="14">
        <v>4001190580</v>
      </c>
      <c r="B66" s="14" t="s">
        <v>74</v>
      </c>
      <c r="C66" s="14" t="s">
        <v>25</v>
      </c>
      <c r="D66" s="15"/>
      <c r="E66" s="15"/>
    </row>
    <row r="67" spans="1:5">
      <c r="A67" s="14">
        <v>4001121620</v>
      </c>
      <c r="B67" s="14" t="s">
        <v>75</v>
      </c>
      <c r="C67" s="14" t="s">
        <v>25</v>
      </c>
      <c r="D67" s="15"/>
      <c r="E67" s="15"/>
    </row>
    <row r="68" spans="1:5">
      <c r="A68" s="14">
        <v>4001190380</v>
      </c>
      <c r="B68" s="14" t="s">
        <v>76</v>
      </c>
      <c r="C68" s="14" t="s">
        <v>25</v>
      </c>
      <c r="D68" s="15">
        <v>86782.630439999994</v>
      </c>
      <c r="E68" s="15">
        <v>110734.98378</v>
      </c>
    </row>
    <row r="69" spans="1:5">
      <c r="A69" s="14">
        <v>4001130010</v>
      </c>
      <c r="B69" s="14" t="s">
        <v>77</v>
      </c>
      <c r="C69" s="14" t="s">
        <v>78</v>
      </c>
      <c r="D69" s="15">
        <v>500000000</v>
      </c>
      <c r="E69" s="15">
        <v>500000000</v>
      </c>
    </row>
    <row r="70" spans="1:5">
      <c r="A70" s="14">
        <v>4001130020</v>
      </c>
      <c r="B70" s="14" t="s">
        <v>79</v>
      </c>
      <c r="C70" s="14" t="s">
        <v>80</v>
      </c>
      <c r="D70" s="15">
        <v>100</v>
      </c>
      <c r="E70" s="15">
        <v>100</v>
      </c>
    </row>
    <row r="71" spans="1:5">
      <c r="A71" s="14">
        <v>4001130030</v>
      </c>
      <c r="B71" s="14" t="s">
        <v>81</v>
      </c>
      <c r="C71" s="14" t="s">
        <v>78</v>
      </c>
      <c r="D71" s="15">
        <v>65730548</v>
      </c>
      <c r="E71" s="15">
        <v>65730548</v>
      </c>
    </row>
    <row r="72" spans="1:5">
      <c r="A72" s="14">
        <v>4001130040</v>
      </c>
      <c r="B72" s="14" t="s">
        <v>82</v>
      </c>
      <c r="C72" s="14" t="s">
        <v>78</v>
      </c>
      <c r="D72" s="15">
        <v>65730548</v>
      </c>
      <c r="E72" s="15">
        <v>65730548</v>
      </c>
    </row>
    <row r="73" spans="1:5">
      <c r="A73" s="14">
        <v>4001130050</v>
      </c>
      <c r="B73" s="14" t="s">
        <v>83</v>
      </c>
      <c r="C73" s="14" t="s">
        <v>78</v>
      </c>
      <c r="D73" s="15"/>
      <c r="E73" s="15"/>
    </row>
    <row r="74" spans="1:5">
      <c r="A74" s="14">
        <v>4001190390</v>
      </c>
      <c r="B74" s="14" t="s">
        <v>84</v>
      </c>
      <c r="C74" s="14" t="s">
        <v>25</v>
      </c>
      <c r="D74" s="15">
        <v>86075.722510000007</v>
      </c>
      <c r="E74" s="15">
        <v>109813.55381</v>
      </c>
    </row>
    <row r="75" spans="1:5">
      <c r="A75" s="14">
        <v>4001130070</v>
      </c>
      <c r="B75" s="14" t="s">
        <v>85</v>
      </c>
      <c r="C75" s="14" t="s">
        <v>25</v>
      </c>
      <c r="D75" s="15">
        <v>6573.0547999999999</v>
      </c>
      <c r="E75" s="15">
        <v>6573.0547999999999</v>
      </c>
    </row>
    <row r="76" spans="1:5">
      <c r="A76" s="14">
        <v>4001130670</v>
      </c>
      <c r="B76" s="14" t="s">
        <v>86</v>
      </c>
      <c r="C76" s="14" t="s">
        <v>25</v>
      </c>
      <c r="D76" s="15"/>
      <c r="E76" s="15"/>
    </row>
    <row r="77" spans="1:5">
      <c r="A77" s="14">
        <v>4001190400</v>
      </c>
      <c r="B77" s="14" t="s">
        <v>87</v>
      </c>
      <c r="C77" s="14" t="s">
        <v>25</v>
      </c>
      <c r="D77" s="15">
        <v>29289.164799999999</v>
      </c>
      <c r="E77" s="15">
        <v>29289.164799999999</v>
      </c>
    </row>
    <row r="78" spans="1:5">
      <c r="A78" s="14">
        <v>4001190420</v>
      </c>
      <c r="B78" s="14" t="s">
        <v>88</v>
      </c>
      <c r="C78" s="14" t="s">
        <v>25</v>
      </c>
      <c r="D78" s="15">
        <v>-3.5729999999999998E-2</v>
      </c>
      <c r="E78" s="15">
        <v>-3.5729999999999998E-2</v>
      </c>
    </row>
    <row r="79" spans="1:5">
      <c r="A79" s="14">
        <v>4001130360</v>
      </c>
      <c r="B79" s="14" t="s">
        <v>89</v>
      </c>
      <c r="C79" s="14" t="s">
        <v>25</v>
      </c>
      <c r="D79" s="15">
        <v>28.142910000000001</v>
      </c>
      <c r="E79" s="15">
        <v>10.64259</v>
      </c>
    </row>
    <row r="80" spans="1:5">
      <c r="A80" s="14">
        <v>4001130470</v>
      </c>
      <c r="B80" s="14" t="s">
        <v>90</v>
      </c>
      <c r="C80" s="14" t="s">
        <v>25</v>
      </c>
      <c r="D80" s="15">
        <v>50185.39572</v>
      </c>
      <c r="E80" s="15">
        <v>73940.727339999998</v>
      </c>
    </row>
    <row r="81" spans="1:5">
      <c r="A81" s="14">
        <v>4001130640</v>
      </c>
      <c r="B81" s="14" t="s">
        <v>91</v>
      </c>
      <c r="C81" s="14" t="s">
        <v>25</v>
      </c>
      <c r="D81" s="15">
        <v>706.90792999999996</v>
      </c>
      <c r="E81" s="15">
        <v>921.42996000000005</v>
      </c>
    </row>
    <row r="82" spans="1:5">
      <c r="A82" s="1"/>
      <c r="B82" s="1"/>
      <c r="C82" s="1"/>
      <c r="D82" s="15"/>
      <c r="E82" s="15"/>
    </row>
    <row r="83" spans="1:5">
      <c r="D83" s="16"/>
      <c r="E83" s="16"/>
    </row>
    <row r="84" spans="1:5">
      <c r="D84" s="16"/>
      <c r="E84" s="16"/>
    </row>
    <row r="85" spans="1:5">
      <c r="D85" s="16"/>
      <c r="E85" s="16"/>
    </row>
  </sheetData>
  <phoneticPr fontId="3" type="noConversion"/>
  <conditionalFormatting sqref="B1">
    <cfRule type="expression" dxfId="2" priority="1" stopIfTrue="1">
      <formula>MID($B$1, 15, 10)-TODAY() &lt; 0</formula>
    </cfRule>
  </conditionalFormatting>
  <dataValidations count="7">
    <dataValidation type="list" allowBlank="1" showInputMessage="1" sqref="C8" xr:uid="{FBE13079-26D0-43D0-9060-5A6EED1F280B}">
      <formula1>"1983,1984,1985,1986,1987,1988,1989,1990,1991,1992,1993,1994,1995,1996,1997,1998,1999,2000,2001,2002,2003,2004,2005,2006,2007,2008,2009,2010,2011,2012,2013,2014,2015,2016,2017,2018,2019,2020,2021,2022,2023,2024,2025,Current"</formula1>
    </dataValidation>
    <dataValidation type="list" allowBlank="1" showInputMessage="1" sqref="B8" xr:uid="{0B74D328-FD82-4132-AD9D-9E1413BF5092}">
      <formula1>"1983,1984,1985,1986,1987,1988,1989,1990,1991,1992,1993,1994,1995,1996,1997,1998,1999,2000,2001,2002,2003,2004,2005,2006,2007,2008,2009,2010,2011,2012,2013,2014,2015,2016,2017,2018,2019,2020,2021,2022,2023,2024,2025"</formula1>
    </dataValidation>
    <dataValidation type="list" allowBlank="1" showInputMessage="1" sqref="B4" xr:uid="{4D1ADDA6-5AB3-464B-A6C2-693262715DF2}">
      <formula1>"별도,연결"</formula1>
    </dataValidation>
    <dataValidation type="list" allowBlank="1" showInputMessage="1" sqref="C7" xr:uid="{1F5BA087-A1D0-46EF-ADB5-21BC87C68EF3}">
      <formula1>"천원,백만원,억원,십억원"</formula1>
    </dataValidation>
    <dataValidation type="list" allowBlank="1" showInputMessage="1" sqref="B7" xr:uid="{2F15F527-8681-4189-9E90-C8D8E1A9915B}">
      <formula1>"결산,누적분기,당분기"</formula1>
    </dataValidation>
    <dataValidation type="list" allowBlank="1" showInputMessage="1" sqref="B6" xr:uid="{374343F2-7022-44C7-9B32-9D9508CC2266}">
      <formula1>"상세(총액),상세(순액),요약,약식"</formula1>
    </dataValidation>
    <dataValidation type="list" allowBlank="1" showInputMessage="1" sqref="B5" xr:uid="{2D680E57-6964-44BA-92BB-7B9C10BFE0F2}">
      <formula1>"전체,재무상태표,손익계산서,현금흐름표,자본금변동표"</formula1>
    </dataValidation>
  </dataValidation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0B94-BDAE-B94F-8073-4BF05B36EA10}">
  <dimension ref="A1:E108"/>
  <sheetViews>
    <sheetView showGridLines="0" topLeftCell="A68" workbookViewId="0">
      <selection activeCell="D85" sqref="D85:E85"/>
    </sheetView>
  </sheetViews>
  <sheetFormatPr defaultColWidth="8.85546875" defaultRowHeight="17.600000000000001"/>
  <cols>
    <col min="1" max="1" width="9.140625" bestFit="1" customWidth="1"/>
    <col min="2" max="2" width="51.640625" bestFit="1" customWidth="1"/>
    <col min="3" max="3" width="11.5" bestFit="1" customWidth="1"/>
    <col min="4" max="5" width="8.5" bestFit="1" customWidth="1"/>
  </cols>
  <sheetData>
    <row r="1" spans="1:5">
      <c r="B1" s="2" t="s">
        <v>265</v>
      </c>
    </row>
    <row r="2" spans="1:5">
      <c r="A2" s="3" t="s">
        <v>1</v>
      </c>
      <c r="B2" s="3"/>
      <c r="C2" s="3"/>
      <c r="D2" s="3"/>
      <c r="E2" s="3"/>
    </row>
    <row r="3" spans="1:5">
      <c r="A3" s="4" t="s">
        <v>4</v>
      </c>
      <c r="B3" s="4" t="s">
        <v>93</v>
      </c>
      <c r="C3" s="4"/>
      <c r="D3" s="4"/>
      <c r="E3" s="4"/>
    </row>
    <row r="4" spans="1:5">
      <c r="A4" s="4" t="s">
        <v>5</v>
      </c>
      <c r="B4" s="8" t="s">
        <v>98</v>
      </c>
      <c r="C4" s="4" t="s">
        <v>2</v>
      </c>
      <c r="D4" s="4" t="s">
        <v>97</v>
      </c>
      <c r="E4" s="4"/>
    </row>
    <row r="5" spans="1:5">
      <c r="A5" s="4" t="s">
        <v>6</v>
      </c>
      <c r="B5" s="11" t="s">
        <v>218</v>
      </c>
      <c r="C5" s="4" t="s">
        <v>3</v>
      </c>
      <c r="D5" s="4"/>
      <c r="E5" s="4"/>
    </row>
    <row r="6" spans="1:5">
      <c r="A6" s="4" t="s">
        <v>7</v>
      </c>
      <c r="B6" s="9" t="s">
        <v>95</v>
      </c>
      <c r="C6" s="4"/>
      <c r="D6" s="4"/>
      <c r="E6" s="4"/>
    </row>
    <row r="7" spans="1:5">
      <c r="A7" s="4" t="s">
        <v>8</v>
      </c>
      <c r="B7" s="12" t="s">
        <v>263</v>
      </c>
      <c r="C7" s="9" t="s">
        <v>25</v>
      </c>
      <c r="D7" s="4"/>
      <c r="E7" s="4"/>
    </row>
    <row r="8" spans="1:5">
      <c r="A8" s="5" t="s">
        <v>92</v>
      </c>
      <c r="B8" s="10">
        <v>2022</v>
      </c>
      <c r="C8" s="8" t="s">
        <v>99</v>
      </c>
      <c r="D8" s="5"/>
      <c r="E8" s="5"/>
    </row>
    <row r="9" spans="1:5">
      <c r="A9" s="6" t="s">
        <v>9</v>
      </c>
      <c r="B9" s="13" t="s">
        <v>10</v>
      </c>
      <c r="C9" s="13" t="s">
        <v>11</v>
      </c>
      <c r="D9" s="6">
        <v>202212</v>
      </c>
      <c r="E9" s="6">
        <v>202312</v>
      </c>
    </row>
    <row r="10" spans="1:5">
      <c r="A10" s="7"/>
      <c r="B10" s="7"/>
      <c r="C10" s="7"/>
      <c r="D10" s="7" t="s">
        <v>23</v>
      </c>
      <c r="E10" s="7" t="s">
        <v>23</v>
      </c>
    </row>
    <row r="11" spans="1:5">
      <c r="A11" s="14">
        <v>4001210000</v>
      </c>
      <c r="B11" s="14" t="s">
        <v>100</v>
      </c>
      <c r="C11" s="14" t="s">
        <v>25</v>
      </c>
      <c r="D11" s="15">
        <v>131506.71548000001</v>
      </c>
      <c r="E11" s="15">
        <v>117789.81114000001</v>
      </c>
    </row>
    <row r="12" spans="1:5">
      <c r="A12" s="14">
        <v>4001210010</v>
      </c>
      <c r="B12" s="14" t="s">
        <v>101</v>
      </c>
      <c r="C12" s="14" t="s">
        <v>25</v>
      </c>
      <c r="D12" s="15"/>
      <c r="E12" s="15">
        <v>79930</v>
      </c>
    </row>
    <row r="13" spans="1:5">
      <c r="A13" s="14">
        <v>4001210020</v>
      </c>
      <c r="B13" s="14" t="s">
        <v>102</v>
      </c>
      <c r="C13" s="14" t="s">
        <v>25</v>
      </c>
      <c r="D13" s="15"/>
      <c r="E13" s="15">
        <v>37860</v>
      </c>
    </row>
    <row r="14" spans="1:5">
      <c r="A14" s="14">
        <v>4001210320</v>
      </c>
      <c r="B14" s="14" t="s">
        <v>103</v>
      </c>
      <c r="C14" s="14" t="s">
        <v>25</v>
      </c>
      <c r="D14" s="15">
        <v>86713.040299999993</v>
      </c>
      <c r="E14" s="15">
        <v>75672.117230000003</v>
      </c>
    </row>
    <row r="15" spans="1:5">
      <c r="A15" s="14">
        <v>4001210780</v>
      </c>
      <c r="B15" s="14" t="s">
        <v>104</v>
      </c>
      <c r="C15" s="14" t="s">
        <v>25</v>
      </c>
      <c r="D15" s="15">
        <v>44793.675170000002</v>
      </c>
      <c r="E15" s="15">
        <v>42117.693899999998</v>
      </c>
    </row>
    <row r="16" spans="1:5">
      <c r="A16" s="14">
        <v>4001290000</v>
      </c>
      <c r="B16" s="14" t="s">
        <v>105</v>
      </c>
      <c r="C16" s="14" t="s">
        <v>25</v>
      </c>
      <c r="D16" s="15">
        <v>9402.4193300000006</v>
      </c>
      <c r="E16" s="15">
        <v>12591.30328</v>
      </c>
    </row>
    <row r="17" spans="1:5">
      <c r="A17" s="14">
        <v>4001290010</v>
      </c>
      <c r="B17" s="14" t="s">
        <v>106</v>
      </c>
      <c r="C17" s="14" t="s">
        <v>25</v>
      </c>
      <c r="D17" s="15">
        <v>4052.346</v>
      </c>
      <c r="E17" s="15">
        <v>4841.8230000000003</v>
      </c>
    </row>
    <row r="18" spans="1:5">
      <c r="A18" s="14">
        <v>4001290020</v>
      </c>
      <c r="B18" s="14" t="s">
        <v>107</v>
      </c>
      <c r="C18" s="14" t="s">
        <v>25</v>
      </c>
      <c r="D18" s="15">
        <v>393.68900000000002</v>
      </c>
      <c r="E18" s="15">
        <v>530.62900000000002</v>
      </c>
    </row>
    <row r="19" spans="1:5">
      <c r="A19" s="14">
        <v>4001211300</v>
      </c>
      <c r="B19" s="14" t="s">
        <v>108</v>
      </c>
      <c r="C19" s="14" t="s">
        <v>25</v>
      </c>
      <c r="D19" s="15">
        <v>2395.797</v>
      </c>
      <c r="E19" s="15">
        <v>3701.9340000000002</v>
      </c>
    </row>
    <row r="20" spans="1:5">
      <c r="A20" s="14">
        <v>4001211060</v>
      </c>
      <c r="B20" s="14" t="s">
        <v>109</v>
      </c>
      <c r="C20" s="14" t="s">
        <v>25</v>
      </c>
      <c r="D20" s="15">
        <v>1.3009999999999999</v>
      </c>
      <c r="E20" s="15">
        <v>18.088999999999999</v>
      </c>
    </row>
    <row r="21" spans="1:5">
      <c r="A21" s="14">
        <v>4001290040</v>
      </c>
      <c r="B21" s="14" t="s">
        <v>110</v>
      </c>
      <c r="C21" s="14" t="s">
        <v>25</v>
      </c>
      <c r="D21" s="15">
        <v>388.16899999999998</v>
      </c>
      <c r="E21" s="15">
        <v>437.46100000000001</v>
      </c>
    </row>
    <row r="22" spans="1:5">
      <c r="A22" s="14">
        <v>4001290090</v>
      </c>
      <c r="B22" s="14" t="s">
        <v>111</v>
      </c>
      <c r="C22" s="14" t="s">
        <v>25</v>
      </c>
      <c r="D22" s="15">
        <v>2171.1179999999999</v>
      </c>
      <c r="E22" s="15">
        <v>3061.37</v>
      </c>
    </row>
    <row r="23" spans="1:5">
      <c r="A23" s="14">
        <v>4001290110</v>
      </c>
      <c r="B23" s="14" t="s">
        <v>112</v>
      </c>
      <c r="C23" s="14" t="s">
        <v>25</v>
      </c>
      <c r="D23" s="15"/>
      <c r="E23" s="15"/>
    </row>
    <row r="24" spans="1:5">
      <c r="A24" s="14">
        <v>4001211420</v>
      </c>
      <c r="B24" s="14" t="s">
        <v>113</v>
      </c>
      <c r="C24" s="14" t="s">
        <v>25</v>
      </c>
      <c r="D24" s="15"/>
      <c r="E24" s="15"/>
    </row>
    <row r="25" spans="1:5">
      <c r="A25" s="14">
        <v>4001211430</v>
      </c>
      <c r="B25" s="14" t="s">
        <v>114</v>
      </c>
      <c r="C25" s="14" t="s">
        <v>25</v>
      </c>
      <c r="D25" s="15">
        <v>35391.255839999998</v>
      </c>
      <c r="E25" s="15">
        <v>29526.390619999998</v>
      </c>
    </row>
    <row r="26" spans="1:5">
      <c r="A26" s="14">
        <v>4001290120</v>
      </c>
      <c r="B26" s="14" t="s">
        <v>115</v>
      </c>
      <c r="C26" s="14" t="s">
        <v>25</v>
      </c>
      <c r="D26" s="15">
        <v>289.10000000000002</v>
      </c>
      <c r="E26" s="15">
        <v>1053.2360000000001</v>
      </c>
    </row>
    <row r="27" spans="1:5">
      <c r="A27" s="14">
        <v>4001290750</v>
      </c>
      <c r="B27" s="14" t="s">
        <v>116</v>
      </c>
      <c r="C27" s="14" t="s">
        <v>25</v>
      </c>
      <c r="D27" s="15">
        <v>288.96899999999999</v>
      </c>
      <c r="E27" s="15">
        <v>1002.907</v>
      </c>
    </row>
    <row r="28" spans="1:5">
      <c r="A28" s="14">
        <v>4001290760</v>
      </c>
      <c r="B28" s="14" t="s">
        <v>117</v>
      </c>
      <c r="C28" s="14" t="s">
        <v>25</v>
      </c>
      <c r="D28" s="15"/>
      <c r="E28" s="15">
        <v>12.061999999999999</v>
      </c>
    </row>
    <row r="29" spans="1:5">
      <c r="A29" s="14">
        <v>4001211480</v>
      </c>
      <c r="B29" s="14" t="s">
        <v>118</v>
      </c>
      <c r="C29" s="14" t="s">
        <v>25</v>
      </c>
      <c r="D29" s="15"/>
      <c r="E29" s="15"/>
    </row>
    <row r="30" spans="1:5">
      <c r="A30" s="14">
        <v>4001211520</v>
      </c>
      <c r="B30" s="14" t="s">
        <v>119</v>
      </c>
      <c r="C30" s="14" t="s">
        <v>25</v>
      </c>
      <c r="D30" s="15"/>
      <c r="E30" s="15"/>
    </row>
    <row r="31" spans="1:5">
      <c r="A31" s="14">
        <v>4001211600</v>
      </c>
      <c r="B31" s="14" t="s">
        <v>120</v>
      </c>
      <c r="C31" s="14" t="s">
        <v>25</v>
      </c>
      <c r="D31" s="15"/>
      <c r="E31" s="15"/>
    </row>
    <row r="32" spans="1:5">
      <c r="A32" s="14">
        <v>4001211605</v>
      </c>
      <c r="B32" s="14" t="s">
        <v>121</v>
      </c>
      <c r="C32" s="14" t="s">
        <v>25</v>
      </c>
      <c r="D32" s="15"/>
      <c r="E32" s="15"/>
    </row>
    <row r="33" spans="1:5">
      <c r="A33" s="14">
        <v>4001290130</v>
      </c>
      <c r="B33" s="14" t="s">
        <v>122</v>
      </c>
      <c r="C33" s="14" t="s">
        <v>25</v>
      </c>
      <c r="D33" s="15"/>
      <c r="E33" s="15"/>
    </row>
    <row r="34" spans="1:5">
      <c r="A34" s="14">
        <v>4001290150</v>
      </c>
      <c r="B34" s="14" t="s">
        <v>123</v>
      </c>
      <c r="C34" s="14" t="s">
        <v>25</v>
      </c>
      <c r="D34" s="15">
        <v>0.13100000000000001</v>
      </c>
      <c r="E34" s="15">
        <v>38.267000000000003</v>
      </c>
    </row>
    <row r="35" spans="1:5">
      <c r="A35" s="14">
        <v>4001211720</v>
      </c>
      <c r="B35" s="14" t="s">
        <v>124</v>
      </c>
      <c r="C35" s="14" t="s">
        <v>25</v>
      </c>
      <c r="D35" s="15"/>
      <c r="E35" s="15"/>
    </row>
    <row r="36" spans="1:5">
      <c r="A36" s="14">
        <v>4001211680</v>
      </c>
      <c r="B36" s="14" t="s">
        <v>125</v>
      </c>
      <c r="C36" s="14" t="s">
        <v>25</v>
      </c>
      <c r="D36" s="15"/>
      <c r="E36" s="15"/>
    </row>
    <row r="37" spans="1:5">
      <c r="A37" s="14">
        <v>4001290170</v>
      </c>
      <c r="B37" s="14" t="s">
        <v>126</v>
      </c>
      <c r="C37" s="14" t="s">
        <v>25</v>
      </c>
      <c r="D37" s="15"/>
      <c r="E37" s="15"/>
    </row>
    <row r="38" spans="1:5">
      <c r="A38" s="14">
        <v>4001290180</v>
      </c>
      <c r="B38" s="14" t="s">
        <v>127</v>
      </c>
      <c r="C38" s="14" t="s">
        <v>25</v>
      </c>
      <c r="D38" s="15">
        <v>2874.8739999999998</v>
      </c>
      <c r="E38" s="15">
        <v>6298.2550000000001</v>
      </c>
    </row>
    <row r="39" spans="1:5">
      <c r="A39" s="14">
        <v>4001290770</v>
      </c>
      <c r="B39" s="14" t="s">
        <v>128</v>
      </c>
      <c r="C39" s="14" t="s">
        <v>25</v>
      </c>
      <c r="D39" s="15">
        <v>2873.4690000000001</v>
      </c>
      <c r="E39" s="15">
        <v>6298.1329999999998</v>
      </c>
    </row>
    <row r="40" spans="1:5">
      <c r="A40" s="14">
        <v>4001211820</v>
      </c>
      <c r="B40" s="14" t="s">
        <v>129</v>
      </c>
      <c r="C40" s="14" t="s">
        <v>25</v>
      </c>
      <c r="D40" s="15"/>
      <c r="E40" s="15"/>
    </row>
    <row r="41" spans="1:5">
      <c r="A41" s="14">
        <v>4001211860</v>
      </c>
      <c r="B41" s="14" t="s">
        <v>130</v>
      </c>
      <c r="C41" s="14" t="s">
        <v>25</v>
      </c>
      <c r="D41" s="15"/>
      <c r="E41" s="15"/>
    </row>
    <row r="42" spans="1:5">
      <c r="A42" s="14">
        <v>4001211865</v>
      </c>
      <c r="B42" s="14" t="s">
        <v>131</v>
      </c>
      <c r="C42" s="14" t="s">
        <v>25</v>
      </c>
      <c r="D42" s="15"/>
      <c r="E42" s="15"/>
    </row>
    <row r="43" spans="1:5">
      <c r="A43" s="14">
        <v>4001211940</v>
      </c>
      <c r="B43" s="14" t="s">
        <v>132</v>
      </c>
      <c r="C43" s="14" t="s">
        <v>25</v>
      </c>
      <c r="D43" s="15"/>
      <c r="E43" s="15"/>
    </row>
    <row r="44" spans="1:5">
      <c r="A44" s="14">
        <v>4001290190</v>
      </c>
      <c r="B44" s="14" t="s">
        <v>133</v>
      </c>
      <c r="C44" s="14" t="s">
        <v>25</v>
      </c>
      <c r="D44" s="15"/>
      <c r="E44" s="15"/>
    </row>
    <row r="45" spans="1:5">
      <c r="A45" s="14">
        <v>4001290210</v>
      </c>
      <c r="B45" s="14" t="s">
        <v>134</v>
      </c>
      <c r="C45" s="14" t="s">
        <v>25</v>
      </c>
      <c r="D45" s="15">
        <v>1.405</v>
      </c>
      <c r="E45" s="15">
        <v>0.122</v>
      </c>
    </row>
    <row r="46" spans="1:5">
      <c r="A46" s="14">
        <v>4001212060</v>
      </c>
      <c r="B46" s="14" t="s">
        <v>135</v>
      </c>
      <c r="C46" s="14" t="s">
        <v>25</v>
      </c>
      <c r="D46" s="15"/>
      <c r="E46" s="15"/>
    </row>
    <row r="47" spans="1:5">
      <c r="A47" s="14">
        <v>4001212020</v>
      </c>
      <c r="B47" s="14" t="s">
        <v>136</v>
      </c>
      <c r="C47" s="14" t="s">
        <v>25</v>
      </c>
      <c r="D47" s="15"/>
      <c r="E47" s="15"/>
    </row>
    <row r="48" spans="1:5">
      <c r="A48" s="14">
        <v>4001290230</v>
      </c>
      <c r="B48" s="14" t="s">
        <v>137</v>
      </c>
      <c r="C48" s="14" t="s">
        <v>25</v>
      </c>
      <c r="D48" s="15"/>
      <c r="E48" s="15"/>
    </row>
    <row r="49" spans="1:5">
      <c r="A49" s="14">
        <v>4001290240</v>
      </c>
      <c r="B49" s="14" t="s">
        <v>138</v>
      </c>
      <c r="C49" s="14" t="s">
        <v>25</v>
      </c>
      <c r="D49" s="15">
        <v>3523.2150000000001</v>
      </c>
      <c r="E49" s="15">
        <v>3927.944</v>
      </c>
    </row>
    <row r="50" spans="1:5">
      <c r="A50" s="14">
        <v>4001280000</v>
      </c>
      <c r="B50" s="14" t="s">
        <v>116</v>
      </c>
      <c r="C50" s="14" t="s">
        <v>25</v>
      </c>
      <c r="D50" s="15"/>
      <c r="E50" s="15"/>
    </row>
    <row r="51" spans="1:5">
      <c r="A51" s="14">
        <v>4001280010</v>
      </c>
      <c r="B51" s="14" t="s">
        <v>117</v>
      </c>
      <c r="C51" s="14" t="s">
        <v>25</v>
      </c>
      <c r="D51" s="15"/>
      <c r="E51" s="15"/>
    </row>
    <row r="52" spans="1:5">
      <c r="A52" s="14">
        <v>4001290250</v>
      </c>
      <c r="B52" s="14" t="s">
        <v>118</v>
      </c>
      <c r="C52" s="14" t="s">
        <v>25</v>
      </c>
      <c r="D52" s="15">
        <v>3272.7449999999999</v>
      </c>
      <c r="E52" s="15">
        <v>3670.721</v>
      </c>
    </row>
    <row r="53" spans="1:5">
      <c r="A53" s="14">
        <v>4001280050</v>
      </c>
      <c r="B53" s="14" t="s">
        <v>139</v>
      </c>
      <c r="C53" s="14" t="s">
        <v>25</v>
      </c>
      <c r="D53" s="15"/>
      <c r="E53" s="15"/>
    </row>
    <row r="54" spans="1:5">
      <c r="A54" s="14">
        <v>4001280060</v>
      </c>
      <c r="B54" s="14" t="s">
        <v>140</v>
      </c>
      <c r="C54" s="14" t="s">
        <v>25</v>
      </c>
      <c r="D54" s="15"/>
      <c r="E54" s="15"/>
    </row>
    <row r="55" spans="1:5">
      <c r="A55" s="14">
        <v>4001280065</v>
      </c>
      <c r="B55" s="14" t="s">
        <v>141</v>
      </c>
      <c r="C55" s="14" t="s">
        <v>25</v>
      </c>
      <c r="D55" s="15"/>
      <c r="E55" s="15"/>
    </row>
    <row r="56" spans="1:5">
      <c r="A56" s="14">
        <v>4001290260</v>
      </c>
      <c r="B56" s="14" t="s">
        <v>142</v>
      </c>
      <c r="C56" s="14" t="s">
        <v>25</v>
      </c>
      <c r="D56" s="15">
        <v>152.44900000000001</v>
      </c>
      <c r="E56" s="15">
        <v>118.66500000000001</v>
      </c>
    </row>
    <row r="57" spans="1:5">
      <c r="A57" s="14">
        <v>4001280140</v>
      </c>
      <c r="B57" s="14" t="s">
        <v>143</v>
      </c>
      <c r="C57" s="14" t="s">
        <v>25</v>
      </c>
      <c r="D57" s="15"/>
      <c r="E57" s="15"/>
    </row>
    <row r="58" spans="1:5">
      <c r="A58" s="14">
        <v>4001290280</v>
      </c>
      <c r="B58" s="14" t="s">
        <v>144</v>
      </c>
      <c r="C58" s="14" t="s">
        <v>25</v>
      </c>
      <c r="D58" s="15">
        <v>21.55</v>
      </c>
      <c r="E58" s="15">
        <v>35.831000000000003</v>
      </c>
    </row>
    <row r="59" spans="1:5">
      <c r="A59" s="14">
        <v>4001290300</v>
      </c>
      <c r="B59" s="14" t="s">
        <v>125</v>
      </c>
      <c r="C59" s="14" t="s">
        <v>25</v>
      </c>
      <c r="D59" s="15"/>
      <c r="E59" s="15"/>
    </row>
    <row r="60" spans="1:5">
      <c r="A60" s="14">
        <v>4001280240</v>
      </c>
      <c r="B60" s="14" t="s">
        <v>145</v>
      </c>
      <c r="C60" s="14" t="s">
        <v>25</v>
      </c>
      <c r="D60" s="15"/>
      <c r="E60" s="15"/>
    </row>
    <row r="61" spans="1:5">
      <c r="A61" s="14">
        <v>4001280250</v>
      </c>
      <c r="B61" s="14" t="s">
        <v>146</v>
      </c>
      <c r="C61" s="14" t="s">
        <v>25</v>
      </c>
      <c r="D61" s="15"/>
      <c r="E61" s="15"/>
    </row>
    <row r="62" spans="1:5">
      <c r="A62" s="14">
        <v>4001280260</v>
      </c>
      <c r="B62" s="14" t="s">
        <v>147</v>
      </c>
      <c r="C62" s="14" t="s">
        <v>25</v>
      </c>
      <c r="D62" s="15"/>
      <c r="E62" s="15"/>
    </row>
    <row r="63" spans="1:5">
      <c r="A63" s="14">
        <v>4001280270</v>
      </c>
      <c r="B63" s="14" t="s">
        <v>148</v>
      </c>
      <c r="C63" s="14" t="s">
        <v>25</v>
      </c>
      <c r="D63" s="15"/>
      <c r="E63" s="15"/>
    </row>
    <row r="64" spans="1:5">
      <c r="A64" s="14">
        <v>4001280280</v>
      </c>
      <c r="B64" s="14" t="s">
        <v>149</v>
      </c>
      <c r="C64" s="14" t="s">
        <v>25</v>
      </c>
      <c r="D64" s="15"/>
      <c r="E64" s="15"/>
    </row>
    <row r="65" spans="1:5">
      <c r="A65" s="14">
        <v>4001290310</v>
      </c>
      <c r="B65" s="14" t="s">
        <v>150</v>
      </c>
      <c r="C65" s="14" t="s">
        <v>25</v>
      </c>
      <c r="D65" s="15">
        <v>76.471000000000004</v>
      </c>
      <c r="E65" s="15">
        <v>102.727</v>
      </c>
    </row>
    <row r="66" spans="1:5">
      <c r="A66" s="14">
        <v>4001290320</v>
      </c>
      <c r="B66" s="14" t="s">
        <v>151</v>
      </c>
      <c r="C66" s="14" t="s">
        <v>25</v>
      </c>
      <c r="D66" s="15">
        <v>6245.9570000000003</v>
      </c>
      <c r="E66" s="15">
        <v>3843.8530000000001</v>
      </c>
    </row>
    <row r="67" spans="1:5">
      <c r="A67" s="14">
        <v>4001280400</v>
      </c>
      <c r="B67" s="14" t="s">
        <v>128</v>
      </c>
      <c r="C67" s="14" t="s">
        <v>25</v>
      </c>
      <c r="D67" s="15"/>
      <c r="E67" s="15"/>
    </row>
    <row r="68" spans="1:5">
      <c r="A68" s="14">
        <v>4001290330</v>
      </c>
      <c r="B68" s="14" t="s">
        <v>129</v>
      </c>
      <c r="C68" s="14" t="s">
        <v>25</v>
      </c>
      <c r="D68" s="15">
        <v>3410.3620000000001</v>
      </c>
      <c r="E68" s="15">
        <v>3593.982</v>
      </c>
    </row>
    <row r="69" spans="1:5">
      <c r="A69" s="14">
        <v>4001280440</v>
      </c>
      <c r="B69" s="14" t="s">
        <v>152</v>
      </c>
      <c r="C69" s="14" t="s">
        <v>25</v>
      </c>
      <c r="D69" s="15"/>
      <c r="E69" s="15"/>
    </row>
    <row r="70" spans="1:5">
      <c r="A70" s="14">
        <v>4001280450</v>
      </c>
      <c r="B70" s="14" t="s">
        <v>153</v>
      </c>
      <c r="C70" s="14" t="s">
        <v>25</v>
      </c>
      <c r="D70" s="15">
        <v>15.803000000000001</v>
      </c>
      <c r="E70" s="15"/>
    </row>
    <row r="71" spans="1:5">
      <c r="A71" s="14">
        <v>4001280455</v>
      </c>
      <c r="B71" s="14" t="s">
        <v>154</v>
      </c>
      <c r="C71" s="14" t="s">
        <v>25</v>
      </c>
      <c r="D71" s="15"/>
      <c r="E71" s="15"/>
    </row>
    <row r="72" spans="1:5">
      <c r="A72" s="14">
        <v>4001290340</v>
      </c>
      <c r="B72" s="14" t="s">
        <v>155</v>
      </c>
      <c r="C72" s="14" t="s">
        <v>25</v>
      </c>
      <c r="D72" s="15">
        <v>245.17</v>
      </c>
      <c r="E72" s="15">
        <v>2.423</v>
      </c>
    </row>
    <row r="73" spans="1:5">
      <c r="A73" s="14">
        <v>4001280540</v>
      </c>
      <c r="B73" s="14" t="s">
        <v>156</v>
      </c>
      <c r="C73" s="14" t="s">
        <v>25</v>
      </c>
      <c r="D73" s="15"/>
      <c r="E73" s="15"/>
    </row>
    <row r="74" spans="1:5">
      <c r="A74" s="14">
        <v>4001290360</v>
      </c>
      <c r="B74" s="14" t="s">
        <v>157</v>
      </c>
      <c r="C74" s="14" t="s">
        <v>25</v>
      </c>
      <c r="D74" s="15">
        <v>42.762</v>
      </c>
      <c r="E74" s="15">
        <v>45.981999999999999</v>
      </c>
    </row>
    <row r="75" spans="1:5">
      <c r="A75" s="14">
        <v>4001290380</v>
      </c>
      <c r="B75" s="14" t="s">
        <v>136</v>
      </c>
      <c r="C75" s="14" t="s">
        <v>25</v>
      </c>
      <c r="D75" s="15"/>
      <c r="E75" s="15"/>
    </row>
    <row r="76" spans="1:5">
      <c r="A76" s="14">
        <v>4001280650</v>
      </c>
      <c r="B76" s="14" t="s">
        <v>158</v>
      </c>
      <c r="C76" s="14" t="s">
        <v>25</v>
      </c>
      <c r="D76" s="15"/>
      <c r="E76" s="15"/>
    </row>
    <row r="77" spans="1:5">
      <c r="A77" s="14">
        <v>4001280660</v>
      </c>
      <c r="B77" s="14" t="s">
        <v>159</v>
      </c>
      <c r="C77" s="14" t="s">
        <v>25</v>
      </c>
      <c r="D77" s="15"/>
      <c r="E77" s="15"/>
    </row>
    <row r="78" spans="1:5">
      <c r="A78" s="14">
        <v>4001290390</v>
      </c>
      <c r="B78" s="14" t="s">
        <v>150</v>
      </c>
      <c r="C78" s="14" t="s">
        <v>25</v>
      </c>
      <c r="D78" s="15">
        <v>2531.86</v>
      </c>
      <c r="E78" s="15">
        <v>201.46600000000001</v>
      </c>
    </row>
    <row r="79" spans="1:5">
      <c r="A79" s="14">
        <v>4001290640</v>
      </c>
      <c r="B79" s="14" t="s">
        <v>160</v>
      </c>
      <c r="C79" s="14" t="s">
        <v>25</v>
      </c>
      <c r="D79" s="15"/>
      <c r="E79" s="15"/>
    </row>
    <row r="80" spans="1:5">
      <c r="A80" s="14">
        <v>4001290650</v>
      </c>
      <c r="B80" s="14" t="s">
        <v>161</v>
      </c>
      <c r="C80" s="14" t="s">
        <v>25</v>
      </c>
      <c r="D80" s="15"/>
      <c r="E80" s="15"/>
    </row>
    <row r="81" spans="1:5">
      <c r="A81" s="14">
        <v>4001290680</v>
      </c>
      <c r="B81" s="14" t="s">
        <v>162</v>
      </c>
      <c r="C81" s="14" t="s">
        <v>25</v>
      </c>
      <c r="D81" s="15"/>
      <c r="E81" s="15"/>
    </row>
    <row r="82" spans="1:5">
      <c r="A82" s="14">
        <v>4001290710</v>
      </c>
      <c r="B82" s="14" t="s">
        <v>163</v>
      </c>
      <c r="C82" s="14" t="s">
        <v>25</v>
      </c>
      <c r="D82" s="15"/>
      <c r="E82" s="15"/>
    </row>
    <row r="83" spans="1:5">
      <c r="A83" s="14">
        <v>4001290740</v>
      </c>
      <c r="B83" s="14" t="s">
        <v>150</v>
      </c>
      <c r="C83" s="14" t="s">
        <v>25</v>
      </c>
      <c r="D83" s="15"/>
      <c r="E83" s="15"/>
    </row>
    <row r="84" spans="1:5">
      <c r="A84" s="14">
        <v>4001212380</v>
      </c>
      <c r="B84" s="14" t="s">
        <v>164</v>
      </c>
      <c r="C84" s="14" t="s">
        <v>25</v>
      </c>
      <c r="D84" s="15">
        <v>30082.73947</v>
      </c>
      <c r="E84" s="15">
        <v>24365.460129999999</v>
      </c>
    </row>
    <row r="85" spans="1:5">
      <c r="A85" s="14">
        <v>4001212390</v>
      </c>
      <c r="B85" s="14" t="s">
        <v>165</v>
      </c>
      <c r="C85" s="14" t="s">
        <v>25</v>
      </c>
      <c r="D85" s="15">
        <v>2922.9159599999998</v>
      </c>
      <c r="E85" s="15">
        <v>-3.4681899999999999</v>
      </c>
    </row>
    <row r="86" spans="1:5">
      <c r="A86" s="14">
        <v>4001212400</v>
      </c>
      <c r="B86" s="14" t="s">
        <v>166</v>
      </c>
      <c r="C86" s="14" t="s">
        <v>25</v>
      </c>
      <c r="D86" s="15"/>
      <c r="E86" s="15"/>
    </row>
    <row r="87" spans="1:5">
      <c r="A87" s="14">
        <v>4001212410</v>
      </c>
      <c r="B87" s="14" t="s">
        <v>167</v>
      </c>
      <c r="C87" s="14" t="s">
        <v>25</v>
      </c>
      <c r="D87" s="15"/>
      <c r="E87" s="15"/>
    </row>
    <row r="88" spans="1:5">
      <c r="A88" s="14">
        <v>4001212420</v>
      </c>
      <c r="B88" s="14" t="s">
        <v>168</v>
      </c>
      <c r="C88" s="14" t="s">
        <v>25</v>
      </c>
      <c r="D88" s="15">
        <v>27159.823499999999</v>
      </c>
      <c r="E88" s="15">
        <v>24368.928329999999</v>
      </c>
    </row>
    <row r="89" spans="1:5">
      <c r="A89" s="14">
        <v>4001212430</v>
      </c>
      <c r="B89" s="14" t="s">
        <v>169</v>
      </c>
      <c r="C89" s="14" t="s">
        <v>25</v>
      </c>
      <c r="D89" s="15"/>
      <c r="E89" s="15"/>
    </row>
    <row r="90" spans="1:5">
      <c r="A90" s="14">
        <v>4001212450</v>
      </c>
      <c r="B90" s="14" t="s">
        <v>170</v>
      </c>
      <c r="C90" s="14" t="s">
        <v>25</v>
      </c>
      <c r="D90" s="15">
        <v>27159.823499999999</v>
      </c>
      <c r="E90" s="15">
        <v>24368.928329999999</v>
      </c>
    </row>
    <row r="91" spans="1:5">
      <c r="A91" s="14">
        <v>4001220000</v>
      </c>
      <c r="B91" s="14" t="s">
        <v>171</v>
      </c>
      <c r="C91" s="14" t="s">
        <v>25</v>
      </c>
      <c r="D91" s="15">
        <v>959.50562000000002</v>
      </c>
      <c r="E91" s="15">
        <v>-416.57499999999999</v>
      </c>
    </row>
    <row r="92" spans="1:5">
      <c r="A92" s="14">
        <v>4001220120</v>
      </c>
      <c r="B92" s="14" t="s">
        <v>172</v>
      </c>
      <c r="C92" s="14" t="s">
        <v>25</v>
      </c>
      <c r="D92" s="15">
        <v>28119.329119999999</v>
      </c>
      <c r="E92" s="15">
        <v>23952.353330000002</v>
      </c>
    </row>
    <row r="93" spans="1:5">
      <c r="A93" s="14">
        <v>4001230000</v>
      </c>
      <c r="B93" s="14" t="s">
        <v>173</v>
      </c>
      <c r="C93" s="14" t="s">
        <v>25</v>
      </c>
      <c r="D93" s="15">
        <v>27009.497729999999</v>
      </c>
      <c r="E93" s="15">
        <v>24129.905579999999</v>
      </c>
    </row>
    <row r="94" spans="1:5">
      <c r="A94" s="14">
        <v>4001230030</v>
      </c>
      <c r="B94" s="14" t="s">
        <v>174</v>
      </c>
      <c r="C94" s="14" t="s">
        <v>25</v>
      </c>
      <c r="D94" s="15">
        <v>150.32577000000001</v>
      </c>
      <c r="E94" s="15">
        <v>239.02275</v>
      </c>
    </row>
    <row r="95" spans="1:5">
      <c r="A95" s="14">
        <v>4001230060</v>
      </c>
      <c r="B95" s="14" t="s">
        <v>175</v>
      </c>
      <c r="C95" s="14" t="s">
        <v>25</v>
      </c>
      <c r="D95" s="15">
        <v>27939.361089999999</v>
      </c>
      <c r="E95" s="15">
        <v>23737.831289999998</v>
      </c>
    </row>
    <row r="96" spans="1:5">
      <c r="A96" s="14">
        <v>4001230070</v>
      </c>
      <c r="B96" s="14" t="s">
        <v>176</v>
      </c>
      <c r="C96" s="14" t="s">
        <v>25</v>
      </c>
      <c r="D96" s="15">
        <v>179.96803</v>
      </c>
      <c r="E96" s="15">
        <v>214.52203</v>
      </c>
    </row>
    <row r="97" spans="1:5">
      <c r="A97" s="14">
        <v>4001230080</v>
      </c>
      <c r="B97" s="14" t="s">
        <v>177</v>
      </c>
      <c r="C97" s="14" t="s">
        <v>80</v>
      </c>
      <c r="D97" s="15"/>
      <c r="E97" s="15"/>
    </row>
    <row r="98" spans="1:5">
      <c r="A98" s="14">
        <v>4001230090</v>
      </c>
      <c r="B98" s="14" t="s">
        <v>178</v>
      </c>
      <c r="C98" s="14" t="s">
        <v>80</v>
      </c>
      <c r="D98" s="15"/>
      <c r="E98" s="15"/>
    </row>
    <row r="99" spans="1:5">
      <c r="A99" s="14">
        <v>4001230100</v>
      </c>
      <c r="B99" s="14" t="s">
        <v>179</v>
      </c>
      <c r="C99" s="14" t="s">
        <v>80</v>
      </c>
      <c r="D99" s="15"/>
      <c r="E99" s="15"/>
    </row>
    <row r="100" spans="1:5">
      <c r="A100" s="14">
        <v>4001230110</v>
      </c>
      <c r="B100" s="14" t="s">
        <v>180</v>
      </c>
      <c r="C100" s="14" t="s">
        <v>80</v>
      </c>
      <c r="D100" s="15"/>
      <c r="E100" s="15"/>
    </row>
    <row r="101" spans="1:5">
      <c r="A101" s="14">
        <v>4001230120</v>
      </c>
      <c r="B101" s="14" t="s">
        <v>181</v>
      </c>
      <c r="C101" s="14" t="s">
        <v>80</v>
      </c>
      <c r="D101" s="15">
        <v>411</v>
      </c>
      <c r="E101" s="15">
        <v>367</v>
      </c>
    </row>
    <row r="102" spans="1:5">
      <c r="A102" s="14">
        <v>4001230130</v>
      </c>
      <c r="B102" s="14" t="s">
        <v>182</v>
      </c>
      <c r="C102" s="14" t="s">
        <v>80</v>
      </c>
      <c r="D102" s="15">
        <v>411</v>
      </c>
      <c r="E102" s="15">
        <v>367</v>
      </c>
    </row>
    <row r="103" spans="1:5">
      <c r="A103" s="14">
        <v>4001230140</v>
      </c>
      <c r="B103" s="14" t="s">
        <v>183</v>
      </c>
      <c r="C103" s="14" t="s">
        <v>80</v>
      </c>
      <c r="D103" s="15"/>
      <c r="E103" s="15"/>
    </row>
    <row r="104" spans="1:5">
      <c r="A104" s="14">
        <v>4001230150</v>
      </c>
      <c r="B104" s="14" t="s">
        <v>184</v>
      </c>
      <c r="C104" s="14" t="s">
        <v>80</v>
      </c>
      <c r="D104" s="15"/>
      <c r="E104" s="15"/>
    </row>
    <row r="105" spans="1:5">
      <c r="A105" s="1"/>
      <c r="B105" s="1"/>
      <c r="C105" s="1"/>
      <c r="D105" s="15"/>
      <c r="E105" s="15"/>
    </row>
    <row r="106" spans="1:5">
      <c r="D106" s="16"/>
      <c r="E106" s="16"/>
    </row>
    <row r="107" spans="1:5">
      <c r="D107" s="16"/>
      <c r="E107" s="16"/>
    </row>
    <row r="108" spans="1:5">
      <c r="D108" s="16"/>
      <c r="E108" s="16"/>
    </row>
  </sheetData>
  <phoneticPr fontId="3" type="noConversion"/>
  <conditionalFormatting sqref="B1">
    <cfRule type="expression" dxfId="1" priority="1" stopIfTrue="1">
      <formula>MID($B$1, 15, 10)-TODAY() &lt; 0</formula>
    </cfRule>
  </conditionalFormatting>
  <dataValidations count="7">
    <dataValidation type="list" allowBlank="1" showInputMessage="1" sqref="C8" xr:uid="{EF372ACA-6D96-4000-8C49-6D091574DCC8}">
      <formula1>"1983,1984,1985,1986,1987,1988,1989,1990,1991,1992,1993,1994,1995,1996,1997,1998,1999,2000,2001,2002,2003,2004,2005,2006,2007,2008,2009,2010,2011,2012,2013,2014,2015,2016,2017,2018,2019,2020,2021,2022,2023,2024,2025,Current"</formula1>
    </dataValidation>
    <dataValidation type="list" allowBlank="1" showInputMessage="1" sqref="B8" xr:uid="{65AD8E61-131D-41A7-B877-34C3D1D9D33F}">
      <formula1>"1983,1984,1985,1986,1987,1988,1989,1990,1991,1992,1993,1994,1995,1996,1997,1998,1999,2000,2001,2002,2003,2004,2005,2006,2007,2008,2009,2010,2011,2012,2013,2014,2015,2016,2017,2018,2019,2020,2021,2022,2023,2024,2025"</formula1>
    </dataValidation>
    <dataValidation type="list" allowBlank="1" showInputMessage="1" sqref="B4" xr:uid="{EED66AEC-E746-42DF-9BEA-74120B614893}">
      <formula1>"별도,연결"</formula1>
    </dataValidation>
    <dataValidation type="list" allowBlank="1" showInputMessage="1" sqref="C7" xr:uid="{DD16290E-3BF3-45E3-98EB-E98C714E931B}">
      <formula1>"천원,백만원,억원,십억원"</formula1>
    </dataValidation>
    <dataValidation type="list" allowBlank="1" showInputMessage="1" sqref="B7" xr:uid="{814E2C26-7C14-44DF-BCD3-B3F5BBACD5BC}">
      <formula1>"결산,누적분기,당분기"</formula1>
    </dataValidation>
    <dataValidation type="list" allowBlank="1" showInputMessage="1" sqref="B6" xr:uid="{DBB023A7-A3EF-488D-93B8-5338CC54F826}">
      <formula1>"상세(총액),상세(순액),요약,약식"</formula1>
    </dataValidation>
    <dataValidation type="list" allowBlank="1" showInputMessage="1" sqref="B5" xr:uid="{D38A3D62-3A7B-49E8-A20D-AC89A0572B28}">
      <formula1>"전체,재무상태표,손익계산서,현금흐름표,자본금변동표"</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D490-24DA-4B47-9146-507C90AB56B5}">
  <dimension ref="A1:E60"/>
  <sheetViews>
    <sheetView showGridLines="0" topLeftCell="A6" workbookViewId="0"/>
  </sheetViews>
  <sheetFormatPr defaultColWidth="8.85546875" defaultRowHeight="17.600000000000001"/>
  <cols>
    <col min="1" max="1" width="9.140625" bestFit="1" customWidth="1"/>
    <col min="2" max="2" width="51.640625" bestFit="1" customWidth="1"/>
    <col min="3" max="3" width="11.5" bestFit="1" customWidth="1"/>
    <col min="4" max="5" width="8.5" bestFit="1" customWidth="1"/>
  </cols>
  <sheetData>
    <row r="1" spans="1:5">
      <c r="B1" s="2" t="s">
        <v>266</v>
      </c>
    </row>
    <row r="2" spans="1:5">
      <c r="A2" s="3" t="s">
        <v>1</v>
      </c>
      <c r="B2" s="3"/>
      <c r="C2" s="3"/>
      <c r="D2" s="3"/>
      <c r="E2" s="3"/>
    </row>
    <row r="3" spans="1:5">
      <c r="A3" s="4" t="s">
        <v>4</v>
      </c>
      <c r="B3" s="4" t="s">
        <v>93</v>
      </c>
      <c r="C3" s="4"/>
      <c r="D3" s="4"/>
      <c r="E3" s="4"/>
    </row>
    <row r="4" spans="1:5">
      <c r="A4" s="4" t="s">
        <v>5</v>
      </c>
      <c r="B4" s="8" t="s">
        <v>98</v>
      </c>
      <c r="C4" s="4" t="s">
        <v>2</v>
      </c>
      <c r="D4" s="4" t="s">
        <v>97</v>
      </c>
      <c r="E4" s="4"/>
    </row>
    <row r="5" spans="1:5">
      <c r="A5" s="4" t="s">
        <v>6</v>
      </c>
      <c r="B5" s="11" t="s">
        <v>220</v>
      </c>
      <c r="C5" s="4" t="s">
        <v>3</v>
      </c>
      <c r="D5" s="4"/>
      <c r="E5" s="4"/>
    </row>
    <row r="6" spans="1:5">
      <c r="A6" s="4" t="s">
        <v>7</v>
      </c>
      <c r="B6" s="9" t="s">
        <v>95</v>
      </c>
      <c r="C6" s="4"/>
      <c r="D6" s="4"/>
      <c r="E6" s="4"/>
    </row>
    <row r="7" spans="1:5">
      <c r="A7" s="4" t="s">
        <v>8</v>
      </c>
      <c r="B7" s="12" t="s">
        <v>263</v>
      </c>
      <c r="C7" s="9" t="s">
        <v>25</v>
      </c>
      <c r="D7" s="4"/>
      <c r="E7" s="4"/>
    </row>
    <row r="8" spans="1:5">
      <c r="A8" s="5" t="s">
        <v>92</v>
      </c>
      <c r="B8" s="10">
        <v>2022</v>
      </c>
      <c r="C8" s="8" t="s">
        <v>99</v>
      </c>
      <c r="D8" s="5"/>
      <c r="E8" s="5"/>
    </row>
    <row r="9" spans="1:5">
      <c r="A9" s="6" t="s">
        <v>9</v>
      </c>
      <c r="B9" s="13" t="s">
        <v>10</v>
      </c>
      <c r="C9" s="13" t="s">
        <v>11</v>
      </c>
      <c r="D9" s="6">
        <v>202212</v>
      </c>
      <c r="E9" s="6">
        <v>202312</v>
      </c>
    </row>
    <row r="10" spans="1:5">
      <c r="A10" s="7"/>
      <c r="B10" s="7"/>
      <c r="C10" s="7"/>
      <c r="D10" s="7" t="s">
        <v>23</v>
      </c>
      <c r="E10" s="7" t="s">
        <v>23</v>
      </c>
    </row>
    <row r="11" spans="1:5">
      <c r="A11" s="14">
        <v>4001390000</v>
      </c>
      <c r="B11" s="14" t="s">
        <v>185</v>
      </c>
      <c r="C11" s="14" t="s">
        <v>25</v>
      </c>
      <c r="D11" s="15">
        <v>16996.193200000002</v>
      </c>
      <c r="E11" s="15">
        <v>14773.140369999999</v>
      </c>
    </row>
    <row r="12" spans="1:5">
      <c r="A12" s="14">
        <v>4001310010</v>
      </c>
      <c r="B12" s="14" t="s">
        <v>186</v>
      </c>
      <c r="C12" s="14" t="s">
        <v>25</v>
      </c>
      <c r="D12" s="15"/>
      <c r="E12" s="15"/>
    </row>
    <row r="13" spans="1:5">
      <c r="A13" s="14">
        <v>4001310100</v>
      </c>
      <c r="B13" s="14" t="s">
        <v>187</v>
      </c>
      <c r="C13" s="14" t="s">
        <v>25</v>
      </c>
      <c r="D13" s="15"/>
      <c r="E13" s="15"/>
    </row>
    <row r="14" spans="1:5">
      <c r="A14" s="14">
        <v>4001310190</v>
      </c>
      <c r="B14" s="14" t="s">
        <v>188</v>
      </c>
      <c r="C14" s="14" t="s">
        <v>25</v>
      </c>
      <c r="D14" s="15">
        <v>27159.823499999999</v>
      </c>
      <c r="E14" s="15">
        <v>24368.928329999999</v>
      </c>
    </row>
    <row r="15" spans="1:5">
      <c r="A15" s="14">
        <v>4001310200</v>
      </c>
      <c r="B15" s="14" t="s">
        <v>189</v>
      </c>
      <c r="C15" s="14" t="s">
        <v>25</v>
      </c>
      <c r="D15" s="15"/>
      <c r="E15" s="15"/>
    </row>
    <row r="16" spans="1:5">
      <c r="A16" s="14">
        <v>4001390010</v>
      </c>
      <c r="B16" s="14" t="s">
        <v>190</v>
      </c>
      <c r="C16" s="14" t="s">
        <v>25</v>
      </c>
      <c r="D16" s="15">
        <v>19337.242999999999</v>
      </c>
      <c r="E16" s="15">
        <v>21051.053</v>
      </c>
    </row>
    <row r="17" spans="1:5">
      <c r="A17" s="14">
        <v>4001390040</v>
      </c>
      <c r="B17" s="14" t="s">
        <v>191</v>
      </c>
      <c r="C17" s="14" t="s">
        <v>25</v>
      </c>
      <c r="D17" s="15">
        <v>546.14200000000005</v>
      </c>
      <c r="E17" s="15">
        <v>1355.336</v>
      </c>
    </row>
    <row r="18" spans="1:5">
      <c r="A18" s="14">
        <v>4001390060</v>
      </c>
      <c r="B18" s="14" t="s">
        <v>192</v>
      </c>
      <c r="C18" s="14" t="s">
        <v>25</v>
      </c>
      <c r="D18" s="15">
        <v>-25143.33842</v>
      </c>
      <c r="E18" s="15">
        <v>-21238.407899999998</v>
      </c>
    </row>
    <row r="19" spans="1:5">
      <c r="A19" s="14">
        <v>4001390070</v>
      </c>
      <c r="B19" s="14" t="s">
        <v>193</v>
      </c>
      <c r="C19" s="14" t="s">
        <v>25</v>
      </c>
      <c r="D19" s="15">
        <v>-21029.133000000002</v>
      </c>
      <c r="E19" s="15">
        <v>-18495.703000000001</v>
      </c>
    </row>
    <row r="20" spans="1:5">
      <c r="A20" s="14">
        <v>4001390110</v>
      </c>
      <c r="B20" s="14" t="s">
        <v>194</v>
      </c>
      <c r="C20" s="14" t="s">
        <v>25</v>
      </c>
      <c r="D20" s="15">
        <v>-4114.2049999999999</v>
      </c>
      <c r="E20" s="15">
        <v>-2742.7049999999999</v>
      </c>
    </row>
    <row r="21" spans="1:5">
      <c r="A21" s="14">
        <v>4001312260</v>
      </c>
      <c r="B21" s="14" t="s">
        <v>195</v>
      </c>
      <c r="C21" s="14" t="s">
        <v>25</v>
      </c>
      <c r="D21" s="15"/>
      <c r="E21" s="15"/>
    </row>
    <row r="22" spans="1:5">
      <c r="A22" s="14">
        <v>4001312270</v>
      </c>
      <c r="B22" s="14" t="s">
        <v>196</v>
      </c>
      <c r="C22" s="14" t="s">
        <v>25</v>
      </c>
      <c r="D22" s="15"/>
      <c r="E22" s="15"/>
    </row>
    <row r="23" spans="1:5">
      <c r="A23" s="14">
        <v>4001312280</v>
      </c>
      <c r="B23" s="14" t="s">
        <v>197</v>
      </c>
      <c r="C23" s="14" t="s">
        <v>25</v>
      </c>
      <c r="D23" s="15">
        <v>20807.586080000001</v>
      </c>
      <c r="E23" s="15">
        <v>22826.237430000001</v>
      </c>
    </row>
    <row r="24" spans="1:5">
      <c r="A24" s="14">
        <v>4001312290</v>
      </c>
      <c r="B24" s="14" t="s">
        <v>198</v>
      </c>
      <c r="C24" s="14" t="s">
        <v>25</v>
      </c>
      <c r="D24" s="15">
        <v>238.70080999999999</v>
      </c>
      <c r="E24" s="15">
        <v>968.20529999999997</v>
      </c>
    </row>
    <row r="25" spans="1:5">
      <c r="A25" s="14">
        <v>4001312300</v>
      </c>
      <c r="B25" s="14" t="s">
        <v>199</v>
      </c>
      <c r="C25" s="14" t="s">
        <v>25</v>
      </c>
      <c r="D25" s="15">
        <v>-2997.3746700000002</v>
      </c>
      <c r="E25" s="15">
        <v>-6516.6306599999998</v>
      </c>
    </row>
    <row r="26" spans="1:5">
      <c r="A26" s="14">
        <v>4001312310</v>
      </c>
      <c r="B26" s="14" t="s">
        <v>200</v>
      </c>
      <c r="C26" s="14" t="s">
        <v>25</v>
      </c>
      <c r="D26" s="15"/>
      <c r="E26" s="15">
        <v>12.062200000000001</v>
      </c>
    </row>
    <row r="27" spans="1:5">
      <c r="A27" s="14">
        <v>4001312320</v>
      </c>
      <c r="B27" s="14" t="s">
        <v>201</v>
      </c>
      <c r="C27" s="14" t="s">
        <v>25</v>
      </c>
      <c r="D27" s="15"/>
      <c r="E27" s="15"/>
    </row>
    <row r="28" spans="1:5">
      <c r="A28" s="14">
        <v>4001312330</v>
      </c>
      <c r="B28" s="14" t="s">
        <v>202</v>
      </c>
      <c r="C28" s="14" t="s">
        <v>25</v>
      </c>
      <c r="D28" s="15"/>
      <c r="E28" s="15"/>
    </row>
    <row r="29" spans="1:5">
      <c r="A29" s="14">
        <v>4001312340</v>
      </c>
      <c r="B29" s="14" t="s">
        <v>203</v>
      </c>
      <c r="C29" s="14" t="s">
        <v>25</v>
      </c>
      <c r="D29" s="15">
        <v>-1052.7183</v>
      </c>
      <c r="E29" s="15">
        <v>-2516.7334000000001</v>
      </c>
    </row>
    <row r="30" spans="1:5">
      <c r="A30" s="14">
        <v>4001312350</v>
      </c>
      <c r="B30" s="14" t="s">
        <v>204</v>
      </c>
      <c r="C30" s="14" t="s">
        <v>25</v>
      </c>
      <c r="D30" s="15"/>
      <c r="E30" s="15"/>
    </row>
    <row r="31" spans="1:5">
      <c r="A31" s="14">
        <v>4001390160</v>
      </c>
      <c r="B31" s="14" t="s">
        <v>205</v>
      </c>
      <c r="C31" s="14" t="s">
        <v>25</v>
      </c>
      <c r="D31" s="15">
        <v>-44804.685879999997</v>
      </c>
      <c r="E31" s="15">
        <v>-67439.171310000005</v>
      </c>
    </row>
    <row r="32" spans="1:5">
      <c r="A32" s="14">
        <v>4001390170</v>
      </c>
      <c r="B32" s="14" t="s">
        <v>206</v>
      </c>
      <c r="C32" s="14" t="s">
        <v>25</v>
      </c>
      <c r="D32" s="15">
        <v>543.07321000000002</v>
      </c>
      <c r="E32" s="15">
        <v>9221.1818000000003</v>
      </c>
    </row>
    <row r="33" spans="1:5">
      <c r="A33" s="14">
        <v>4001390270</v>
      </c>
      <c r="B33" s="14" t="s">
        <v>207</v>
      </c>
      <c r="C33" s="14" t="s">
        <v>25</v>
      </c>
      <c r="D33" s="15">
        <v>45347.759100000003</v>
      </c>
      <c r="E33" s="15">
        <v>76660.35312</v>
      </c>
    </row>
    <row r="34" spans="1:5">
      <c r="A34" s="14">
        <v>4001321350</v>
      </c>
      <c r="B34" s="14" t="s">
        <v>198</v>
      </c>
      <c r="C34" s="14" t="s">
        <v>25</v>
      </c>
      <c r="D34" s="15"/>
      <c r="E34" s="15"/>
    </row>
    <row r="35" spans="1:5">
      <c r="A35" s="14">
        <v>4001321360</v>
      </c>
      <c r="B35" s="14" t="s">
        <v>199</v>
      </c>
      <c r="C35" s="14" t="s">
        <v>25</v>
      </c>
      <c r="D35" s="15"/>
      <c r="E35" s="15"/>
    </row>
    <row r="36" spans="1:5">
      <c r="A36" s="14">
        <v>4001321370</v>
      </c>
      <c r="B36" s="14" t="s">
        <v>200</v>
      </c>
      <c r="C36" s="14" t="s">
        <v>25</v>
      </c>
      <c r="D36" s="15"/>
      <c r="E36" s="15"/>
    </row>
    <row r="37" spans="1:5">
      <c r="A37" s="14">
        <v>4001321380</v>
      </c>
      <c r="B37" s="14" t="s">
        <v>201</v>
      </c>
      <c r="C37" s="14" t="s">
        <v>25</v>
      </c>
      <c r="D37" s="15"/>
      <c r="E37" s="15"/>
    </row>
    <row r="38" spans="1:5">
      <c r="A38" s="14">
        <v>4001321390</v>
      </c>
      <c r="B38" s="14" t="s">
        <v>202</v>
      </c>
      <c r="C38" s="14" t="s">
        <v>25</v>
      </c>
      <c r="D38" s="15"/>
      <c r="E38" s="15"/>
    </row>
    <row r="39" spans="1:5">
      <c r="A39" s="14">
        <v>4001321400</v>
      </c>
      <c r="B39" s="14" t="s">
        <v>203</v>
      </c>
      <c r="C39" s="14" t="s">
        <v>25</v>
      </c>
      <c r="D39" s="15"/>
      <c r="E39" s="15"/>
    </row>
    <row r="40" spans="1:5">
      <c r="A40" s="14">
        <v>4001321410</v>
      </c>
      <c r="B40" s="14" t="s">
        <v>204</v>
      </c>
      <c r="C40" s="14" t="s">
        <v>25</v>
      </c>
      <c r="D40" s="15"/>
      <c r="E40" s="15"/>
    </row>
    <row r="41" spans="1:5">
      <c r="A41" s="14">
        <v>4001390370</v>
      </c>
      <c r="B41" s="14" t="s">
        <v>208</v>
      </c>
      <c r="C41" s="14" t="s">
        <v>25</v>
      </c>
      <c r="D41" s="15">
        <v>36492.111770000003</v>
      </c>
      <c r="E41" s="15">
        <v>64857.314989999999</v>
      </c>
    </row>
    <row r="42" spans="1:5">
      <c r="A42" s="14">
        <v>4001390380</v>
      </c>
      <c r="B42" s="14" t="s">
        <v>209</v>
      </c>
      <c r="C42" s="14" t="s">
        <v>25</v>
      </c>
      <c r="D42" s="15">
        <v>69173.143460000007</v>
      </c>
      <c r="E42" s="15">
        <v>124686.84871999999</v>
      </c>
    </row>
    <row r="43" spans="1:5">
      <c r="A43" s="14">
        <v>4001390470</v>
      </c>
      <c r="B43" s="14" t="s">
        <v>210</v>
      </c>
      <c r="C43" s="14" t="s">
        <v>25</v>
      </c>
      <c r="D43" s="15">
        <v>32681.03169</v>
      </c>
      <c r="E43" s="15">
        <v>59829.533719999999</v>
      </c>
    </row>
    <row r="44" spans="1:5">
      <c r="A44" s="14">
        <v>4001330680</v>
      </c>
      <c r="B44" s="14" t="s">
        <v>198</v>
      </c>
      <c r="C44" s="14" t="s">
        <v>25</v>
      </c>
      <c r="D44" s="15"/>
      <c r="E44" s="15"/>
    </row>
    <row r="45" spans="1:5">
      <c r="A45" s="14">
        <v>4001330690</v>
      </c>
      <c r="B45" s="14" t="s">
        <v>199</v>
      </c>
      <c r="C45" s="14" t="s">
        <v>25</v>
      </c>
      <c r="D45" s="15"/>
      <c r="E45" s="15"/>
    </row>
    <row r="46" spans="1:5">
      <c r="A46" s="14">
        <v>4001330700</v>
      </c>
      <c r="B46" s="14" t="s">
        <v>200</v>
      </c>
      <c r="C46" s="14" t="s">
        <v>25</v>
      </c>
      <c r="D46" s="15"/>
      <c r="E46" s="15"/>
    </row>
    <row r="47" spans="1:5">
      <c r="A47" s="14">
        <v>4001330710</v>
      </c>
      <c r="B47" s="14" t="s">
        <v>201</v>
      </c>
      <c r="C47" s="14" t="s">
        <v>25</v>
      </c>
      <c r="D47" s="15"/>
      <c r="E47" s="15"/>
    </row>
    <row r="48" spans="1:5">
      <c r="A48" s="14">
        <v>4001330720</v>
      </c>
      <c r="B48" s="14" t="s">
        <v>202</v>
      </c>
      <c r="C48" s="14" t="s">
        <v>25</v>
      </c>
      <c r="D48" s="15"/>
      <c r="E48" s="15"/>
    </row>
    <row r="49" spans="1:5">
      <c r="A49" s="14">
        <v>4001330730</v>
      </c>
      <c r="B49" s="14" t="s">
        <v>203</v>
      </c>
      <c r="C49" s="14" t="s">
        <v>25</v>
      </c>
      <c r="D49" s="15"/>
      <c r="E49" s="15"/>
    </row>
    <row r="50" spans="1:5">
      <c r="A50" s="14">
        <v>4001330740</v>
      </c>
      <c r="B50" s="14" t="s">
        <v>204</v>
      </c>
      <c r="C50" s="14" t="s">
        <v>25</v>
      </c>
      <c r="D50" s="15"/>
      <c r="E50" s="15"/>
    </row>
    <row r="51" spans="1:5">
      <c r="A51" s="14">
        <v>4001340000</v>
      </c>
      <c r="B51" s="14" t="s">
        <v>211</v>
      </c>
      <c r="C51" s="14" t="s">
        <v>25</v>
      </c>
      <c r="D51" s="15"/>
      <c r="E51" s="15"/>
    </row>
    <row r="52" spans="1:5">
      <c r="A52" s="14">
        <v>4001340010</v>
      </c>
      <c r="B52" s="14" t="s">
        <v>212</v>
      </c>
      <c r="C52" s="14" t="s">
        <v>25</v>
      </c>
      <c r="D52" s="15"/>
      <c r="E52" s="15"/>
    </row>
    <row r="53" spans="1:5">
      <c r="A53" s="14">
        <v>4001340020</v>
      </c>
      <c r="B53" s="14" t="s">
        <v>213</v>
      </c>
      <c r="C53" s="14" t="s">
        <v>25</v>
      </c>
      <c r="D53" s="15">
        <v>-316.23829000000001</v>
      </c>
      <c r="E53" s="15">
        <v>84.099760000000003</v>
      </c>
    </row>
    <row r="54" spans="1:5">
      <c r="A54" s="14">
        <v>4001340030</v>
      </c>
      <c r="B54" s="14" t="s">
        <v>214</v>
      </c>
      <c r="C54" s="14" t="s">
        <v>25</v>
      </c>
      <c r="D54" s="15">
        <v>8367.3808000000008</v>
      </c>
      <c r="E54" s="15">
        <v>12275.383809999999</v>
      </c>
    </row>
    <row r="55" spans="1:5">
      <c r="A55" s="14">
        <v>4001340040</v>
      </c>
      <c r="B55" s="14" t="s">
        <v>215</v>
      </c>
      <c r="C55" s="14" t="s">
        <v>25</v>
      </c>
      <c r="D55" s="15">
        <v>15163.828670000001</v>
      </c>
      <c r="E55" s="15">
        <v>23531.209480000001</v>
      </c>
    </row>
    <row r="56" spans="1:5">
      <c r="A56" s="14">
        <v>4001340050</v>
      </c>
      <c r="B56" s="14" t="s">
        <v>216</v>
      </c>
      <c r="C56" s="14" t="s">
        <v>25</v>
      </c>
      <c r="D56" s="15">
        <v>23531.209480000001</v>
      </c>
      <c r="E56" s="15">
        <v>35806.5933</v>
      </c>
    </row>
    <row r="57" spans="1:5">
      <c r="A57" s="1"/>
      <c r="B57" s="1"/>
      <c r="C57" s="1"/>
      <c r="D57" s="15"/>
      <c r="E57" s="15"/>
    </row>
    <row r="58" spans="1:5">
      <c r="D58" s="16"/>
      <c r="E58" s="16"/>
    </row>
    <row r="59" spans="1:5">
      <c r="D59" s="16"/>
      <c r="E59" s="16"/>
    </row>
    <row r="60" spans="1:5">
      <c r="D60" s="16"/>
      <c r="E60" s="16"/>
    </row>
  </sheetData>
  <phoneticPr fontId="3" type="noConversion"/>
  <conditionalFormatting sqref="B1">
    <cfRule type="expression" dxfId="0" priority="1" stopIfTrue="1">
      <formula>MID($B$1, 15, 10)-TODAY() &lt; 0</formula>
    </cfRule>
  </conditionalFormatting>
  <dataValidations count="7">
    <dataValidation type="list" allowBlank="1" showInputMessage="1" sqref="C8" xr:uid="{295A0225-D277-4921-A3D6-11EA94F18E4A}">
      <formula1>"1983,1984,1985,1986,1987,1988,1989,1990,1991,1992,1993,1994,1995,1996,1997,1998,1999,2000,2001,2002,2003,2004,2005,2006,2007,2008,2009,2010,2011,2012,2013,2014,2015,2016,2017,2018,2019,2020,2021,2022,2023,2024,2025,Current"</formula1>
    </dataValidation>
    <dataValidation type="list" allowBlank="1" showInputMessage="1" sqref="B8" xr:uid="{F72BEFE4-E994-403F-A224-959A29A289A2}">
      <formula1>"1983,1984,1985,1986,1987,1988,1989,1990,1991,1992,1993,1994,1995,1996,1997,1998,1999,2000,2001,2002,2003,2004,2005,2006,2007,2008,2009,2010,2011,2012,2013,2014,2015,2016,2017,2018,2019,2020,2021,2022,2023,2024,2025"</formula1>
    </dataValidation>
    <dataValidation type="list" allowBlank="1" showInputMessage="1" sqref="B4" xr:uid="{0F488212-CA62-447A-996B-510333D8DB73}">
      <formula1>"별도,연결"</formula1>
    </dataValidation>
    <dataValidation type="list" allowBlank="1" showInputMessage="1" sqref="C7" xr:uid="{20C70C29-A8F5-47B2-B18D-A875DB405DD8}">
      <formula1>"천원,백만원,억원,십억원"</formula1>
    </dataValidation>
    <dataValidation type="list" allowBlank="1" showInputMessage="1" sqref="B7" xr:uid="{63346E64-B7A7-4B63-B5E5-FB118A45C986}">
      <formula1>"결산,누적분기,당분기"</formula1>
    </dataValidation>
    <dataValidation type="list" allowBlank="1" showInputMessage="1" sqref="B6" xr:uid="{A9A9348B-D8AF-4355-A398-3C67EBE32F7E}">
      <formula1>"상세(총액),상세(순액),요약,약식"</formula1>
    </dataValidation>
    <dataValidation type="list" allowBlank="1" showInputMessage="1" sqref="B5" xr:uid="{4321B32A-BAB4-4F27-86B2-2CB3D1F8D3E9}">
      <formula1>"전체,재무상태표,손익계산서,현금흐름표,자본금변동표"</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Estimate ▶</vt:lpstr>
      <vt:lpstr>Valuation</vt:lpstr>
      <vt:lpstr>매출 종합</vt:lpstr>
      <vt:lpstr>매출 추정</vt:lpstr>
      <vt:lpstr>비용추정</vt:lpstr>
      <vt:lpstr>Row data ▶</vt:lpstr>
      <vt:lpstr>BS_분기</vt:lpstr>
      <vt:lpstr>IS_분기</vt:lpstr>
      <vt:lpstr>CFS_분기</vt:lpstr>
      <vt:lpstr>BS 결산</vt:lpstr>
      <vt:lpstr>IS 결산</vt:lpstr>
      <vt:lpstr>CFS 결산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연준환</dc:creator>
  <cp:lastModifiedBy>선우 황</cp:lastModifiedBy>
  <dcterms:created xsi:type="dcterms:W3CDTF">2025-03-13T10:09:38Z</dcterms:created>
  <dcterms:modified xsi:type="dcterms:W3CDTF">2025-03-18T14:33:55Z</dcterms:modified>
</cp:coreProperties>
</file>