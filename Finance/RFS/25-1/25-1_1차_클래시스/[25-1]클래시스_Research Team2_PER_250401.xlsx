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Users\채현기\Desktop\RFS\25-1\25-1_1차_클래시스\"/>
    </mc:Choice>
  </mc:AlternateContent>
  <xr:revisionPtr revIDLastSave="0" documentId="13_ncr:1_{E39C6599-0D77-4AA7-BF81-361CEA11FE07}" xr6:coauthVersionLast="47" xr6:coauthVersionMax="47" xr10:uidLastSave="{00000000-0000-0000-0000-000000000000}"/>
  <bookViews>
    <workbookView xWindow="-96" yWindow="0" windowWidth="11712" windowHeight="13056" firstSheet="2" activeTab="7" xr2:uid="{E74C1028-E522-48F5-A123-BA68723FF2DF}"/>
  </bookViews>
  <sheets>
    <sheet name="Estimate ▶" sheetId="26" r:id="rId1"/>
    <sheet name="Valuation" sheetId="19" r:id="rId2"/>
    <sheet name="Expected IS" sheetId="2" r:id="rId3"/>
    <sheet name="매출액 추정" sheetId="3" r:id="rId4"/>
    <sheet name="의료기기" sheetId="13" r:id="rId5"/>
    <sheet name="소모품" sheetId="14" r:id="rId6"/>
    <sheet name="이루다 및 기타" sheetId="15" r:id="rId7"/>
    <sheet name="비용 추정" sheetId="12" r:id="rId8"/>
    <sheet name="요약 재무제표" sheetId="22" r:id="rId9"/>
    <sheet name="Row data ▶" sheetId="27" r:id="rId10"/>
    <sheet name="IS(Quarterly)" sheetId="5" r:id="rId11"/>
    <sheet name="BS(Quarterly)" sheetId="6" r:id="rId12"/>
    <sheet name="CFS(Quarterly)" sheetId="7" r:id="rId13"/>
    <sheet name="IS(Yearly)" sheetId="23" r:id="rId14"/>
    <sheet name="BS(Yearly)" sheetId="24" r:id="rId15"/>
    <sheet name="CFS(Yearly)" sheetId="25" r:id="rId16"/>
    <sheet name="장비-소모품 회귀분석" sheetId="20" r:id="rId17"/>
  </sheets>
  <definedNames>
    <definedName name="Com_Data_sum_035900" localSheetId="8">'요약 재무제표'!$B$2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4" i="13" l="1"/>
  <c r="R54" i="13"/>
  <c r="S53" i="13"/>
  <c r="R53" i="13"/>
  <c r="G12" i="15"/>
  <c r="AE70" i="13"/>
  <c r="W14" i="12"/>
  <c r="D8" i="19"/>
  <c r="L10" i="22"/>
  <c r="L9" i="22"/>
  <c r="L11" i="22"/>
  <c r="J7" i="22"/>
  <c r="K26" i="22"/>
  <c r="L23" i="22"/>
  <c r="E47" i="22"/>
  <c r="D47" i="22"/>
  <c r="C47" i="22"/>
  <c r="F46" i="22"/>
  <c r="F45" i="22"/>
  <c r="F40" i="22"/>
  <c r="D42" i="22"/>
  <c r="C42" i="22"/>
  <c r="C29" i="22"/>
  <c r="F33" i="22"/>
  <c r="F32" i="22"/>
  <c r="K43" i="22"/>
  <c r="I48" i="22"/>
  <c r="T20" i="22"/>
  <c r="F4" i="22"/>
  <c r="S26" i="22"/>
  <c r="U26" i="22" s="1"/>
  <c r="U17" i="22" s="1"/>
  <c r="R20" i="22"/>
  <c r="L18" i="22"/>
  <c r="F47" i="22" l="1"/>
  <c r="L19" i="22" l="1"/>
  <c r="R23" i="22"/>
  <c r="U6" i="22"/>
  <c r="T6" i="22"/>
  <c r="S6" i="22"/>
  <c r="R6" i="22"/>
  <c r="T8" i="22"/>
  <c r="K41" i="22"/>
  <c r="J43" i="22"/>
  <c r="I43" i="22"/>
  <c r="J41" i="22"/>
  <c r="K42" i="22" l="1"/>
  <c r="J42" i="22"/>
  <c r="I42" i="22"/>
  <c r="I41" i="22"/>
  <c r="J37" i="22"/>
  <c r="I37" i="22"/>
  <c r="S39" i="22"/>
  <c r="T40" i="22"/>
  <c r="S40" i="22"/>
  <c r="U40" i="22" l="1"/>
  <c r="L22" i="22"/>
  <c r="L15" i="22"/>
  <c r="L16" i="22"/>
  <c r="E22" i="22" l="1"/>
  <c r="U24" i="2"/>
  <c r="U25" i="2"/>
  <c r="U26" i="2"/>
  <c r="T8" i="2"/>
  <c r="T10" i="2"/>
  <c r="T12" i="2"/>
  <c r="T14" i="2"/>
  <c r="T15" i="2"/>
  <c r="T16" i="2"/>
  <c r="T17" i="2"/>
  <c r="T18" i="2"/>
  <c r="T19" i="2"/>
  <c r="T21" i="2"/>
  <c r="T22" i="2"/>
  <c r="E14" i="22" s="1"/>
  <c r="T23" i="2"/>
  <c r="T24" i="2"/>
  <c r="T25" i="2"/>
  <c r="T26" i="2"/>
  <c r="C4" i="22" l="1"/>
  <c r="F3" i="22"/>
  <c r="L37" i="22" l="1"/>
  <c r="R4" i="22"/>
  <c r="R5" i="22" s="1"/>
  <c r="S4" i="22"/>
  <c r="S5" i="22" s="1"/>
  <c r="C7" i="22"/>
  <c r="D7" i="22"/>
  <c r="I7" i="22"/>
  <c r="W38" i="22"/>
  <c r="I8" i="22"/>
  <c r="I12" i="22" s="1"/>
  <c r="I44" i="22" s="1"/>
  <c r="J8" i="22"/>
  <c r="J12" i="22" s="1"/>
  <c r="J44" i="22" s="1"/>
  <c r="S9" i="22"/>
  <c r="R14" i="22"/>
  <c r="S14" i="22"/>
  <c r="C17" i="22"/>
  <c r="D17" i="22"/>
  <c r="I17" i="22"/>
  <c r="I20" i="22" s="1"/>
  <c r="J17" i="22"/>
  <c r="J20" i="22" s="1"/>
  <c r="K17" i="22"/>
  <c r="L17" i="22"/>
  <c r="R17" i="22"/>
  <c r="S17" i="22"/>
  <c r="R18" i="22"/>
  <c r="R19" i="22" s="1"/>
  <c r="S18" i="22"/>
  <c r="S19" i="22" s="1"/>
  <c r="C20" i="22"/>
  <c r="D20" i="22"/>
  <c r="S20" i="22"/>
  <c r="S21" i="22" s="1"/>
  <c r="R21" i="22"/>
  <c r="C24" i="22"/>
  <c r="D24" i="22"/>
  <c r="C25" i="22"/>
  <c r="D25" i="22"/>
  <c r="C26" i="22"/>
  <c r="D26" i="22"/>
  <c r="I26" i="22"/>
  <c r="I45" i="22" s="1"/>
  <c r="J26" i="22"/>
  <c r="J45" i="22" s="1"/>
  <c r="R26" i="22"/>
  <c r="R27" i="22"/>
  <c r="S27" i="22"/>
  <c r="U27" i="22" s="1"/>
  <c r="U18" i="22" s="1"/>
  <c r="C30" i="22"/>
  <c r="C37" i="22" s="1"/>
  <c r="D30" i="22"/>
  <c r="D37" i="22" s="1"/>
  <c r="R35" i="22"/>
  <c r="S35" i="22"/>
  <c r="T32" i="22" s="1"/>
  <c r="L36" i="22"/>
  <c r="R36" i="22"/>
  <c r="R38" i="22" s="1"/>
  <c r="S36" i="22"/>
  <c r="S38" i="22" s="1"/>
  <c r="F39" i="22"/>
  <c r="R39" i="22"/>
  <c r="R40" i="22"/>
  <c r="E41" i="22"/>
  <c r="E42" i="22" s="1"/>
  <c r="F42" i="22" s="1"/>
  <c r="F43" i="22"/>
  <c r="R28" i="22"/>
  <c r="S28" i="22"/>
  <c r="U28" i="22" s="1"/>
  <c r="J48" i="22"/>
  <c r="R29" i="22" l="1"/>
  <c r="I47" i="22"/>
  <c r="L42" i="22"/>
  <c r="F41" i="22"/>
  <c r="F38" i="22" s="1"/>
  <c r="U20" i="22"/>
  <c r="L14" i="22" s="1"/>
  <c r="L13" i="22" s="1"/>
  <c r="L43" i="22"/>
  <c r="S32" i="22"/>
  <c r="R32" i="22"/>
  <c r="S29" i="22"/>
  <c r="W26" i="22"/>
  <c r="S11" i="22"/>
  <c r="R11" i="22"/>
  <c r="S22" i="22"/>
  <c r="R22" i="22"/>
  <c r="R10" i="22" s="1"/>
  <c r="J47" i="22"/>
  <c r="S41" i="22"/>
  <c r="R41" i="22"/>
  <c r="I50" i="22"/>
  <c r="K37" i="22"/>
  <c r="U34" i="22"/>
  <c r="U35" i="22"/>
  <c r="L8" i="22" s="1"/>
  <c r="J50" i="22"/>
  <c r="D14" i="19"/>
  <c r="P19" i="2"/>
  <c r="Q19" i="2"/>
  <c r="R19" i="2"/>
  <c r="O19" i="2"/>
  <c r="U19" i="2" s="1"/>
  <c r="P18" i="2"/>
  <c r="Q18" i="2"/>
  <c r="R18" i="2"/>
  <c r="O18" i="2"/>
  <c r="O17" i="2" a="1"/>
  <c r="O17" i="2" s="1"/>
  <c r="U17" i="2" s="1"/>
  <c r="P16" i="2"/>
  <c r="Q16" i="2"/>
  <c r="R16" i="2"/>
  <c r="O16" i="2"/>
  <c r="U16" i="2" s="1"/>
  <c r="P15" i="2"/>
  <c r="Q15" i="2"/>
  <c r="R15" i="2"/>
  <c r="O15" i="2"/>
  <c r="U15" i="2" s="1"/>
  <c r="T10" i="15"/>
  <c r="T26" i="13"/>
  <c r="U26" i="13"/>
  <c r="V26" i="13"/>
  <c r="W26" i="13"/>
  <c r="X26" i="13"/>
  <c r="R26" i="13"/>
  <c r="S26" i="13"/>
  <c r="C26" i="15"/>
  <c r="E25" i="15"/>
  <c r="F29" i="15" s="1"/>
  <c r="E24" i="15"/>
  <c r="E26" i="15" s="1"/>
  <c r="D25" i="15"/>
  <c r="D29" i="15" s="1"/>
  <c r="D24" i="15"/>
  <c r="D26" i="15" s="1"/>
  <c r="D27" i="15" s="1"/>
  <c r="C25" i="15"/>
  <c r="C24" i="15"/>
  <c r="J11" i="15"/>
  <c r="J9" i="15"/>
  <c r="T8" i="15"/>
  <c r="J7" i="15"/>
  <c r="K6" i="15"/>
  <c r="K9" i="15" s="1"/>
  <c r="M36" i="13"/>
  <c r="F31" i="13"/>
  <c r="N31" i="13"/>
  <c r="M31" i="13"/>
  <c r="Y24" i="13"/>
  <c r="X24" i="13"/>
  <c r="AA61" i="13"/>
  <c r="Z61" i="13"/>
  <c r="X62" i="13"/>
  <c r="W62" i="13"/>
  <c r="V62" i="13"/>
  <c r="U62" i="13"/>
  <c r="T62" i="13"/>
  <c r="M61" i="13"/>
  <c r="Q62" i="13" s="1"/>
  <c r="I61" i="13"/>
  <c r="I62" i="13" s="1"/>
  <c r="F61" i="13"/>
  <c r="E75" i="13"/>
  <c r="F75" i="13" s="1"/>
  <c r="I75" i="13"/>
  <c r="J75" i="13" s="1"/>
  <c r="M75" i="13"/>
  <c r="N75" i="13" s="1"/>
  <c r="M47" i="13"/>
  <c r="M44" i="13" s="1"/>
  <c r="V16" i="13" s="1"/>
  <c r="L47" i="13"/>
  <c r="L44" i="13" s="1"/>
  <c r="U16" i="13" s="1"/>
  <c r="K47" i="13"/>
  <c r="K44" i="13" s="1"/>
  <c r="T16" i="13" s="1"/>
  <c r="J47" i="13"/>
  <c r="J44" i="13" s="1"/>
  <c r="S16" i="13" s="1"/>
  <c r="I47" i="13"/>
  <c r="I44" i="13" s="1"/>
  <c r="I51" i="13" s="1"/>
  <c r="H47" i="13"/>
  <c r="H44" i="13" s="1"/>
  <c r="Q16" i="13" s="1"/>
  <c r="G47" i="13"/>
  <c r="G44" i="13" s="1"/>
  <c r="G51" i="13" s="1"/>
  <c r="F47" i="13"/>
  <c r="F44" i="13" s="1"/>
  <c r="O16" i="13" s="1"/>
  <c r="E47" i="13"/>
  <c r="E44" i="13" s="1"/>
  <c r="N44" i="13" s="1"/>
  <c r="P46" i="13"/>
  <c r="O46" i="13"/>
  <c r="X6" i="14"/>
  <c r="F24" i="15" l="1"/>
  <c r="F25" i="15"/>
  <c r="G25" i="15" s="1"/>
  <c r="E51" i="13"/>
  <c r="P16" i="13"/>
  <c r="F51" i="13"/>
  <c r="S18" i="13" s="1"/>
  <c r="G56" i="13"/>
  <c r="T18" i="13"/>
  <c r="I52" i="13"/>
  <c r="V18" i="13"/>
  <c r="U20" i="13"/>
  <c r="H56" i="13"/>
  <c r="V20" i="13" s="1"/>
  <c r="R16" i="13"/>
  <c r="X16" i="13" s="1"/>
  <c r="H51" i="13"/>
  <c r="U18" i="13" s="1"/>
  <c r="N16" i="13"/>
  <c r="W16" i="13" s="1"/>
  <c r="Y16" i="13"/>
  <c r="AA62" i="13"/>
  <c r="U18" i="2"/>
  <c r="R12" i="22"/>
  <c r="R13" i="22" s="1"/>
  <c r="T17" i="22"/>
  <c r="K5" i="22" s="1"/>
  <c r="T29" i="22"/>
  <c r="U41" i="22"/>
  <c r="S23" i="22"/>
  <c r="S10" i="22" s="1"/>
  <c r="S12" i="22" s="1"/>
  <c r="S13" i="22" s="1"/>
  <c r="F31" i="22"/>
  <c r="K8" i="22"/>
  <c r="K11" i="15"/>
  <c r="K75" i="13"/>
  <c r="L75" i="13" s="1"/>
  <c r="M62" i="13"/>
  <c r="J61" i="13"/>
  <c r="J62" i="13" s="1"/>
  <c r="N61" i="13"/>
  <c r="G61" i="13"/>
  <c r="H61" i="13" s="1"/>
  <c r="O75" i="13"/>
  <c r="P75" i="13" s="1"/>
  <c r="J76" i="13"/>
  <c r="M76" i="13"/>
  <c r="G75" i="13"/>
  <c r="I76" i="13"/>
  <c r="N76" i="13"/>
  <c r="I45" i="13"/>
  <c r="O44" i="13"/>
  <c r="O45" i="13" s="1"/>
  <c r="L45" i="13"/>
  <c r="M45" i="13"/>
  <c r="K45" i="13"/>
  <c r="J45" i="13"/>
  <c r="P44" i="13"/>
  <c r="K61" i="13" l="1"/>
  <c r="Y18" i="13"/>
  <c r="F26" i="15"/>
  <c r="Y20" i="13"/>
  <c r="J51" i="13"/>
  <c r="R18" i="13"/>
  <c r="X18" i="13" s="1"/>
  <c r="O76" i="13"/>
  <c r="K76" i="13"/>
  <c r="I56" i="13"/>
  <c r="L61" i="13"/>
  <c r="P62" i="13" s="1"/>
  <c r="K51" i="13"/>
  <c r="L41" i="22"/>
  <c r="U29" i="22"/>
  <c r="L5" i="22"/>
  <c r="H75" i="13"/>
  <c r="Y75" i="13"/>
  <c r="W12" i="3" s="1"/>
  <c r="P76" i="13"/>
  <c r="Q75" i="13"/>
  <c r="R75" i="13" s="1"/>
  <c r="P12" i="3" s="1"/>
  <c r="L76" i="13"/>
  <c r="O61" i="13"/>
  <c r="Y61" i="13" s="1"/>
  <c r="Z62" i="13" s="1"/>
  <c r="N62" i="13"/>
  <c r="R62" i="13"/>
  <c r="K62" i="13"/>
  <c r="P45" i="13"/>
  <c r="H10" i="13"/>
  <c r="I10" i="13"/>
  <c r="J10" i="13"/>
  <c r="K10" i="13"/>
  <c r="L10" i="13"/>
  <c r="C10" i="13"/>
  <c r="D10" i="13"/>
  <c r="E10" i="13"/>
  <c r="F10" i="13"/>
  <c r="G10" i="13"/>
  <c r="M10" i="13"/>
  <c r="N10" i="13"/>
  <c r="O10" i="13"/>
  <c r="V40" i="13"/>
  <c r="U40" i="13"/>
  <c r="T40" i="13"/>
  <c r="S40" i="13"/>
  <c r="R40" i="13"/>
  <c r="Q40" i="13"/>
  <c r="P40" i="13"/>
  <c r="O40" i="13"/>
  <c r="N40" i="13"/>
  <c r="M40" i="13"/>
  <c r="L40" i="13"/>
  <c r="K40" i="13"/>
  <c r="J40" i="13"/>
  <c r="I40" i="13"/>
  <c r="H40" i="13"/>
  <c r="V35" i="13"/>
  <c r="U35" i="13"/>
  <c r="T35" i="13"/>
  <c r="S35" i="13"/>
  <c r="R35" i="13"/>
  <c r="Q35" i="13"/>
  <c r="P35" i="13"/>
  <c r="O35" i="13"/>
  <c r="N35" i="13"/>
  <c r="M35" i="13"/>
  <c r="L35" i="13"/>
  <c r="K35" i="13"/>
  <c r="J35" i="13"/>
  <c r="I35" i="13"/>
  <c r="H35" i="13"/>
  <c r="O30" i="13"/>
  <c r="V30" i="13"/>
  <c r="U30" i="13"/>
  <c r="T30" i="13"/>
  <c r="S30" i="13"/>
  <c r="R30" i="13"/>
  <c r="Q30" i="13"/>
  <c r="P30" i="13"/>
  <c r="N30" i="13"/>
  <c r="M30" i="13"/>
  <c r="L30" i="13"/>
  <c r="K30" i="13"/>
  <c r="J30" i="13"/>
  <c r="I30" i="13"/>
  <c r="H30" i="13"/>
  <c r="U14" i="13"/>
  <c r="T14" i="13"/>
  <c r="S14" i="13"/>
  <c r="R14" i="13"/>
  <c r="Q14" i="13"/>
  <c r="P14" i="13"/>
  <c r="O14" i="13"/>
  <c r="U12" i="13"/>
  <c r="T12" i="13"/>
  <c r="S12" i="13"/>
  <c r="R12" i="13"/>
  <c r="Q12" i="13"/>
  <c r="P12" i="13"/>
  <c r="O12" i="13"/>
  <c r="X12" i="13" s="1"/>
  <c r="U10" i="13"/>
  <c r="T10" i="13"/>
  <c r="S10" i="13"/>
  <c r="R10" i="13"/>
  <c r="Q10" i="13"/>
  <c r="P10" i="13"/>
  <c r="Y34" i="13"/>
  <c r="X34" i="13"/>
  <c r="Y29" i="13"/>
  <c r="G10" i="3"/>
  <c r="H10" i="3" s="1"/>
  <c r="I10" i="3" s="1"/>
  <c r="J10" i="3" s="1"/>
  <c r="K10" i="3"/>
  <c r="L10" i="3"/>
  <c r="M10" i="3"/>
  <c r="N10" i="3"/>
  <c r="O38" i="12" l="1"/>
  <c r="P38" i="12" s="1"/>
  <c r="Q38" i="12" s="1"/>
  <c r="R38" i="12" s="1"/>
  <c r="K52" i="13"/>
  <c r="L62" i="13"/>
  <c r="Q76" i="13"/>
  <c r="O12" i="3"/>
  <c r="X10" i="13"/>
  <c r="S75" i="13"/>
  <c r="X14" i="13"/>
  <c r="O62" i="13"/>
  <c r="S62" i="13"/>
  <c r="R76" i="13"/>
  <c r="T75" i="13" l="1"/>
  <c r="R12" i="3" s="1"/>
  <c r="Q12" i="3"/>
  <c r="S76" i="13"/>
  <c r="Z75" i="13" l="1"/>
  <c r="X12" i="3" s="1"/>
  <c r="U75" i="13"/>
  <c r="S12" i="3" s="1"/>
  <c r="T76" i="13"/>
  <c r="V75" i="13"/>
  <c r="D14" i="13"/>
  <c r="C14" i="13"/>
  <c r="L12" i="13"/>
  <c r="K12" i="13"/>
  <c r="J12" i="13"/>
  <c r="I12" i="13"/>
  <c r="H12" i="13"/>
  <c r="G12" i="13"/>
  <c r="F12" i="13"/>
  <c r="E12" i="13"/>
  <c r="N12" i="13"/>
  <c r="D12" i="13"/>
  <c r="C12" i="13"/>
  <c r="X29" i="13"/>
  <c r="Y39" i="13"/>
  <c r="X39" i="13"/>
  <c r="I14" i="13"/>
  <c r="G14" i="13"/>
  <c r="F14" i="13"/>
  <c r="E14" i="13"/>
  <c r="AJ40" i="13"/>
  <c r="AI40" i="13"/>
  <c r="AH40" i="13"/>
  <c r="AG40" i="13"/>
  <c r="AF40" i="13"/>
  <c r="AE40" i="13"/>
  <c r="AD40" i="13"/>
  <c r="AJ39" i="13"/>
  <c r="AI39" i="13"/>
  <c r="AH39" i="13"/>
  <c r="AG39" i="13"/>
  <c r="AF39" i="13"/>
  <c r="AE39" i="13"/>
  <c r="AD39" i="13"/>
  <c r="AJ38" i="13"/>
  <c r="AI38" i="13"/>
  <c r="AH38" i="13"/>
  <c r="AG38" i="13"/>
  <c r="AF38" i="13"/>
  <c r="AE38" i="13"/>
  <c r="AD38" i="13"/>
  <c r="N14" i="13"/>
  <c r="M14" i="13"/>
  <c r="L14" i="13"/>
  <c r="K14" i="13"/>
  <c r="J14" i="13"/>
  <c r="H14" i="13"/>
  <c r="M12" i="13"/>
  <c r="U76" i="13" l="1"/>
  <c r="V76" i="13"/>
  <c r="T12" i="3"/>
  <c r="W14" i="13"/>
  <c r="W75" i="13"/>
  <c r="U12" i="3" s="1"/>
  <c r="W29" i="13"/>
  <c r="Z29" i="13" s="1"/>
  <c r="W39" i="13"/>
  <c r="W34" i="13"/>
  <c r="K22" i="13"/>
  <c r="N11" i="2"/>
  <c r="M11" i="2"/>
  <c r="L11" i="2"/>
  <c r="K11" i="2"/>
  <c r="J11" i="2"/>
  <c r="I11" i="2"/>
  <c r="H11" i="2"/>
  <c r="G11" i="2"/>
  <c r="F11" i="2"/>
  <c r="E11" i="2"/>
  <c r="D11" i="2"/>
  <c r="C11" i="2"/>
  <c r="N7" i="2"/>
  <c r="M7" i="2"/>
  <c r="L7" i="2"/>
  <c r="K7" i="2"/>
  <c r="T7" i="2" s="1"/>
  <c r="J7" i="2"/>
  <c r="I7" i="2"/>
  <c r="H7" i="2"/>
  <c r="G7" i="2"/>
  <c r="F7" i="2"/>
  <c r="E7" i="2"/>
  <c r="D7" i="2"/>
  <c r="C7" i="2"/>
  <c r="V10" i="13" l="1"/>
  <c r="W30" i="13"/>
  <c r="T11" i="2"/>
  <c r="W76" i="13"/>
  <c r="X75" i="13"/>
  <c r="V12" i="3" s="1"/>
  <c r="V12" i="13"/>
  <c r="Y12" i="13" s="1"/>
  <c r="Z34" i="13"/>
  <c r="W35" i="13"/>
  <c r="V14" i="13"/>
  <c r="Y14" i="13" s="1"/>
  <c r="W40" i="13"/>
  <c r="Z39" i="13"/>
  <c r="G8" i="13"/>
  <c r="O48" i="12"/>
  <c r="P48" i="12" s="1"/>
  <c r="Q48" i="12" s="1"/>
  <c r="R48" i="12" s="1"/>
  <c r="O47" i="12"/>
  <c r="P47" i="12" s="1"/>
  <c r="Q47" i="12" s="1"/>
  <c r="R47" i="12" s="1"/>
  <c r="O37" i="12"/>
  <c r="P37" i="12" s="1"/>
  <c r="O36" i="12"/>
  <c r="O34" i="12"/>
  <c r="P34" i="12" s="1"/>
  <c r="Q34" i="12" s="1"/>
  <c r="R34" i="12" s="1"/>
  <c r="O32" i="12"/>
  <c r="P32" i="12" s="1"/>
  <c r="Q32" i="12" s="1"/>
  <c r="R32" i="12" s="1"/>
  <c r="O30" i="12"/>
  <c r="P30" i="12" s="1"/>
  <c r="Q30" i="12" s="1"/>
  <c r="R30" i="12" s="1"/>
  <c r="O29" i="12"/>
  <c r="P29" i="12" s="1"/>
  <c r="Q29" i="12" s="1"/>
  <c r="R29" i="12" s="1"/>
  <c r="O27" i="12"/>
  <c r="P27" i="12" s="1"/>
  <c r="Q27" i="12" s="1"/>
  <c r="R27" i="12" s="1"/>
  <c r="O21" i="12"/>
  <c r="P21" i="12" s="1"/>
  <c r="Q21" i="12" s="1"/>
  <c r="R21" i="12" s="1"/>
  <c r="R20" i="12"/>
  <c r="Q20" i="12"/>
  <c r="P20" i="12"/>
  <c r="O20" i="12"/>
  <c r="O19" i="12"/>
  <c r="P19" i="12" s="1"/>
  <c r="Q19" i="12" s="1"/>
  <c r="R19" i="12" s="1"/>
  <c r="R12" i="12"/>
  <c r="Q12" i="12"/>
  <c r="P12" i="12"/>
  <c r="O12" i="12"/>
  <c r="D12" i="12"/>
  <c r="Y10" i="13" l="1"/>
  <c r="X76" i="13"/>
  <c r="AA75" i="13"/>
  <c r="Y12" i="3" s="1"/>
  <c r="G22" i="13"/>
  <c r="G9" i="13"/>
  <c r="K9" i="13"/>
  <c r="H8" i="13"/>
  <c r="P36" i="12"/>
  <c r="Q36" i="12" s="1"/>
  <c r="Q37" i="12"/>
  <c r="R37" i="12" s="1"/>
  <c r="O18" i="12"/>
  <c r="P18" i="12"/>
  <c r="Q18" i="12"/>
  <c r="R18" i="12"/>
  <c r="I8" i="13" l="1"/>
  <c r="I22" i="13" s="1"/>
  <c r="H22" i="13"/>
  <c r="R36" i="12"/>
  <c r="J8" i="13" l="1"/>
  <c r="J22" i="13" l="1"/>
  <c r="M18" i="15"/>
  <c r="I18" i="15"/>
  <c r="E18" i="15"/>
  <c r="M16" i="15"/>
  <c r="I16" i="15"/>
  <c r="E16" i="15"/>
  <c r="M17" i="15" l="1"/>
  <c r="I17" i="15"/>
  <c r="J18" i="15"/>
  <c r="K18" i="15" s="1"/>
  <c r="I19" i="15"/>
  <c r="J16" i="15"/>
  <c r="F18" i="15"/>
  <c r="G18" i="15" s="1"/>
  <c r="H18" i="15" s="1"/>
  <c r="N18" i="15"/>
  <c r="M19" i="15"/>
  <c r="F16" i="15"/>
  <c r="G16" i="15" s="1"/>
  <c r="N16" i="15"/>
  <c r="S25" i="13"/>
  <c r="T25" i="13"/>
  <c r="U25" i="13"/>
  <c r="V25" i="13"/>
  <c r="J17" i="15" l="1"/>
  <c r="K19" i="15"/>
  <c r="J19" i="15"/>
  <c r="N17" i="15"/>
  <c r="N19" i="15"/>
  <c r="O16" i="15"/>
  <c r="H16" i="15"/>
  <c r="O18" i="15"/>
  <c r="K16" i="15"/>
  <c r="K17" i="15" s="1"/>
  <c r="L18" i="15"/>
  <c r="L19" i="15" s="1"/>
  <c r="Q16" i="15" l="1"/>
  <c r="O17" i="15"/>
  <c r="O19" i="15"/>
  <c r="L16" i="15"/>
  <c r="L17" i="15" s="1"/>
  <c r="P16" i="15"/>
  <c r="P18" i="15"/>
  <c r="Q18" i="15" l="1"/>
  <c r="O18" i="3"/>
  <c r="Q17" i="15"/>
  <c r="T16" i="15"/>
  <c r="R18" i="15"/>
  <c r="R16" i="15"/>
  <c r="S16" i="15"/>
  <c r="P17" i="15"/>
  <c r="P19" i="15"/>
  <c r="Y18" i="15"/>
  <c r="Y16" i="15"/>
  <c r="P20" i="3" l="1"/>
  <c r="R19" i="15"/>
  <c r="R18" i="3"/>
  <c r="U16" i="15"/>
  <c r="T17" i="15"/>
  <c r="Z16" i="15"/>
  <c r="Z17" i="15" s="1"/>
  <c r="S18" i="15"/>
  <c r="O20" i="3"/>
  <c r="Q19" i="15"/>
  <c r="Q18" i="3"/>
  <c r="S17" i="15"/>
  <c r="P18" i="3"/>
  <c r="R17" i="15"/>
  <c r="T18" i="15"/>
  <c r="Z18" i="15" s="1"/>
  <c r="K23" i="13"/>
  <c r="L8" i="13"/>
  <c r="K24" i="13"/>
  <c r="G24" i="13"/>
  <c r="D24" i="13"/>
  <c r="E24" i="13" s="1"/>
  <c r="D8" i="13"/>
  <c r="H9" i="13" s="1"/>
  <c r="C6" i="13"/>
  <c r="X18" i="3" l="1"/>
  <c r="Z19" i="15"/>
  <c r="S18" i="3"/>
  <c r="U17" i="15"/>
  <c r="R20" i="3"/>
  <c r="T19" i="15"/>
  <c r="U18" i="15"/>
  <c r="V18" i="15" s="1"/>
  <c r="V16" i="15"/>
  <c r="Q20" i="3"/>
  <c r="S19" i="15"/>
  <c r="L22" i="13"/>
  <c r="L9" i="13"/>
  <c r="M8" i="13"/>
  <c r="M9" i="13" s="1"/>
  <c r="E8" i="13"/>
  <c r="I9" i="13" s="1"/>
  <c r="D6" i="13"/>
  <c r="H24" i="13"/>
  <c r="H25" i="13" s="1"/>
  <c r="G25" i="13"/>
  <c r="G23" i="13"/>
  <c r="G6" i="13"/>
  <c r="L24" i="13"/>
  <c r="M24" i="13" s="1"/>
  <c r="K6" i="13"/>
  <c r="O25" i="13"/>
  <c r="K25" i="13"/>
  <c r="F24" i="13"/>
  <c r="L7" i="14"/>
  <c r="H7" i="14"/>
  <c r="X20" i="3" l="1"/>
  <c r="T20" i="3"/>
  <c r="V19" i="15"/>
  <c r="W18" i="15"/>
  <c r="X18" i="15"/>
  <c r="T18" i="3"/>
  <c r="V17" i="15"/>
  <c r="S20" i="3"/>
  <c r="U19" i="15"/>
  <c r="W16" i="15"/>
  <c r="L23" i="13"/>
  <c r="M22" i="13"/>
  <c r="M23" i="13" s="1"/>
  <c r="L6" i="13"/>
  <c r="I24" i="13"/>
  <c r="I25" i="13" s="1"/>
  <c r="N24" i="13"/>
  <c r="Q26" i="13" s="1"/>
  <c r="L10" i="15" s="1"/>
  <c r="Q25" i="13"/>
  <c r="M6" i="13"/>
  <c r="P6" i="14" s="1"/>
  <c r="O14" i="3" s="1"/>
  <c r="P25" i="13"/>
  <c r="L25" i="13"/>
  <c r="N8" i="13"/>
  <c r="N22" i="13" s="1"/>
  <c r="H6" i="13"/>
  <c r="E6" i="13"/>
  <c r="F8" i="13"/>
  <c r="J9" i="13" s="1"/>
  <c r="H23" i="13"/>
  <c r="M10" i="15" l="1"/>
  <c r="W22" i="13"/>
  <c r="W24" i="13"/>
  <c r="V20" i="3"/>
  <c r="X19" i="15"/>
  <c r="U20" i="3"/>
  <c r="W19" i="15"/>
  <c r="U18" i="3"/>
  <c r="W17" i="15"/>
  <c r="Y20" i="3"/>
  <c r="AA18" i="15"/>
  <c r="AA19" i="15" s="1"/>
  <c r="X16" i="15"/>
  <c r="T6" i="15" s="1"/>
  <c r="P7" i="14"/>
  <c r="N9" i="13"/>
  <c r="M25" i="13"/>
  <c r="C22" i="13"/>
  <c r="C23" i="13" s="1"/>
  <c r="J24" i="13"/>
  <c r="J25" i="13" s="1"/>
  <c r="M7" i="14"/>
  <c r="I7" i="14"/>
  <c r="I23" i="13"/>
  <c r="I6" i="13"/>
  <c r="F6" i="13"/>
  <c r="N6" i="13"/>
  <c r="Q6" i="14" s="1"/>
  <c r="R25" i="13"/>
  <c r="N7" i="14"/>
  <c r="J7" i="14"/>
  <c r="N10" i="15" l="1"/>
  <c r="Q7" i="14"/>
  <c r="P14" i="3"/>
  <c r="T11" i="15"/>
  <c r="T9" i="15"/>
  <c r="V18" i="3"/>
  <c r="Y18" i="3" s="1"/>
  <c r="X17" i="15"/>
  <c r="AA16" i="15"/>
  <c r="AA17" i="15" s="1"/>
  <c r="N23" i="13"/>
  <c r="O22" i="13"/>
  <c r="O7" i="14"/>
  <c r="D22" i="13"/>
  <c r="D23" i="13" s="1"/>
  <c r="F22" i="13"/>
  <c r="F23" i="13" s="1"/>
  <c r="E22" i="13"/>
  <c r="E23" i="13" s="1"/>
  <c r="N25" i="13"/>
  <c r="J23" i="13"/>
  <c r="J6" i="13"/>
  <c r="K7" i="14"/>
  <c r="O10" i="15" l="1"/>
  <c r="O8" i="13"/>
  <c r="P22" i="13"/>
  <c r="N16" i="3"/>
  <c r="K20" i="3"/>
  <c r="L20" i="3" s="1"/>
  <c r="K18" i="3"/>
  <c r="L18" i="3" s="1"/>
  <c r="K14" i="3"/>
  <c r="K12" i="3"/>
  <c r="L12" i="3" s="1"/>
  <c r="M12" i="3" s="1"/>
  <c r="G20" i="3"/>
  <c r="H20" i="3" s="1"/>
  <c r="G18" i="3"/>
  <c r="H18" i="3" s="1"/>
  <c r="G14" i="3"/>
  <c r="H14" i="3" s="1"/>
  <c r="G12" i="3"/>
  <c r="H12" i="3" s="1"/>
  <c r="C20" i="3"/>
  <c r="D20" i="3" s="1"/>
  <c r="C18" i="3"/>
  <c r="D18" i="3" s="1"/>
  <c r="C10" i="3"/>
  <c r="D10" i="3" s="1"/>
  <c r="E10" i="3" s="1"/>
  <c r="F10" i="3" s="1"/>
  <c r="C14" i="3"/>
  <c r="D14" i="3" s="1"/>
  <c r="E14" i="3" s="1"/>
  <c r="C12" i="3"/>
  <c r="P10" i="15" l="1"/>
  <c r="U10" i="15"/>
  <c r="O23" i="13"/>
  <c r="R4" i="13"/>
  <c r="L8" i="15" s="1"/>
  <c r="L14" i="3"/>
  <c r="M14" i="3" s="1"/>
  <c r="O9" i="13"/>
  <c r="O6" i="13"/>
  <c r="Q22" i="13"/>
  <c r="P8" i="13"/>
  <c r="S4" i="13" s="1"/>
  <c r="W16" i="3"/>
  <c r="M20" i="3"/>
  <c r="K17" i="13"/>
  <c r="W10" i="13"/>
  <c r="K13" i="13"/>
  <c r="K19" i="13"/>
  <c r="N14" i="3"/>
  <c r="W14" i="3" s="1"/>
  <c r="N12" i="3"/>
  <c r="I12" i="3"/>
  <c r="J12" i="3" s="1"/>
  <c r="I20" i="3"/>
  <c r="J20" i="3" s="1"/>
  <c r="I14" i="3"/>
  <c r="J14" i="3" s="1"/>
  <c r="F14" i="3"/>
  <c r="G8" i="3"/>
  <c r="I18" i="3"/>
  <c r="J18" i="3" s="1"/>
  <c r="D12" i="3"/>
  <c r="D8" i="3" s="1"/>
  <c r="L8" i="3"/>
  <c r="M18" i="3"/>
  <c r="N18" i="3" s="1"/>
  <c r="H8" i="3"/>
  <c r="E18" i="3"/>
  <c r="K8" i="3"/>
  <c r="E20" i="3"/>
  <c r="F20" i="3" s="1"/>
  <c r="C8" i="3"/>
  <c r="Q10" i="15" l="1"/>
  <c r="M8" i="15"/>
  <c r="L6" i="15"/>
  <c r="L9" i="15"/>
  <c r="O10" i="3"/>
  <c r="Q4" i="13"/>
  <c r="P9" i="13"/>
  <c r="P6" i="13"/>
  <c r="P10" i="3" s="1"/>
  <c r="P8" i="3" s="1"/>
  <c r="P23" i="13"/>
  <c r="Q8" i="13"/>
  <c r="R22" i="13"/>
  <c r="X22" i="13" s="1"/>
  <c r="N20" i="3"/>
  <c r="W20" i="3" s="1"/>
  <c r="W18" i="3"/>
  <c r="L17" i="13"/>
  <c r="C11" i="13"/>
  <c r="C15" i="13"/>
  <c r="C13" i="13"/>
  <c r="K7" i="13"/>
  <c r="K15" i="13"/>
  <c r="K11" i="13"/>
  <c r="K21" i="13"/>
  <c r="M8" i="3"/>
  <c r="W10" i="3"/>
  <c r="I8" i="3"/>
  <c r="E12" i="3"/>
  <c r="F12" i="3" s="1"/>
  <c r="F8" i="3" s="1"/>
  <c r="D6" i="3"/>
  <c r="H6" i="3"/>
  <c r="H6" i="12" s="1"/>
  <c r="H6" i="2" s="1"/>
  <c r="H9" i="2" s="1"/>
  <c r="C6" i="3"/>
  <c r="C9" i="3" s="1"/>
  <c r="L6" i="3"/>
  <c r="F18" i="3"/>
  <c r="G6" i="3"/>
  <c r="K6" i="3"/>
  <c r="K9" i="3" s="1"/>
  <c r="Q6" i="13" l="1"/>
  <c r="Q10" i="3" s="1"/>
  <c r="T4" i="13"/>
  <c r="O8" i="3"/>
  <c r="O16" i="3"/>
  <c r="L7" i="15"/>
  <c r="L11" i="15"/>
  <c r="M6" i="15"/>
  <c r="M9" i="15" s="1"/>
  <c r="N8" i="15"/>
  <c r="R10" i="15"/>
  <c r="R8" i="13"/>
  <c r="X8" i="13" s="1"/>
  <c r="S22" i="13"/>
  <c r="Q9" i="13"/>
  <c r="Q23" i="13"/>
  <c r="H9" i="3"/>
  <c r="L6" i="12"/>
  <c r="L6" i="2" s="1"/>
  <c r="L9" i="2" s="1"/>
  <c r="K6" i="12"/>
  <c r="K6" i="2" s="1"/>
  <c r="L9" i="3"/>
  <c r="C6" i="12"/>
  <c r="C6" i="2" s="1"/>
  <c r="C9" i="2" s="1"/>
  <c r="D13" i="3"/>
  <c r="D6" i="12"/>
  <c r="D6" i="2" s="1"/>
  <c r="D9" i="2" s="1"/>
  <c r="G9" i="3"/>
  <c r="G6" i="12"/>
  <c r="G6" i="2" s="1"/>
  <c r="G9" i="2" s="1"/>
  <c r="H8" i="12"/>
  <c r="H9" i="12"/>
  <c r="D9" i="3"/>
  <c r="M17" i="13"/>
  <c r="W8" i="13"/>
  <c r="G7" i="13"/>
  <c r="G13" i="13"/>
  <c r="G15" i="13"/>
  <c r="G11" i="13"/>
  <c r="W12" i="13"/>
  <c r="E8" i="3"/>
  <c r="F6" i="3"/>
  <c r="F13" i="3" s="1"/>
  <c r="L7" i="3"/>
  <c r="L15" i="3"/>
  <c r="L13" i="3"/>
  <c r="L19" i="3"/>
  <c r="L21" i="3"/>
  <c r="L11" i="3"/>
  <c r="D11" i="3"/>
  <c r="D15" i="3"/>
  <c r="D19" i="3"/>
  <c r="D21" i="3"/>
  <c r="I6" i="3"/>
  <c r="N8" i="3"/>
  <c r="N6" i="3" s="1"/>
  <c r="J8" i="3"/>
  <c r="C13" i="3"/>
  <c r="C11" i="3"/>
  <c r="C15" i="3"/>
  <c r="C21" i="3"/>
  <c r="C19" i="3"/>
  <c r="M6" i="3"/>
  <c r="K13" i="3"/>
  <c r="K7" i="3"/>
  <c r="K21" i="3"/>
  <c r="K19" i="3"/>
  <c r="K11" i="3"/>
  <c r="K15" i="3"/>
  <c r="G11" i="3"/>
  <c r="G7" i="3"/>
  <c r="G15" i="3"/>
  <c r="G19" i="3"/>
  <c r="G21" i="3"/>
  <c r="G13" i="3"/>
  <c r="H11" i="3"/>
  <c r="H7" i="3"/>
  <c r="H21" i="3"/>
  <c r="H13" i="3"/>
  <c r="H19" i="3"/>
  <c r="H15" i="3"/>
  <c r="X6" i="13" l="1"/>
  <c r="X9" i="13" s="1"/>
  <c r="W6" i="13"/>
  <c r="W23" i="13"/>
  <c r="N6" i="15"/>
  <c r="N9" i="15" s="1"/>
  <c r="R23" i="13"/>
  <c r="U4" i="13"/>
  <c r="O8" i="15" s="1"/>
  <c r="S10" i="15"/>
  <c r="P16" i="3"/>
  <c r="M7" i="15"/>
  <c r="M11" i="15"/>
  <c r="O6" i="3"/>
  <c r="O9" i="3" s="1"/>
  <c r="X23" i="13"/>
  <c r="K9" i="2"/>
  <c r="T22" i="13"/>
  <c r="U22" i="13" s="1"/>
  <c r="R9" i="13"/>
  <c r="R6" i="13"/>
  <c r="R10" i="3" s="1"/>
  <c r="S8" i="13"/>
  <c r="W26" i="12"/>
  <c r="W39" i="12"/>
  <c r="W24" i="12"/>
  <c r="W37" i="12"/>
  <c r="W29" i="12"/>
  <c r="W36" i="12"/>
  <c r="W41" i="12"/>
  <c r="W31" i="12"/>
  <c r="H44" i="12"/>
  <c r="H10" i="12"/>
  <c r="W22" i="12"/>
  <c r="W19" i="12"/>
  <c r="W38" i="12"/>
  <c r="D8" i="12"/>
  <c r="D9" i="12"/>
  <c r="W35" i="12"/>
  <c r="W23" i="12"/>
  <c r="W42" i="12"/>
  <c r="K9" i="12"/>
  <c r="K8" i="12"/>
  <c r="W27" i="12"/>
  <c r="W13" i="12"/>
  <c r="W43" i="12"/>
  <c r="W25" i="12"/>
  <c r="W40" i="12"/>
  <c r="I9" i="3"/>
  <c r="I6" i="12"/>
  <c r="I6" i="2" s="1"/>
  <c r="I9" i="2" s="1"/>
  <c r="W12" i="12"/>
  <c r="W20" i="12"/>
  <c r="W15" i="12"/>
  <c r="L9" i="12"/>
  <c r="L8" i="12"/>
  <c r="G8" i="12"/>
  <c r="G9" i="12"/>
  <c r="F19" i="3"/>
  <c r="M9" i="3"/>
  <c r="M6" i="12"/>
  <c r="M6" i="2" s="1"/>
  <c r="M9" i="2" s="1"/>
  <c r="W16" i="12"/>
  <c r="W28" i="12"/>
  <c r="W30" i="12"/>
  <c r="W17" i="12"/>
  <c r="F9" i="3"/>
  <c r="F6" i="12"/>
  <c r="F6" i="2" s="1"/>
  <c r="F9" i="2" s="1"/>
  <c r="N6" i="12"/>
  <c r="N6" i="2" s="1"/>
  <c r="N9" i="2" s="1"/>
  <c r="N17" i="3"/>
  <c r="W33" i="12"/>
  <c r="W32" i="12"/>
  <c r="C9" i="12"/>
  <c r="C8" i="12"/>
  <c r="W18" i="12"/>
  <c r="E6" i="3"/>
  <c r="E15" i="3" s="1"/>
  <c r="W34" i="12"/>
  <c r="W21" i="12"/>
  <c r="W8" i="3"/>
  <c r="W6" i="3" s="1"/>
  <c r="N17" i="13"/>
  <c r="W9" i="13"/>
  <c r="L7" i="13"/>
  <c r="L21" i="13"/>
  <c r="L15" i="13"/>
  <c r="L11" i="13"/>
  <c r="L13" i="13"/>
  <c r="L19" i="13"/>
  <c r="H7" i="13"/>
  <c r="H13" i="13"/>
  <c r="H15" i="13"/>
  <c r="H11" i="13"/>
  <c r="E11" i="13"/>
  <c r="E15" i="13"/>
  <c r="E13" i="13"/>
  <c r="D15" i="13"/>
  <c r="D11" i="13"/>
  <c r="D13" i="13"/>
  <c r="I19" i="3"/>
  <c r="I21" i="3"/>
  <c r="I15" i="3"/>
  <c r="I13" i="3"/>
  <c r="I11" i="3"/>
  <c r="J6" i="3"/>
  <c r="V42" i="12" s="1"/>
  <c r="M7" i="3"/>
  <c r="M13" i="3"/>
  <c r="M21" i="3"/>
  <c r="M15" i="3"/>
  <c r="M11" i="3"/>
  <c r="M19" i="3"/>
  <c r="N9" i="3"/>
  <c r="F15" i="3"/>
  <c r="F21" i="3"/>
  <c r="F11" i="3"/>
  <c r="O17" i="3" l="1"/>
  <c r="T8" i="13"/>
  <c r="W4" i="13" s="1"/>
  <c r="O6" i="15"/>
  <c r="O9" i="15" s="1"/>
  <c r="U8" i="15"/>
  <c r="V10" i="15"/>
  <c r="X10" i="3"/>
  <c r="Q16" i="3"/>
  <c r="N7" i="15"/>
  <c r="N11" i="15"/>
  <c r="S23" i="13"/>
  <c r="V4" i="13"/>
  <c r="P8" i="15" s="1"/>
  <c r="P6" i="3"/>
  <c r="O15" i="3"/>
  <c r="O19" i="3"/>
  <c r="O13" i="3"/>
  <c r="O21" i="3"/>
  <c r="O6" i="12"/>
  <c r="O6" i="2"/>
  <c r="O11" i="3"/>
  <c r="O7" i="3"/>
  <c r="X7" i="13"/>
  <c r="X13" i="13"/>
  <c r="X15" i="13"/>
  <c r="X11" i="13"/>
  <c r="X25" i="13"/>
  <c r="X21" i="13"/>
  <c r="X19" i="13"/>
  <c r="X17" i="13"/>
  <c r="V12" i="12"/>
  <c r="T6" i="2"/>
  <c r="T9" i="2"/>
  <c r="V22" i="13"/>
  <c r="S9" i="13"/>
  <c r="S6" i="13"/>
  <c r="S10" i="3" s="1"/>
  <c r="T9" i="13"/>
  <c r="T6" i="13"/>
  <c r="T10" i="3" s="1"/>
  <c r="U8" i="13"/>
  <c r="X4" i="13" s="1"/>
  <c r="T23" i="13"/>
  <c r="H13" i="2"/>
  <c r="H20" i="2" s="1"/>
  <c r="H51" i="12"/>
  <c r="H53" i="12" s="1"/>
  <c r="J9" i="3"/>
  <c r="V43" i="12"/>
  <c r="V25" i="12"/>
  <c r="D44" i="12"/>
  <c r="D10" i="12"/>
  <c r="V36" i="12"/>
  <c r="V41" i="12"/>
  <c r="I9" i="12"/>
  <c r="I8" i="12"/>
  <c r="V24" i="12"/>
  <c r="E21" i="3"/>
  <c r="W9" i="3"/>
  <c r="E9" i="3"/>
  <c r="G10" i="12"/>
  <c r="G44" i="12"/>
  <c r="I7" i="3"/>
  <c r="H45" i="12"/>
  <c r="J6" i="12"/>
  <c r="J6" i="2" s="1"/>
  <c r="J9" i="2" s="1"/>
  <c r="V17" i="12"/>
  <c r="V40" i="12"/>
  <c r="V26" i="12"/>
  <c r="E11" i="3"/>
  <c r="V32" i="12"/>
  <c r="O13" i="12"/>
  <c r="O39" i="12"/>
  <c r="O31" i="12"/>
  <c r="N9" i="12"/>
  <c r="O23" i="12"/>
  <c r="O14" i="12"/>
  <c r="O22" i="12"/>
  <c r="O40" i="12"/>
  <c r="F8" i="12"/>
  <c r="F9" i="12"/>
  <c r="V14" i="12"/>
  <c r="L10" i="12"/>
  <c r="L44" i="12"/>
  <c r="V23" i="12"/>
  <c r="W44" i="12"/>
  <c r="V39" i="12"/>
  <c r="C44" i="12"/>
  <c r="C10" i="12"/>
  <c r="V38" i="12"/>
  <c r="V29" i="12"/>
  <c r="M9" i="12"/>
  <c r="M8" i="12"/>
  <c r="E13" i="3"/>
  <c r="E6" i="12"/>
  <c r="E6" i="2" s="1"/>
  <c r="E9" i="2" s="1"/>
  <c r="U16" i="12"/>
  <c r="U30" i="12"/>
  <c r="U41" i="12"/>
  <c r="U23" i="12"/>
  <c r="U35" i="12"/>
  <c r="U39" i="12"/>
  <c r="U19" i="12"/>
  <c r="U34" i="12"/>
  <c r="U37" i="12"/>
  <c r="U18" i="12"/>
  <c r="U29" i="12"/>
  <c r="U26" i="12"/>
  <c r="U21" i="12"/>
  <c r="U14" i="12"/>
  <c r="U33" i="12"/>
  <c r="U17" i="12"/>
  <c r="U13" i="12"/>
  <c r="U15" i="12"/>
  <c r="U24" i="12"/>
  <c r="U28" i="12"/>
  <c r="U25" i="12"/>
  <c r="U12" i="12"/>
  <c r="U43" i="12"/>
  <c r="U40" i="12"/>
  <c r="U27" i="12"/>
  <c r="U36" i="12"/>
  <c r="U42" i="12"/>
  <c r="U20" i="12"/>
  <c r="U32" i="12"/>
  <c r="U22" i="12"/>
  <c r="U38" i="12"/>
  <c r="U31" i="12"/>
  <c r="V30" i="12"/>
  <c r="V15" i="12"/>
  <c r="V34" i="12"/>
  <c r="K10" i="12"/>
  <c r="K44" i="12"/>
  <c r="V35" i="12"/>
  <c r="V28" i="12"/>
  <c r="V18" i="12"/>
  <c r="V20" i="12"/>
  <c r="O43" i="12"/>
  <c r="E19" i="3"/>
  <c r="V37" i="12"/>
  <c r="V31" i="12"/>
  <c r="O41" i="12"/>
  <c r="V22" i="12"/>
  <c r="V21" i="12"/>
  <c r="V27" i="12"/>
  <c r="V19" i="12"/>
  <c r="V33" i="12"/>
  <c r="V13" i="12"/>
  <c r="V16" i="12"/>
  <c r="W25" i="13"/>
  <c r="W13" i="13"/>
  <c r="I7" i="13"/>
  <c r="I13" i="13"/>
  <c r="I11" i="13"/>
  <c r="I15" i="13"/>
  <c r="M7" i="13"/>
  <c r="M21" i="13"/>
  <c r="M11" i="13"/>
  <c r="M15" i="13"/>
  <c r="M19" i="13"/>
  <c r="M13" i="13"/>
  <c r="W17" i="13"/>
  <c r="W11" i="13"/>
  <c r="W21" i="13"/>
  <c r="F15" i="13"/>
  <c r="F11" i="13"/>
  <c r="F13" i="13"/>
  <c r="N11" i="13"/>
  <c r="N15" i="13"/>
  <c r="N13" i="13"/>
  <c r="N21" i="13"/>
  <c r="N19" i="13"/>
  <c r="W15" i="13"/>
  <c r="W19" i="13"/>
  <c r="J7" i="3"/>
  <c r="J21" i="3"/>
  <c r="J15" i="3"/>
  <c r="J19" i="3"/>
  <c r="J13" i="3"/>
  <c r="J11" i="3"/>
  <c r="N7" i="3"/>
  <c r="N21" i="3"/>
  <c r="N15" i="3"/>
  <c r="N13" i="3"/>
  <c r="N19" i="3"/>
  <c r="N11" i="3"/>
  <c r="P6" i="15" l="1"/>
  <c r="Q8" i="15"/>
  <c r="Y22" i="13"/>
  <c r="V8" i="13"/>
  <c r="Y8" i="13" s="1"/>
  <c r="O7" i="12"/>
  <c r="O7" i="2" s="1"/>
  <c r="O9" i="12"/>
  <c r="O10" i="12" s="1"/>
  <c r="U6" i="15"/>
  <c r="U9" i="15"/>
  <c r="P6" i="2"/>
  <c r="P6" i="12"/>
  <c r="P22" i="12" s="1"/>
  <c r="P11" i="3"/>
  <c r="P15" i="3"/>
  <c r="P13" i="3"/>
  <c r="P19" i="3"/>
  <c r="P21" i="3"/>
  <c r="P9" i="3"/>
  <c r="P7" i="3"/>
  <c r="O11" i="15"/>
  <c r="R16" i="3"/>
  <c r="O7" i="15"/>
  <c r="P17" i="3"/>
  <c r="U9" i="13"/>
  <c r="U6" i="13"/>
  <c r="U10" i="3" s="1"/>
  <c r="U23" i="13"/>
  <c r="C45" i="12"/>
  <c r="C51" i="12"/>
  <c r="C53" i="12" s="1"/>
  <c r="C13" i="2"/>
  <c r="C20" i="2" s="1"/>
  <c r="K51" i="12"/>
  <c r="K53" i="12" s="1"/>
  <c r="K13" i="2"/>
  <c r="L13" i="2"/>
  <c r="L20" i="2" s="1"/>
  <c r="L51" i="12"/>
  <c r="L53" i="12" s="1"/>
  <c r="D45" i="12"/>
  <c r="D51" i="12"/>
  <c r="D53" i="12" s="1"/>
  <c r="D13" i="2"/>
  <c r="D20" i="2" s="1"/>
  <c r="G13" i="2"/>
  <c r="G20" i="2" s="1"/>
  <c r="G51" i="12"/>
  <c r="G53" i="12" s="1"/>
  <c r="V44" i="12"/>
  <c r="H54" i="12"/>
  <c r="O17" i="12"/>
  <c r="E9" i="12"/>
  <c r="E8" i="12"/>
  <c r="P40" i="12"/>
  <c r="G45" i="12"/>
  <c r="O16" i="12"/>
  <c r="W19" i="3"/>
  <c r="W17" i="3"/>
  <c r="W13" i="3"/>
  <c r="W11" i="3"/>
  <c r="W21" i="3"/>
  <c r="W15" i="3"/>
  <c r="O33" i="12"/>
  <c r="M10" i="12"/>
  <c r="M44" i="12"/>
  <c r="O26" i="12"/>
  <c r="I44" i="12"/>
  <c r="I10" i="12"/>
  <c r="P13" i="12"/>
  <c r="O25" i="12"/>
  <c r="L45" i="12"/>
  <c r="N10" i="12"/>
  <c r="N44" i="12"/>
  <c r="U44" i="12"/>
  <c r="O28" i="12"/>
  <c r="K45" i="12"/>
  <c r="O35" i="12"/>
  <c r="O24" i="12"/>
  <c r="J9" i="12"/>
  <c r="J8" i="12"/>
  <c r="O15" i="12"/>
  <c r="F10" i="12"/>
  <c r="F44" i="12"/>
  <c r="J7" i="13"/>
  <c r="J13" i="13"/>
  <c r="J11" i="13"/>
  <c r="J15" i="13"/>
  <c r="N7" i="13"/>
  <c r="P25" i="12" l="1"/>
  <c r="P14" i="12"/>
  <c r="P23" i="12"/>
  <c r="P24" i="12"/>
  <c r="P17" i="12"/>
  <c r="P33" i="12"/>
  <c r="P35" i="12"/>
  <c r="S16" i="3"/>
  <c r="P7" i="15"/>
  <c r="P11" i="15"/>
  <c r="O8" i="2"/>
  <c r="O9" i="2"/>
  <c r="V23" i="13"/>
  <c r="P7" i="12"/>
  <c r="P7" i="2" s="1"/>
  <c r="P8" i="2" s="1"/>
  <c r="P41" i="12"/>
  <c r="P43" i="12"/>
  <c r="P31" i="12"/>
  <c r="P28" i="12"/>
  <c r="P16" i="12"/>
  <c r="P15" i="12"/>
  <c r="P26" i="12"/>
  <c r="U7" i="15"/>
  <c r="U11" i="15"/>
  <c r="P9" i="15"/>
  <c r="P39" i="12"/>
  <c r="R8" i="15"/>
  <c r="Q6" i="15"/>
  <c r="Q9" i="15"/>
  <c r="X16" i="3"/>
  <c r="C54" i="12"/>
  <c r="K20" i="2"/>
  <c r="V6" i="13"/>
  <c r="V10" i="3" s="1"/>
  <c r="V9" i="13"/>
  <c r="M51" i="12"/>
  <c r="M53" i="12" s="1"/>
  <c r="M13" i="2"/>
  <c r="M20" i="2" s="1"/>
  <c r="N13" i="2"/>
  <c r="N20" i="2" s="1"/>
  <c r="N51" i="12"/>
  <c r="N53" i="12" s="1"/>
  <c r="N45" i="12"/>
  <c r="F45" i="12"/>
  <c r="F51" i="12"/>
  <c r="F53" i="12" s="1"/>
  <c r="F13" i="2"/>
  <c r="F20" i="2" s="1"/>
  <c r="D54" i="12"/>
  <c r="I13" i="2"/>
  <c r="I20" i="2" s="1"/>
  <c r="I51" i="12"/>
  <c r="I53" i="12" s="1"/>
  <c r="G54" i="12"/>
  <c r="I45" i="12"/>
  <c r="E10" i="12"/>
  <c r="E44" i="12"/>
  <c r="M45" i="12"/>
  <c r="L54" i="12"/>
  <c r="K54" i="12"/>
  <c r="O11" i="12"/>
  <c r="J44" i="12"/>
  <c r="J10" i="12"/>
  <c r="P11" i="12" l="1"/>
  <c r="P9" i="12"/>
  <c r="P10" i="12" s="1"/>
  <c r="T16" i="3"/>
  <c r="Q7" i="15"/>
  <c r="Q11" i="15"/>
  <c r="S8" i="15"/>
  <c r="R6" i="15"/>
  <c r="O10" i="2"/>
  <c r="Y10" i="3"/>
  <c r="P9" i="2"/>
  <c r="P10" i="2" s="1"/>
  <c r="O44" i="12"/>
  <c r="O45" i="12" s="1"/>
  <c r="O51" i="12" s="1"/>
  <c r="O20" i="2" s="1"/>
  <c r="O11" i="2"/>
  <c r="T20" i="2"/>
  <c r="T13" i="2"/>
  <c r="P44" i="12"/>
  <c r="P45" i="12" s="1"/>
  <c r="P51" i="12" s="1"/>
  <c r="P20" i="2" s="1"/>
  <c r="P11" i="2"/>
  <c r="Y6" i="13"/>
  <c r="Y23" i="13"/>
  <c r="E45" i="12"/>
  <c r="E51" i="12"/>
  <c r="E53" i="12" s="1"/>
  <c r="E13" i="2"/>
  <c r="E20" i="2" s="1"/>
  <c r="J13" i="2"/>
  <c r="J20" i="2" s="1"/>
  <c r="J51" i="12"/>
  <c r="J53" i="12" s="1"/>
  <c r="F54" i="12"/>
  <c r="I54" i="12"/>
  <c r="N54" i="12"/>
  <c r="M54" i="12"/>
  <c r="J45" i="12"/>
  <c r="U16" i="3" l="1"/>
  <c r="R7" i="15"/>
  <c r="R11" i="15"/>
  <c r="R9" i="15"/>
  <c r="S6" i="15"/>
  <c r="V8" i="15"/>
  <c r="Y9" i="13"/>
  <c r="Y7" i="13"/>
  <c r="E54" i="12"/>
  <c r="O12" i="2"/>
  <c r="O13" i="2"/>
  <c r="P12" i="2"/>
  <c r="P13" i="2"/>
  <c r="P14" i="2" s="1"/>
  <c r="Y25" i="13"/>
  <c r="Y19" i="13"/>
  <c r="Y13" i="13"/>
  <c r="Y11" i="13"/>
  <c r="Y21" i="13"/>
  <c r="Y17" i="13"/>
  <c r="Y15" i="13"/>
  <c r="J54" i="12"/>
  <c r="O53" i="12"/>
  <c r="O52" i="12" s="1"/>
  <c r="V6" i="15" l="1"/>
  <c r="S9" i="15"/>
  <c r="V16" i="3"/>
  <c r="S7" i="15"/>
  <c r="S11" i="15"/>
  <c r="O54" i="12"/>
  <c r="O21" i="2"/>
  <c r="O14" i="2"/>
  <c r="P53" i="12"/>
  <c r="P52" i="12" s="1"/>
  <c r="V7" i="15" l="1"/>
  <c r="V11" i="15"/>
  <c r="Y16" i="3"/>
  <c r="V9" i="15"/>
  <c r="P54" i="12"/>
  <c r="P22" i="2" s="1"/>
  <c r="P23" i="2" s="1"/>
  <c r="P21" i="2"/>
  <c r="O22" i="2"/>
  <c r="Q53" i="12"/>
  <c r="O23" i="2" l="1"/>
  <c r="R53" i="12"/>
  <c r="U4" i="22" l="1"/>
  <c r="U5" i="22" s="1"/>
  <c r="F7" i="22"/>
  <c r="F22" i="22"/>
  <c r="L31" i="22" s="1"/>
  <c r="F25" i="22"/>
  <c r="F24" i="22" l="1"/>
  <c r="F6" i="22"/>
  <c r="L20" i="22" l="1"/>
  <c r="U21" i="22"/>
  <c r="L6" i="22"/>
  <c r="L46" i="22" s="1"/>
  <c r="U19" i="22"/>
  <c r="U22" i="22" l="1"/>
  <c r="T4" i="22"/>
  <c r="T5" i="22" s="1"/>
  <c r="E7" i="22"/>
  <c r="K39" i="22"/>
  <c r="E25" i="22"/>
  <c r="L39" i="22"/>
  <c r="E6" i="22"/>
  <c r="E4" i="22"/>
  <c r="E9" i="22" l="1"/>
  <c r="E16" i="22"/>
  <c r="K40" i="22" s="1"/>
  <c r="K38" i="22"/>
  <c r="E24" i="22"/>
  <c r="L38" i="22"/>
  <c r="T18" i="22"/>
  <c r="T9" i="22" l="1"/>
  <c r="U9" i="22"/>
  <c r="E30" i="22"/>
  <c r="E37" i="22" s="1"/>
  <c r="F37" i="22" s="1"/>
  <c r="E17" i="22"/>
  <c r="E19" i="22"/>
  <c r="E20" i="22" s="1"/>
  <c r="E26" i="22"/>
  <c r="K6" i="22"/>
  <c r="T19" i="22"/>
  <c r="K20" i="22"/>
  <c r="M12" i="22" s="1"/>
  <c r="T21" i="22"/>
  <c r="K46" i="22" l="1"/>
  <c r="K7" i="22"/>
  <c r="L7" i="22" s="1"/>
  <c r="T22" i="22"/>
  <c r="T23" i="22" s="1"/>
  <c r="U23" i="22" l="1"/>
  <c r="F35" i="22" s="1"/>
  <c r="E50" i="22"/>
  <c r="K4" i="22" s="1"/>
  <c r="T10" i="22"/>
  <c r="U10" i="22" l="1"/>
  <c r="F49" i="22"/>
  <c r="K45" i="22"/>
  <c r="K48" i="22" l="1"/>
  <c r="K12" i="22"/>
  <c r="K44" i="22" l="1"/>
  <c r="K47" i="22"/>
  <c r="K50" i="22"/>
  <c r="F36" i="22" l="1"/>
  <c r="F9" i="22" l="1"/>
  <c r="O7" i="13" l="1"/>
  <c r="T13" i="13"/>
  <c r="V6" i="14"/>
  <c r="U14" i="3" s="1"/>
  <c r="U6" i="14"/>
  <c r="V11" i="13"/>
  <c r="V13" i="13"/>
  <c r="U19" i="13"/>
  <c r="U17" i="13"/>
  <c r="P13" i="13"/>
  <c r="Q7" i="13"/>
  <c r="U7" i="14" l="1"/>
  <c r="T14" i="3"/>
  <c r="U8" i="3"/>
  <c r="P11" i="13"/>
  <c r="T19" i="13"/>
  <c r="R7" i="13"/>
  <c r="R17" i="13"/>
  <c r="V7" i="13"/>
  <c r="R19" i="13"/>
  <c r="R11" i="13"/>
  <c r="S15" i="13"/>
  <c r="V17" i="13"/>
  <c r="S21" i="13"/>
  <c r="V21" i="13"/>
  <c r="T17" i="13"/>
  <c r="U7" i="13"/>
  <c r="U15" i="13"/>
  <c r="O21" i="13"/>
  <c r="U21" i="13"/>
  <c r="P21" i="13"/>
  <c r="U11" i="13"/>
  <c r="P15" i="13"/>
  <c r="P7" i="13"/>
  <c r="S11" i="13"/>
  <c r="T21" i="13"/>
  <c r="T7" i="13"/>
  <c r="T11" i="13"/>
  <c r="T15" i="13"/>
  <c r="R6" i="14"/>
  <c r="Q14" i="3" s="1"/>
  <c r="O19" i="13"/>
  <c r="W6" i="14"/>
  <c r="V14" i="3" s="1"/>
  <c r="S6" i="14"/>
  <c r="T6" i="14"/>
  <c r="S14" i="3" s="1"/>
  <c r="S7" i="13"/>
  <c r="O13" i="13"/>
  <c r="Q17" i="13"/>
  <c r="R21" i="13"/>
  <c r="O11" i="13"/>
  <c r="Q19" i="13"/>
  <c r="Q21" i="13"/>
  <c r="O17" i="13"/>
  <c r="Q11" i="13"/>
  <c r="S17" i="13"/>
  <c r="V19" i="13"/>
  <c r="Q15" i="13"/>
  <c r="S19" i="13"/>
  <c r="P17" i="13"/>
  <c r="P19" i="13"/>
  <c r="U13" i="13"/>
  <c r="V15" i="13"/>
  <c r="Q13" i="13"/>
  <c r="S13" i="13"/>
  <c r="R15" i="13"/>
  <c r="O15" i="13"/>
  <c r="R13" i="13"/>
  <c r="Y14" i="3" l="1"/>
  <c r="S8" i="3"/>
  <c r="S7" i="14"/>
  <c r="R14" i="3"/>
  <c r="X14" i="3" s="1"/>
  <c r="T8" i="3"/>
  <c r="U6" i="3"/>
  <c r="U9" i="3" s="1"/>
  <c r="V8" i="3"/>
  <c r="V6" i="3" s="1"/>
  <c r="Q8" i="3"/>
  <c r="Y6" i="14"/>
  <c r="Y7" i="14" s="1"/>
  <c r="R7" i="14"/>
  <c r="T7" i="14"/>
  <c r="Z6" i="14"/>
  <c r="W7" i="14"/>
  <c r="V7" i="14"/>
  <c r="X8" i="3" l="1"/>
  <c r="V9" i="3"/>
  <c r="V21" i="3"/>
  <c r="V13" i="3"/>
  <c r="V19" i="3"/>
  <c r="V11" i="3"/>
  <c r="V17" i="3"/>
  <c r="V15" i="3"/>
  <c r="U17" i="3"/>
  <c r="U21" i="3"/>
  <c r="U7" i="3"/>
  <c r="U13" i="3"/>
  <c r="U19" i="3"/>
  <c r="U11" i="3"/>
  <c r="U15" i="3"/>
  <c r="T6" i="3"/>
  <c r="T9" i="3" s="1"/>
  <c r="R8" i="3"/>
  <c r="Q6" i="3"/>
  <c r="Q9" i="3"/>
  <c r="S6" i="3"/>
  <c r="S9" i="3" s="1"/>
  <c r="Z7" i="14"/>
  <c r="Y8" i="3"/>
  <c r="T35" i="22"/>
  <c r="U32" i="22" s="1"/>
  <c r="T39" i="22"/>
  <c r="U39" i="22" s="1"/>
  <c r="U33" i="22" s="1"/>
  <c r="U36" i="22" s="1"/>
  <c r="T36" i="22"/>
  <c r="T11" i="22" s="1"/>
  <c r="T12" i="22" s="1"/>
  <c r="T13" i="22" s="1"/>
  <c r="T14" i="22" s="1"/>
  <c r="E23" i="22" s="1"/>
  <c r="Y6" i="3" l="1"/>
  <c r="S17" i="3"/>
  <c r="S21" i="3"/>
  <c r="S7" i="3"/>
  <c r="S13" i="3"/>
  <c r="S19" i="3"/>
  <c r="S11" i="3"/>
  <c r="S15" i="3"/>
  <c r="Q13" i="3"/>
  <c r="Q6" i="12"/>
  <c r="Q6" i="2"/>
  <c r="Q19" i="3"/>
  <c r="Q21" i="3"/>
  <c r="Q7" i="3"/>
  <c r="Q11" i="3"/>
  <c r="Q17" i="3"/>
  <c r="Q15" i="3"/>
  <c r="R6" i="3"/>
  <c r="R9" i="3" s="1"/>
  <c r="T17" i="3"/>
  <c r="T21" i="3"/>
  <c r="T13" i="3"/>
  <c r="T7" i="3"/>
  <c r="T19" i="3"/>
  <c r="T11" i="3"/>
  <c r="T15" i="3"/>
  <c r="X6" i="3"/>
  <c r="X9" i="3" s="1"/>
  <c r="U38" i="22"/>
  <c r="U11" i="22"/>
  <c r="U12" i="22" s="1"/>
  <c r="U13" i="22" s="1"/>
  <c r="U14" i="22" s="1"/>
  <c r="F23" i="22" s="1"/>
  <c r="T41" i="22"/>
  <c r="T38" i="22"/>
  <c r="Y7" i="3" l="1"/>
  <c r="Y21" i="3"/>
  <c r="Y19" i="3"/>
  <c r="Y13" i="3"/>
  <c r="Y11" i="3"/>
  <c r="Y17" i="3"/>
  <c r="Y15" i="3"/>
  <c r="X21" i="3"/>
  <c r="X19" i="3"/>
  <c r="X13" i="3"/>
  <c r="X7" i="3"/>
  <c r="X11" i="3"/>
  <c r="X17" i="3"/>
  <c r="X15" i="3"/>
  <c r="Q7" i="12"/>
  <c r="Q7" i="2" s="1"/>
  <c r="Q9" i="2" s="1"/>
  <c r="Q43" i="12"/>
  <c r="Q41" i="12"/>
  <c r="Q16" i="12"/>
  <c r="Q26" i="12"/>
  <c r="Q15" i="12"/>
  <c r="Q33" i="12"/>
  <c r="Q24" i="12"/>
  <c r="Q28" i="12"/>
  <c r="Q17" i="12"/>
  <c r="Q35" i="12"/>
  <c r="Q25" i="12"/>
  <c r="Q23" i="12"/>
  <c r="Q14" i="12"/>
  <c r="Q22" i="12"/>
  <c r="Q40" i="12"/>
  <c r="Q13" i="12"/>
  <c r="Q31" i="12"/>
  <c r="Q39" i="12"/>
  <c r="R6" i="2"/>
  <c r="U6" i="2" s="1"/>
  <c r="R21" i="3"/>
  <c r="R6" i="12"/>
  <c r="X37" i="12" s="1"/>
  <c r="R19" i="3"/>
  <c r="R13" i="3"/>
  <c r="R11" i="3"/>
  <c r="R7" i="3"/>
  <c r="R17" i="3"/>
  <c r="V7" i="3"/>
  <c r="R15" i="3"/>
  <c r="Y9" i="3"/>
  <c r="X38" i="12" l="1"/>
  <c r="X27" i="12"/>
  <c r="X19" i="12"/>
  <c r="X21" i="12"/>
  <c r="X18" i="12"/>
  <c r="X12" i="12"/>
  <c r="X30" i="12"/>
  <c r="X29" i="12"/>
  <c r="X32" i="12"/>
  <c r="X36" i="12"/>
  <c r="X34" i="12"/>
  <c r="X20" i="12"/>
  <c r="X42" i="12"/>
  <c r="R31" i="12"/>
  <c r="X31" i="12" s="1"/>
  <c r="R14" i="12"/>
  <c r="X14" i="12" s="1"/>
  <c r="R23" i="12"/>
  <c r="X23" i="12" s="1"/>
  <c r="R13" i="12"/>
  <c r="X13" i="12" s="1"/>
  <c r="Q11" i="12"/>
  <c r="Q11" i="2" s="1"/>
  <c r="Q13" i="2" s="1"/>
  <c r="Q10" i="2"/>
  <c r="R40" i="12"/>
  <c r="X40" i="12" s="1"/>
  <c r="Q9" i="12"/>
  <c r="R7" i="12"/>
  <c r="R7" i="2" s="1"/>
  <c r="R8" i="2" s="1"/>
  <c r="R41" i="12"/>
  <c r="X41" i="12" s="1"/>
  <c r="R43" i="12"/>
  <c r="X43" i="12" s="1"/>
  <c r="R16" i="12"/>
  <c r="X16" i="12" s="1"/>
  <c r="R26" i="12"/>
  <c r="X26" i="12" s="1"/>
  <c r="R28" i="12"/>
  <c r="X28" i="12" s="1"/>
  <c r="R15" i="12"/>
  <c r="X15" i="12" s="1"/>
  <c r="R17" i="12"/>
  <c r="X17" i="12" s="1"/>
  <c r="R25" i="12"/>
  <c r="X25" i="12" s="1"/>
  <c r="R33" i="12"/>
  <c r="X33" i="12" s="1"/>
  <c r="R24" i="12"/>
  <c r="X24" i="12" s="1"/>
  <c r="R35" i="12"/>
  <c r="X35" i="12" s="1"/>
  <c r="R39" i="12"/>
  <c r="X39" i="12" s="1"/>
  <c r="R22" i="12"/>
  <c r="X22" i="12" s="1"/>
  <c r="Q8" i="2"/>
  <c r="U7" i="2" l="1"/>
  <c r="U8" i="2"/>
  <c r="R9" i="12"/>
  <c r="Q14" i="2"/>
  <c r="R9" i="2"/>
  <c r="Q12" i="2"/>
  <c r="R11" i="12"/>
  <c r="R10" i="12"/>
  <c r="Q10" i="12"/>
  <c r="Q44" i="12"/>
  <c r="R44" i="12" l="1"/>
  <c r="R45" i="12" s="1"/>
  <c r="R51" i="12" s="1"/>
  <c r="R20" i="2"/>
  <c r="R52" i="12"/>
  <c r="R21" i="2" s="1"/>
  <c r="Q45" i="12"/>
  <c r="Q51" i="12" s="1"/>
  <c r="R11" i="2"/>
  <c r="R13" i="2" s="1"/>
  <c r="X44" i="12"/>
  <c r="R10" i="2"/>
  <c r="U10" i="2" s="1"/>
  <c r="U9" i="2"/>
  <c r="R54" i="12" l="1"/>
  <c r="R22" i="2" s="1"/>
  <c r="R23" i="2" s="1"/>
  <c r="Q20" i="2"/>
  <c r="U20" i="2" s="1"/>
  <c r="Q52" i="12"/>
  <c r="Q21" i="2" s="1"/>
  <c r="U21" i="2" s="1"/>
  <c r="R12" i="2"/>
  <c r="U12" i="2" s="1"/>
  <c r="U11" i="2"/>
  <c r="R14" i="2"/>
  <c r="U14" i="2" s="1"/>
  <c r="U13" i="2"/>
  <c r="Q54" i="12" l="1"/>
  <c r="D7" i="19" s="1"/>
  <c r="D9" i="19" s="1"/>
  <c r="D11" i="19" s="1"/>
  <c r="Q22" i="2"/>
  <c r="U22" i="2" l="1"/>
  <c r="F14" i="22" s="1"/>
  <c r="F16" i="22" s="1"/>
  <c r="Q23" i="2"/>
  <c r="U23" i="2" s="1"/>
  <c r="L24" i="22" l="1"/>
  <c r="L21" i="22" s="1"/>
  <c r="L26" i="22" s="1"/>
  <c r="L40" i="22"/>
  <c r="F26" i="22"/>
  <c r="L32" i="22"/>
  <c r="L29" i="22" s="1"/>
  <c r="F30" i="22"/>
  <c r="F29" i="22" s="1"/>
  <c r="F48" i="22" s="1"/>
  <c r="F50" i="22" s="1"/>
  <c r="L4" i="22" s="1"/>
  <c r="L3" i="22" s="1"/>
  <c r="F17" i="22"/>
  <c r="F19" i="22"/>
  <c r="F20" i="22" s="1"/>
  <c r="L35" i="22"/>
  <c r="L12" i="22" l="1"/>
  <c r="L48" i="22"/>
  <c r="L45" i="22"/>
  <c r="L33" i="22"/>
  <c r="L30" i="22" s="1"/>
  <c r="N12" i="22"/>
  <c r="L50" i="22"/>
  <c r="L47" i="22" l="1"/>
  <c r="L44"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T26" authorId="0" shapeId="0" xr:uid="{00000000-0006-0000-0B00-000001000000}">
      <text>
        <r>
          <rPr>
            <b/>
            <sz val="10"/>
            <color rgb="FF000000"/>
            <rFont val="Malgun Gothic"/>
            <family val="2"/>
            <charset val="129"/>
          </rPr>
          <t>비교적</t>
        </r>
        <r>
          <rPr>
            <b/>
            <sz val="10"/>
            <color rgb="FF000000"/>
            <rFont val="Malgun Gothic"/>
            <family val="2"/>
            <charset val="129"/>
          </rPr>
          <t xml:space="preserve"> </t>
        </r>
        <r>
          <rPr>
            <b/>
            <sz val="10"/>
            <color rgb="FF000000"/>
            <rFont val="Malgun Gothic"/>
            <family val="2"/>
            <charset val="129"/>
          </rPr>
          <t>안정되어</t>
        </r>
        <r>
          <rPr>
            <b/>
            <sz val="10"/>
            <color rgb="FF000000"/>
            <rFont val="Malgun Gothic"/>
            <family val="2"/>
            <charset val="129"/>
          </rPr>
          <t xml:space="preserve"> </t>
        </r>
        <r>
          <rPr>
            <b/>
            <sz val="10"/>
            <color rgb="FF000000"/>
            <rFont val="Malgun Gothic"/>
            <family val="2"/>
            <charset val="129"/>
          </rPr>
          <t>있으므로</t>
        </r>
        <r>
          <rPr>
            <b/>
            <sz val="10"/>
            <color rgb="FF000000"/>
            <rFont val="Malgun Gothic"/>
            <family val="2"/>
            <charset val="129"/>
          </rPr>
          <t xml:space="preserve"> 20-22 3</t>
        </r>
        <r>
          <rPr>
            <b/>
            <sz val="10"/>
            <color rgb="FF000000"/>
            <rFont val="Malgun Gothic"/>
            <family val="2"/>
            <charset val="129"/>
          </rPr>
          <t>개년</t>
        </r>
        <r>
          <rPr>
            <b/>
            <sz val="10"/>
            <color rgb="FF000000"/>
            <rFont val="Malgun Gothic"/>
            <family val="2"/>
            <charset val="129"/>
          </rPr>
          <t xml:space="preserve"> </t>
        </r>
        <r>
          <rPr>
            <b/>
            <sz val="10"/>
            <color rgb="FF000000"/>
            <rFont val="Malgun Gothic"/>
            <family val="2"/>
            <charset val="129"/>
          </rPr>
          <t>평균치</t>
        </r>
        <r>
          <rPr>
            <b/>
            <sz val="10"/>
            <color rgb="FF000000"/>
            <rFont val="Malgun Gothic"/>
            <family val="2"/>
            <charset val="129"/>
          </rPr>
          <t xml:space="preserve"> </t>
        </r>
        <r>
          <rPr>
            <b/>
            <sz val="10"/>
            <color rgb="FF000000"/>
            <rFont val="Malgun Gothic"/>
            <family val="2"/>
            <charset val="129"/>
          </rPr>
          <t>적용</t>
        </r>
      </text>
    </comment>
    <comment ref="T27" authorId="0" shapeId="0" xr:uid="{00000000-0006-0000-0B00-000002000000}">
      <text>
        <r>
          <rPr>
            <b/>
            <sz val="10"/>
            <color rgb="FF000000"/>
            <rFont val="Malgun Gothic"/>
            <family val="2"/>
            <charset val="129"/>
          </rPr>
          <t xml:space="preserve">20-22 </t>
        </r>
        <r>
          <rPr>
            <b/>
            <sz val="10"/>
            <color rgb="FF000000"/>
            <rFont val="Malgun Gothic"/>
            <family val="2"/>
            <charset val="129"/>
          </rPr>
          <t>증가</t>
        </r>
        <r>
          <rPr>
            <b/>
            <sz val="10"/>
            <color rgb="FF000000"/>
            <rFont val="Malgun Gothic"/>
            <family val="2"/>
            <charset val="129"/>
          </rPr>
          <t xml:space="preserve"> </t>
        </r>
        <r>
          <rPr>
            <b/>
            <sz val="10"/>
            <color rgb="FF000000"/>
            <rFont val="Malgun Gothic"/>
            <family val="2"/>
            <charset val="129"/>
          </rPr>
          <t>추세</t>
        </r>
        <r>
          <rPr>
            <b/>
            <sz val="10"/>
            <color rgb="FF000000"/>
            <rFont val="Malgun Gothic"/>
            <family val="2"/>
            <charset val="129"/>
          </rPr>
          <t xml:space="preserve"> </t>
        </r>
        <r>
          <rPr>
            <b/>
            <sz val="10"/>
            <color rgb="FF000000"/>
            <rFont val="Malgun Gothic"/>
            <family val="2"/>
            <charset val="129"/>
          </rPr>
          <t>반영하여</t>
        </r>
        <r>
          <rPr>
            <b/>
            <sz val="10"/>
            <color rgb="FF000000"/>
            <rFont val="Malgun Gothic"/>
            <family val="2"/>
            <charset val="129"/>
          </rPr>
          <t xml:space="preserve"> </t>
        </r>
        <r>
          <rPr>
            <b/>
            <sz val="10"/>
            <color rgb="FF000000"/>
            <rFont val="Malgun Gothic"/>
            <family val="2"/>
            <charset val="129"/>
          </rPr>
          <t>최소</t>
        </r>
        <r>
          <rPr>
            <b/>
            <sz val="10"/>
            <color rgb="FF000000"/>
            <rFont val="Malgun Gothic"/>
            <family val="2"/>
            <charset val="129"/>
          </rPr>
          <t xml:space="preserve"> </t>
        </r>
        <r>
          <rPr>
            <b/>
            <sz val="10"/>
            <color rgb="FF000000"/>
            <rFont val="Malgun Gothic"/>
            <family val="2"/>
            <charset val="129"/>
          </rPr>
          <t>회전일수</t>
        </r>
        <r>
          <rPr>
            <b/>
            <sz val="10"/>
            <color rgb="FF000000"/>
            <rFont val="Malgun Gothic"/>
            <family val="2"/>
            <charset val="129"/>
          </rPr>
          <t xml:space="preserve"> Flat</t>
        </r>
        <r>
          <rPr>
            <b/>
            <sz val="10"/>
            <color rgb="FF000000"/>
            <rFont val="Malgun Gothic"/>
            <family val="2"/>
            <charset val="129"/>
          </rPr>
          <t>할거라</t>
        </r>
        <r>
          <rPr>
            <b/>
            <sz val="10"/>
            <color rgb="FF000000"/>
            <rFont val="Malgun Gothic"/>
            <family val="2"/>
            <charset val="129"/>
          </rPr>
          <t xml:space="preserve"> </t>
        </r>
        <r>
          <rPr>
            <b/>
            <sz val="10"/>
            <color rgb="FF000000"/>
            <rFont val="Malgun Gothic"/>
            <family val="2"/>
            <charset val="129"/>
          </rPr>
          <t>가정</t>
        </r>
      </text>
    </comment>
    <comment ref="Q32" authorId="0" shapeId="0" xr:uid="{00000000-0006-0000-0B00-000003000000}">
      <text>
        <r>
          <rPr>
            <b/>
            <sz val="10"/>
            <color rgb="FF000000"/>
            <rFont val="Malgun Gothic"/>
            <family val="2"/>
            <charset val="129"/>
          </rPr>
          <t>무형자산</t>
        </r>
        <r>
          <rPr>
            <b/>
            <sz val="10"/>
            <color rgb="FF000000"/>
            <rFont val="Malgun Gothic"/>
            <family val="2"/>
            <charset val="129"/>
          </rPr>
          <t xml:space="preserve"> </t>
        </r>
        <r>
          <rPr>
            <b/>
            <sz val="10"/>
            <color rgb="FF000000"/>
            <rFont val="Malgun Gothic"/>
            <family val="2"/>
            <charset val="129"/>
          </rPr>
          <t>비율이</t>
        </r>
        <r>
          <rPr>
            <b/>
            <sz val="10"/>
            <color rgb="FF000000"/>
            <rFont val="Malgun Gothic"/>
            <family val="2"/>
            <charset val="129"/>
          </rPr>
          <t xml:space="preserve"> </t>
        </r>
        <r>
          <rPr>
            <b/>
            <sz val="10"/>
            <color rgb="FF000000"/>
            <rFont val="Malgun Gothic"/>
            <family val="2"/>
            <charset val="129"/>
          </rPr>
          <t>미미하므로</t>
        </r>
        <r>
          <rPr>
            <b/>
            <sz val="10"/>
            <color rgb="FF000000"/>
            <rFont val="Malgun Gothic"/>
            <family val="2"/>
            <charset val="129"/>
          </rPr>
          <t xml:space="preserve"> </t>
        </r>
        <r>
          <rPr>
            <b/>
            <sz val="10"/>
            <color rgb="FF000000"/>
            <rFont val="Malgun Gothic"/>
            <family val="2"/>
            <charset val="129"/>
          </rPr>
          <t>유형자산만</t>
        </r>
        <r>
          <rPr>
            <b/>
            <sz val="10"/>
            <color rgb="FF000000"/>
            <rFont val="Malgun Gothic"/>
            <family val="2"/>
            <charset val="129"/>
          </rPr>
          <t xml:space="preserve"> </t>
        </r>
        <r>
          <rPr>
            <b/>
            <sz val="10"/>
            <color rgb="FF000000"/>
            <rFont val="Malgun Gothic"/>
            <family val="2"/>
            <charset val="129"/>
          </rPr>
          <t>있다고</t>
        </r>
        <r>
          <rPr>
            <b/>
            <sz val="10"/>
            <color rgb="FF000000"/>
            <rFont val="Malgun Gothic"/>
            <family val="2"/>
            <charset val="129"/>
          </rPr>
          <t xml:space="preserve"> </t>
        </r>
        <r>
          <rPr>
            <b/>
            <sz val="10"/>
            <color rgb="FF000000"/>
            <rFont val="Malgun Gothic"/>
            <family val="2"/>
            <charset val="129"/>
          </rPr>
          <t>가정</t>
        </r>
      </text>
    </comment>
    <comment ref="T39" authorId="0" shapeId="0" xr:uid="{00000000-0006-0000-0B00-000004000000}">
      <text>
        <r>
          <rPr>
            <sz val="10"/>
            <color rgb="FF000000"/>
            <rFont val="Malgun Gothic"/>
            <family val="2"/>
            <charset val="129"/>
          </rPr>
          <t>22</t>
        </r>
        <r>
          <rPr>
            <sz val="10"/>
            <color rgb="FF000000"/>
            <rFont val="Malgun Gothic"/>
            <family val="2"/>
            <charset val="129"/>
          </rPr>
          <t>년</t>
        </r>
        <r>
          <rPr>
            <sz val="10"/>
            <color rgb="FF000000"/>
            <rFont val="Malgun Gothic"/>
            <family val="2"/>
            <charset val="129"/>
          </rPr>
          <t xml:space="preserve"> </t>
        </r>
        <r>
          <rPr>
            <sz val="10"/>
            <color rgb="FF000000"/>
            <rFont val="Malgun Gothic"/>
            <family val="2"/>
            <charset val="129"/>
          </rPr>
          <t>비율이</t>
        </r>
        <r>
          <rPr>
            <sz val="10"/>
            <color rgb="FF000000"/>
            <rFont val="Malgun Gothic"/>
            <family val="2"/>
            <charset val="129"/>
          </rPr>
          <t xml:space="preserve"> 25</t>
        </r>
        <r>
          <rPr>
            <sz val="10"/>
            <color rgb="FF000000"/>
            <rFont val="Malgun Gothic"/>
            <family val="2"/>
            <charset val="129"/>
          </rPr>
          <t>년까지</t>
        </r>
        <r>
          <rPr>
            <sz val="10"/>
            <color rgb="FF000000"/>
            <rFont val="Malgun Gothic"/>
            <family val="2"/>
            <charset val="129"/>
          </rPr>
          <t xml:space="preserve"> </t>
        </r>
        <r>
          <rPr>
            <sz val="10"/>
            <color rgb="FF000000"/>
            <rFont val="Malgun Gothic"/>
            <family val="2"/>
            <charset val="129"/>
          </rPr>
          <t>지속된다</t>
        </r>
        <r>
          <rPr>
            <sz val="10"/>
            <color rgb="FF000000"/>
            <rFont val="Malgun Gothic"/>
            <family val="2"/>
            <charset val="129"/>
          </rPr>
          <t xml:space="preserve"> </t>
        </r>
        <r>
          <rPr>
            <sz val="10"/>
            <color rgb="FF000000"/>
            <rFont val="Malgun Gothic"/>
            <family val="2"/>
            <charset val="129"/>
          </rPr>
          <t>가정</t>
        </r>
        <r>
          <rPr>
            <sz val="10"/>
            <color rgb="FF000000"/>
            <rFont val="Malgun Gothic"/>
            <family val="2"/>
            <charset val="129"/>
          </rPr>
          <t xml:space="preserve">
</t>
        </r>
      </text>
    </comment>
    <comment ref="T40" authorId="0" shapeId="0" xr:uid="{00000000-0006-0000-0B00-000005000000}">
      <text>
        <r>
          <rPr>
            <b/>
            <sz val="10"/>
            <color rgb="FF000000"/>
            <rFont val="Malgun Gothic"/>
            <family val="2"/>
            <charset val="129"/>
          </rPr>
          <t>22</t>
        </r>
        <r>
          <rPr>
            <b/>
            <sz val="10"/>
            <color rgb="FF000000"/>
            <rFont val="Malgun Gothic"/>
            <family val="2"/>
            <charset val="129"/>
          </rPr>
          <t>년</t>
        </r>
        <r>
          <rPr>
            <b/>
            <sz val="10"/>
            <color rgb="FF000000"/>
            <rFont val="Malgun Gothic"/>
            <family val="2"/>
            <charset val="129"/>
          </rPr>
          <t xml:space="preserve"> </t>
        </r>
        <r>
          <rPr>
            <b/>
            <sz val="10"/>
            <color rgb="FF000000"/>
            <rFont val="Malgun Gothic"/>
            <family val="2"/>
            <charset val="129"/>
          </rPr>
          <t>비율이</t>
        </r>
        <r>
          <rPr>
            <b/>
            <sz val="10"/>
            <color rgb="FF000000"/>
            <rFont val="Malgun Gothic"/>
            <family val="2"/>
            <charset val="129"/>
          </rPr>
          <t xml:space="preserve"> 25</t>
        </r>
        <r>
          <rPr>
            <b/>
            <sz val="10"/>
            <color rgb="FF000000"/>
            <rFont val="Malgun Gothic"/>
            <family val="2"/>
            <charset val="129"/>
          </rPr>
          <t>년까지</t>
        </r>
        <r>
          <rPr>
            <b/>
            <sz val="10"/>
            <color rgb="FF000000"/>
            <rFont val="Malgun Gothic"/>
            <family val="2"/>
            <charset val="129"/>
          </rPr>
          <t xml:space="preserve"> 3</t>
        </r>
        <r>
          <rPr>
            <b/>
            <sz val="10"/>
            <color rgb="FF000000"/>
            <rFont val="Malgun Gothic"/>
            <family val="2"/>
            <charset val="129"/>
          </rPr>
          <t>년간</t>
        </r>
        <r>
          <rPr>
            <b/>
            <sz val="10"/>
            <color rgb="FF000000"/>
            <rFont val="Malgun Gothic"/>
            <family val="2"/>
            <charset val="129"/>
          </rPr>
          <t xml:space="preserve"> </t>
        </r>
        <r>
          <rPr>
            <b/>
            <sz val="10"/>
            <color rgb="FF000000"/>
            <rFont val="Malgun Gothic"/>
            <family val="2"/>
            <charset val="129"/>
          </rPr>
          <t>이어진다</t>
        </r>
        <r>
          <rPr>
            <b/>
            <sz val="10"/>
            <color rgb="FF000000"/>
            <rFont val="Malgun Gothic"/>
            <family val="2"/>
            <charset val="129"/>
          </rPr>
          <t xml:space="preserve"> </t>
        </r>
        <r>
          <rPr>
            <b/>
            <sz val="10"/>
            <color rgb="FF000000"/>
            <rFont val="Malgun Gothic"/>
            <family val="2"/>
            <charset val="129"/>
          </rPr>
          <t>가정</t>
        </r>
        <r>
          <rPr>
            <b/>
            <sz val="10"/>
            <color rgb="FF000000"/>
            <rFont val="Malgun Gothic"/>
            <family val="2"/>
            <charset val="129"/>
          </rPr>
          <t xml:space="preserve">
</t>
        </r>
        <r>
          <rPr>
            <sz val="10"/>
            <color rgb="FF000000"/>
            <rFont val="Malgun Gothic"/>
            <family val="2"/>
            <charset val="129"/>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정한울</author>
  </authors>
  <commentList>
    <comment ref="B4" authorId="0" shapeId="0" xr:uid="{63D11BA8-70FA-46CD-AA40-0C02FE66B618}">
      <text>
        <r>
          <rPr>
            <sz val="8"/>
            <color indexed="54"/>
            <rFont val="Tahoma"/>
            <family val="2"/>
          </rPr>
          <t>별도
연결</t>
        </r>
      </text>
    </comment>
    <comment ref="B5" authorId="0" shapeId="0" xr:uid="{DFFED515-0625-4C56-9594-C015462102E3}">
      <text>
        <r>
          <rPr>
            <sz val="8"/>
            <color indexed="54"/>
            <rFont val="Tahoma"/>
            <family val="2"/>
          </rPr>
          <t>전체
재무상태표
손익계산서
현금흐름표
자본금변동표</t>
        </r>
      </text>
    </comment>
    <comment ref="B6" authorId="0" shapeId="0" xr:uid="{23FC67C3-9FAD-487A-A088-00781F7F21D6}">
      <text>
        <r>
          <rPr>
            <sz val="8"/>
            <color indexed="54"/>
            <rFont val="Tahoma"/>
            <family val="2"/>
          </rPr>
          <t>상세(총액)
상세(순액)
요약
약식</t>
        </r>
      </text>
    </comment>
    <comment ref="B7" authorId="0" shapeId="0" xr:uid="{1986B2DC-01BA-44FE-BCC3-FCB74AA19C3D}">
      <text>
        <r>
          <rPr>
            <sz val="8"/>
            <color indexed="54"/>
            <rFont val="Tahoma"/>
            <family val="2"/>
          </rPr>
          <t>결산
누적분기
당분기</t>
        </r>
      </text>
    </comment>
    <comment ref="C7" authorId="0" shapeId="0" xr:uid="{C4D5D058-4D2B-4DD6-A3DF-FA88291A7932}">
      <text>
        <r>
          <rPr>
            <sz val="8"/>
            <color indexed="54"/>
            <rFont val="Tahoma"/>
            <family val="2"/>
          </rPr>
          <t>천원
백만원
억원
십억원</t>
        </r>
      </text>
    </comment>
    <comment ref="B8" authorId="0" shapeId="0" xr:uid="{A62ED660-49A0-4364-8D48-D2E7950CFB76}">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681ED33B-9178-49F4-9EC7-40F43E39796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정한울</author>
  </authors>
  <commentList>
    <comment ref="B4" authorId="0" shapeId="0" xr:uid="{6E66610D-1C17-497D-9824-3EDC77B47545}">
      <text>
        <r>
          <rPr>
            <sz val="8"/>
            <color indexed="54"/>
            <rFont val="Tahoma"/>
            <family val="2"/>
          </rPr>
          <t>별도
연결</t>
        </r>
      </text>
    </comment>
    <comment ref="B5" authorId="0" shapeId="0" xr:uid="{D81F236D-8AF6-4AD4-A2E3-FF671DA23D0A}">
      <text>
        <r>
          <rPr>
            <sz val="8"/>
            <color indexed="54"/>
            <rFont val="Tahoma"/>
            <family val="2"/>
          </rPr>
          <t>전체
재무상태표
손익계산서
현금흐름표
자본금변동표</t>
        </r>
      </text>
    </comment>
    <comment ref="B6" authorId="0" shapeId="0" xr:uid="{82B3CB22-7A2A-4538-B60F-D8A1789428AF}">
      <text>
        <r>
          <rPr>
            <sz val="8"/>
            <color indexed="54"/>
            <rFont val="Tahoma"/>
            <family val="2"/>
          </rPr>
          <t>상세(총액)
상세(순액)
요약
약식</t>
        </r>
      </text>
    </comment>
    <comment ref="B7" authorId="0" shapeId="0" xr:uid="{115DC9CF-360F-4560-A31F-83A4F975769C}">
      <text>
        <r>
          <rPr>
            <sz val="8"/>
            <color indexed="54"/>
            <rFont val="Tahoma"/>
            <family val="2"/>
          </rPr>
          <t>결산
누적분기
당분기</t>
        </r>
      </text>
    </comment>
    <comment ref="C7" authorId="0" shapeId="0" xr:uid="{6CC7A0C8-2042-4059-AAEB-FEFD596EF49D}">
      <text>
        <r>
          <rPr>
            <sz val="8"/>
            <color indexed="54"/>
            <rFont val="Tahoma"/>
            <family val="2"/>
          </rPr>
          <t>천원
백만원
억원
십억원</t>
        </r>
      </text>
    </comment>
    <comment ref="B8" authorId="0" shapeId="0" xr:uid="{7B2BBD5A-1399-4655-B8EA-2E40979D3B0A}">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C623D50F-474B-4684-945D-EF3C4FC4FD7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정한울</author>
  </authors>
  <commentList>
    <comment ref="B4" authorId="0" shapeId="0" xr:uid="{F8C9592F-AF72-4ABB-B87E-16254F98DFE4}">
      <text>
        <r>
          <rPr>
            <sz val="8"/>
            <color indexed="54"/>
            <rFont val="Tahoma"/>
            <family val="2"/>
          </rPr>
          <t>별도
연결</t>
        </r>
      </text>
    </comment>
    <comment ref="B5" authorId="0" shapeId="0" xr:uid="{E7B40115-034F-457D-8AA4-42C32B5AB1CE}">
      <text>
        <r>
          <rPr>
            <sz val="8"/>
            <color indexed="54"/>
            <rFont val="Tahoma"/>
            <family val="2"/>
          </rPr>
          <t>전체
재무상태표
손익계산서
현금흐름표
자본금변동표</t>
        </r>
      </text>
    </comment>
    <comment ref="B6" authorId="0" shapeId="0" xr:uid="{CA9A073B-4049-40CF-96E7-9D64FD0A8197}">
      <text>
        <r>
          <rPr>
            <sz val="8"/>
            <color indexed="54"/>
            <rFont val="Tahoma"/>
            <family val="2"/>
          </rPr>
          <t>상세(총액)
상세(순액)
요약
약식</t>
        </r>
      </text>
    </comment>
    <comment ref="B7" authorId="0" shapeId="0" xr:uid="{1F94B31E-72A6-4889-89E7-03F42FF36C4F}">
      <text>
        <r>
          <rPr>
            <sz val="8"/>
            <color indexed="54"/>
            <rFont val="Tahoma"/>
            <family val="2"/>
          </rPr>
          <t>결산
누적분기
당분기</t>
        </r>
      </text>
    </comment>
    <comment ref="C7" authorId="0" shapeId="0" xr:uid="{D6BD0653-13A8-462F-BDA4-4E0027C8437F}">
      <text>
        <r>
          <rPr>
            <sz val="8"/>
            <color indexed="54"/>
            <rFont val="Tahoma"/>
            <family val="2"/>
          </rPr>
          <t>천원
백만원
억원
십억원</t>
        </r>
      </text>
    </comment>
    <comment ref="B8" authorId="0" shapeId="0" xr:uid="{CBBEA1BF-C8A8-4EE1-92D5-C17175F634FF}">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24020FED-843F-4BE6-AFD4-3A9009D3DCA7}">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<sst xmlns="http://schemas.openxmlformats.org/spreadsheetml/2006/main" count="1889" uniqueCount="673">
  <si>
    <t>1Q22</t>
  </si>
  <si>
    <t>2Q22</t>
  </si>
  <si>
    <t>3Q22</t>
  </si>
  <si>
    <t>4Q22</t>
  </si>
  <si>
    <t>1Q23</t>
  </si>
  <si>
    <t>2Q23</t>
  </si>
  <si>
    <t>3Q23</t>
  </si>
  <si>
    <t>4Q23</t>
  </si>
  <si>
    <t>1Q24</t>
  </si>
  <si>
    <t>2Q24</t>
  </si>
  <si>
    <t>3Q24</t>
  </si>
  <si>
    <t>4Q24</t>
  </si>
  <si>
    <t>매출원가</t>
  </si>
  <si>
    <t>(%)</t>
  </si>
  <si>
    <t>매출총이익</t>
  </si>
  <si>
    <t>영업이익</t>
  </si>
  <si>
    <t>지분법손익</t>
  </si>
  <si>
    <t>금융수익</t>
  </si>
  <si>
    <t>금융비용</t>
  </si>
  <si>
    <t>기타수익</t>
  </si>
  <si>
    <t>기타비용</t>
  </si>
  <si>
    <t>법인세비용</t>
  </si>
  <si>
    <t>당기순이익</t>
  </si>
  <si>
    <t>감가상각비</t>
  </si>
  <si>
    <t>EBITDA</t>
  </si>
  <si>
    <t>판매비와 관리비</t>
    <phoneticPr fontId="2" type="noConversion"/>
  </si>
  <si>
    <t>매출액</t>
    <phoneticPr fontId="2" type="noConversion"/>
  </si>
  <si>
    <t>GPM(%)</t>
    <phoneticPr fontId="2" type="noConversion"/>
  </si>
  <si>
    <t>OPM(%)</t>
    <phoneticPr fontId="2" type="noConversion"/>
  </si>
  <si>
    <t>1Q25E</t>
    <phoneticPr fontId="2" type="noConversion"/>
  </si>
  <si>
    <t>2Q25E</t>
    <phoneticPr fontId="2" type="noConversion"/>
  </si>
  <si>
    <t>3Q25E</t>
    <phoneticPr fontId="2" type="noConversion"/>
  </si>
  <si>
    <t>4Q25E</t>
    <phoneticPr fontId="2" type="noConversion"/>
  </si>
  <si>
    <t>법인세차감전순이익</t>
    <phoneticPr fontId="2" type="noConversion"/>
  </si>
  <si>
    <t>Financial Statements</t>
  </si>
  <si>
    <t>New</t>
  </si>
  <si>
    <t>기업</t>
  </si>
  <si>
    <t>회계유형</t>
  </si>
  <si>
    <t>리포트</t>
  </si>
  <si>
    <t>형식</t>
  </si>
  <si>
    <t>출력</t>
  </si>
  <si>
    <t>계정코드</t>
  </si>
  <si>
    <t>계정명</t>
  </si>
  <si>
    <t>단위</t>
  </si>
  <si>
    <t>202203(1Q)</t>
  </si>
  <si>
    <t>202206(2Q)</t>
  </si>
  <si>
    <t>202209(3Q)</t>
  </si>
  <si>
    <t>202212(4Q)</t>
  </si>
  <si>
    <t>202303(1Q)</t>
  </si>
  <si>
    <t>202306(2Q)</t>
  </si>
  <si>
    <t>202309(3Q)</t>
  </si>
  <si>
    <t>202312(4Q)</t>
  </si>
  <si>
    <t>202403(1Q)</t>
  </si>
  <si>
    <t>202406(2Q)</t>
  </si>
  <si>
    <t>202409(3Q)</t>
  </si>
  <si>
    <t>IFRS(연결)</t>
  </si>
  <si>
    <t>자산(*)</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</si>
  <si>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</si>
  <si>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</si>
  <si>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</si>
  <si>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</si>
  <si>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</si>
  <si>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</si>
  <si>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</si>
  <si>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</si>
  <si>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</si>
  <si>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</si>
  <si>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</si>
  <si>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</si>
  <si>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</si>
  <si>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</si>
  <si>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</si>
  <si>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</si>
  <si>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</si>
  <si>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</si>
  <si>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</si>
  <si>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</si>
  <si>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</si>
  <si>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</si>
  <si>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</si>
  <si>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</si>
  <si>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</si>
  <si>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</si>
  <si>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</si>
  <si>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</si>
  <si>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</si>
  <si>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</si>
  <si>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</si>
  <si>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</si>
  <si>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</si>
  <si>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</si>
  <si>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</si>
  <si>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</si>
  <si>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</si>
  <si>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</si>
  <si>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</si>
  <si>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</si>
  <si>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</si>
  <si>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</si>
  <si>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</si>
  <si>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</si>
  <si>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</si>
  <si>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</si>
  <si>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</si>
  <si>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</si>
  <si>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</si>
  <si>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</si>
  <si>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</si>
  <si>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</si>
  <si>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</si>
  <si>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</si>
  <si>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</si>
  <si>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</si>
  <si>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</si>
  <si>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</si>
  <si>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</si>
  <si>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</si>
  <si>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</si>
  <si>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</si>
  <si>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</si>
  <si>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</si>
  <si>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</si>
  <si>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</si>
  <si>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회계연도</t>
    <phoneticPr fontId="2" type="noConversion"/>
  </si>
  <si>
    <r>
      <t>A214150(</t>
    </r>
    <r>
      <rPr>
        <sz val="9"/>
        <color rgb="FF325886"/>
        <rFont val="맑은 고딕"/>
        <family val="2"/>
        <charset val="129"/>
        <scheme val="minor"/>
      </rPr>
      <t>클래시스</t>
    </r>
    <r>
      <rPr>
        <sz val="9"/>
        <color rgb="FF325886"/>
        <rFont val="Arial"/>
        <family val="2"/>
      </rPr>
      <t>)  -  Fiscal Month:12,  201412</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</si>
  <si>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r>
      <rPr>
        <sz val="9"/>
        <color rgb="FF325886"/>
        <rFont val="맑은 고딕"/>
        <family val="2"/>
        <charset val="129"/>
        <scheme val="minor"/>
      </rPr>
      <t>회계기준</t>
    </r>
  </si>
  <si>
    <t>재무상태표</t>
  </si>
  <si>
    <t>약식(COMPARE)</t>
    <phoneticPr fontId="2" type="noConversion"/>
  </si>
  <si>
    <t>당분기</t>
  </si>
  <si>
    <t>IFRS</t>
  </si>
  <si>
    <t>연결</t>
  </si>
  <si>
    <t>Current</t>
  </si>
  <si>
    <t>Financial Statements</t>
    <phoneticPr fontId="2" type="noConversion"/>
  </si>
  <si>
    <t>회계기준</t>
    <phoneticPr fontId="2" type="noConversion"/>
  </si>
  <si>
    <t>New</t>
    <phoneticPr fontId="2" type="noConversion"/>
  </si>
  <si>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</si>
  <si>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</si>
  <si>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</si>
  <si>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</si>
  <si>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</si>
  <si>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</si>
  <si>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</si>
  <si>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</si>
  <si>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</si>
  <si>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</si>
  <si>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</si>
  <si>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</si>
  <si>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</si>
  <si>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</si>
  <si>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</si>
  <si>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</si>
  <si>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</si>
  <si>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</si>
  <si>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</si>
  <si>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</si>
  <si>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</si>
  <si>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</si>
  <si>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</si>
  <si>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</si>
  <si>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</si>
  <si>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</si>
  <si>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</si>
  <si>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</si>
  <si>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</si>
  <si>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</si>
  <si>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</si>
  <si>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</si>
  <si>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</si>
  <si>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</si>
  <si>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</si>
  <si>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</si>
  <si>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</si>
  <si>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</si>
  <si>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</si>
  <si>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</si>
  <si>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</si>
  <si>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</si>
  <si>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</si>
  <si>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</si>
  <si>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</si>
  <si>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</si>
  <si>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</si>
  <si>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</si>
  <si>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</si>
  <si>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</si>
  <si>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</si>
  <si>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</si>
  <si>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</si>
  <si>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</si>
  <si>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</si>
  <si>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</si>
  <si>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</si>
  <si>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</si>
  <si>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</si>
  <si>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</si>
  <si>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</si>
  <si>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</si>
  <si>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</si>
  <si>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</si>
  <si>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</si>
  <si>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</si>
  <si>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</si>
  <si>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</si>
  <si>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</si>
  <si>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</si>
  <si>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</si>
  <si>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</si>
  <si>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</si>
  <si>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</si>
  <si>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</si>
  <si>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</si>
  <si>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</si>
  <si>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</si>
  <si>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</si>
  <si>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</si>
  <si>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</si>
  <si>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</si>
  <si>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</si>
  <si>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</si>
  <si>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A214150(클래시스)  -  Fiscal Month:12,  201412부터 IFRS 적용</t>
    <phoneticPr fontId="2" type="noConversion"/>
  </si>
  <si>
    <t>손익계산서</t>
  </si>
  <si>
    <t>손익계산서</t>
    <phoneticPr fontId="2" type="noConversion"/>
  </si>
  <si>
    <t>당분기</t>
    <phoneticPr fontId="2" type="noConversion"/>
  </si>
  <si>
    <t>IFRS</t>
    <phoneticPr fontId="2" type="noConversion"/>
  </si>
  <si>
    <t>연결</t>
    <phoneticPr fontId="2" type="noConversion"/>
  </si>
  <si>
    <t>Current</t>
    <phoneticPr fontId="2" type="noConversion"/>
  </si>
  <si>
    <t>Last Refresh: 2025-03-25 19:46:30</t>
    <phoneticPr fontId="2" type="noConversion"/>
  </si>
  <si>
    <t>백만원</t>
  </si>
  <si>
    <t>백만원</t>
    <phoneticPr fontId="2" type="noConversion"/>
  </si>
  <si>
    <t>Last Refresh: 2025-03-25 19:46:58</t>
  </si>
  <si>
    <t>Last Refresh: 2025-03-25 19:47:04</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</si>
  <si>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</si>
  <si>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</si>
  <si>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</si>
  <si>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</si>
  <si>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</si>
  <si>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</si>
  <si>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</si>
  <si>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</si>
  <si>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</si>
  <si>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</si>
  <si>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</si>
  <si>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</si>
  <si>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</si>
  <si>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</si>
  <si>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</si>
  <si>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</si>
  <si>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</si>
  <si>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</si>
  <si>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</si>
  <si>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</si>
  <si>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</si>
  <si>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</si>
  <si>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</si>
  <si>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</si>
  <si>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</si>
  <si>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</si>
  <si>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</si>
  <si>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</si>
  <si>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</si>
  <si>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</si>
  <si>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</si>
  <si>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</si>
  <si>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현금흐름표</t>
  </si>
  <si>
    <t>결산</t>
  </si>
  <si>
    <t>1Q25E</t>
  </si>
  <si>
    <t>2Q25E</t>
  </si>
  <si>
    <t>3Q25E</t>
  </si>
  <si>
    <t>4Q25E</t>
  </si>
  <si>
    <t>의료기기</t>
    <phoneticPr fontId="2" type="noConversion"/>
  </si>
  <si>
    <t>% of sales</t>
  </si>
  <si>
    <t>클래시스</t>
    <phoneticPr fontId="2" type="noConversion"/>
  </si>
  <si>
    <t>클루덤</t>
    <phoneticPr fontId="2" type="noConversion"/>
  </si>
  <si>
    <t>소모품</t>
    <phoneticPr fontId="2" type="noConversion"/>
  </si>
  <si>
    <t>기타</t>
    <phoneticPr fontId="2" type="noConversion"/>
  </si>
  <si>
    <t>전체 매출액</t>
    <phoneticPr fontId="2" type="noConversion"/>
  </si>
  <si>
    <t>YoY%</t>
  </si>
  <si>
    <t>Assumption Sheet</t>
    <phoneticPr fontId="2" type="noConversion"/>
  </si>
  <si>
    <t>(units in Millions KRW )</t>
    <phoneticPr fontId="2" type="noConversion"/>
  </si>
  <si>
    <t>1Q26E</t>
    <phoneticPr fontId="2" type="noConversion"/>
  </si>
  <si>
    <t>2Q26E</t>
    <phoneticPr fontId="2" type="noConversion"/>
  </si>
  <si>
    <t>3Q26E</t>
    <phoneticPr fontId="2" type="noConversion"/>
  </si>
  <si>
    <t>4Q26E</t>
    <phoneticPr fontId="2" type="noConversion"/>
  </si>
  <si>
    <r>
      <rPr>
        <b/>
        <sz val="10"/>
        <color theme="0"/>
        <rFont val="Malgun Gothic"/>
        <family val="2"/>
        <charset val="129"/>
      </rPr>
      <t>클래시스</t>
    </r>
    <r>
      <rPr>
        <b/>
        <sz val="10"/>
        <color theme="0"/>
        <rFont val="Arial"/>
        <family val="2"/>
      </rPr>
      <t>(214150.KQ)</t>
    </r>
    <phoneticPr fontId="2" type="noConversion"/>
  </si>
  <si>
    <t>소모품 등</t>
    <phoneticPr fontId="2" type="noConversion"/>
  </si>
  <si>
    <t>화장품 및 개인용 미용기기</t>
    <phoneticPr fontId="2" type="noConversion"/>
  </si>
  <si>
    <t>2025E</t>
    <phoneticPr fontId="2" type="noConversion"/>
  </si>
  <si>
    <t>2026E</t>
    <phoneticPr fontId="2" type="noConversion"/>
  </si>
  <si>
    <t>(단위: 백만 원)</t>
    <phoneticPr fontId="2" type="noConversion"/>
  </si>
  <si>
    <t>이루다</t>
    <phoneticPr fontId="2" type="noConversion"/>
  </si>
  <si>
    <t>수출</t>
    <phoneticPr fontId="2" type="noConversion"/>
  </si>
  <si>
    <t>브라질</t>
    <phoneticPr fontId="2" type="noConversion"/>
  </si>
  <si>
    <t>태국</t>
    <phoneticPr fontId="2" type="noConversion"/>
  </si>
  <si>
    <t>일본</t>
    <phoneticPr fontId="2" type="noConversion"/>
  </si>
  <si>
    <t>미국</t>
    <phoneticPr fontId="2" type="noConversion"/>
  </si>
  <si>
    <t>유럽</t>
    <phoneticPr fontId="2" type="noConversion"/>
  </si>
  <si>
    <t>중국</t>
    <phoneticPr fontId="2" type="noConversion"/>
  </si>
  <si>
    <t>내수</t>
    <phoneticPr fontId="2" type="noConversion"/>
  </si>
  <si>
    <t>클래시스(214150.KQ)</t>
    <phoneticPr fontId="2" type="noConversion"/>
  </si>
  <si>
    <t>화장품 및 개인용 의료기기</t>
    <phoneticPr fontId="2" type="noConversion"/>
  </si>
  <si>
    <t>요약 출력</t>
  </si>
  <si>
    <t>회귀분석 통계량</t>
  </si>
  <si>
    <t>다중 상관계수</t>
  </si>
  <si>
    <t>결정계수</t>
  </si>
  <si>
    <t>조정된 결정계수</t>
  </si>
  <si>
    <t>표준 오차</t>
  </si>
  <si>
    <t>관측수</t>
  </si>
  <si>
    <t>분산 분석</t>
  </si>
  <si>
    <t>자유도</t>
  </si>
  <si>
    <t>제곱합</t>
  </si>
  <si>
    <t>제곱 평균</t>
  </si>
  <si>
    <t>F 비</t>
  </si>
  <si>
    <t>유의한 F</t>
  </si>
  <si>
    <t>회귀</t>
  </si>
  <si>
    <t>잔차</t>
  </si>
  <si>
    <t>계</t>
  </si>
  <si>
    <t>계수</t>
  </si>
  <si>
    <t>t 통계량</t>
  </si>
  <si>
    <t>P-값</t>
  </si>
  <si>
    <t>하위 95%</t>
  </si>
  <si>
    <t>상위 95%</t>
  </si>
  <si>
    <t>하위 95.0%</t>
  </si>
  <si>
    <t>상위 95.0%</t>
  </si>
  <si>
    <t>Y 절편</t>
  </si>
  <si>
    <t>YoY%</t>
    <phoneticPr fontId="2" type="noConversion"/>
  </si>
  <si>
    <t>4Q22</t>
    <phoneticPr fontId="2" type="noConversion"/>
  </si>
  <si>
    <t>2022</t>
    <phoneticPr fontId="2" type="noConversion"/>
  </si>
  <si>
    <t>2023</t>
    <phoneticPr fontId="2" type="noConversion"/>
  </si>
  <si>
    <t>(단위: 백만원)</t>
    <phoneticPr fontId="2" type="noConversion"/>
  </si>
  <si>
    <t>1Q22</t>
    <phoneticPr fontId="2" type="noConversion"/>
  </si>
  <si>
    <t>2Q22</t>
    <phoneticPr fontId="2" type="noConversion"/>
  </si>
  <si>
    <t>3Q22</t>
    <phoneticPr fontId="2" type="noConversion"/>
  </si>
  <si>
    <t>1Q23</t>
    <phoneticPr fontId="2" type="noConversion"/>
  </si>
  <si>
    <t>2Q23</t>
    <phoneticPr fontId="2" type="noConversion"/>
  </si>
  <si>
    <t>3Q23</t>
    <phoneticPr fontId="2" type="noConversion"/>
  </si>
  <si>
    <t>4Q23</t>
    <phoneticPr fontId="2" type="noConversion"/>
  </si>
  <si>
    <t>1Q24</t>
    <phoneticPr fontId="2" type="noConversion"/>
  </si>
  <si>
    <t>2Q24</t>
    <phoneticPr fontId="2" type="noConversion"/>
  </si>
  <si>
    <t>3Q24</t>
    <phoneticPr fontId="2" type="noConversion"/>
  </si>
  <si>
    <t>4Q24</t>
    <phoneticPr fontId="2" type="noConversion"/>
  </si>
  <si>
    <t>Description</t>
    <phoneticPr fontId="2" type="noConversion"/>
  </si>
  <si>
    <t>매출원가</t>
    <phoneticPr fontId="2" type="noConversion"/>
  </si>
  <si>
    <t>매출원가율의 경우, 소모품의 판매 비중이 높아짐에 따라 하락할 것으로 예상됨. 이에 따라 4Q25E의 매출원가율을 과거 최소치였던 19%로 가정하고 점차 감소하는 시나리오로 추정.</t>
    <phoneticPr fontId="2" type="noConversion"/>
  </si>
  <si>
    <t>매출원가율(%)</t>
    <phoneticPr fontId="2" type="noConversion"/>
  </si>
  <si>
    <t>매출총이익</t>
    <phoneticPr fontId="2" type="noConversion"/>
  </si>
  <si>
    <t>of sales(%)</t>
    <phoneticPr fontId="2" type="noConversion"/>
  </si>
  <si>
    <t>급여</t>
    <phoneticPr fontId="2" type="noConversion"/>
  </si>
  <si>
    <t>급여</t>
  </si>
  <si>
    <t>급여의 경우, 국회예산정책처에서 발표한 명목임금상승률 전망치를 이용하여 25년 각 분기 추정</t>
    <phoneticPr fontId="2" type="noConversion"/>
  </si>
  <si>
    <t>경상연구개발비</t>
    <phoneticPr fontId="2" type="noConversion"/>
  </si>
  <si>
    <t>경상연구개발비</t>
  </si>
  <si>
    <t>경상연구개발비의 경우, 해외 수출 확대와 함께 신제품 출시를 위해 가속화될 것으로 예상. 매출액 연동</t>
    <phoneticPr fontId="2" type="noConversion"/>
  </si>
  <si>
    <t>광고선전비</t>
    <phoneticPr fontId="2" type="noConversion"/>
  </si>
  <si>
    <t>광고선전비</t>
  </si>
  <si>
    <t>광고선전비의 경우, 해외 수출 확대와 함께 증가할 것으로 예상. 매출액 연동</t>
    <phoneticPr fontId="2" type="noConversion"/>
  </si>
  <si>
    <t>지급수수료</t>
    <phoneticPr fontId="2" type="noConversion"/>
  </si>
  <si>
    <t>지급수수료</t>
  </si>
  <si>
    <t xml:space="preserve">지급수수료의 경우, 상대방에게 용역 서비스를 제공받고 지급하는 비용이기에 변동비적 성격을 지님. of sales(%)를 3Y Average Flat하게 적용. </t>
    <phoneticPr fontId="2" type="noConversion"/>
  </si>
  <si>
    <t>판매수수료</t>
    <phoneticPr fontId="2" type="noConversion"/>
  </si>
  <si>
    <t>판매수수료</t>
  </si>
  <si>
    <t>판매수수료의 경우, 지급수수료와 유사하게 of sales(%)를 3Y Average Flat으로 적용</t>
    <phoneticPr fontId="2" type="noConversion"/>
  </si>
  <si>
    <t>감가상각비</t>
    <phoneticPr fontId="2" type="noConversion"/>
  </si>
  <si>
    <t>감가상각비의 경우, CAPEX 투자 규모와 그에 따른 상각비를 알 수 없기에 of sales(%)를 3Y Average Flat하게 적용.</t>
    <phoneticPr fontId="2" type="noConversion"/>
  </si>
  <si>
    <t>복리후생비</t>
    <phoneticPr fontId="2" type="noConversion"/>
  </si>
  <si>
    <t>복리후생비</t>
  </si>
  <si>
    <t>복리후생비의 경우, 과거 3개년 급여 대비 복리후생비의 비중을 이용하여 추정.</t>
    <phoneticPr fontId="2" type="noConversion"/>
  </si>
  <si>
    <t>판매보증비</t>
    <phoneticPr fontId="2" type="noConversion"/>
  </si>
  <si>
    <t>판매보증비</t>
  </si>
  <si>
    <t>판매보증비의 경우, 무상 보증 및 수비 서리스에 대한 비용을 판매되는 시점에 회계상 비용으로 인식하는 계정. of sales(%)가 감소하는 것을 확인하고 고정비라 판단. 이에 과거 3개년 판매보증비를 Average Flat하게 적용.</t>
    <phoneticPr fontId="2" type="noConversion"/>
  </si>
  <si>
    <t>퇴직급여</t>
    <phoneticPr fontId="2" type="noConversion"/>
  </si>
  <si>
    <t>퇴직급여</t>
  </si>
  <si>
    <t>퇴직급여의 경우, 급여 상승분을 적용하여 추정.</t>
    <phoneticPr fontId="2" type="noConversion"/>
  </si>
  <si>
    <t>주식보상비용</t>
    <phoneticPr fontId="2" type="noConversion"/>
  </si>
  <si>
    <t>-</t>
    <phoneticPr fontId="2" type="noConversion"/>
  </si>
  <si>
    <t>주식보상비용</t>
  </si>
  <si>
    <t>주식보상비용의 대표적인 예로는 스톡옵션, 추정이 불가하기에 과거 2개년 Average Flat 적용.</t>
    <phoneticPr fontId="2" type="noConversion"/>
  </si>
  <si>
    <t>여비교통비</t>
    <phoneticPr fontId="2" type="noConversion"/>
  </si>
  <si>
    <t>여비교통비</t>
  </si>
  <si>
    <t>여비교통비의 경우, 23년 이후 증가세에 있음. 증가세 반영하기 위해 매출액 연동.</t>
    <phoneticPr fontId="2" type="noConversion"/>
  </si>
  <si>
    <t>접대비</t>
    <phoneticPr fontId="2" type="noConversion"/>
  </si>
  <si>
    <t>접대비</t>
  </si>
  <si>
    <t>접대비 또한, 23년 이후 증가세에 있음. 증가세 반영하기 위해 매출액 연동</t>
    <phoneticPr fontId="2" type="noConversion"/>
  </si>
  <si>
    <t>통신비</t>
    <phoneticPr fontId="2" type="noConversion"/>
  </si>
  <si>
    <t>통신비</t>
  </si>
  <si>
    <t>통신비의 경우, 금액적 유의성이 낮고 of sales(%)가 일정한 것을 이용하여 of sales(%)를 3Y Average Flat하게 적용.</t>
    <phoneticPr fontId="2" type="noConversion"/>
  </si>
  <si>
    <t>수도광열비</t>
    <phoneticPr fontId="2" type="noConversion"/>
  </si>
  <si>
    <t>수도광열비</t>
  </si>
  <si>
    <t>수도광열비 또한 금액적 유의성이 낮고 of sales(%)가 일정한 것을 이용하여 of sales(%)를 3Y Average Flat하게 적용.</t>
    <phoneticPr fontId="2" type="noConversion"/>
  </si>
  <si>
    <t>세금과공과금</t>
    <phoneticPr fontId="2" type="noConversion"/>
  </si>
  <si>
    <t>세금과공과금</t>
  </si>
  <si>
    <t>세금과공과금의 경우, of sales(%)를 3Y Average Flat 적용.</t>
    <phoneticPr fontId="2" type="noConversion"/>
  </si>
  <si>
    <t>지급임차료</t>
    <phoneticPr fontId="2" type="noConversion"/>
  </si>
  <si>
    <t>지급임차료</t>
  </si>
  <si>
    <t>지급임차료의 경우, 4Q24를 제외하고 고정비적 성격을 지님, 이에 4Q24 제외한 3Y Average Flat 적용</t>
    <phoneticPr fontId="2" type="noConversion"/>
  </si>
  <si>
    <t>수선비</t>
    <phoneticPr fontId="2" type="noConversion"/>
  </si>
  <si>
    <t>수선비의 경우, of sales(%)를 3Y Average Flat 적용.</t>
    <phoneticPr fontId="2" type="noConversion"/>
  </si>
  <si>
    <t>보험료</t>
    <phoneticPr fontId="2" type="noConversion"/>
  </si>
  <si>
    <t>보험료</t>
  </si>
  <si>
    <t>보험료의 경우, 지속적으로 하락하는 경향을 가짐. 고정비라 판단한 후 3Y Average Flat 적용.</t>
    <phoneticPr fontId="2" type="noConversion"/>
  </si>
  <si>
    <t>차량유지비</t>
    <phoneticPr fontId="2" type="noConversion"/>
  </si>
  <si>
    <t>차량유지비</t>
  </si>
  <si>
    <t>차량유지비의 경우, 4Q24를 제외하고 고정비적 성격을 지님. 이에 4Q24 제외한 3Y Average Flat 적용</t>
    <phoneticPr fontId="2" type="noConversion"/>
  </si>
  <si>
    <t>운반비</t>
    <phoneticPr fontId="2" type="noConversion"/>
  </si>
  <si>
    <t>운반비</t>
  </si>
  <si>
    <t>운반비의 경우, 제품 판매가 늘어날수록 늘어날 것으로 예상되는 계정이기에 매출액과 연동.</t>
    <phoneticPr fontId="2" type="noConversion"/>
  </si>
  <si>
    <t>교육훈련비</t>
    <phoneticPr fontId="2" type="noConversion"/>
  </si>
  <si>
    <t>교육훈련비</t>
  </si>
  <si>
    <t>교육훈련비의 경우, 금액적 유의성이 낮고 2Q24 특이값을 제외하면 고정비적 성격을 지니는 것으로 파악됨. 이에 2Q24제외하여 3Y Average Flat</t>
    <phoneticPr fontId="2" type="noConversion"/>
  </si>
  <si>
    <t>도서인쇄비</t>
    <phoneticPr fontId="2" type="noConversion"/>
  </si>
  <si>
    <t>도서인쇄비</t>
  </si>
  <si>
    <t>도서인쇄비의 경우, of sales(%)를 3Y Average Flat 적용</t>
    <phoneticPr fontId="2" type="noConversion"/>
  </si>
  <si>
    <t>사무용품비</t>
    <phoneticPr fontId="2" type="noConversion"/>
  </si>
  <si>
    <t>사무용품비</t>
  </si>
  <si>
    <t>사무용품비의 경우, 금액적 유의성이 낮음. 3Y Average Flat 적용</t>
    <phoneticPr fontId="2" type="noConversion"/>
  </si>
  <si>
    <t>소모품비</t>
  </si>
  <si>
    <t>소모품비의 경우, of sales(%)를 3Y Average Flay 적용</t>
    <phoneticPr fontId="2" type="noConversion"/>
  </si>
  <si>
    <t>판매촉진비</t>
    <phoneticPr fontId="2" type="noConversion"/>
  </si>
  <si>
    <t>판매촉진비</t>
  </si>
  <si>
    <t>판매촉진비의 경우 판매실적 등에 따라 장려금을 지급하는 비용. 분기별 편차가 크고 연도별 편차도 큰 것을 확인. 이에 과거 8개 분기 이동평균 적용.</t>
    <phoneticPr fontId="2" type="noConversion"/>
  </si>
  <si>
    <t>대손상각비</t>
    <phoneticPr fontId="2" type="noConversion"/>
  </si>
  <si>
    <t>대손상각비</t>
  </si>
  <si>
    <t>대손상각비의 경우, 대손충당금의 환입이 이뤄질 경우 (-)의 값으로 나타나는 것으로 확인. 이에 과거 8개 분기 이동평균 사용.</t>
    <phoneticPr fontId="2" type="noConversion"/>
  </si>
  <si>
    <t>수출제비용</t>
    <phoneticPr fontId="2" type="noConversion"/>
  </si>
  <si>
    <t>수출제비용</t>
  </si>
  <si>
    <t>수출제비용의 경우 상품 및 제품의 수출과정에서 발생하는 비용. 동사의 수출 매출 성장률을 적용하여 추정.</t>
    <phoneticPr fontId="2" type="noConversion"/>
  </si>
  <si>
    <t>무형고정자산상각비</t>
    <phoneticPr fontId="2" type="noConversion"/>
  </si>
  <si>
    <t>무형고정자산상각비</t>
  </si>
  <si>
    <t>무형고정자산상각비의 경우 특이값인 4Q24를 제외하고 지속적으로 상승하고 있는 것을 확인. 추세를 반영하기 위해 매출액 연동.</t>
    <phoneticPr fontId="2" type="noConversion"/>
  </si>
  <si>
    <t>견본비</t>
    <phoneticPr fontId="2" type="noConversion"/>
  </si>
  <si>
    <t>견본비</t>
  </si>
  <si>
    <t>견본비의 경우 상품 또는 제품의 판매를 목적으로 거래처에 무상으로 제공하는 상품 또는 제품 비용을 의미한다. 동사의 무상 제공 소모품이 이에 해당한다고 판단하며, 매출액과 연동.</t>
    <phoneticPr fontId="2" type="noConversion"/>
  </si>
  <si>
    <t>건물관리비</t>
    <phoneticPr fontId="2" type="noConversion"/>
  </si>
  <si>
    <t>건물관리비</t>
  </si>
  <si>
    <t>건물관리비의 경우 24년 처음 발생하기 시작하였으며 이에 추세를 반영하기 어려움. 24년 of sales(%)를 25년에 똑같이 적용.</t>
    <phoneticPr fontId="2" type="noConversion"/>
  </si>
  <si>
    <t>잡급</t>
  </si>
  <si>
    <t>0 Flat</t>
    <phoneticPr fontId="2" type="noConversion"/>
  </si>
  <si>
    <t>회의비</t>
    <phoneticPr fontId="2" type="noConversion"/>
  </si>
  <si>
    <t>회의비</t>
  </si>
  <si>
    <t>회의비의 경우, 23년부터 발생 시작. 과거 2개년 of sales(%)의 Average Flat 적용.</t>
    <phoneticPr fontId="2" type="noConversion"/>
  </si>
  <si>
    <t>영업이익</t>
    <phoneticPr fontId="2" type="noConversion"/>
  </si>
  <si>
    <t>합계</t>
    <phoneticPr fontId="2" type="noConversion"/>
  </si>
  <si>
    <t>지분법손익</t>
    <phoneticPr fontId="2" type="noConversion"/>
  </si>
  <si>
    <t>지분법손익의 경우, 자세한 추정이 어렵기에 4Q24 Flat 적용</t>
    <phoneticPr fontId="2" type="noConversion"/>
  </si>
  <si>
    <t>금융손익</t>
    <phoneticPr fontId="2" type="noConversion"/>
  </si>
  <si>
    <t>금융손익의 경우, 특이값인 4Q24를 제외한 2Y Average Flat 적용</t>
    <phoneticPr fontId="2" type="noConversion"/>
  </si>
  <si>
    <t>금융비용</t>
    <phoneticPr fontId="2" type="noConversion"/>
  </si>
  <si>
    <t>금용비용 또한 마찬가지로 2Y Average Flat 적용</t>
    <phoneticPr fontId="2" type="noConversion"/>
  </si>
  <si>
    <t>기타수익</t>
    <phoneticPr fontId="2" type="noConversion"/>
  </si>
  <si>
    <t>기타손익의 경우, 자세한 추정이 어렵기에 0 Flat 적용</t>
    <phoneticPr fontId="2" type="noConversion"/>
  </si>
  <si>
    <t>기타비용</t>
    <phoneticPr fontId="2" type="noConversion"/>
  </si>
  <si>
    <t>법인세비용</t>
    <phoneticPr fontId="2" type="noConversion"/>
  </si>
  <si>
    <t>법인세율(%)</t>
    <phoneticPr fontId="2" type="noConversion"/>
  </si>
  <si>
    <t>당기순이익</t>
    <phoneticPr fontId="2" type="noConversion"/>
  </si>
  <si>
    <t>법인세율의 경우, 과거 3개년 유효세율의 Average Flat 적용</t>
    <phoneticPr fontId="2" type="noConversion"/>
  </si>
  <si>
    <t>2024</t>
    <phoneticPr fontId="2" type="noConversion"/>
  </si>
  <si>
    <t>단위: 백만원</t>
    <phoneticPr fontId="2" type="noConversion"/>
  </si>
  <si>
    <t>% of sales</t>
    <phoneticPr fontId="2" type="noConversion"/>
  </si>
  <si>
    <t>(단위:%)</t>
    <phoneticPr fontId="2" type="noConversion"/>
  </si>
  <si>
    <t>HIFU</t>
    <phoneticPr fontId="2" type="noConversion"/>
  </si>
  <si>
    <t>BR</t>
    <phoneticPr fontId="2" type="noConversion"/>
  </si>
  <si>
    <t>TH</t>
    <phoneticPr fontId="2" type="noConversion"/>
  </si>
  <si>
    <t>JP</t>
    <phoneticPr fontId="2" type="noConversion"/>
  </si>
  <si>
    <t>MRF</t>
    <phoneticPr fontId="2" type="noConversion"/>
  </si>
  <si>
    <t>MNRF</t>
    <phoneticPr fontId="2" type="noConversion"/>
  </si>
  <si>
    <t>24E</t>
    <phoneticPr fontId="2" type="noConversion"/>
  </si>
  <si>
    <t>25E</t>
    <phoneticPr fontId="2" type="noConversion"/>
  </si>
  <si>
    <t>26E</t>
    <phoneticPr fontId="2" type="noConversion"/>
  </si>
  <si>
    <t>27E</t>
    <phoneticPr fontId="2" type="noConversion"/>
  </si>
  <si>
    <t>28E</t>
    <phoneticPr fontId="2" type="noConversion"/>
  </si>
  <si>
    <t>29E</t>
    <phoneticPr fontId="2" type="noConversion"/>
  </si>
  <si>
    <t>30E</t>
    <phoneticPr fontId="2" type="noConversion"/>
  </si>
  <si>
    <t>EBD 침투율</t>
    <phoneticPr fontId="2" type="noConversion"/>
  </si>
  <si>
    <t>원/달러</t>
    <phoneticPr fontId="2" type="noConversion"/>
  </si>
  <si>
    <t>EBD(Average)</t>
    <phoneticPr fontId="2" type="noConversion"/>
  </si>
  <si>
    <t>판매대수(볼뉴머)</t>
    <phoneticPr fontId="2" type="noConversion"/>
  </si>
  <si>
    <t>ASP(볼뉴머)</t>
    <phoneticPr fontId="2" type="noConversion"/>
  </si>
  <si>
    <t>x; 2분기 이전 클래시스 매출액</t>
    <phoneticPr fontId="2" type="noConversion"/>
  </si>
  <si>
    <t>y: 소모품매출액</t>
    <phoneticPr fontId="2" type="noConversion"/>
  </si>
  <si>
    <t>X 1</t>
  </si>
  <si>
    <t>연도</t>
    <phoneticPr fontId="2" type="noConversion"/>
  </si>
  <si>
    <t>관광객 수 (단위: 만 명)</t>
    <phoneticPr fontId="2" type="noConversion"/>
  </si>
  <si>
    <t>*중국인 입국자 수 추이</t>
    <phoneticPr fontId="2" type="noConversion"/>
  </si>
  <si>
    <t>2Q21</t>
    <phoneticPr fontId="2" type="noConversion"/>
  </si>
  <si>
    <t>이루다 매출</t>
    <phoneticPr fontId="2" type="noConversion"/>
  </si>
  <si>
    <t>시크릿 듀오 21년 7월 출시</t>
    <phoneticPr fontId="2" type="noConversion"/>
  </si>
  <si>
    <t>3Q21</t>
    <phoneticPr fontId="2" type="noConversion"/>
  </si>
  <si>
    <t>4Q21</t>
    <phoneticPr fontId="2" type="noConversion"/>
  </si>
  <si>
    <t>1Q21</t>
    <phoneticPr fontId="2" type="noConversion"/>
  </si>
  <si>
    <t>12M Fwd 당기순이익</t>
    <phoneticPr fontId="48" type="noConversion"/>
  </si>
  <si>
    <t>(백만원)</t>
    <phoneticPr fontId="48" type="noConversion"/>
  </si>
  <si>
    <t>(A)</t>
    <phoneticPr fontId="48" type="noConversion"/>
  </si>
  <si>
    <t>Target P/E</t>
    <phoneticPr fontId="48" type="noConversion"/>
  </si>
  <si>
    <t>(배)</t>
  </si>
  <si>
    <t xml:space="preserve">(B) </t>
    <phoneticPr fontId="48" type="noConversion"/>
  </si>
  <si>
    <t>적정 기업가치</t>
    <phoneticPr fontId="48" type="noConversion"/>
  </si>
  <si>
    <t>(억원)</t>
    <phoneticPr fontId="48" type="noConversion"/>
  </si>
  <si>
    <t xml:space="preserve">(C) = (A)*(B) </t>
  </si>
  <si>
    <t>발행 주식 수</t>
    <phoneticPr fontId="48" type="noConversion"/>
  </si>
  <si>
    <t>(천 주)</t>
    <phoneticPr fontId="48" type="noConversion"/>
  </si>
  <si>
    <t>적정주가</t>
  </si>
  <si>
    <t>원</t>
    <phoneticPr fontId="48" type="noConversion"/>
  </si>
  <si>
    <t>(E) = (C)/(D)</t>
    <phoneticPr fontId="48" type="noConversion"/>
  </si>
  <si>
    <t>Target Price</t>
  </si>
  <si>
    <t>목표주가</t>
  </si>
  <si>
    <t>Current Price</t>
  </si>
  <si>
    <t>Upside</t>
  </si>
  <si>
    <t>%</t>
  </si>
  <si>
    <t>클래시스 PER Valuation</t>
    <phoneticPr fontId="48" type="noConversion"/>
  </si>
  <si>
    <t>일자</t>
  </si>
  <si>
    <t>선행 PER</t>
  </si>
  <si>
    <t>자기자본비율 (%)</t>
    <phoneticPr fontId="48" type="noConversion"/>
  </si>
  <si>
    <t>기말현금</t>
  </si>
  <si>
    <t>기초현금</t>
  </si>
  <si>
    <t>유동비율 (%)</t>
  </si>
  <si>
    <t>현금의 증가</t>
  </si>
  <si>
    <t>부채비율 (%)</t>
  </si>
  <si>
    <t>기타재무활동</t>
  </si>
  <si>
    <t>ROIC (%)</t>
  </si>
  <si>
    <t xml:space="preserve"> 배당금의 지급</t>
  </si>
  <si>
    <t>ROE (%)</t>
  </si>
  <si>
    <t>ROA (%)</t>
  </si>
  <si>
    <t>주가</t>
    <phoneticPr fontId="48" type="noConversion"/>
  </si>
  <si>
    <t>매입채무 회전일수</t>
    <phoneticPr fontId="48" type="noConversion"/>
  </si>
  <si>
    <t>재무활동으로 인한 현금흐름</t>
  </si>
  <si>
    <t>재고자산 회전일수</t>
    <phoneticPr fontId="48" type="noConversion"/>
  </si>
  <si>
    <t>기타투자활동</t>
  </si>
  <si>
    <t>시총</t>
    <phoneticPr fontId="48" type="noConversion"/>
  </si>
  <si>
    <t>% Capex / D&amp;A</t>
    <phoneticPr fontId="2" type="noConversion"/>
  </si>
  <si>
    <t>매출채권 회전일수</t>
    <phoneticPr fontId="48" type="noConversion"/>
  </si>
  <si>
    <t>장단기금융자산의 감소(증가)</t>
  </si>
  <si>
    <t>% D&amp;A / Sales</t>
    <phoneticPr fontId="2" type="noConversion"/>
  </si>
  <si>
    <t>EPS증가율 (%)</t>
  </si>
  <si>
    <t>무형자산감소(증가)</t>
  </si>
  <si>
    <t>% Capex / Sales</t>
    <phoneticPr fontId="2" type="noConversion"/>
  </si>
  <si>
    <t>조정영업이익증가율 (%)</t>
  </si>
  <si>
    <t>유형자산처분(취득)</t>
  </si>
  <si>
    <t>% Net Capex / Sales</t>
    <phoneticPr fontId="2" type="noConversion"/>
  </si>
  <si>
    <t>EBITDA증가율 (%)</t>
  </si>
  <si>
    <t>투자활동으로 인한 현금흐름</t>
  </si>
  <si>
    <t>ev</t>
    <phoneticPr fontId="48" type="noConversion"/>
  </si>
  <si>
    <t>Ratio &amp; Assumption</t>
    <phoneticPr fontId="2" type="noConversion"/>
  </si>
  <si>
    <t>매출액증가율 (%)</t>
  </si>
  <si>
    <t>기타</t>
    <phoneticPr fontId="48" type="noConversion"/>
  </si>
  <si>
    <t>Net Capex</t>
    <phoneticPr fontId="2" type="noConversion"/>
  </si>
  <si>
    <t>배당수익률 (%)</t>
  </si>
  <si>
    <t>법인세납부</t>
    <phoneticPr fontId="48" type="noConversion"/>
  </si>
  <si>
    <t>기말 유형자산</t>
    <phoneticPr fontId="65" type="noConversion"/>
  </si>
  <si>
    <t>배당성향 (%)</t>
  </si>
  <si>
    <t>운전자본변동</t>
    <phoneticPr fontId="48" type="noConversion"/>
  </si>
  <si>
    <t>주식수</t>
    <phoneticPr fontId="48" type="noConversion"/>
  </si>
  <si>
    <r>
      <rPr>
        <sz val="10"/>
        <color theme="1"/>
        <rFont val="맑은 고딕"/>
        <family val="2"/>
        <charset val="129"/>
      </rPr>
      <t>감가상각비</t>
    </r>
    <phoneticPr fontId="2" type="noConversion"/>
  </si>
  <si>
    <t>DPS (원)</t>
  </si>
  <si>
    <t>지분법, 관계기업손실(이익)</t>
    <phoneticPr fontId="48" type="noConversion"/>
  </si>
  <si>
    <t>Capex</t>
    <phoneticPr fontId="2" type="noConversion"/>
  </si>
  <si>
    <t>BPS (원)</t>
  </si>
  <si>
    <t>자산처분손실(이익)</t>
    <phoneticPr fontId="48" type="noConversion"/>
  </si>
  <si>
    <t>EPS (원)</t>
  </si>
  <si>
    <t>외화환산손실(이익)</t>
    <phoneticPr fontId="48" type="noConversion"/>
  </si>
  <si>
    <t>EV/EBITDA (x)</t>
  </si>
  <si>
    <t>감가상각비</t>
    <phoneticPr fontId="48" type="noConversion"/>
  </si>
  <si>
    <t>P/B (x)</t>
  </si>
  <si>
    <t>현금전환주기</t>
    <phoneticPr fontId="65" type="noConversion"/>
  </si>
  <si>
    <t>P/E (x)</t>
  </si>
  <si>
    <t>영업활동으로 인한 현금흐름</t>
  </si>
  <si>
    <r>
      <rPr>
        <sz val="10"/>
        <color theme="1"/>
        <rFont val="맑은 고딕"/>
        <family val="2"/>
        <charset val="129"/>
      </rPr>
      <t>매입채무회전일수</t>
    </r>
    <phoneticPr fontId="2" type="noConversion"/>
  </si>
  <si>
    <t>2025E</t>
    <phoneticPr fontId="48" type="noConversion"/>
  </si>
  <si>
    <t>2024E</t>
    <phoneticPr fontId="48" type="noConversion"/>
  </si>
  <si>
    <t>예상 주당가치 및 valuation (요약)</t>
  </si>
  <si>
    <t>예상 현금흐름표 (요약) (십억원)</t>
  </si>
  <si>
    <r>
      <rPr>
        <sz val="10"/>
        <color theme="1"/>
        <rFont val="맑은 고딕"/>
        <family val="2"/>
        <charset val="129"/>
      </rPr>
      <t>재고자산회전일수</t>
    </r>
    <phoneticPr fontId="2" type="noConversion"/>
  </si>
  <si>
    <r>
      <rPr>
        <sz val="10"/>
        <color theme="1"/>
        <rFont val="맑은 고딕"/>
        <family val="2"/>
        <charset val="129"/>
      </rPr>
      <t>매출채권회전일수</t>
    </r>
    <phoneticPr fontId="2" type="noConversion"/>
  </si>
  <si>
    <t>자본총계</t>
  </si>
  <si>
    <t>지배주주귀속 순이익률 (%)</t>
  </si>
  <si>
    <t xml:space="preserve">회전일수 </t>
    <phoneticPr fontId="2" type="noConversion"/>
  </si>
  <si>
    <t>비지배주주지분</t>
  </si>
  <si>
    <t>영업이익률 (%)</t>
  </si>
  <si>
    <t>이익잉여금</t>
  </si>
  <si>
    <t>EBITDA 마진율 (%)</t>
  </si>
  <si>
    <t>순운전자본의 변동</t>
    <phoneticPr fontId="65" type="noConversion"/>
  </si>
  <si>
    <t>자본잉여금</t>
  </si>
  <si>
    <t>FCF</t>
  </si>
  <si>
    <t>순운전자본</t>
    <phoneticPr fontId="65" type="noConversion"/>
  </si>
  <si>
    <t>자본금</t>
  </si>
  <si>
    <t>영업용 유동부채</t>
    <phoneticPr fontId="65" type="noConversion"/>
  </si>
  <si>
    <t>지배주주지분</t>
  </si>
  <si>
    <t>비지배주주</t>
  </si>
  <si>
    <t>매입채무</t>
    <phoneticPr fontId="65" type="noConversion"/>
  </si>
  <si>
    <t>부채총계</t>
  </si>
  <si>
    <t>지배주주</t>
  </si>
  <si>
    <t>영업용 유동자산</t>
    <phoneticPr fontId="65" type="noConversion"/>
  </si>
  <si>
    <t>기타비유동부채</t>
  </si>
  <si>
    <t>총포괄이익</t>
  </si>
  <si>
    <t>재고자산</t>
    <phoneticPr fontId="2" type="noConversion"/>
  </si>
  <si>
    <t>장기금융부채</t>
  </si>
  <si>
    <t>매출채권</t>
    <phoneticPr fontId="2" type="noConversion"/>
  </si>
  <si>
    <t>비유동부채</t>
  </si>
  <si>
    <t xml:space="preserve">Change in Net Working Capital </t>
    <phoneticPr fontId="2" type="noConversion"/>
  </si>
  <si>
    <t>기타유동부채</t>
  </si>
  <si>
    <t>중단사업이익</t>
  </si>
  <si>
    <r>
      <t>FCF(</t>
    </r>
    <r>
      <rPr>
        <b/>
        <sz val="10"/>
        <color theme="1"/>
        <rFont val="새굴림"/>
        <family val="1"/>
        <charset val="129"/>
      </rPr>
      <t>잉여현금흐름</t>
    </r>
    <r>
      <rPr>
        <b/>
        <sz val="10"/>
        <color theme="1"/>
        <rFont val="Arial"/>
        <family val="2"/>
      </rPr>
      <t>)</t>
    </r>
    <phoneticPr fontId="73" type="noConversion"/>
  </si>
  <si>
    <t>매입채무 및 기타채무</t>
  </si>
  <si>
    <t>계속사업이익</t>
  </si>
  <si>
    <t>FCFF(기업잉여현금흐름)</t>
    <phoneticPr fontId="73" type="noConversion"/>
  </si>
  <si>
    <t>유동부채</t>
  </si>
  <si>
    <t>법인세 비용</t>
    <phoneticPr fontId="48" type="noConversion"/>
  </si>
  <si>
    <t>(-) Reinvestment</t>
    <phoneticPr fontId="73" type="noConversion"/>
  </si>
  <si>
    <t>자산총계</t>
  </si>
  <si>
    <t>세전계속사업손익</t>
  </si>
  <si>
    <t>Net Capex</t>
    <phoneticPr fontId="73" type="noConversion"/>
  </si>
  <si>
    <t>무형자산</t>
  </si>
  <si>
    <t>관계기업등 투자손익</t>
  </si>
  <si>
    <t>Change in NWC</t>
    <phoneticPr fontId="73" type="noConversion"/>
  </si>
  <si>
    <t>유형자산</t>
  </si>
  <si>
    <t>금융손익</t>
  </si>
  <si>
    <t xml:space="preserve">  % Yoy Growth</t>
    <phoneticPr fontId="2" type="noConversion"/>
  </si>
  <si>
    <t>투자자산</t>
    <phoneticPr fontId="48" type="noConversion"/>
  </si>
  <si>
    <t>비영업손익</t>
  </si>
  <si>
    <r>
      <t>NOPAT(</t>
    </r>
    <r>
      <rPr>
        <b/>
        <sz val="10"/>
        <color theme="1"/>
        <rFont val="맑은 고딕"/>
        <family val="2"/>
        <charset val="129"/>
      </rPr>
      <t>세후영업이익</t>
    </r>
    <r>
      <rPr>
        <b/>
        <sz val="10"/>
        <color theme="1"/>
        <rFont val="Arial"/>
        <family val="2"/>
      </rPr>
      <t>)</t>
    </r>
    <phoneticPr fontId="73" type="noConversion"/>
  </si>
  <si>
    <t>비유동자산</t>
  </si>
  <si>
    <t>이자비용</t>
    <phoneticPr fontId="73" type="noConversion"/>
  </si>
  <si>
    <t>기타유동자산</t>
  </si>
  <si>
    <t>조정영업이익</t>
  </si>
  <si>
    <t>FCF = FCFF - Int*(1-tex rate)</t>
    <phoneticPr fontId="48" type="noConversion"/>
  </si>
  <si>
    <r>
      <t>EBIT</t>
    </r>
    <r>
      <rPr>
        <sz val="10"/>
        <color theme="1"/>
        <rFont val="맑은 고딕"/>
        <family val="2"/>
        <charset val="129"/>
      </rPr>
      <t>법인세</t>
    </r>
    <phoneticPr fontId="73" type="noConversion"/>
  </si>
  <si>
    <t>(-)</t>
    <phoneticPr fontId="73" type="noConversion"/>
  </si>
  <si>
    <t>재고자산</t>
  </si>
  <si>
    <t>판매비와관리비</t>
  </si>
  <si>
    <t>FCF = NI + NCC - Capex -WC</t>
    <phoneticPr fontId="48" type="noConversion"/>
  </si>
  <si>
    <t xml:space="preserve">  % effective tax rate</t>
    <phoneticPr fontId="2" type="noConversion"/>
  </si>
  <si>
    <t>매출채권 및 기타채권</t>
  </si>
  <si>
    <t>FCFF = NI + NCC + Int*(1-tex rate) - Capex -WC</t>
    <phoneticPr fontId="48" type="noConversion"/>
  </si>
  <si>
    <t>EBIT</t>
    <phoneticPr fontId="73" type="noConversion"/>
  </si>
  <si>
    <t>현금 및 현금성자산</t>
  </si>
  <si>
    <t>in KRW Mn</t>
    <phoneticPr fontId="2" type="noConversion"/>
  </si>
  <si>
    <t>유동자산</t>
  </si>
  <si>
    <t>매출액</t>
  </si>
  <si>
    <t>◀ 해당 내용 참고하여 작성함</t>
    <phoneticPr fontId="48" type="noConversion"/>
  </si>
  <si>
    <t>FCF란 뭘까? (brunch.co.kr)</t>
  </si>
  <si>
    <t>Projection</t>
    <phoneticPr fontId="2" type="noConversion"/>
  </si>
  <si>
    <t>Historical</t>
    <phoneticPr fontId="65" type="noConversion"/>
  </si>
  <si>
    <t>예상 재무상태표 (요약)</t>
  </si>
  <si>
    <t>예상 포괄손익계산서 (요약)</t>
  </si>
  <si>
    <t>`</t>
    <phoneticPr fontId="48" type="noConversion"/>
  </si>
  <si>
    <t>(단위: 십억원)</t>
    <phoneticPr fontId="48" type="noConversion"/>
  </si>
  <si>
    <t>Fiscal Year</t>
    <phoneticPr fontId="2" type="noConversion"/>
  </si>
  <si>
    <t>Output</t>
  </si>
  <si>
    <t>Form</t>
  </si>
  <si>
    <t>Report</t>
  </si>
  <si>
    <t>Accounting Std.</t>
  </si>
  <si>
    <t>Type</t>
  </si>
  <si>
    <t>Company</t>
  </si>
  <si>
    <t>Last Refresh: 2025-04-01 12:01:27</t>
  </si>
  <si>
    <t>Last Refresh: 2025-04-01 12:01:05</t>
  </si>
  <si>
    <t>Last Refresh: 2025-04-01 12:01:44</t>
  </si>
  <si>
    <r>
      <rPr>
        <sz val="10"/>
        <color theme="1"/>
        <rFont val="Malgun Gothic"/>
        <family val="2"/>
        <charset val="129"/>
      </rPr>
      <t>기초</t>
    </r>
    <r>
      <rPr>
        <sz val="10"/>
        <color theme="1"/>
        <rFont val="Arial"/>
        <family val="2"/>
      </rPr>
      <t xml:space="preserve"> </t>
    </r>
    <r>
      <rPr>
        <sz val="10"/>
        <color theme="1"/>
        <rFont val="Malgun Gothic"/>
        <family val="2"/>
        <charset val="129"/>
      </rPr>
      <t>유무형자산</t>
    </r>
    <phoneticPr fontId="2" type="noConversion"/>
  </si>
  <si>
    <t>유동성장기부채</t>
    <phoneticPr fontId="2" type="noConversion"/>
  </si>
  <si>
    <t>이자보상배율(%)</t>
    <phoneticPr fontId="48" type="noConversion"/>
  </si>
  <si>
    <t>단기차입금 상환</t>
    <phoneticPr fontId="2" type="noConversion"/>
  </si>
  <si>
    <t>장기차입금의 증가</t>
    <phoneticPr fontId="2" type="noConversion"/>
  </si>
  <si>
    <t xml:space="preserve">(D) </t>
    <phoneticPr fontId="48" type="noConversion"/>
  </si>
  <si>
    <t>25.04.01 기준</t>
    <phoneticPr fontId="48" type="noConversion"/>
  </si>
  <si>
    <t xml:space="preserve">1st Version: 2021.03.02 </t>
    <phoneticPr fontId="73" type="noConversion"/>
  </si>
  <si>
    <t>원 제작자: 28기 김 건 (zzkan103@gmail.com)</t>
    <phoneticPr fontId="73" type="noConversion"/>
  </si>
  <si>
    <t>RFS 정식 회원 외 본 가치평가 모델의 무단 사용 및 수정을 금하며, 본 양식의 원 저작권은 중앙대학교 R.F.S. 학회에 있음을 밝힙니다.</t>
    <phoneticPr fontId="73" type="noConversion"/>
  </si>
  <si>
    <t>Valuation Model</t>
    <phoneticPr fontId="73" type="noConversion"/>
  </si>
  <si>
    <t>R.F.S .</t>
    <phoneticPr fontId="73" type="noConversion"/>
  </si>
  <si>
    <t xml:space="preserve">    Chungang-Univ. Financial Institute</t>
    <phoneticPr fontId="73" type="noConversion"/>
  </si>
  <si>
    <t>클래시스(214150.KQ)_PER</t>
    <phoneticPr fontId="73" type="noConversion"/>
  </si>
  <si>
    <r>
      <t xml:space="preserve">Estimate Sheets </t>
    </r>
    <r>
      <rPr>
        <b/>
        <sz val="18"/>
        <color indexed="9"/>
        <rFont val="Arial"/>
        <family val="2"/>
      </rPr>
      <t xml:space="preserve">&gt;&gt;&gt; </t>
    </r>
    <phoneticPr fontId="73" type="noConversion"/>
  </si>
  <si>
    <t>y=534.7562 + 1.011949x</t>
    <phoneticPr fontId="2" type="noConversion"/>
  </si>
  <si>
    <t>24년 글로벌 미용의료기기 시장</t>
    <phoneticPr fontId="2" type="noConversion"/>
  </si>
  <si>
    <t>(단위: mn$)</t>
    <phoneticPr fontId="2" type="noConversion"/>
  </si>
  <si>
    <t>전체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</si>
</sst>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76" formatCode="_-* #,##0.0_-;\-* #,##0.0_-;_-* &quot;-&quot;_-;_-@_-"/>
    <numFmt numFmtId="177" formatCode="0.0%"/>
    <numFmt numFmtId="178" formatCode="0.0_);\(0.0\)"/>
    <numFmt numFmtId="179" formatCode="#,##0_ ;[Red]\-#,##0\ "/>
    <numFmt numFmtId="180" formatCode="0_);[Red]\(0\)"/>
    <numFmt numFmtId="181" formatCode="0.0"/>
    <numFmt numFmtId="182" formatCode="#,##0.0_ ;[Red]\-#,##0.0\ "/>
    <numFmt numFmtId="183" formatCode="yyyymmdd\-\&gt;yyyy/mm/dd"/>
    <numFmt numFmtId="184" formatCode="#,##0.0_);\(#,##0.0\)"/>
    <numFmt numFmtId="185" formatCode="_(* #,##0.0_);_(* \(#,##0.0\);_(* &quot;-&quot;??_);_(@_)"/>
    <numFmt numFmtId="186" formatCode="#,##0.0;[Red]\-#,##0.0"/>
    <numFmt numFmtId="187" formatCode="&quot;FY&quot;0000&quot;E&quot;"/>
    <numFmt numFmtId="188" formatCode="&quot;FY&quot;0000"/>
    <numFmt numFmtId="189" formatCode="0.0_ "/>
    <numFmt numFmtId="190" formatCode="0_);\(0\)"/>
    <numFmt numFmtId="191" formatCode="#,##0_);\(#,##0\)"/>
  </numFmts>
  <fonts count="98">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9"/>
      <name val="KoPubWorld돋움체 Medium"/>
      <family val="3"/>
      <charset val="129"/>
    </font>
    <font>
      <i/>
      <sz val="9"/>
      <color theme="2" tint="-0.499984740745262"/>
      <name val="KoPubWorld돋움체 Medium"/>
      <family val="3"/>
      <charset val="129"/>
    </font>
    <font>
      <sz val="9"/>
      <color theme="1"/>
      <name val="KoPubWorld돋움체 Medium"/>
      <family val="3"/>
      <charset val="129"/>
    </font>
    <font>
      <sz val="9"/>
      <color theme="0"/>
      <name val="KoPubWorld돋움체 Bold"/>
      <family val="3"/>
      <charset val="129"/>
    </font>
    <font>
      <sz val="9"/>
      <color theme="1"/>
      <name val="Arial"/>
      <family val="2"/>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9"/>
      <color rgb="FFFFFFFF"/>
      <name val="KoPubWorld돋움체 Bold"/>
      <family val="3"/>
      <charset val="129"/>
    </font>
    <font>
      <sz val="10"/>
      <color theme="0"/>
      <name val="KoPubWorld돋움체 Bold"/>
      <family val="3"/>
      <charset val="129"/>
    </font>
    <font>
      <sz val="11"/>
      <color theme="1"/>
      <name val="KoPubWorld돋움체 Medium"/>
      <family val="3"/>
      <charset val="129"/>
    </font>
    <font>
      <sz val="11"/>
      <color theme="1"/>
      <name val="KoPubWorld돋움체 Bold"/>
      <family val="3"/>
      <charset val="129"/>
    </font>
    <font>
      <sz val="11"/>
      <color theme="1"/>
      <name val="맑은 고딕"/>
      <family val="2"/>
      <scheme val="minor"/>
    </font>
    <font>
      <i/>
      <sz val="9"/>
      <color theme="1"/>
      <name val="KoPubWorld돋움체 Medium"/>
      <family val="3"/>
      <charset val="129"/>
    </font>
    <font>
      <i/>
      <sz val="9"/>
      <color rgb="FF000000"/>
      <name val="KoPubWorld돋움체 Medium"/>
      <family val="3"/>
      <charset val="129"/>
    </font>
    <font>
      <b/>
      <sz val="10"/>
      <color theme="0"/>
      <name val="Arial"/>
      <family val="2"/>
      <charset val="129"/>
    </font>
    <font>
      <b/>
      <sz val="10"/>
      <color theme="0"/>
      <name val="Arial"/>
      <family val="2"/>
    </font>
    <font>
      <sz val="10"/>
      <color theme="0"/>
      <name val="Arial"/>
      <family val="2"/>
    </font>
    <font>
      <b/>
      <sz val="14"/>
      <color theme="0"/>
      <name val="Arial"/>
      <family val="2"/>
    </font>
    <font>
      <i/>
      <sz val="10"/>
      <color theme="0"/>
      <name val="Arial"/>
      <family val="2"/>
    </font>
    <font>
      <b/>
      <sz val="10"/>
      <color theme="0"/>
      <name val="Malgun Gothic"/>
      <family val="2"/>
      <charset val="129"/>
    </font>
    <font>
      <sz val="9"/>
      <color theme="1"/>
      <name val="KoPubWorld돋움체 Bold"/>
      <family val="3"/>
      <charset val="129"/>
    </font>
    <font>
      <sz val="10"/>
      <color theme="1"/>
      <name val="KoPubWorld돋움체 Bold"/>
      <family val="3"/>
      <charset val="129"/>
    </font>
    <font>
      <b/>
      <sz val="10"/>
      <color theme="1"/>
      <name val="KoPubWorld돋움체 Medium"/>
      <family val="3"/>
      <charset val="129"/>
    </font>
    <font>
      <sz val="10"/>
      <color theme="1"/>
      <name val="KoPubWorld돋움체 Medium"/>
      <family val="3"/>
      <charset val="129"/>
    </font>
    <font>
      <sz val="10"/>
      <color theme="1"/>
      <name val="맑은 고딕"/>
      <family val="2"/>
      <charset val="129"/>
      <scheme val="minor"/>
    </font>
    <font>
      <i/>
      <sz val="10"/>
      <color theme="1"/>
      <name val="KoPubWorld돋움체 Medium"/>
      <family val="3"/>
      <charset val="129"/>
    </font>
    <font>
      <i/>
      <sz val="9"/>
      <color theme="1"/>
      <name val="맑은 고딕"/>
      <family val="2"/>
      <charset val="129"/>
      <scheme val="minor"/>
    </font>
    <font>
      <b/>
      <sz val="10"/>
      <color theme="0"/>
      <name val="KoPubWorld돋움체 Medium"/>
      <family val="3"/>
      <charset val="129"/>
    </font>
    <font>
      <sz val="10"/>
      <color theme="0"/>
      <name val="KoPubWorld돋움체 Medium"/>
      <family val="3"/>
      <charset val="129"/>
    </font>
    <font>
      <b/>
      <sz val="14"/>
      <color theme="0"/>
      <name val="KoPubWorld돋움체 Medium"/>
      <family val="3"/>
      <charset val="129"/>
    </font>
    <font>
      <i/>
      <sz val="10"/>
      <color theme="0"/>
      <name val="KoPubWorld돋움체 Medium"/>
      <family val="3"/>
      <charset val="129"/>
    </font>
    <font>
      <i/>
      <sz val="11"/>
      <color theme="1"/>
      <name val="KoPubWorld돋움체 Medium"/>
      <family val="3"/>
      <charset val="129"/>
    </font>
    <font>
      <sz val="10"/>
      <color rgb="FFFFFFFF"/>
      <name val="KoPubWorld돋움체 Bold"/>
      <family val="3"/>
      <charset val="129"/>
    </font>
    <font>
      <sz val="9"/>
      <color theme="0"/>
      <name val="KoPubWorld돋움체 Medium"/>
      <family val="3"/>
      <charset val="129"/>
    </font>
    <font>
      <sz val="9"/>
      <name val="KoPubWorld돋움체 Bold"/>
      <family val="3"/>
      <charset val="129"/>
    </font>
    <font>
      <i/>
      <sz val="9"/>
      <name val="KoPubWorld돋움체 Medium"/>
      <family val="3"/>
      <charset val="129"/>
    </font>
    <font>
      <sz val="11"/>
      <color theme="0"/>
      <name val="KoPubWorld돋움체 Bold"/>
      <family val="3"/>
      <charset val="129"/>
    </font>
    <font>
      <sz val="10"/>
      <name val="KoPubWorld돋움체 Medium"/>
      <family val="3"/>
      <charset val="129"/>
    </font>
    <font>
      <sz val="11"/>
      <color theme="0"/>
      <name val="KoPubWorld돋움체 Light"/>
      <family val="3"/>
      <charset val="129"/>
    </font>
    <font>
      <sz val="11"/>
      <color theme="1"/>
      <name val="KoPubWorld돋움체 Light"/>
      <family val="3"/>
      <charset val="129"/>
    </font>
    <font>
      <i/>
      <sz val="9"/>
      <color theme="1"/>
      <name val="KoPubWorld돋움체 Bold"/>
      <family val="3"/>
      <charset val="129"/>
    </font>
    <font>
      <sz val="10.5"/>
      <color theme="0"/>
      <name val="KoPubWorld돋움체 Bold"/>
      <family val="3"/>
      <charset val="129"/>
    </font>
    <font>
      <sz val="8"/>
      <name val="맑은 고딕"/>
      <family val="3"/>
      <charset val="129"/>
      <scheme val="minor"/>
    </font>
    <font>
      <b/>
      <sz val="10"/>
      <color theme="1"/>
      <name val="KoPubWorld돋움체 Bold"/>
      <family val="3"/>
      <charset val="129"/>
    </font>
    <font>
      <b/>
      <sz val="9"/>
      <color theme="1"/>
      <name val="KoPubWorld돋움체 Bold"/>
      <family val="3"/>
      <charset val="129"/>
    </font>
    <font>
      <sz val="10"/>
      <color indexed="8"/>
      <name val="Arial"/>
      <family val="2"/>
    </font>
    <font>
      <b/>
      <sz val="10"/>
      <color indexed="9"/>
      <name val="KoPubWorld돋움체 Medium"/>
      <family val="3"/>
      <charset val="129"/>
    </font>
    <font>
      <sz val="10"/>
      <color indexed="8"/>
      <name val="KoPubWorld돋움체 Medium"/>
      <family val="3"/>
      <charset val="129"/>
    </font>
    <font>
      <sz val="6"/>
      <color rgb="FF000000"/>
      <name val="KoPub돋움체_Pro Light"/>
      <family val="3"/>
      <charset val="129"/>
    </font>
    <font>
      <sz val="7"/>
      <color rgb="FF000000"/>
      <name val="KoPubWorld돋움체 Medium"/>
      <family val="3"/>
      <charset val="129"/>
    </font>
    <font>
      <sz val="10"/>
      <color rgb="FF000000"/>
      <name val="KoPubWorld돋움체 Light"/>
      <family val="3"/>
      <charset val="129"/>
    </font>
    <font>
      <sz val="7"/>
      <color rgb="FF000000"/>
      <name val="KoPubWorld돋움체 Light"/>
      <family val="3"/>
      <charset val="129"/>
    </font>
    <font>
      <sz val="7"/>
      <color theme="1"/>
      <name val="KoPubWorld돋움체 Light"/>
      <family val="3"/>
      <charset val="129"/>
    </font>
    <font>
      <i/>
      <sz val="9"/>
      <color theme="1"/>
      <name val="Arial"/>
      <family val="2"/>
    </font>
    <font>
      <sz val="10"/>
      <color theme="1"/>
      <name val="Arial"/>
      <family val="2"/>
    </font>
    <font>
      <i/>
      <sz val="9"/>
      <color rgb="FF3366FF"/>
      <name val="Arial"/>
      <family val="2"/>
    </font>
    <font>
      <sz val="11"/>
      <color theme="0"/>
      <name val="Arial"/>
      <family val="2"/>
    </font>
    <font>
      <b/>
      <sz val="11"/>
      <color theme="1"/>
      <name val="Arial"/>
      <family val="2"/>
    </font>
    <font>
      <sz val="10"/>
      <color rgb="FF008000"/>
      <name val="Arial"/>
      <family val="2"/>
    </font>
    <font>
      <sz val="8"/>
      <name val="MalgunGothic"/>
      <family val="2"/>
      <charset val="129"/>
    </font>
    <font>
      <sz val="10"/>
      <color theme="1"/>
      <name val="맑은 고딕"/>
      <family val="2"/>
      <charset val="129"/>
    </font>
    <font>
      <sz val="10"/>
      <color rgb="FF6600CC"/>
      <name val="Arial"/>
      <family val="2"/>
    </font>
    <font>
      <b/>
      <sz val="10"/>
      <color theme="1"/>
      <name val="Arial"/>
      <family val="2"/>
    </font>
    <font>
      <sz val="10"/>
      <color theme="1"/>
      <name val="Malgun Gothic"/>
      <family val="2"/>
      <charset val="129"/>
    </font>
    <font>
      <i/>
      <sz val="10"/>
      <color rgb="FF3366FF"/>
      <name val="Arial"/>
      <family val="2"/>
    </font>
    <font>
      <sz val="7"/>
      <color rgb="FFFFFFFF"/>
      <name val="KoPubWorld돋움체 Medium"/>
      <family val="3"/>
      <charset val="129"/>
    </font>
    <font>
      <b/>
      <sz val="10"/>
      <color theme="1"/>
      <name val="새굴림"/>
      <family val="1"/>
      <charset val="129"/>
    </font>
    <font>
      <sz val="8"/>
      <name val="맑은 고딕"/>
      <family val="2"/>
      <charset val="129"/>
    </font>
    <font>
      <b/>
      <sz val="10"/>
      <color theme="1"/>
      <name val="맑은 고딕"/>
      <family val="2"/>
      <charset val="129"/>
    </font>
    <font>
      <sz val="10"/>
      <color theme="1"/>
      <name val="새굴림"/>
      <family val="2"/>
      <charset val="129"/>
    </font>
    <font>
      <i/>
      <sz val="9"/>
      <color rgb="FF008000"/>
      <name val="Arial"/>
      <family val="2"/>
    </font>
    <font>
      <b/>
      <sz val="10"/>
      <color rgb="FF008000"/>
      <name val="Arial"/>
      <family val="2"/>
    </font>
    <font>
      <b/>
      <i/>
      <sz val="10"/>
      <color rgb="FF002D72"/>
      <name val="Arial"/>
      <family val="2"/>
    </font>
    <font>
      <b/>
      <sz val="10"/>
      <color rgb="FF002D72"/>
      <name val="Arial"/>
      <family val="2"/>
    </font>
    <font>
      <u/>
      <sz val="11"/>
      <color theme="10"/>
      <name val="맑은 고딕"/>
      <family val="2"/>
      <scheme val="minor"/>
    </font>
    <font>
      <b/>
      <i/>
      <sz val="10"/>
      <color theme="0"/>
      <name val="Arial"/>
      <family val="2"/>
    </font>
    <font>
      <b/>
      <sz val="10"/>
      <color rgb="FF000000"/>
      <name val="Malgun Gothic"/>
      <family val="2"/>
      <charset val="129"/>
    </font>
    <font>
      <sz val="10"/>
      <color rgb="FF000000"/>
      <name val="Malgun Gothic"/>
      <family val="2"/>
      <charset val="129"/>
    </font>
    <font>
      <sz val="8"/>
      <color indexed="54"/>
      <name val="Tahoma"/>
      <family val="2"/>
    </font>
    <font>
      <sz val="10"/>
      <color theme="1"/>
      <name val="Arial"/>
      <family val="2"/>
      <charset val="129"/>
    </font>
    <font>
      <sz val="11"/>
      <color theme="1"/>
      <name val="맑은 고딕"/>
      <family val="2"/>
      <charset val="129"/>
    </font>
    <font>
      <b/>
      <sz val="18"/>
      <color theme="0"/>
      <name val="Arial"/>
      <family val="2"/>
    </font>
    <font>
      <b/>
      <sz val="18"/>
      <color indexed="9"/>
      <name val="Arial"/>
      <family val="2"/>
    </font>
    <font>
      <b/>
      <sz val="11"/>
      <color theme="0"/>
      <name val="Arial"/>
      <family val="2"/>
    </font>
    <font>
      <b/>
      <sz val="11"/>
      <color theme="0"/>
      <name val="KO"/>
      <family val="3"/>
      <charset val="129"/>
    </font>
    <font>
      <b/>
      <sz val="22"/>
      <color theme="0"/>
      <name val="KoPubWorld돋움체 Bold"/>
      <family val="3"/>
      <charset val="129"/>
    </font>
    <font>
      <b/>
      <sz val="20"/>
      <color theme="0"/>
      <name val="Arial"/>
      <family val="2"/>
    </font>
    <font>
      <sz val="11"/>
      <color theme="1"/>
      <name val="Arial"/>
      <family val="2"/>
    </font>
    <font>
      <sz val="8"/>
      <color theme="1"/>
      <name val="KoPubWorld돋움체 Medium"/>
      <family val="3"/>
      <charset val="129"/>
    </font>
    <font>
      <sz val="12"/>
      <color theme="0"/>
      <name val="KoPubWorld돋움체 Bold"/>
      <family val="3"/>
      <charset val="129"/>
    </font>
    <font>
      <sz val="48"/>
      <color theme="0"/>
      <name val="KoPubWorld돋움체 Bold"/>
      <family val="3"/>
      <charset val="129"/>
    </font>
    <font>
      <sz val="11"/>
      <color theme="0"/>
      <name val="KoPubWorld돋움체 Medium"/>
      <family val="3"/>
      <charset val="129"/>
    </font>
  </fonts>
  <fills count="18">
    <fill>
      <patternFill patternType="none"/>
    </fill>
    <fill>
      <patternFill patternType="gray125"/>
    </fill>
    <fill>
      <patternFill patternType="solid">
        <fgColor rgb="FF203864"/>
        <bgColor indexed="64"/>
      </patternFill>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rgb="FF203864"/>
        <bgColor rgb="FF000000"/>
      </patternFill>
    </fill>
    <fill>
      <patternFill patternType="solid">
        <fgColor theme="1"/>
        <bgColor indexed="64"/>
      </patternFill>
    </fill>
    <fill>
      <patternFill patternType="solid">
        <fgColor rgb="FFD0CECE"/>
        <bgColor rgb="FF000000"/>
      </patternFill>
    </fill>
    <fill>
      <patternFill patternType="solid">
        <fgColor rgb="FFD0CECE"/>
        <bgColor indexed="64"/>
      </patternFill>
    </fill>
    <fill>
      <patternFill patternType="solid">
        <fgColor rgb="FFFFFFCC"/>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rgb="FF1F3864"/>
        <bgColor indexed="64"/>
      </patternFill>
    </fill>
    <fill>
      <patternFill patternType="solid">
        <fgColor rgb="FF002060"/>
        <bgColor indexed="64"/>
      </patternFill>
    </fill>
  </fills>
  <borders count="58">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auto="1"/>
      </bottom>
      <diagonal/>
    </border>
    <border>
      <left/>
      <right/>
      <top style="thin">
        <color auto="1"/>
      </top>
      <bottom style="thin">
        <color indexed="64"/>
      </bottom>
      <diagonal/>
    </border>
    <border>
      <left/>
      <right/>
      <top/>
      <bottom style="double">
        <color indexed="64"/>
      </bottom>
      <diagonal/>
    </border>
    <border>
      <left/>
      <right/>
      <top/>
      <bottom style="thin">
        <color theme="0"/>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diagonal/>
    </border>
    <border>
      <left/>
      <right style="thin">
        <color indexed="64"/>
      </right>
      <top style="double">
        <color indexed="64"/>
      </top>
      <bottom/>
      <diagonal/>
    </border>
    <border>
      <left/>
      <right/>
      <top/>
      <bottom style="medium">
        <color indexed="64"/>
      </bottom>
      <diagonal/>
    </border>
    <border>
      <left/>
      <right/>
      <top style="medium">
        <color indexed="64"/>
      </top>
      <bottom style="thin">
        <color indexed="64"/>
      </bottom>
      <diagonal/>
    </border>
    <border>
      <left style="thin">
        <color indexed="64"/>
      </left>
      <right/>
      <top/>
      <bottom style="thin">
        <color theme="0"/>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rgb="FF7F7F7F"/>
      </bottom>
      <diagonal/>
    </border>
    <border>
      <left/>
      <right/>
      <top/>
      <bottom style="medium">
        <color rgb="FF808080"/>
      </bottom>
      <diagonal/>
    </border>
    <border>
      <left/>
      <right/>
      <top style="thin">
        <color theme="1"/>
      </top>
      <bottom/>
      <diagonal/>
    </border>
    <border>
      <left/>
      <right style="thin">
        <color indexed="64"/>
      </right>
      <top style="thin">
        <color indexed="64"/>
      </top>
      <bottom style="thin">
        <color theme="1"/>
      </bottom>
      <diagonal/>
    </border>
    <border>
      <left/>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theme="1"/>
      </top>
      <bottom style="thin">
        <color theme="1"/>
      </bottom>
      <diagonal/>
    </border>
    <border>
      <left/>
      <right/>
      <top style="thin">
        <color theme="1"/>
      </top>
      <bottom style="thin">
        <color theme="1"/>
      </bottom>
      <diagonal/>
    </border>
    <border>
      <left/>
      <right/>
      <top/>
      <bottom style="thin">
        <color theme="1"/>
      </bottom>
      <diagonal/>
    </border>
    <border>
      <left/>
      <right style="thin">
        <color indexed="64"/>
      </right>
      <top/>
      <bottom style="thin">
        <color theme="1"/>
      </bottom>
      <diagonal/>
    </border>
    <border>
      <left style="thin">
        <color indexed="64"/>
      </left>
      <right/>
      <top/>
      <bottom style="thin">
        <color theme="1"/>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indexed="64"/>
      </top>
      <bottom/>
      <diagonal/>
    </border>
    <border>
      <left/>
      <right style="thin">
        <color theme="1"/>
      </right>
      <top style="thin">
        <color indexed="64"/>
      </top>
      <bottom/>
      <diagonal/>
    </border>
  </borders>
  <cellStyleXfs count="12">
    <xf numFmtId="0" fontId="0"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9" fontId="17" fillId="0" borderId="0" applyFont="0" applyFill="0" applyBorder="0" applyAlignment="0" applyProtection="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0" fontId="17" fillId="0" borderId="0"/>
    <xf numFmtId="41"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0" fontId="80" fillId="0" borderId="0" applyNumberFormat="0" applyFill="0" applyBorder="0" applyAlignment="0" applyProtection="0"/>
  </cellStyleXfs>
  <cellXfs count="497">
    <xf numFmtId="0" fontId="0" fillId="0" borderId="0" xfId="0">
      <alignment vertical="center"/>
    </xf>
    <xf numFmtId="176" fontId="5" fillId="0" borderId="0" xfId="2" applyNumberFormat="1" applyFont="1" applyFill="1" applyBorder="1" applyAlignment="1">
      <alignment horizontal="center" vertical="center"/>
    </xf>
    <xf numFmtId="0" fontId="7" fillId="0" borderId="0" xfId="0" applyFont="1">
      <alignment vertical="center"/>
    </xf>
    <xf numFmtId="0" fontId="7" fillId="0" borderId="0" xfId="0" applyFont="1" applyAlignment="1">
      <alignment horizontal="left" vertical="center"/>
    </xf>
    <xf numFmtId="0" fontId="8" fillId="3" borderId="0" xfId="0" applyFont="1" applyFill="1">
      <alignment vertical="center"/>
    </xf>
    <xf numFmtId="0" fontId="9" fillId="4" borderId="0" xfId="0" applyFont="1" applyFill="1">
      <alignment vertical="center"/>
    </xf>
    <xf numFmtId="0" fontId="9" fillId="4" borderId="7" xfId="0" applyFont="1" applyFill="1" applyBorder="1">
      <alignment vertical="center"/>
    </xf>
    <xf numFmtId="0" fontId="11" fillId="5" borderId="4" xfId="0" applyFont="1" applyFill="1" applyBorder="1" applyAlignment="1">
      <alignment horizontal="center" vertical="center"/>
    </xf>
    <xf numFmtId="0" fontId="11" fillId="6" borderId="4" xfId="0" applyFont="1" applyFill="1" applyBorder="1" applyAlignment="1">
      <alignment horizontal="center" vertical="center"/>
    </xf>
    <xf numFmtId="0" fontId="12" fillId="7" borderId="8" xfId="0" applyFont="1" applyFill="1" applyBorder="1">
      <alignment vertical="center"/>
    </xf>
    <xf numFmtId="0" fontId="12" fillId="7" borderId="9" xfId="0" applyFont="1" applyFill="1" applyBorder="1">
      <alignment vertical="center"/>
    </xf>
    <xf numFmtId="0" fontId="12" fillId="7" borderId="10" xfId="0" applyFont="1" applyFill="1" applyBorder="1">
      <alignment vertical="center"/>
    </xf>
    <xf numFmtId="0" fontId="12" fillId="7" borderId="12" xfId="0" applyFont="1" applyFill="1" applyBorder="1">
      <alignment vertical="center"/>
    </xf>
    <xf numFmtId="0" fontId="12" fillId="7" borderId="11" xfId="0" applyFont="1" applyFill="1" applyBorder="1">
      <alignment vertical="center"/>
    </xf>
    <xf numFmtId="0" fontId="11" fillId="5" borderId="7" xfId="0" applyFont="1" applyFill="1" applyBorder="1" applyAlignment="1">
      <alignment horizontal="center" vertical="center"/>
    </xf>
    <xf numFmtId="0" fontId="11" fillId="8" borderId="0" xfId="0" applyFont="1" applyFill="1">
      <alignment vertical="center"/>
    </xf>
    <xf numFmtId="179" fontId="7" fillId="0" borderId="0" xfId="0" applyNumberFormat="1" applyFont="1">
      <alignment vertical="center"/>
    </xf>
    <xf numFmtId="179" fontId="0" fillId="0" borderId="0" xfId="0" applyNumberFormat="1">
      <alignment vertical="center"/>
    </xf>
    <xf numFmtId="0" fontId="9" fillId="4" borderId="13" xfId="0" applyFont="1" applyFill="1" applyBorder="1">
      <alignment vertical="center"/>
    </xf>
    <xf numFmtId="0" fontId="11" fillId="5" borderId="14" xfId="0" applyFont="1" applyFill="1" applyBorder="1" applyAlignment="1">
      <alignment horizontal="center" vertical="center"/>
    </xf>
    <xf numFmtId="49" fontId="13" fillId="9" borderId="5" xfId="0" applyNumberFormat="1" applyFont="1" applyFill="1" applyBorder="1" applyAlignment="1">
      <alignment horizontal="center" vertical="center" wrapText="1"/>
    </xf>
    <xf numFmtId="49" fontId="13" fillId="9" borderId="14" xfId="0" applyNumberFormat="1" applyFont="1" applyFill="1" applyBorder="1" applyAlignment="1">
      <alignment horizontal="center" vertical="center" wrapText="1"/>
    </xf>
    <xf numFmtId="0" fontId="15" fillId="0" borderId="0" xfId="0" applyFont="1">
      <alignment vertical="center"/>
    </xf>
    <xf numFmtId="0" fontId="16" fillId="0" borderId="0" xfId="0" applyFont="1">
      <alignment vertical="center"/>
    </xf>
    <xf numFmtId="0" fontId="20" fillId="10" borderId="0" xfId="0" applyFont="1" applyFill="1">
      <alignment vertical="center"/>
    </xf>
    <xf numFmtId="0" fontId="21" fillId="10" borderId="0" xfId="0" applyFont="1" applyFill="1">
      <alignment vertical="center"/>
    </xf>
    <xf numFmtId="0" fontId="22" fillId="10" borderId="0" xfId="0" applyFont="1" applyFill="1" applyAlignment="1">
      <alignment horizontal="right" vertical="center"/>
    </xf>
    <xf numFmtId="0" fontId="0" fillId="0" borderId="0" xfId="0" applyAlignment="1"/>
    <xf numFmtId="0" fontId="23" fillId="10" borderId="16" xfId="0" applyFont="1" applyFill="1" applyBorder="1" applyAlignment="1"/>
    <xf numFmtId="0" fontId="22" fillId="10" borderId="16" xfId="0" applyFont="1" applyFill="1" applyBorder="1" applyAlignment="1">
      <alignment horizontal="right"/>
    </xf>
    <xf numFmtId="0" fontId="24" fillId="10" borderId="0" xfId="0" applyFont="1" applyFill="1" applyAlignment="1">
      <alignment horizontal="left"/>
    </xf>
    <xf numFmtId="0" fontId="22" fillId="10" borderId="0" xfId="0" applyFont="1" applyFill="1" applyAlignment="1">
      <alignment horizontal="right"/>
    </xf>
    <xf numFmtId="38" fontId="15" fillId="0" borderId="0" xfId="0" applyNumberFormat="1" applyFont="1">
      <alignment vertical="center"/>
    </xf>
    <xf numFmtId="38" fontId="0" fillId="0" borderId="0" xfId="0" applyNumberFormat="1">
      <alignment vertical="center"/>
    </xf>
    <xf numFmtId="49" fontId="26" fillId="11" borderId="5" xfId="0" applyNumberFormat="1" applyFont="1" applyFill="1" applyBorder="1" applyAlignment="1">
      <alignment horizontal="center" vertical="center" wrapText="1"/>
    </xf>
    <xf numFmtId="49" fontId="26" fillId="11" borderId="14" xfId="0" applyNumberFormat="1" applyFont="1" applyFill="1" applyBorder="1" applyAlignment="1">
      <alignment horizontal="center" vertical="center" wrapText="1"/>
    </xf>
    <xf numFmtId="49" fontId="26" fillId="11" borderId="17" xfId="0" applyNumberFormat="1" applyFont="1" applyFill="1" applyBorder="1" applyAlignment="1">
      <alignment horizontal="center" vertical="center" wrapText="1"/>
    </xf>
    <xf numFmtId="0" fontId="6" fillId="2" borderId="5" xfId="0" applyFont="1" applyFill="1" applyBorder="1" applyAlignment="1">
      <alignment horizontal="center" vertical="center"/>
    </xf>
    <xf numFmtId="0" fontId="26" fillId="12" borderId="14" xfId="0" applyFont="1" applyFill="1" applyBorder="1" applyAlignment="1">
      <alignment horizontal="center" vertical="center"/>
    </xf>
    <xf numFmtId="0" fontId="26" fillId="12" borderId="17" xfId="0" applyFont="1" applyFill="1" applyBorder="1" applyAlignment="1">
      <alignment horizontal="center" vertical="center"/>
    </xf>
    <xf numFmtId="9" fontId="18" fillId="0" borderId="15" xfId="1" applyFont="1" applyBorder="1" applyAlignment="1">
      <alignment horizontal="left" vertical="center"/>
    </xf>
    <xf numFmtId="9" fontId="18" fillId="0" borderId="0" xfId="1" applyFont="1" applyBorder="1" applyAlignment="1">
      <alignment horizontal="left" vertical="center"/>
    </xf>
    <xf numFmtId="9" fontId="18" fillId="0" borderId="13" xfId="1" applyFont="1" applyBorder="1" applyAlignment="1">
      <alignment horizontal="left" vertical="center"/>
    </xf>
    <xf numFmtId="38" fontId="29" fillId="0" borderId="0" xfId="0" applyNumberFormat="1" applyFont="1">
      <alignment vertical="center"/>
    </xf>
    <xf numFmtId="38" fontId="29" fillId="0" borderId="22" xfId="0" applyNumberFormat="1" applyFont="1" applyBorder="1">
      <alignment vertical="center"/>
    </xf>
    <xf numFmtId="38" fontId="29" fillId="0" borderId="3" xfId="0" applyNumberFormat="1" applyFont="1" applyBorder="1">
      <alignment vertical="center"/>
    </xf>
    <xf numFmtId="38" fontId="30" fillId="0" borderId="0" xfId="0" applyNumberFormat="1" applyFont="1">
      <alignment vertical="center"/>
    </xf>
    <xf numFmtId="38" fontId="29" fillId="0" borderId="18" xfId="0" applyNumberFormat="1" applyFont="1" applyBorder="1">
      <alignment vertical="center"/>
    </xf>
    <xf numFmtId="38" fontId="29" fillId="0" borderId="23" xfId="0" applyNumberFormat="1" applyFont="1" applyBorder="1">
      <alignment vertical="center"/>
    </xf>
    <xf numFmtId="9" fontId="29" fillId="0" borderId="0" xfId="1" applyFont="1">
      <alignment vertical="center"/>
    </xf>
    <xf numFmtId="9" fontId="18" fillId="0" borderId="20" xfId="1" applyFont="1" applyBorder="1">
      <alignment vertical="center"/>
    </xf>
    <xf numFmtId="9" fontId="18" fillId="0" borderId="15" xfId="1" applyFont="1" applyBorder="1">
      <alignment vertical="center"/>
    </xf>
    <xf numFmtId="9" fontId="18" fillId="0" borderId="21" xfId="1" applyFont="1" applyBorder="1">
      <alignment vertical="center"/>
    </xf>
    <xf numFmtId="9" fontId="18" fillId="0" borderId="0" xfId="1" applyFont="1">
      <alignment vertical="center"/>
    </xf>
    <xf numFmtId="9" fontId="18" fillId="0" borderId="3" xfId="1" applyFont="1" applyBorder="1">
      <alignment vertical="center"/>
    </xf>
    <xf numFmtId="9" fontId="18" fillId="0" borderId="0" xfId="1" applyFont="1" applyBorder="1">
      <alignment vertical="center"/>
    </xf>
    <xf numFmtId="9" fontId="18" fillId="0" borderId="18" xfId="1" applyFont="1" applyBorder="1">
      <alignment vertical="center"/>
    </xf>
    <xf numFmtId="9" fontId="18" fillId="0" borderId="2" xfId="1" applyFont="1" applyBorder="1">
      <alignment vertical="center"/>
    </xf>
    <xf numFmtId="9" fontId="18" fillId="0" borderId="13" xfId="1" applyFont="1" applyBorder="1">
      <alignment vertical="center"/>
    </xf>
    <xf numFmtId="9" fontId="18" fillId="0" borderId="19" xfId="1" applyFont="1" applyBorder="1">
      <alignment vertical="center"/>
    </xf>
    <xf numFmtId="38" fontId="29" fillId="0" borderId="6" xfId="0" applyNumberFormat="1" applyFont="1" applyBorder="1">
      <alignment vertical="center"/>
    </xf>
    <xf numFmtId="38" fontId="29" fillId="0" borderId="1" xfId="0" applyNumberFormat="1" applyFont="1" applyBorder="1">
      <alignment vertical="center"/>
    </xf>
    <xf numFmtId="38" fontId="29" fillId="0" borderId="3" xfId="1" applyNumberFormat="1" applyFont="1" applyBorder="1">
      <alignment vertical="center"/>
    </xf>
    <xf numFmtId="38" fontId="29" fillId="0" borderId="0" xfId="1" applyNumberFormat="1" applyFont="1" applyBorder="1">
      <alignment vertical="center"/>
    </xf>
    <xf numFmtId="38" fontId="29" fillId="0" borderId="18" xfId="1" applyNumberFormat="1" applyFont="1" applyBorder="1">
      <alignment vertical="center"/>
    </xf>
    <xf numFmtId="38" fontId="29" fillId="0" borderId="0" xfId="1" applyNumberFormat="1" applyFont="1">
      <alignment vertical="center"/>
    </xf>
    <xf numFmtId="0" fontId="33" fillId="10" borderId="0" xfId="0" applyFont="1" applyFill="1">
      <alignment vertical="center"/>
    </xf>
    <xf numFmtId="0" fontId="34" fillId="10" borderId="0" xfId="0" applyFont="1" applyFill="1" applyAlignment="1">
      <alignment horizontal="right" vertical="center"/>
    </xf>
    <xf numFmtId="0" fontId="15" fillId="0" borderId="0" xfId="0" applyFont="1" applyAlignment="1"/>
    <xf numFmtId="0" fontId="35" fillId="10" borderId="16" xfId="0" applyFont="1" applyFill="1" applyBorder="1" applyAlignment="1"/>
    <xf numFmtId="0" fontId="34" fillId="10" borderId="16" xfId="0" applyFont="1" applyFill="1" applyBorder="1" applyAlignment="1">
      <alignment horizontal="right"/>
    </xf>
    <xf numFmtId="0" fontId="36" fillId="10" borderId="0" xfId="0" applyFont="1" applyFill="1" applyAlignment="1">
      <alignment horizontal="left"/>
    </xf>
    <xf numFmtId="0" fontId="34" fillId="10" borderId="0" xfId="0" applyFont="1" applyFill="1" applyAlignment="1">
      <alignment horizontal="right"/>
    </xf>
    <xf numFmtId="9" fontId="31" fillId="0" borderId="0" xfId="1" applyFont="1" applyBorder="1">
      <alignment vertical="center"/>
    </xf>
    <xf numFmtId="9" fontId="31" fillId="0" borderId="0" xfId="1" applyFont="1">
      <alignment vertical="center"/>
    </xf>
    <xf numFmtId="9" fontId="31" fillId="0" borderId="13" xfId="1" applyFont="1" applyBorder="1">
      <alignment vertical="center"/>
    </xf>
    <xf numFmtId="9" fontId="31" fillId="0" borderId="19" xfId="1" applyFont="1" applyBorder="1">
      <alignment vertical="center"/>
    </xf>
    <xf numFmtId="9" fontId="0" fillId="0" borderId="0" xfId="1" applyFont="1">
      <alignment vertical="center"/>
    </xf>
    <xf numFmtId="9" fontId="37" fillId="0" borderId="2" xfId="1" applyFont="1" applyBorder="1">
      <alignment vertical="center"/>
    </xf>
    <xf numFmtId="0" fontId="14" fillId="2" borderId="1" xfId="0" applyFont="1" applyFill="1" applyBorder="1">
      <alignment vertical="center"/>
    </xf>
    <xf numFmtId="0" fontId="27" fillId="2" borderId="6" xfId="0" applyFont="1" applyFill="1" applyBorder="1">
      <alignment vertical="center"/>
    </xf>
    <xf numFmtId="49" fontId="38" fillId="9" borderId="5" xfId="0" applyNumberFormat="1" applyFont="1" applyFill="1" applyBorder="1" applyAlignment="1">
      <alignment horizontal="center" vertical="center" wrapText="1"/>
    </xf>
    <xf numFmtId="49" fontId="38" fillId="9" borderId="14" xfId="0" applyNumberFormat="1" applyFont="1" applyFill="1" applyBorder="1" applyAlignment="1">
      <alignment horizontal="center" vertical="center" wrapText="1"/>
    </xf>
    <xf numFmtId="49" fontId="27" fillId="11" borderId="5" xfId="0" applyNumberFormat="1" applyFont="1" applyFill="1" applyBorder="1" applyAlignment="1">
      <alignment horizontal="center" vertical="center" wrapText="1"/>
    </xf>
    <xf numFmtId="49" fontId="27" fillId="11" borderId="14" xfId="0" applyNumberFormat="1" applyFont="1" applyFill="1" applyBorder="1" applyAlignment="1">
      <alignment horizontal="center" vertical="center" wrapText="1"/>
    </xf>
    <xf numFmtId="49" fontId="27" fillId="11" borderId="17" xfId="0" applyNumberFormat="1" applyFont="1" applyFill="1" applyBorder="1" applyAlignment="1">
      <alignment horizontal="center" vertical="center" wrapText="1"/>
    </xf>
    <xf numFmtId="0" fontId="14" fillId="2" borderId="14" xfId="0" applyFont="1" applyFill="1" applyBorder="1" applyAlignment="1">
      <alignment horizontal="center" vertical="center"/>
    </xf>
    <xf numFmtId="0" fontId="27" fillId="12" borderId="14" xfId="0" applyFont="1" applyFill="1" applyBorder="1" applyAlignment="1">
      <alignment horizontal="center" vertical="center"/>
    </xf>
    <xf numFmtId="0" fontId="27" fillId="12" borderId="17" xfId="0" applyFont="1" applyFill="1" applyBorder="1" applyAlignment="1">
      <alignment horizontal="center" vertical="center"/>
    </xf>
    <xf numFmtId="38" fontId="27" fillId="0" borderId="3" xfId="0" applyNumberFormat="1" applyFont="1" applyBorder="1">
      <alignment vertical="center"/>
    </xf>
    <xf numFmtId="0" fontId="29" fillId="0" borderId="0" xfId="0" applyFont="1">
      <alignment vertical="center"/>
    </xf>
    <xf numFmtId="38" fontId="29" fillId="0" borderId="0" xfId="0" applyNumberFormat="1" applyFont="1" applyAlignment="1">
      <alignment horizontal="center" vertical="center"/>
    </xf>
    <xf numFmtId="38" fontId="29" fillId="0" borderId="13" xfId="0" applyNumberFormat="1" applyFont="1" applyBorder="1">
      <alignment vertical="center"/>
    </xf>
    <xf numFmtId="38" fontId="5" fillId="0" borderId="2" xfId="1" applyNumberFormat="1" applyFont="1" applyBorder="1">
      <alignment vertical="center"/>
    </xf>
    <xf numFmtId="38" fontId="5" fillId="0" borderId="13" xfId="1" applyNumberFormat="1" applyFont="1" applyBorder="1">
      <alignment vertical="center"/>
    </xf>
    <xf numFmtId="38" fontId="5" fillId="0" borderId="19" xfId="1" applyNumberFormat="1" applyFont="1" applyBorder="1">
      <alignment vertical="center"/>
    </xf>
    <xf numFmtId="0" fontId="20" fillId="10" borderId="0" xfId="0" applyFont="1" applyFill="1" applyAlignment="1">
      <alignment horizontal="center" vertical="center"/>
    </xf>
    <xf numFmtId="0" fontId="39" fillId="10" borderId="3" xfId="0" applyFont="1" applyFill="1" applyBorder="1" applyAlignment="1">
      <alignment horizontal="right" vertical="center"/>
    </xf>
    <xf numFmtId="0" fontId="23" fillId="10" borderId="16" xfId="0" applyFont="1" applyFill="1" applyBorder="1" applyAlignment="1">
      <alignment horizontal="center"/>
    </xf>
    <xf numFmtId="0" fontId="39" fillId="10" borderId="26" xfId="0" applyFont="1" applyFill="1" applyBorder="1" applyAlignment="1">
      <alignment horizontal="right"/>
    </xf>
    <xf numFmtId="0" fontId="24" fillId="10" borderId="0" xfId="0" applyFont="1" applyFill="1" applyAlignment="1">
      <alignment horizontal="center"/>
    </xf>
    <xf numFmtId="0" fontId="39" fillId="10" borderId="3" xfId="0" applyFont="1" applyFill="1" applyBorder="1" applyAlignment="1">
      <alignment horizontal="right"/>
    </xf>
    <xf numFmtId="0" fontId="0" fillId="0" borderId="0" xfId="0" applyAlignment="1">
      <alignment horizontal="center" vertical="center"/>
    </xf>
    <xf numFmtId="0" fontId="15" fillId="0" borderId="0" xfId="0" applyFont="1" applyAlignment="1">
      <alignment horizontal="center" vertical="center"/>
    </xf>
    <xf numFmtId="0" fontId="39" fillId="0" borderId="0" xfId="0" applyFont="1" applyAlignment="1">
      <alignment horizontal="center" vertical="center"/>
    </xf>
    <xf numFmtId="0" fontId="5" fillId="0" borderId="3" xfId="0" applyFont="1" applyBorder="1">
      <alignment vertical="center"/>
    </xf>
    <xf numFmtId="0" fontId="26" fillId="0" borderId="0" xfId="0" applyFont="1" applyAlignment="1">
      <alignment horizontal="center" vertical="center" wrapText="1"/>
    </xf>
    <xf numFmtId="0" fontId="39" fillId="2" borderId="3" xfId="0" applyFont="1" applyFill="1" applyBorder="1">
      <alignment vertical="center"/>
    </xf>
    <xf numFmtId="0" fontId="39" fillId="0" borderId="3" xfId="0" applyFont="1" applyBorder="1">
      <alignment vertical="center"/>
    </xf>
    <xf numFmtId="37" fontId="5" fillId="0" borderId="0" xfId="4" applyNumberFormat="1" applyFont="1" applyFill="1" applyBorder="1" applyAlignment="1">
      <alignment horizontal="center" vertical="center" wrapText="1"/>
    </xf>
    <xf numFmtId="37" fontId="5" fillId="0" borderId="0" xfId="0" applyNumberFormat="1" applyFont="1" applyAlignment="1">
      <alignment horizontal="center" vertical="center"/>
    </xf>
    <xf numFmtId="0" fontId="5" fillId="0" borderId="27" xfId="0" applyFont="1" applyBorder="1" applyAlignment="1">
      <alignment horizontal="center" vertical="center"/>
    </xf>
    <xf numFmtId="10" fontId="5" fillId="0" borderId="3" xfId="1" applyNumberFormat="1" applyFont="1" applyFill="1" applyBorder="1" applyAlignment="1">
      <alignment horizontal="center" vertical="center"/>
    </xf>
    <xf numFmtId="10" fontId="5" fillId="0" borderId="0" xfId="1" applyNumberFormat="1"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177" fontId="3" fillId="0" borderId="29" xfId="0" applyNumberFormat="1" applyFont="1" applyBorder="1" applyAlignment="1">
      <alignment horizontal="center" vertical="center"/>
    </xf>
    <xf numFmtId="177" fontId="5" fillId="0" borderId="24" xfId="1" quotePrefix="1" applyNumberFormat="1" applyFont="1" applyBorder="1" applyAlignment="1">
      <alignment horizontal="center" vertical="center"/>
    </xf>
    <xf numFmtId="0" fontId="3" fillId="0" borderId="0" xfId="0" applyFont="1" applyAlignment="1">
      <alignment horizontal="center" vertical="center"/>
    </xf>
    <xf numFmtId="177" fontId="3" fillId="0" borderId="0" xfId="0" applyNumberFormat="1" applyFont="1" applyAlignment="1">
      <alignment horizontal="center" vertical="center"/>
    </xf>
    <xf numFmtId="177" fontId="5" fillId="0" borderId="0" xfId="1" quotePrefix="1" applyNumberFormat="1" applyFont="1" applyBorder="1" applyAlignment="1">
      <alignment horizontal="center" vertical="center"/>
    </xf>
    <xf numFmtId="177" fontId="5" fillId="0" borderId="0" xfId="1" applyNumberFormat="1" applyFont="1" applyBorder="1" applyAlignment="1">
      <alignment horizontal="center" vertical="center"/>
    </xf>
    <xf numFmtId="0" fontId="6" fillId="2" borderId="30" xfId="0" applyFont="1" applyFill="1" applyBorder="1" applyAlignment="1">
      <alignment horizontal="center" vertical="center"/>
    </xf>
    <xf numFmtId="0" fontId="6" fillId="2" borderId="31" xfId="0" applyFont="1" applyFill="1" applyBorder="1" applyAlignment="1">
      <alignment horizontal="center" vertical="center"/>
    </xf>
    <xf numFmtId="0" fontId="6" fillId="2" borderId="32" xfId="0" applyFont="1" applyFill="1" applyBorder="1" applyAlignment="1">
      <alignment horizontal="center" vertical="center"/>
    </xf>
    <xf numFmtId="177" fontId="5" fillId="0" borderId="24" xfId="1" applyNumberFormat="1" applyFont="1" applyBorder="1" applyAlignment="1">
      <alignment horizontal="center" vertical="center"/>
    </xf>
    <xf numFmtId="37" fontId="5" fillId="0" borderId="0" xfId="4" quotePrefix="1" applyNumberFormat="1" applyFont="1" applyFill="1" applyBorder="1" applyAlignment="1">
      <alignment horizontal="center" vertical="center" wrapText="1"/>
    </xf>
    <xf numFmtId="0" fontId="26" fillId="12" borderId="33" xfId="0" applyFont="1" applyFill="1" applyBorder="1" applyAlignment="1">
      <alignment horizontal="center" vertical="center"/>
    </xf>
    <xf numFmtId="9" fontId="5" fillId="0" borderId="34" xfId="1" applyFont="1" applyBorder="1" applyAlignment="1">
      <alignment horizontal="center" vertical="center"/>
    </xf>
    <xf numFmtId="177" fontId="5" fillId="0" borderId="35" xfId="1" applyNumberFormat="1" applyFont="1" applyBorder="1" applyAlignment="1">
      <alignment horizontal="center" vertical="center"/>
    </xf>
    <xf numFmtId="0" fontId="27" fillId="0" borderId="0" xfId="0" applyFont="1" applyAlignment="1">
      <alignment horizontal="center" vertical="center"/>
    </xf>
    <xf numFmtId="9" fontId="29" fillId="0" borderId="0" xfId="1" applyFont="1" applyAlignment="1">
      <alignment horizontal="center" vertical="center"/>
    </xf>
    <xf numFmtId="38" fontId="29" fillId="0" borderId="0" xfId="1" applyNumberFormat="1" applyFont="1" applyAlignment="1">
      <alignment horizontal="center" vertical="center"/>
    </xf>
    <xf numFmtId="38" fontId="31" fillId="0" borderId="0" xfId="1" applyNumberFormat="1" applyFont="1">
      <alignment vertical="center"/>
    </xf>
    <xf numFmtId="38" fontId="29" fillId="0" borderId="0" xfId="1" quotePrefix="1" applyNumberFormat="1" applyFont="1" applyBorder="1" applyAlignment="1">
      <alignment horizontal="right" vertical="center"/>
    </xf>
    <xf numFmtId="9" fontId="18" fillId="0" borderId="0" xfId="1" applyFont="1" applyBorder="1" applyAlignment="1">
      <alignment horizontal="right" vertical="center"/>
    </xf>
    <xf numFmtId="180" fontId="18" fillId="0" borderId="0" xfId="1" applyNumberFormat="1" applyFont="1" applyBorder="1" applyAlignment="1">
      <alignment horizontal="right" vertical="center"/>
    </xf>
    <xf numFmtId="0" fontId="6" fillId="2" borderId="0" xfId="0" applyFont="1" applyFill="1" applyAlignment="1">
      <alignment horizontal="center" vertical="center"/>
    </xf>
    <xf numFmtId="177" fontId="4" fillId="0" borderId="0" xfId="1" applyNumberFormat="1" applyFont="1" applyFill="1" applyBorder="1" applyAlignment="1">
      <alignment horizontal="center" vertical="center" wrapText="1"/>
    </xf>
    <xf numFmtId="177" fontId="4" fillId="0" borderId="0" xfId="1" applyNumberFormat="1" applyFont="1" applyFill="1" applyBorder="1" applyAlignment="1">
      <alignment horizontal="center" vertical="center"/>
    </xf>
    <xf numFmtId="37" fontId="5" fillId="0" borderId="0" xfId="0" quotePrefix="1" applyNumberFormat="1" applyFont="1" applyAlignment="1">
      <alignment horizontal="center" vertical="center"/>
    </xf>
    <xf numFmtId="37" fontId="5" fillId="0" borderId="0" xfId="1" applyNumberFormat="1" applyFont="1" applyFill="1" applyBorder="1" applyAlignment="1">
      <alignment horizontal="center" vertical="center"/>
    </xf>
    <xf numFmtId="0" fontId="6" fillId="2" borderId="0" xfId="0" applyFont="1" applyFill="1" applyAlignment="1">
      <alignment horizontal="center" vertical="center" wrapText="1"/>
    </xf>
    <xf numFmtId="0" fontId="26" fillId="12" borderId="0" xfId="0" applyFont="1" applyFill="1" applyAlignment="1">
      <alignment horizontal="center" vertical="center" wrapText="1"/>
    </xf>
    <xf numFmtId="0" fontId="26" fillId="0" borderId="0" xfId="0" applyFont="1" applyAlignment="1">
      <alignment horizontal="left" vertical="center"/>
    </xf>
    <xf numFmtId="38" fontId="26" fillId="0" borderId="0" xfId="0" applyNumberFormat="1" applyFont="1" applyAlignment="1">
      <alignment horizontal="center" vertical="center" wrapText="1"/>
    </xf>
    <xf numFmtId="0" fontId="18" fillId="0" borderId="0" xfId="0" applyFont="1" applyAlignment="1">
      <alignment horizontal="left" vertical="center" indent="1"/>
    </xf>
    <xf numFmtId="9" fontId="18" fillId="0" borderId="0" xfId="1" applyFont="1" applyFill="1" applyBorder="1" applyAlignment="1">
      <alignment horizontal="center" vertical="center" wrapText="1"/>
    </xf>
    <xf numFmtId="9" fontId="18" fillId="0" borderId="0" xfId="1" applyFont="1" applyBorder="1" applyAlignment="1">
      <alignment horizontal="center" vertical="center" wrapText="1"/>
    </xf>
    <xf numFmtId="37" fontId="26" fillId="0" borderId="0" xfId="0" applyNumberFormat="1" applyFont="1" applyAlignment="1">
      <alignment horizontal="center" vertical="center" wrapText="1"/>
    </xf>
    <xf numFmtId="0" fontId="5" fillId="0" borderId="0" xfId="0" applyFont="1" applyAlignment="1">
      <alignment horizontal="left" vertical="center" indent="1"/>
    </xf>
    <xf numFmtId="0" fontId="3" fillId="0" borderId="0" xfId="0" applyFont="1" applyAlignment="1">
      <alignment horizontal="left" vertical="center" indent="1"/>
    </xf>
    <xf numFmtId="0" fontId="40" fillId="0" borderId="0" xfId="0" applyFont="1" applyAlignment="1">
      <alignment horizontal="left" vertical="center"/>
    </xf>
    <xf numFmtId="37" fontId="26" fillId="0" borderId="0" xfId="4" applyNumberFormat="1" applyFont="1" applyFill="1" applyBorder="1" applyAlignment="1">
      <alignment horizontal="center" vertical="center" wrapText="1"/>
    </xf>
    <xf numFmtId="37" fontId="26" fillId="0" borderId="0" xfId="0" applyNumberFormat="1" applyFont="1" applyAlignment="1">
      <alignment horizontal="center" vertical="center"/>
    </xf>
    <xf numFmtId="0" fontId="41" fillId="0" borderId="0" xfId="0" applyFont="1" applyAlignment="1">
      <alignment horizontal="left" vertical="center" indent="1"/>
    </xf>
    <xf numFmtId="0" fontId="5" fillId="0" borderId="0" xfId="0" applyFont="1" applyAlignment="1">
      <alignment horizontal="left" vertical="center"/>
    </xf>
    <xf numFmtId="0" fontId="5" fillId="0" borderId="0" xfId="0" applyFont="1">
      <alignment vertical="center"/>
    </xf>
    <xf numFmtId="9" fontId="18" fillId="0" borderId="0" xfId="1" applyFont="1" applyBorder="1" applyAlignment="1">
      <alignment horizontal="center" vertical="center"/>
    </xf>
    <xf numFmtId="9" fontId="18" fillId="0" borderId="0" xfId="0" applyNumberFormat="1" applyFont="1" applyAlignment="1">
      <alignment horizontal="center" vertical="center"/>
    </xf>
    <xf numFmtId="0" fontId="40" fillId="0" borderId="0" xfId="0" applyFont="1">
      <alignment vertical="center"/>
    </xf>
    <xf numFmtId="37" fontId="26" fillId="0" borderId="0" xfId="1" applyNumberFormat="1" applyFont="1" applyFill="1" applyBorder="1" applyAlignment="1">
      <alignment horizontal="center" vertical="center"/>
    </xf>
    <xf numFmtId="37" fontId="3" fillId="0" borderId="0" xfId="4" applyNumberFormat="1" applyFont="1" applyBorder="1" applyAlignment="1">
      <alignment horizontal="center" vertical="center" wrapText="1"/>
    </xf>
    <xf numFmtId="37" fontId="3" fillId="0" borderId="0" xfId="4" applyNumberFormat="1" applyFont="1" applyFill="1" applyBorder="1" applyAlignment="1">
      <alignment horizontal="center" vertical="center" wrapText="1"/>
    </xf>
    <xf numFmtId="9" fontId="18" fillId="0" borderId="0" xfId="1" applyFont="1" applyBorder="1" applyAlignment="1">
      <alignment horizontal="left" vertical="center" indent="1"/>
    </xf>
    <xf numFmtId="9" fontId="19" fillId="0" borderId="0" xfId="1" applyFont="1" applyBorder="1" applyAlignment="1">
      <alignment horizontal="left" vertical="center" indent="1"/>
    </xf>
    <xf numFmtId="0" fontId="42" fillId="0" borderId="0" xfId="0" applyFont="1">
      <alignment vertical="center"/>
    </xf>
    <xf numFmtId="9" fontId="31" fillId="0" borderId="0" xfId="1" applyFont="1" applyFill="1">
      <alignment vertical="center"/>
    </xf>
    <xf numFmtId="9" fontId="18" fillId="0" borderId="0" xfId="1" applyFont="1" applyFill="1">
      <alignment vertical="center"/>
    </xf>
    <xf numFmtId="9" fontId="0" fillId="0" borderId="0" xfId="1" applyFont="1" applyFill="1">
      <alignment vertical="center"/>
    </xf>
    <xf numFmtId="49" fontId="38" fillId="9" borderId="1" xfId="0" applyNumberFormat="1" applyFont="1" applyFill="1" applyBorder="1" applyAlignment="1">
      <alignment horizontal="center" vertical="center" wrapText="1"/>
    </xf>
    <xf numFmtId="49" fontId="38" fillId="9" borderId="6" xfId="0" applyNumberFormat="1" applyFont="1" applyFill="1" applyBorder="1" applyAlignment="1">
      <alignment horizontal="center" vertical="center" wrapText="1"/>
    </xf>
    <xf numFmtId="49" fontId="38" fillId="0" borderId="0" xfId="0" applyNumberFormat="1" applyFont="1" applyAlignment="1">
      <alignment horizontal="center" vertical="center" wrapText="1"/>
    </xf>
    <xf numFmtId="0" fontId="14" fillId="2" borderId="14" xfId="0" applyFont="1" applyFill="1" applyBorder="1">
      <alignment vertical="center"/>
    </xf>
    <xf numFmtId="0" fontId="42" fillId="2" borderId="14" xfId="0" applyFont="1" applyFill="1" applyBorder="1" applyAlignment="1">
      <alignment horizontal="center" vertical="center"/>
    </xf>
    <xf numFmtId="0" fontId="29" fillId="0" borderId="6" xfId="0" applyFont="1" applyBorder="1">
      <alignment vertical="center"/>
    </xf>
    <xf numFmtId="178" fontId="29" fillId="0" borderId="6" xfId="0" applyNumberFormat="1" applyFont="1" applyBorder="1" applyAlignment="1">
      <alignment horizontal="center" vertical="center"/>
    </xf>
    <xf numFmtId="178" fontId="29" fillId="0" borderId="0" xfId="0" applyNumberFormat="1" applyFont="1" applyAlignment="1">
      <alignment horizontal="center" vertical="center"/>
    </xf>
    <xf numFmtId="178" fontId="29" fillId="0" borderId="13" xfId="0" applyNumberFormat="1" applyFont="1" applyBorder="1" applyAlignment="1">
      <alignment horizontal="center" vertical="center"/>
    </xf>
    <xf numFmtId="9" fontId="31" fillId="0" borderId="6" xfId="1" applyFont="1" applyBorder="1">
      <alignment vertical="center"/>
    </xf>
    <xf numFmtId="178" fontId="29" fillId="0" borderId="6" xfId="1" applyNumberFormat="1" applyFont="1" applyBorder="1" applyAlignment="1">
      <alignment horizontal="center" vertical="center"/>
    </xf>
    <xf numFmtId="9" fontId="29" fillId="0" borderId="13" xfId="1" applyFont="1" applyBorder="1">
      <alignment vertical="center"/>
    </xf>
    <xf numFmtId="178" fontId="29" fillId="0" borderId="13" xfId="1" applyNumberFormat="1" applyFont="1" applyBorder="1" applyAlignment="1">
      <alignment horizontal="center" vertical="center"/>
    </xf>
    <xf numFmtId="0" fontId="15" fillId="0" borderId="13" xfId="0" applyFont="1" applyBorder="1">
      <alignment vertical="center"/>
    </xf>
    <xf numFmtId="0" fontId="29" fillId="0" borderId="0" xfId="0" applyFont="1" applyAlignment="1">
      <alignment horizontal="center" vertical="center"/>
    </xf>
    <xf numFmtId="37" fontId="29" fillId="0" borderId="0" xfId="1" applyNumberFormat="1" applyFont="1" applyFill="1" applyBorder="1" applyAlignment="1">
      <alignment horizontal="center" vertical="center"/>
    </xf>
    <xf numFmtId="38" fontId="5" fillId="0" borderId="0" xfId="1" applyNumberFormat="1" applyFont="1" applyBorder="1">
      <alignment vertical="center"/>
    </xf>
    <xf numFmtId="38" fontId="5" fillId="0" borderId="0" xfId="0" applyNumberFormat="1" applyFont="1">
      <alignment vertical="center"/>
    </xf>
    <xf numFmtId="38" fontId="5" fillId="0" borderId="13" xfId="1" applyNumberFormat="1" applyFont="1" applyBorder="1" applyAlignment="1">
      <alignment horizontal="left" vertical="center"/>
    </xf>
    <xf numFmtId="9" fontId="37" fillId="0" borderId="0" xfId="1" applyFont="1" applyBorder="1">
      <alignment vertical="center"/>
    </xf>
    <xf numFmtId="0" fontId="0" fillId="0" borderId="24" xfId="0" applyBorder="1">
      <alignment vertical="center"/>
    </xf>
    <xf numFmtId="0" fontId="0" fillId="0" borderId="25" xfId="0" applyBorder="1" applyAlignment="1">
      <alignment horizontal="center" vertical="center"/>
    </xf>
    <xf numFmtId="0" fontId="0" fillId="0" borderId="25" xfId="0" applyBorder="1" applyAlignment="1">
      <alignment horizontal="centerContinuous" vertical="center"/>
    </xf>
    <xf numFmtId="9" fontId="15" fillId="0" borderId="0" xfId="1" applyFont="1">
      <alignment vertical="center"/>
    </xf>
    <xf numFmtId="3" fontId="43" fillId="0" borderId="0" xfId="0" applyNumberFormat="1" applyFont="1" applyAlignment="1">
      <alignment horizontal="center"/>
    </xf>
    <xf numFmtId="37" fontId="29" fillId="0" borderId="0" xfId="0" applyNumberFormat="1" applyFont="1" applyAlignment="1">
      <alignment horizontal="center" vertical="center"/>
    </xf>
    <xf numFmtId="37" fontId="29" fillId="0" borderId="18" xfId="0" applyNumberFormat="1" applyFont="1" applyBorder="1" applyAlignment="1">
      <alignment horizontal="center" vertical="center"/>
    </xf>
    <xf numFmtId="9" fontId="18" fillId="0" borderId="13" xfId="1" applyFont="1" applyBorder="1" applyAlignment="1">
      <alignment horizontal="center" vertical="center"/>
    </xf>
    <xf numFmtId="38" fontId="29" fillId="0" borderId="19" xfId="0" applyNumberFormat="1" applyFont="1" applyBorder="1">
      <alignment vertical="center"/>
    </xf>
    <xf numFmtId="0" fontId="15" fillId="0" borderId="19" xfId="0" applyFont="1" applyBorder="1">
      <alignment vertical="center"/>
    </xf>
    <xf numFmtId="37" fontId="31" fillId="0" borderId="13" xfId="1" applyNumberFormat="1" applyFont="1" applyBorder="1" applyAlignment="1">
      <alignment horizontal="center" vertical="center"/>
    </xf>
    <xf numFmtId="0" fontId="14" fillId="2" borderId="5" xfId="0" applyFont="1" applyFill="1" applyBorder="1">
      <alignment vertical="center"/>
    </xf>
    <xf numFmtId="0" fontId="27" fillId="2" borderId="14" xfId="0" applyFont="1" applyFill="1" applyBorder="1">
      <alignment vertical="center"/>
    </xf>
    <xf numFmtId="0" fontId="44" fillId="2" borderId="17" xfId="0" applyFont="1" applyFill="1" applyBorder="1" applyAlignment="1">
      <alignment horizontal="center" vertical="center"/>
    </xf>
    <xf numFmtId="0" fontId="45" fillId="0" borderId="18" xfId="0" applyFont="1" applyBorder="1" applyAlignment="1">
      <alignment horizontal="center" vertical="center"/>
    </xf>
    <xf numFmtId="0" fontId="45" fillId="0" borderId="19" xfId="0" applyFont="1" applyBorder="1" applyAlignment="1">
      <alignment horizontal="center" vertical="center"/>
    </xf>
    <xf numFmtId="9" fontId="15" fillId="0" borderId="0" xfId="1" applyFont="1" applyAlignment="1">
      <alignment horizontal="center" vertical="center"/>
    </xf>
    <xf numFmtId="0" fontId="44" fillId="2" borderId="36" xfId="0" applyFont="1" applyFill="1" applyBorder="1" applyAlignment="1">
      <alignment horizontal="center" vertical="center"/>
    </xf>
    <xf numFmtId="0" fontId="45" fillId="0" borderId="37" xfId="0" applyFont="1" applyBorder="1" applyAlignment="1">
      <alignment horizontal="center" vertical="center"/>
    </xf>
    <xf numFmtId="0" fontId="45" fillId="0" borderId="38" xfId="0" applyFont="1" applyBorder="1" applyAlignment="1">
      <alignment horizontal="center" vertical="center"/>
    </xf>
    <xf numFmtId="9" fontId="31" fillId="0" borderId="15" xfId="1" applyFont="1" applyBorder="1">
      <alignment vertical="center"/>
    </xf>
    <xf numFmtId="9" fontId="31" fillId="0" borderId="21" xfId="1" applyFont="1" applyBorder="1">
      <alignment vertical="center"/>
    </xf>
    <xf numFmtId="0" fontId="14" fillId="2" borderId="5" xfId="0" applyFont="1" applyFill="1" applyBorder="1" applyAlignment="1">
      <alignment horizontal="center" vertical="center"/>
    </xf>
    <xf numFmtId="37" fontId="29" fillId="0" borderId="3" xfId="0" applyNumberFormat="1" applyFont="1" applyBorder="1" applyAlignment="1">
      <alignment horizontal="center" vertical="center"/>
    </xf>
    <xf numFmtId="38" fontId="29" fillId="0" borderId="2" xfId="0" applyNumberFormat="1" applyFont="1" applyBorder="1">
      <alignment vertical="center"/>
    </xf>
    <xf numFmtId="0" fontId="15" fillId="0" borderId="2" xfId="0" applyFont="1" applyBorder="1">
      <alignment vertical="center"/>
    </xf>
    <xf numFmtId="9" fontId="46" fillId="0" borderId="2" xfId="1" applyFont="1" applyBorder="1">
      <alignment vertical="center"/>
    </xf>
    <xf numFmtId="0" fontId="27" fillId="12" borderId="5" xfId="0" applyFont="1" applyFill="1" applyBorder="1" applyAlignment="1">
      <alignment horizontal="center" vertical="center"/>
    </xf>
    <xf numFmtId="38" fontId="27" fillId="0" borderId="2" xfId="0" applyNumberFormat="1" applyFont="1" applyBorder="1">
      <alignment vertical="center"/>
    </xf>
    <xf numFmtId="38" fontId="29" fillId="0" borderId="13" xfId="0" quotePrefix="1" applyNumberFormat="1" applyFont="1" applyBorder="1" applyAlignment="1">
      <alignment horizontal="center" vertical="center"/>
    </xf>
    <xf numFmtId="180" fontId="29" fillId="0" borderId="13" xfId="0" applyNumberFormat="1" applyFont="1" applyBorder="1" applyAlignment="1">
      <alignment horizontal="center" vertical="center"/>
    </xf>
    <xf numFmtId="180" fontId="29" fillId="0" borderId="19" xfId="0" applyNumberFormat="1" applyFont="1" applyBorder="1" applyAlignment="1">
      <alignment horizontal="center" vertical="center"/>
    </xf>
    <xf numFmtId="9" fontId="5" fillId="0" borderId="0" xfId="1" applyFont="1">
      <alignment vertical="center"/>
    </xf>
    <xf numFmtId="1" fontId="5" fillId="0" borderId="0" xfId="0" applyNumberFormat="1" applyFont="1" applyAlignment="1">
      <alignment horizontal="center" vertical="center" wrapText="1"/>
    </xf>
    <xf numFmtId="1" fontId="26" fillId="0" borderId="0" xfId="0" applyNumberFormat="1" applyFont="1" applyAlignment="1">
      <alignment horizontal="center" vertical="center" wrapText="1"/>
    </xf>
    <xf numFmtId="37" fontId="0" fillId="0" borderId="0" xfId="0" applyNumberFormat="1">
      <alignment vertical="center"/>
    </xf>
    <xf numFmtId="0" fontId="4" fillId="0" borderId="0" xfId="0" applyFont="1">
      <alignment vertical="center"/>
    </xf>
    <xf numFmtId="179" fontId="49" fillId="0" borderId="0" xfId="5" applyNumberFormat="1" applyFont="1" applyBorder="1">
      <alignment vertical="center"/>
    </xf>
    <xf numFmtId="179" fontId="29" fillId="0" borderId="0" xfId="5" applyNumberFormat="1" applyFont="1" applyBorder="1">
      <alignment vertical="center"/>
    </xf>
    <xf numFmtId="0" fontId="52" fillId="2" borderId="36" xfId="0" applyFont="1" applyFill="1" applyBorder="1" applyAlignment="1">
      <alignment horizontal="center" vertical="center"/>
    </xf>
    <xf numFmtId="0" fontId="24" fillId="0" borderId="0" xfId="0" applyFont="1" applyAlignment="1">
      <alignment horizontal="left"/>
    </xf>
    <xf numFmtId="0" fontId="22" fillId="0" borderId="0" xfId="0" applyFont="1" applyAlignment="1">
      <alignment horizontal="right"/>
    </xf>
    <xf numFmtId="183" fontId="51" fillId="0" borderId="0" xfId="0" applyNumberFormat="1" applyFont="1" applyAlignment="1">
      <alignment horizontal="center" vertical="center"/>
    </xf>
    <xf numFmtId="4" fontId="51" fillId="0" borderId="0" xfId="0" applyNumberFormat="1" applyFont="1" applyAlignment="1">
      <alignment horizontal="right" vertical="center"/>
    </xf>
    <xf numFmtId="0" fontId="34" fillId="0" borderId="0" xfId="0" applyFont="1" applyAlignment="1">
      <alignment horizontal="right"/>
    </xf>
    <xf numFmtId="183" fontId="53" fillId="0" borderId="0" xfId="0" applyNumberFormat="1" applyFont="1" applyAlignment="1">
      <alignment horizontal="center" vertical="center"/>
    </xf>
    <xf numFmtId="4" fontId="53" fillId="0" borderId="0" xfId="0" applyNumberFormat="1" applyFont="1" applyAlignment="1">
      <alignment horizontal="right" vertical="center"/>
    </xf>
    <xf numFmtId="2" fontId="15" fillId="0" borderId="0" xfId="0" applyNumberFormat="1" applyFont="1">
      <alignment vertical="center"/>
    </xf>
    <xf numFmtId="0" fontId="17" fillId="0" borderId="0" xfId="6"/>
    <xf numFmtId="0" fontId="54" fillId="0" borderId="0" xfId="6" applyFont="1" applyAlignment="1">
      <alignment vertical="center" wrapText="1"/>
    </xf>
    <xf numFmtId="0" fontId="55" fillId="0" borderId="0" xfId="6" applyFont="1" applyAlignment="1">
      <alignment horizontal="right" vertical="center" wrapText="1"/>
    </xf>
    <xf numFmtId="0" fontId="56" fillId="0" borderId="39" xfId="6" applyFont="1" applyBorder="1" applyAlignment="1">
      <alignment horizontal="justify" vertical="center" wrapText="1"/>
    </xf>
    <xf numFmtId="0" fontId="56" fillId="0" borderId="0" xfId="6" applyFont="1" applyAlignment="1">
      <alignment horizontal="justify" vertical="center" wrapText="1"/>
    </xf>
    <xf numFmtId="181" fontId="57" fillId="0" borderId="40" xfId="6" applyNumberFormat="1" applyFont="1" applyBorder="1" applyAlignment="1">
      <alignment horizontal="right" vertical="center" wrapText="1"/>
    </xf>
    <xf numFmtId="0" fontId="57" fillId="0" borderId="40" xfId="6" applyFont="1" applyBorder="1" applyAlignment="1">
      <alignment vertical="center" wrapText="1"/>
    </xf>
    <xf numFmtId="184" fontId="57" fillId="0" borderId="40" xfId="6" applyNumberFormat="1" applyFont="1" applyBorder="1" applyAlignment="1">
      <alignment horizontal="right" vertical="center" wrapText="1"/>
    </xf>
    <xf numFmtId="0" fontId="57" fillId="0" borderId="40" xfId="6" applyFont="1" applyBorder="1" applyAlignment="1">
      <alignment horizontal="right" vertical="center" wrapText="1"/>
    </xf>
    <xf numFmtId="181" fontId="57" fillId="0" borderId="0" xfId="6" applyNumberFormat="1" applyFont="1" applyAlignment="1">
      <alignment horizontal="right" vertical="center" wrapText="1"/>
    </xf>
    <xf numFmtId="0" fontId="57" fillId="0" borderId="0" xfId="6" applyFont="1" applyAlignment="1">
      <alignment vertical="center" wrapText="1"/>
    </xf>
    <xf numFmtId="0" fontId="57" fillId="0" borderId="0" xfId="6" applyFont="1" applyAlignment="1">
      <alignment horizontal="right" vertical="center" wrapText="1"/>
    </xf>
    <xf numFmtId="184" fontId="58" fillId="0" borderId="0" xfId="6" applyNumberFormat="1" applyFont="1" applyAlignment="1">
      <alignment horizontal="right" vertical="center" wrapText="1"/>
    </xf>
    <xf numFmtId="0" fontId="58" fillId="0" borderId="0" xfId="6" applyFont="1" applyAlignment="1">
      <alignment horizontal="right" vertical="center" wrapText="1"/>
    </xf>
    <xf numFmtId="177" fontId="59" fillId="0" borderId="19" xfId="3" applyNumberFormat="1" applyFont="1" applyBorder="1">
      <alignment vertical="center"/>
    </xf>
    <xf numFmtId="177" fontId="59" fillId="0" borderId="13" xfId="3" applyNumberFormat="1" applyFont="1" applyBorder="1">
      <alignment vertical="center"/>
    </xf>
    <xf numFmtId="0" fontId="59" fillId="0" borderId="13" xfId="6" applyFont="1" applyBorder="1" applyAlignment="1">
      <alignment vertical="center"/>
    </xf>
    <xf numFmtId="0" fontId="60" fillId="0" borderId="2" xfId="6" applyFont="1" applyBorder="1" applyAlignment="1">
      <alignment vertical="center"/>
    </xf>
    <xf numFmtId="177" fontId="61" fillId="13" borderId="18" xfId="3" applyNumberFormat="1" applyFont="1" applyFill="1" applyBorder="1">
      <alignment vertical="center"/>
    </xf>
    <xf numFmtId="177" fontId="59" fillId="0" borderId="0" xfId="3" applyNumberFormat="1" applyFont="1" applyBorder="1">
      <alignment vertical="center"/>
    </xf>
    <xf numFmtId="0" fontId="59" fillId="0" borderId="0" xfId="6" applyFont="1" applyAlignment="1">
      <alignment vertical="center"/>
    </xf>
    <xf numFmtId="0" fontId="60" fillId="0" borderId="3" xfId="6" applyFont="1" applyBorder="1" applyAlignment="1">
      <alignment vertical="center"/>
    </xf>
    <xf numFmtId="0" fontId="59" fillId="0" borderId="3" xfId="6" applyFont="1" applyBorder="1" applyAlignment="1">
      <alignment vertical="center"/>
    </xf>
    <xf numFmtId="41" fontId="59" fillId="0" borderId="0" xfId="5" applyFont="1" applyFill="1" applyBorder="1">
      <alignment vertical="center"/>
    </xf>
    <xf numFmtId="177" fontId="59" fillId="0" borderId="18" xfId="3" applyNumberFormat="1" applyFont="1" applyBorder="1">
      <alignment vertical="center"/>
    </xf>
    <xf numFmtId="0" fontId="22" fillId="14" borderId="22" xfId="6" applyFont="1" applyFill="1" applyBorder="1" applyAlignment="1">
      <alignment horizontal="center" vertical="center"/>
    </xf>
    <xf numFmtId="0" fontId="22" fillId="14" borderId="6" xfId="6" applyFont="1" applyFill="1" applyBorder="1" applyAlignment="1">
      <alignment horizontal="center" vertical="center"/>
    </xf>
    <xf numFmtId="0" fontId="62" fillId="14" borderId="6" xfId="6" applyFont="1" applyFill="1" applyBorder="1" applyAlignment="1">
      <alignment vertical="center"/>
    </xf>
    <xf numFmtId="0" fontId="62" fillId="14" borderId="1" xfId="6" applyFont="1" applyFill="1" applyBorder="1" applyAlignment="1">
      <alignment vertical="center"/>
    </xf>
    <xf numFmtId="0" fontId="57" fillId="0" borderId="13" xfId="6" applyFont="1" applyBorder="1" applyAlignment="1">
      <alignment vertical="center" wrapText="1"/>
    </xf>
    <xf numFmtId="38" fontId="63" fillId="0" borderId="18" xfId="6" applyNumberFormat="1" applyFont="1" applyBorder="1" applyAlignment="1">
      <alignment horizontal="right" vertical="center"/>
    </xf>
    <xf numFmtId="38" fontId="63" fillId="0" borderId="0" xfId="6" applyNumberFormat="1" applyFont="1" applyAlignment="1">
      <alignment horizontal="right" vertical="center"/>
    </xf>
    <xf numFmtId="0" fontId="63" fillId="0" borderId="0" xfId="6" applyFont="1" applyAlignment="1">
      <alignment vertical="center"/>
    </xf>
    <xf numFmtId="0" fontId="63" fillId="0" borderId="3" xfId="6" applyFont="1" applyBorder="1" applyAlignment="1">
      <alignment vertical="center"/>
    </xf>
    <xf numFmtId="184" fontId="57" fillId="0" borderId="0" xfId="6" applyNumberFormat="1" applyFont="1" applyAlignment="1">
      <alignment horizontal="right" vertical="center" wrapText="1"/>
    </xf>
    <xf numFmtId="38" fontId="60" fillId="0" borderId="19" xfId="6" applyNumberFormat="1" applyFont="1" applyBorder="1" applyAlignment="1">
      <alignment horizontal="right" vertical="center"/>
    </xf>
    <xf numFmtId="38" fontId="60" fillId="0" borderId="13" xfId="6" applyNumberFormat="1" applyFont="1" applyBorder="1" applyAlignment="1">
      <alignment horizontal="right" vertical="center"/>
    </xf>
    <xf numFmtId="38" fontId="64" fillId="0" borderId="13" xfId="6" applyNumberFormat="1" applyFont="1" applyBorder="1" applyAlignment="1">
      <alignment horizontal="right" vertical="center"/>
    </xf>
    <xf numFmtId="0" fontId="60" fillId="0" borderId="13" xfId="6" applyFont="1" applyBorder="1" applyAlignment="1">
      <alignment vertical="center"/>
    </xf>
    <xf numFmtId="186" fontId="60" fillId="0" borderId="18" xfId="6" applyNumberFormat="1" applyFont="1" applyBorder="1" applyAlignment="1">
      <alignment horizontal="right" vertical="center"/>
    </xf>
    <xf numFmtId="186" fontId="60" fillId="0" borderId="0" xfId="6" applyNumberFormat="1" applyFont="1" applyAlignment="1">
      <alignment horizontal="right" vertical="center"/>
    </xf>
    <xf numFmtId="186" fontId="64" fillId="0" borderId="0" xfId="6" applyNumberFormat="1" applyFont="1" applyAlignment="1">
      <alignment horizontal="right" vertical="center"/>
    </xf>
    <xf numFmtId="0" fontId="60" fillId="0" borderId="0" xfId="6" applyFont="1" applyAlignment="1">
      <alignment vertical="center"/>
    </xf>
    <xf numFmtId="38" fontId="60" fillId="0" borderId="18" xfId="6" applyNumberFormat="1" applyFont="1" applyBorder="1" applyAlignment="1">
      <alignment horizontal="right" vertical="center"/>
    </xf>
    <xf numFmtId="38" fontId="60" fillId="0" borderId="0" xfId="6" applyNumberFormat="1" applyFont="1" applyAlignment="1">
      <alignment horizontal="right" vertical="center"/>
    </xf>
    <xf numFmtId="38" fontId="64" fillId="0" borderId="0" xfId="6" applyNumberFormat="1" applyFont="1" applyAlignment="1">
      <alignment horizontal="right" vertical="center"/>
    </xf>
    <xf numFmtId="38" fontId="67" fillId="0" borderId="18" xfId="6" applyNumberFormat="1" applyFont="1" applyBorder="1" applyAlignment="1">
      <alignment horizontal="right" vertical="center"/>
    </xf>
    <xf numFmtId="38" fontId="67" fillId="0" borderId="41" xfId="6" applyNumberFormat="1" applyFont="1" applyBorder="1" applyAlignment="1">
      <alignment horizontal="right" vertical="center"/>
    </xf>
    <xf numFmtId="38" fontId="67" fillId="0" borderId="0" xfId="6" applyNumberFormat="1" applyFont="1" applyAlignment="1">
      <alignment horizontal="right" vertical="center"/>
    </xf>
    <xf numFmtId="0" fontId="68" fillId="0" borderId="3" xfId="6" applyFont="1" applyBorder="1" applyAlignment="1">
      <alignment vertical="center"/>
    </xf>
    <xf numFmtId="187" fontId="60" fillId="0" borderId="42" xfId="6" applyNumberFormat="1" applyFont="1" applyBorder="1" applyAlignment="1">
      <alignment horizontal="center" vertical="center"/>
    </xf>
    <xf numFmtId="187" fontId="60" fillId="0" borderId="43" xfId="6" applyNumberFormat="1" applyFont="1" applyBorder="1" applyAlignment="1">
      <alignment horizontal="center" vertical="center"/>
    </xf>
    <xf numFmtId="188" fontId="60" fillId="15" borderId="43" xfId="6" applyNumberFormat="1" applyFont="1" applyFill="1" applyBorder="1" applyAlignment="1">
      <alignment horizontal="center" vertical="center"/>
    </xf>
    <xf numFmtId="0" fontId="60" fillId="15" borderId="43" xfId="6" applyFont="1" applyFill="1" applyBorder="1" applyAlignment="1">
      <alignment vertical="center"/>
    </xf>
    <xf numFmtId="0" fontId="68" fillId="15" borderId="44" xfId="6" applyFont="1" applyFill="1" applyBorder="1" applyAlignment="1">
      <alignment vertical="center"/>
    </xf>
    <xf numFmtId="0" fontId="60" fillId="0" borderId="14" xfId="6" applyFont="1" applyBorder="1" applyAlignment="1">
      <alignment vertical="center"/>
    </xf>
    <xf numFmtId="185" fontId="60" fillId="0" borderId="19" xfId="6" applyNumberFormat="1" applyFont="1" applyBorder="1" applyAlignment="1">
      <alignment vertical="center"/>
    </xf>
    <xf numFmtId="185" fontId="60" fillId="0" borderId="13" xfId="6" applyNumberFormat="1" applyFont="1" applyBorder="1" applyAlignment="1">
      <alignment vertical="center"/>
    </xf>
    <xf numFmtId="0" fontId="69" fillId="0" borderId="13" xfId="6" applyFont="1" applyBorder="1" applyAlignment="1">
      <alignment vertical="center"/>
    </xf>
    <xf numFmtId="185" fontId="70" fillId="13" borderId="18" xfId="6" applyNumberFormat="1" applyFont="1" applyFill="1" applyBorder="1" applyAlignment="1">
      <alignment vertical="center"/>
    </xf>
    <xf numFmtId="185" fontId="70" fillId="13" borderId="0" xfId="6" applyNumberFormat="1" applyFont="1" applyFill="1" applyAlignment="1">
      <alignment vertical="center"/>
    </xf>
    <xf numFmtId="185" fontId="60" fillId="0" borderId="0" xfId="6" applyNumberFormat="1" applyFont="1" applyAlignment="1">
      <alignment vertical="center"/>
    </xf>
    <xf numFmtId="0" fontId="71" fillId="16" borderId="40" xfId="6" applyFont="1" applyFill="1" applyBorder="1" applyAlignment="1">
      <alignment horizontal="right" vertical="center" wrapText="1"/>
    </xf>
    <xf numFmtId="0" fontId="71" fillId="16" borderId="40" xfId="6" applyFont="1" applyFill="1" applyBorder="1" applyAlignment="1">
      <alignment vertical="center" wrapText="1"/>
    </xf>
    <xf numFmtId="0" fontId="55" fillId="0" borderId="0" xfId="6" applyFont="1" applyAlignment="1">
      <alignment vertical="center" wrapText="1"/>
    </xf>
    <xf numFmtId="181" fontId="58" fillId="0" borderId="40" xfId="6" applyNumberFormat="1" applyFont="1" applyBorder="1" applyAlignment="1">
      <alignment horizontal="right" vertical="center" wrapText="1"/>
    </xf>
    <xf numFmtId="0" fontId="58" fillId="0" borderId="40" xfId="6" applyFont="1" applyBorder="1" applyAlignment="1">
      <alignment horizontal="right" vertical="center" wrapText="1"/>
    </xf>
    <xf numFmtId="0" fontId="60" fillId="0" borderId="18" xfId="6" applyFont="1" applyBorder="1" applyAlignment="1">
      <alignment vertical="center"/>
    </xf>
    <xf numFmtId="181" fontId="58" fillId="0" borderId="0" xfId="6" applyNumberFormat="1" applyFont="1" applyAlignment="1">
      <alignment horizontal="right" vertical="center" wrapText="1"/>
    </xf>
    <xf numFmtId="0" fontId="22" fillId="14" borderId="45" xfId="6" applyFont="1" applyFill="1" applyBorder="1" applyAlignment="1">
      <alignment horizontal="center" vertical="center"/>
    </xf>
    <xf numFmtId="0" fontId="22" fillId="14" borderId="46" xfId="6" applyFont="1" applyFill="1" applyBorder="1" applyAlignment="1">
      <alignment horizontal="center" vertical="center"/>
    </xf>
    <xf numFmtId="0" fontId="57" fillId="0" borderId="0" xfId="6" applyFont="1" applyAlignment="1">
      <alignment horizontal="left" vertical="center" wrapText="1" indent="1"/>
    </xf>
    <xf numFmtId="38" fontId="68" fillId="0" borderId="18" xfId="6" applyNumberFormat="1" applyFont="1" applyBorder="1" applyAlignment="1">
      <alignment horizontal="right" vertical="center"/>
    </xf>
    <xf numFmtId="38" fontId="68" fillId="0" borderId="0" xfId="6" applyNumberFormat="1" applyFont="1" applyAlignment="1">
      <alignment horizontal="right" vertical="center"/>
    </xf>
    <xf numFmtId="38" fontId="68" fillId="0" borderId="47" xfId="6" applyNumberFormat="1" applyFont="1" applyBorder="1" applyAlignment="1">
      <alignment horizontal="right" vertical="center"/>
    </xf>
    <xf numFmtId="0" fontId="68" fillId="0" borderId="0" xfId="6" applyFont="1" applyAlignment="1">
      <alignment vertical="center"/>
    </xf>
    <xf numFmtId="38" fontId="68" fillId="0" borderId="48" xfId="6" applyNumberFormat="1" applyFont="1" applyBorder="1" applyAlignment="1">
      <alignment horizontal="right" vertical="center"/>
    </xf>
    <xf numFmtId="0" fontId="68" fillId="0" borderId="47" xfId="6" applyFont="1" applyBorder="1" applyAlignment="1">
      <alignment vertical="center"/>
    </xf>
    <xf numFmtId="0" fontId="68" fillId="0" borderId="49" xfId="6" applyFont="1" applyBorder="1" applyAlignment="1">
      <alignment vertical="center"/>
    </xf>
    <xf numFmtId="38" fontId="60" fillId="0" borderId="22" xfId="6" applyNumberFormat="1" applyFont="1" applyBorder="1" applyAlignment="1">
      <alignment horizontal="right" vertical="center"/>
    </xf>
    <xf numFmtId="38" fontId="60" fillId="0" borderId="6" xfId="6" applyNumberFormat="1" applyFont="1" applyBorder="1" applyAlignment="1">
      <alignment horizontal="right" vertical="center"/>
    </xf>
    <xf numFmtId="38" fontId="64" fillId="0" borderId="6" xfId="6" applyNumberFormat="1" applyFont="1" applyBorder="1" applyAlignment="1">
      <alignment horizontal="right" vertical="center"/>
    </xf>
    <xf numFmtId="0" fontId="60" fillId="0" borderId="6" xfId="6" applyFont="1" applyBorder="1" applyAlignment="1">
      <alignment vertical="center"/>
    </xf>
    <xf numFmtId="0" fontId="68" fillId="0" borderId="1" xfId="6" applyFont="1" applyBorder="1" applyAlignment="1">
      <alignment vertical="center"/>
    </xf>
    <xf numFmtId="187" fontId="60" fillId="0" borderId="22" xfId="6" applyNumberFormat="1" applyFont="1" applyBorder="1" applyAlignment="1">
      <alignment horizontal="center" vertical="center"/>
    </xf>
    <xf numFmtId="187" fontId="60" fillId="0" borderId="6" xfId="6" applyNumberFormat="1" applyFont="1" applyBorder="1" applyAlignment="1">
      <alignment horizontal="center" vertical="center"/>
    </xf>
    <xf numFmtId="188" fontId="60" fillId="15" borderId="6" xfId="6" applyNumberFormat="1" applyFont="1" applyFill="1" applyBorder="1" applyAlignment="1">
      <alignment horizontal="center" vertical="center"/>
    </xf>
    <xf numFmtId="0" fontId="60" fillId="15" borderId="6" xfId="6" applyFont="1" applyFill="1" applyBorder="1" applyAlignment="1">
      <alignment vertical="center"/>
    </xf>
    <xf numFmtId="0" fontId="68" fillId="15" borderId="1" xfId="6" applyFont="1" applyFill="1" applyBorder="1" applyAlignment="1">
      <alignment vertical="center"/>
    </xf>
    <xf numFmtId="0" fontId="17" fillId="0" borderId="3" xfId="6" applyBorder="1"/>
    <xf numFmtId="38" fontId="68" fillId="0" borderId="19" xfId="7" applyNumberFormat="1" applyFont="1" applyBorder="1">
      <alignment vertical="center"/>
    </xf>
    <xf numFmtId="38" fontId="68" fillId="0" borderId="13" xfId="7" applyNumberFormat="1" applyFont="1" applyBorder="1">
      <alignment vertical="center"/>
    </xf>
    <xf numFmtId="38" fontId="68" fillId="0" borderId="14" xfId="7" applyNumberFormat="1" applyFont="1" applyBorder="1">
      <alignment vertical="center"/>
    </xf>
    <xf numFmtId="38" fontId="68" fillId="0" borderId="50" xfId="7" applyNumberFormat="1" applyFont="1" applyBorder="1">
      <alignment vertical="center"/>
    </xf>
    <xf numFmtId="0" fontId="68" fillId="0" borderId="51" xfId="8" applyFont="1" applyBorder="1">
      <alignment vertical="center"/>
    </xf>
    <xf numFmtId="0" fontId="68" fillId="0" borderId="2" xfId="8" applyFont="1" applyBorder="1">
      <alignment vertical="center"/>
    </xf>
    <xf numFmtId="189" fontId="56" fillId="0" borderId="0" xfId="6" applyNumberFormat="1" applyFont="1" applyAlignment="1">
      <alignment horizontal="justify" vertical="center" wrapText="1"/>
    </xf>
    <xf numFmtId="38" fontId="64" fillId="0" borderId="18" xfId="7" applyNumberFormat="1" applyFont="1" applyBorder="1">
      <alignment vertical="center"/>
    </xf>
    <xf numFmtId="38" fontId="64" fillId="0" borderId="0" xfId="7" applyNumberFormat="1" applyFont="1" applyBorder="1">
      <alignment vertical="center"/>
    </xf>
    <xf numFmtId="38" fontId="64" fillId="0" borderId="52" xfId="7" applyNumberFormat="1" applyFont="1" applyBorder="1">
      <alignment vertical="center"/>
    </xf>
    <xf numFmtId="0" fontId="60" fillId="0" borderId="53" xfId="8" applyFont="1" applyBorder="1">
      <alignment vertical="center"/>
    </xf>
    <xf numFmtId="0" fontId="60" fillId="0" borderId="3" xfId="8" applyFont="1" applyBorder="1">
      <alignment vertical="center"/>
    </xf>
    <xf numFmtId="9" fontId="59" fillId="0" borderId="18" xfId="9" applyFont="1" applyBorder="1">
      <alignment vertical="center"/>
    </xf>
    <xf numFmtId="9" fontId="59" fillId="0" borderId="0" xfId="9" applyFont="1" applyBorder="1">
      <alignment vertical="center"/>
    </xf>
    <xf numFmtId="0" fontId="59" fillId="0" borderId="52" xfId="10" applyFont="1" applyBorder="1">
      <alignment vertical="center"/>
    </xf>
    <xf numFmtId="0" fontId="59" fillId="0" borderId="53" xfId="10" applyFont="1" applyBorder="1">
      <alignment vertical="center"/>
    </xf>
    <xf numFmtId="0" fontId="68" fillId="0" borderId="3" xfId="8" applyFont="1" applyBorder="1">
      <alignment vertical="center"/>
    </xf>
    <xf numFmtId="38" fontId="68" fillId="0" borderId="18" xfId="7" applyNumberFormat="1" applyFont="1" applyBorder="1">
      <alignment vertical="center"/>
    </xf>
    <xf numFmtId="38" fontId="68" fillId="0" borderId="0" xfId="7" applyNumberFormat="1" applyFont="1" applyBorder="1">
      <alignment vertical="center"/>
    </xf>
    <xf numFmtId="38" fontId="68" fillId="0" borderId="52" xfId="7" applyNumberFormat="1" applyFont="1" applyBorder="1">
      <alignment vertical="center"/>
    </xf>
    <xf numFmtId="0" fontId="68" fillId="0" borderId="53" xfId="8" applyFont="1" applyBorder="1">
      <alignment vertical="center"/>
    </xf>
    <xf numFmtId="184" fontId="58" fillId="0" borderId="40" xfId="6" applyNumberFormat="1" applyFont="1" applyBorder="1" applyAlignment="1">
      <alignment horizontal="right" vertical="center" wrapText="1"/>
    </xf>
    <xf numFmtId="0" fontId="75" fillId="0" borderId="53" xfId="8" applyFont="1" applyBorder="1">
      <alignment vertical="center"/>
    </xf>
    <xf numFmtId="41" fontId="60" fillId="0" borderId="48" xfId="7" applyFont="1" applyBorder="1">
      <alignment vertical="center"/>
    </xf>
    <xf numFmtId="41" fontId="60" fillId="0" borderId="47" xfId="7" applyFont="1" applyBorder="1">
      <alignment vertical="center"/>
    </xf>
    <xf numFmtId="41" fontId="60" fillId="0" borderId="54" xfId="7" applyFont="1" applyBorder="1">
      <alignment vertical="center"/>
    </xf>
    <xf numFmtId="0" fontId="60" fillId="0" borderId="55" xfId="8" applyFont="1" applyBorder="1">
      <alignment vertical="center"/>
    </xf>
    <xf numFmtId="0" fontId="60" fillId="0" borderId="49" xfId="8" applyFont="1" applyBorder="1">
      <alignment vertical="center"/>
    </xf>
    <xf numFmtId="177" fontId="76" fillId="0" borderId="18" xfId="9" applyNumberFormat="1" applyFont="1" applyBorder="1">
      <alignment vertical="center"/>
    </xf>
    <xf numFmtId="177" fontId="76" fillId="0" borderId="0" xfId="9" applyNumberFormat="1" applyFont="1" applyBorder="1">
      <alignment vertical="center"/>
    </xf>
    <xf numFmtId="0" fontId="59" fillId="0" borderId="3" xfId="8" applyFont="1" applyBorder="1">
      <alignment vertical="center"/>
    </xf>
    <xf numFmtId="41" fontId="77" fillId="0" borderId="22" xfId="7" applyFont="1" applyBorder="1">
      <alignment vertical="center"/>
    </xf>
    <xf numFmtId="41" fontId="77" fillId="0" borderId="6" xfId="7" applyFont="1" applyBorder="1">
      <alignment vertical="center"/>
    </xf>
    <xf numFmtId="41" fontId="77" fillId="0" borderId="52" xfId="7" applyFont="1" applyBorder="1">
      <alignment vertical="center"/>
    </xf>
    <xf numFmtId="187" fontId="78" fillId="0" borderId="19" xfId="10" applyNumberFormat="1" applyFont="1" applyBorder="1" applyAlignment="1">
      <alignment horizontal="center" vertical="center"/>
    </xf>
    <xf numFmtId="187" fontId="78" fillId="0" borderId="13" xfId="10" applyNumberFormat="1" applyFont="1" applyBorder="1" applyAlignment="1">
      <alignment horizontal="center" vertical="center"/>
    </xf>
    <xf numFmtId="188" fontId="79" fillId="0" borderId="13" xfId="10" applyNumberFormat="1" applyFont="1" applyBorder="1" applyAlignment="1">
      <alignment horizontal="center" vertical="center"/>
    </xf>
    <xf numFmtId="188" fontId="79" fillId="0" borderId="50" xfId="10" applyNumberFormat="1" applyFont="1" applyBorder="1" applyAlignment="1">
      <alignment horizontal="center" vertical="center"/>
    </xf>
    <xf numFmtId="0" fontId="78" fillId="0" borderId="51" xfId="10" applyFont="1" applyBorder="1">
      <alignment vertical="center"/>
    </xf>
    <xf numFmtId="0" fontId="78" fillId="0" borderId="2" xfId="10" applyFont="1" applyBorder="1">
      <alignment vertical="center"/>
    </xf>
    <xf numFmtId="0" fontId="80" fillId="0" borderId="0" xfId="11"/>
    <xf numFmtId="0" fontId="60" fillId="12" borderId="57" xfId="10" applyFont="1" applyFill="1" applyBorder="1">
      <alignment vertical="center"/>
    </xf>
    <xf numFmtId="0" fontId="60" fillId="12" borderId="1" xfId="10" applyFont="1" applyFill="1" applyBorder="1">
      <alignment vertical="center"/>
    </xf>
    <xf numFmtId="0" fontId="1" fillId="0" borderId="0" xfId="10">
      <alignment vertical="center"/>
    </xf>
    <xf numFmtId="179" fontId="1" fillId="0" borderId="0" xfId="10" applyNumberFormat="1">
      <alignment vertical="center"/>
    </xf>
    <xf numFmtId="179" fontId="7" fillId="0" borderId="0" xfId="10" applyNumberFormat="1" applyFont="1">
      <alignment vertical="center"/>
    </xf>
    <xf numFmtId="0" fontId="7" fillId="0" borderId="0" xfId="10" applyFont="1">
      <alignment vertical="center"/>
    </xf>
    <xf numFmtId="0" fontId="11" fillId="8" borderId="0" xfId="10" applyFont="1" applyFill="1">
      <alignment vertical="center"/>
    </xf>
    <xf numFmtId="0" fontId="11" fillId="6" borderId="14" xfId="10" applyFont="1" applyFill="1" applyBorder="1" applyAlignment="1">
      <alignment horizontal="center" vertical="center"/>
    </xf>
    <xf numFmtId="0" fontId="11" fillId="5" borderId="14" xfId="10" applyFont="1" applyFill="1" applyBorder="1" applyAlignment="1">
      <alignment horizontal="center" vertical="center"/>
    </xf>
    <xf numFmtId="0" fontId="11" fillId="5" borderId="13" xfId="10" applyFont="1" applyFill="1" applyBorder="1" applyAlignment="1">
      <alignment horizontal="center" vertical="center"/>
    </xf>
    <xf numFmtId="0" fontId="9" fillId="4" borderId="13" xfId="10" applyFont="1" applyFill="1" applyBorder="1">
      <alignment vertical="center"/>
    </xf>
    <xf numFmtId="0" fontId="12" fillId="7" borderId="8" xfId="10" applyFont="1" applyFill="1" applyBorder="1">
      <alignment vertical="center"/>
    </xf>
    <xf numFmtId="0" fontId="12" fillId="7" borderId="10" xfId="10" applyFont="1" applyFill="1" applyBorder="1">
      <alignment vertical="center"/>
    </xf>
    <xf numFmtId="0" fontId="9" fillId="4" borderId="0" xfId="10" applyFont="1" applyFill="1">
      <alignment vertical="center"/>
    </xf>
    <xf numFmtId="0" fontId="12" fillId="7" borderId="9" xfId="10" applyFont="1" applyFill="1" applyBorder="1">
      <alignment vertical="center"/>
    </xf>
    <xf numFmtId="0" fontId="12" fillId="7" borderId="11" xfId="10" applyFont="1" applyFill="1" applyBorder="1">
      <alignment vertical="center"/>
    </xf>
    <xf numFmtId="0" fontId="12" fillId="7" borderId="12" xfId="10" applyFont="1" applyFill="1" applyBorder="1">
      <alignment vertical="center"/>
    </xf>
    <xf numFmtId="0" fontId="8" fillId="3" borderId="0" xfId="10" applyFont="1" applyFill="1">
      <alignment vertical="center"/>
    </xf>
    <xf numFmtId="0" fontId="7" fillId="0" borderId="0" xfId="10" applyFont="1" applyAlignment="1">
      <alignment horizontal="left" vertical="center"/>
    </xf>
    <xf numFmtId="0" fontId="11" fillId="6" borderId="14" xfId="0" applyFont="1" applyFill="1" applyBorder="1" applyAlignment="1">
      <alignment horizontal="center" vertical="center"/>
    </xf>
    <xf numFmtId="0" fontId="11" fillId="5" borderId="13" xfId="0" applyFont="1" applyFill="1" applyBorder="1" applyAlignment="1">
      <alignment horizontal="center" vertical="center"/>
    </xf>
    <xf numFmtId="0" fontId="85" fillId="0" borderId="0" xfId="6" applyFont="1" applyAlignment="1">
      <alignment vertical="center"/>
    </xf>
    <xf numFmtId="180" fontId="57" fillId="0" borderId="0" xfId="3" applyNumberFormat="1" applyFont="1" applyFill="1" applyAlignment="1">
      <alignment horizontal="right" vertical="center" wrapText="1"/>
    </xf>
    <xf numFmtId="0" fontId="59" fillId="0" borderId="0" xfId="10" applyFont="1">
      <alignment vertical="center"/>
    </xf>
    <xf numFmtId="177" fontId="76" fillId="0" borderId="3" xfId="9" applyNumberFormat="1" applyFont="1" applyBorder="1">
      <alignment vertical="center"/>
    </xf>
    <xf numFmtId="43" fontId="57" fillId="0" borderId="40" xfId="6" applyNumberFormat="1" applyFont="1" applyBorder="1" applyAlignment="1">
      <alignment horizontal="right" vertical="center" wrapText="1"/>
    </xf>
    <xf numFmtId="1" fontId="57" fillId="0" borderId="0" xfId="6" applyNumberFormat="1" applyFont="1" applyAlignment="1">
      <alignment horizontal="right" vertical="center" wrapText="1"/>
    </xf>
    <xf numFmtId="180" fontId="57" fillId="0" borderId="0" xfId="1" applyNumberFormat="1" applyFont="1" applyFill="1" applyAlignment="1">
      <alignment horizontal="right" vertical="center" wrapText="1"/>
    </xf>
    <xf numFmtId="185" fontId="57" fillId="0" borderId="0" xfId="6" applyNumberFormat="1" applyFont="1" applyAlignment="1">
      <alignment horizontal="right" vertical="center" wrapText="1"/>
    </xf>
    <xf numFmtId="14" fontId="15" fillId="0" borderId="0" xfId="0" applyNumberFormat="1" applyFont="1">
      <alignment vertical="center"/>
    </xf>
    <xf numFmtId="0" fontId="86" fillId="0" borderId="0" xfId="0" applyFont="1">
      <alignment vertical="center"/>
    </xf>
    <xf numFmtId="0" fontId="0" fillId="0" borderId="36" xfId="0" applyBorder="1">
      <alignment vertical="center"/>
    </xf>
    <xf numFmtId="14" fontId="15" fillId="0" borderId="36" xfId="0" applyNumberFormat="1" applyFont="1" applyBorder="1" applyAlignment="1">
      <alignment horizontal="center" vertical="center"/>
    </xf>
    <xf numFmtId="179" fontId="29" fillId="0" borderId="0" xfId="0" applyNumberFormat="1" applyFont="1">
      <alignment vertical="center"/>
    </xf>
    <xf numFmtId="0" fontId="27" fillId="0" borderId="0" xfId="0" applyFont="1">
      <alignment vertical="center"/>
    </xf>
    <xf numFmtId="0" fontId="49" fillId="0" borderId="0" xfId="0" applyFont="1">
      <alignment vertical="center"/>
    </xf>
    <xf numFmtId="0" fontId="50" fillId="0" borderId="0" xfId="0" applyFont="1">
      <alignment vertical="center"/>
    </xf>
    <xf numFmtId="3" fontId="29" fillId="0" borderId="0" xfId="0" applyNumberFormat="1" applyFont="1">
      <alignment vertical="center"/>
    </xf>
    <xf numFmtId="182" fontId="29" fillId="0" borderId="0" xfId="5" applyNumberFormat="1" applyFont="1" applyBorder="1">
      <alignment vertical="center"/>
    </xf>
    <xf numFmtId="0" fontId="47" fillId="2" borderId="14" xfId="0" applyFont="1" applyFill="1" applyBorder="1">
      <alignment vertical="center"/>
    </xf>
    <xf numFmtId="0" fontId="6" fillId="2" borderId="14" xfId="0" applyFont="1" applyFill="1" applyBorder="1">
      <alignment vertical="center"/>
    </xf>
    <xf numFmtId="0" fontId="29" fillId="0" borderId="0" xfId="0" applyFont="1" applyAlignment="1">
      <alignment horizontal="left" vertical="center"/>
    </xf>
    <xf numFmtId="0" fontId="27" fillId="12" borderId="0" xfId="0" applyFont="1" applyFill="1" applyAlignment="1">
      <alignment horizontal="left" vertical="center"/>
    </xf>
    <xf numFmtId="0" fontId="27" fillId="12" borderId="0" xfId="0" applyFont="1" applyFill="1">
      <alignment vertical="center"/>
    </xf>
    <xf numFmtId="3" fontId="27" fillId="12" borderId="0" xfId="0" applyNumberFormat="1" applyFont="1" applyFill="1">
      <alignment vertical="center"/>
    </xf>
    <xf numFmtId="0" fontId="26" fillId="12" borderId="0" xfId="0" applyFont="1" applyFill="1">
      <alignment vertical="center"/>
    </xf>
    <xf numFmtId="0" fontId="1" fillId="12" borderId="0" xfId="10" applyFill="1">
      <alignment vertical="center"/>
    </xf>
    <xf numFmtId="0" fontId="1" fillId="17" borderId="0" xfId="10" applyFill="1">
      <alignment vertical="center"/>
    </xf>
    <xf numFmtId="0" fontId="87" fillId="17" borderId="0" xfId="10" applyFont="1" applyFill="1">
      <alignment vertical="center"/>
    </xf>
    <xf numFmtId="0" fontId="24" fillId="17" borderId="0" xfId="10" applyFont="1" applyFill="1">
      <alignment vertical="center"/>
    </xf>
    <xf numFmtId="0" fontId="89" fillId="17" borderId="0" xfId="10" applyFont="1" applyFill="1">
      <alignment vertical="center"/>
    </xf>
    <xf numFmtId="0" fontId="90" fillId="17" borderId="0" xfId="10" applyFont="1" applyFill="1">
      <alignment vertical="center"/>
    </xf>
    <xf numFmtId="0" fontId="91" fillId="17" borderId="0" xfId="10" applyFont="1" applyFill="1">
      <alignment vertical="center"/>
    </xf>
    <xf numFmtId="0" fontId="92" fillId="17" borderId="0" xfId="10" applyFont="1" applyFill="1">
      <alignment vertical="center"/>
    </xf>
    <xf numFmtId="0" fontId="93" fillId="17" borderId="0" xfId="10" applyFont="1" applyFill="1">
      <alignment vertical="center"/>
    </xf>
    <xf numFmtId="0" fontId="45" fillId="12" borderId="0" xfId="10" applyFont="1" applyFill="1">
      <alignment vertical="center"/>
    </xf>
    <xf numFmtId="0" fontId="94" fillId="12" borderId="0" xfId="10" applyFont="1" applyFill="1">
      <alignment vertical="center"/>
    </xf>
    <xf numFmtId="0" fontId="5" fillId="12" borderId="0" xfId="10" applyFont="1" applyFill="1">
      <alignment vertical="center"/>
    </xf>
    <xf numFmtId="0" fontId="95" fillId="12" borderId="0" xfId="10" applyFont="1" applyFill="1">
      <alignment vertical="center"/>
    </xf>
    <xf numFmtId="0" fontId="96" fillId="12" borderId="0" xfId="10" applyFont="1" applyFill="1">
      <alignment vertical="center"/>
    </xf>
    <xf numFmtId="0" fontId="16" fillId="12" borderId="0" xfId="10" applyFont="1" applyFill="1">
      <alignment vertical="center"/>
    </xf>
    <xf numFmtId="9" fontId="18" fillId="0" borderId="13" xfId="1" applyFont="1" applyBorder="1" applyAlignment="1">
      <alignment horizontal="left" vertical="center" indent="1"/>
    </xf>
    <xf numFmtId="9" fontId="32" fillId="0" borderId="0" xfId="1" applyFont="1" applyBorder="1">
      <alignment vertical="center"/>
    </xf>
    <xf numFmtId="38" fontId="30" fillId="0" borderId="6" xfId="0" applyNumberFormat="1" applyFont="1" applyBorder="1">
      <alignment vertical="center"/>
    </xf>
    <xf numFmtId="9" fontId="19" fillId="0" borderId="13" xfId="1" applyFont="1" applyBorder="1" applyAlignment="1">
      <alignment horizontal="left" vertical="center" indent="1"/>
    </xf>
    <xf numFmtId="38" fontId="29" fillId="0" borderId="6" xfId="1" applyNumberFormat="1" applyFont="1" applyBorder="1">
      <alignment vertical="center"/>
    </xf>
    <xf numFmtId="38" fontId="29" fillId="0" borderId="1" xfId="1" applyNumberFormat="1" applyFont="1" applyBorder="1">
      <alignment vertical="center"/>
    </xf>
    <xf numFmtId="38" fontId="29" fillId="0" borderId="22" xfId="1" applyNumberFormat="1" applyFont="1" applyBorder="1">
      <alignment vertical="center"/>
    </xf>
    <xf numFmtId="38" fontId="29" fillId="0" borderId="0" xfId="0" applyNumberFormat="1" applyFont="1" applyAlignment="1">
      <alignment horizontal="left" vertical="center" indent="1"/>
    </xf>
    <xf numFmtId="9" fontId="18" fillId="0" borderId="0" xfId="1" applyFont="1" applyBorder="1" applyAlignment="1">
      <alignment horizontal="left" vertical="center" indent="2"/>
    </xf>
    <xf numFmtId="9" fontId="19" fillId="0" borderId="0" xfId="1" applyFont="1" applyBorder="1" applyAlignment="1">
      <alignment horizontal="left" vertical="center" indent="2"/>
    </xf>
    <xf numFmtId="9" fontId="19" fillId="0" borderId="13" xfId="1" applyFont="1" applyBorder="1" applyAlignment="1">
      <alignment horizontal="left" vertical="center" indent="2"/>
    </xf>
    <xf numFmtId="0" fontId="22" fillId="10" borderId="3" xfId="0" applyFont="1" applyFill="1" applyBorder="1" applyAlignment="1">
      <alignment horizontal="right" vertical="center"/>
    </xf>
    <xf numFmtId="0" fontId="22" fillId="10" borderId="26" xfId="0" applyFont="1" applyFill="1" applyBorder="1" applyAlignment="1">
      <alignment horizontal="right"/>
    </xf>
    <xf numFmtId="0" fontId="22" fillId="10" borderId="3" xfId="0" applyFont="1" applyFill="1" applyBorder="1" applyAlignment="1">
      <alignment horizontal="right"/>
    </xf>
    <xf numFmtId="0" fontId="15" fillId="0" borderId="3" xfId="0" applyFont="1" applyBorder="1">
      <alignment vertical="center"/>
    </xf>
    <xf numFmtId="38" fontId="15" fillId="0" borderId="3" xfId="0" applyNumberFormat="1" applyFont="1" applyBorder="1">
      <alignment vertical="center"/>
    </xf>
    <xf numFmtId="49" fontId="26" fillId="11" borderId="0" xfId="0" applyNumberFormat="1" applyFont="1" applyFill="1" applyAlignment="1">
      <alignment horizontal="center" vertical="center" wrapText="1"/>
    </xf>
    <xf numFmtId="38" fontId="28" fillId="0" borderId="6" xfId="0" applyNumberFormat="1" applyFont="1" applyBorder="1">
      <alignment vertical="center"/>
    </xf>
    <xf numFmtId="38" fontId="27" fillId="0" borderId="0" xfId="0" applyNumberFormat="1" applyFont="1">
      <alignment vertical="center"/>
    </xf>
    <xf numFmtId="38" fontId="29" fillId="0" borderId="0" xfId="0" quotePrefix="1" applyNumberFormat="1" applyFont="1" applyAlignment="1">
      <alignment horizontal="right" vertical="center"/>
    </xf>
    <xf numFmtId="38" fontId="29" fillId="0" borderId="0" xfId="1" applyNumberFormat="1" applyFont="1" applyBorder="1" applyAlignment="1">
      <alignment horizontal="left" vertical="center" indent="1"/>
    </xf>
    <xf numFmtId="0" fontId="14" fillId="2" borderId="6" xfId="0" applyFont="1" applyFill="1" applyBorder="1">
      <alignment vertical="center"/>
    </xf>
    <xf numFmtId="49" fontId="27" fillId="11" borderId="6" xfId="0" applyNumberFormat="1" applyFont="1" applyFill="1" applyBorder="1" applyAlignment="1">
      <alignment horizontal="center" vertical="center" wrapText="1"/>
    </xf>
    <xf numFmtId="38" fontId="29" fillId="0" borderId="6" xfId="0" applyNumberFormat="1" applyFont="1" applyBorder="1" applyAlignment="1">
      <alignment horizontal="left" vertical="center" indent="1"/>
    </xf>
    <xf numFmtId="0" fontId="14" fillId="2" borderId="0" xfId="0" applyFont="1" applyFill="1">
      <alignment vertical="center"/>
    </xf>
    <xf numFmtId="0" fontId="14" fillId="2" borderId="0" xfId="0" applyFont="1" applyFill="1" applyAlignment="1">
      <alignment horizontal="right" vertical="center"/>
    </xf>
    <xf numFmtId="0" fontId="27" fillId="0" borderId="13" xfId="0" applyFont="1" applyBorder="1">
      <alignment vertical="center"/>
    </xf>
    <xf numFmtId="0" fontId="29" fillId="0" borderId="13" xfId="0" applyFont="1" applyBorder="1">
      <alignment vertical="center"/>
    </xf>
    <xf numFmtId="9" fontId="97" fillId="0" borderId="0" xfId="1" applyFont="1">
      <alignment vertical="center"/>
    </xf>
    <xf numFmtId="0" fontId="97" fillId="0" borderId="0" xfId="0" applyFont="1">
      <alignment vertical="center"/>
    </xf>
    <xf numFmtId="190" fontId="58" fillId="0" borderId="0" xfId="6" applyNumberFormat="1" applyFont="1" applyAlignment="1">
      <alignment horizontal="right" vertical="center" wrapText="1"/>
    </xf>
    <xf numFmtId="190" fontId="57" fillId="0" borderId="0" xfId="6" applyNumberFormat="1" applyFont="1" applyAlignment="1">
      <alignment horizontal="right" vertical="center" wrapText="1"/>
    </xf>
    <xf numFmtId="190" fontId="57" fillId="0" borderId="13" xfId="6" applyNumberFormat="1" applyFont="1" applyBorder="1" applyAlignment="1">
      <alignment horizontal="right" vertical="center" wrapText="1"/>
    </xf>
    <xf numFmtId="190" fontId="57" fillId="0" borderId="40" xfId="6" applyNumberFormat="1" applyFont="1" applyBorder="1" applyAlignment="1">
      <alignment horizontal="right" vertical="center" wrapText="1"/>
    </xf>
    <xf numFmtId="0" fontId="6" fillId="2" borderId="14" xfId="0" applyFont="1" applyFill="1" applyBorder="1" applyAlignment="1">
      <alignment horizontal="center" vertical="center"/>
    </xf>
    <xf numFmtId="49" fontId="6" fillId="2" borderId="14" xfId="0" applyNumberFormat="1" applyFont="1" applyFill="1" applyBorder="1" applyAlignment="1">
      <alignment horizontal="center" vertical="center" wrapText="1"/>
    </xf>
    <xf numFmtId="176" fontId="5" fillId="0" borderId="14" xfId="2" applyNumberFormat="1" applyFont="1" applyFill="1" applyBorder="1" applyAlignment="1">
      <alignment horizontal="center" vertical="center"/>
    </xf>
    <xf numFmtId="37" fontId="5" fillId="0" borderId="14" xfId="0" applyNumberFormat="1" applyFont="1" applyBorder="1" applyAlignment="1">
      <alignment horizontal="center" vertical="center"/>
    </xf>
    <xf numFmtId="38" fontId="5" fillId="0" borderId="14" xfId="0" applyNumberFormat="1" applyFont="1" applyBorder="1">
      <alignment vertical="center"/>
    </xf>
    <xf numFmtId="176" fontId="3" fillId="0" borderId="6" xfId="2" applyNumberFormat="1" applyFont="1" applyFill="1" applyBorder="1" applyAlignment="1">
      <alignment horizontal="center" vertical="center"/>
    </xf>
    <xf numFmtId="37" fontId="5" fillId="0" borderId="6" xfId="0" applyNumberFormat="1" applyFont="1" applyBorder="1" applyAlignment="1">
      <alignment horizontal="center" vertical="center"/>
    </xf>
    <xf numFmtId="1" fontId="5" fillId="0" borderId="6" xfId="0" applyNumberFormat="1" applyFont="1" applyBorder="1">
      <alignment vertical="center"/>
    </xf>
    <xf numFmtId="176" fontId="4" fillId="0" borderId="13" xfId="2" applyNumberFormat="1" applyFont="1" applyFill="1" applyBorder="1" applyAlignment="1">
      <alignment horizontal="center" vertical="center"/>
    </xf>
    <xf numFmtId="177" fontId="4" fillId="0" borderId="13" xfId="1" applyNumberFormat="1" applyFont="1" applyFill="1" applyBorder="1" applyAlignment="1">
      <alignment horizontal="center" vertical="center" wrapText="1"/>
    </xf>
    <xf numFmtId="9" fontId="4" fillId="0" borderId="13" xfId="1" applyFont="1" applyBorder="1">
      <alignment vertical="center"/>
    </xf>
    <xf numFmtId="0" fontId="5" fillId="0" borderId="6" xfId="0" applyFont="1" applyBorder="1" applyAlignment="1">
      <alignment horizontal="center" vertical="center"/>
    </xf>
    <xf numFmtId="38" fontId="5" fillId="0" borderId="6" xfId="0" applyNumberFormat="1" applyFont="1" applyBorder="1">
      <alignment vertical="center"/>
    </xf>
    <xf numFmtId="177" fontId="4" fillId="0" borderId="13" xfId="1" applyNumberFormat="1" applyFont="1" applyFill="1" applyBorder="1" applyAlignment="1">
      <alignment horizontal="center" vertical="center"/>
    </xf>
    <xf numFmtId="9" fontId="3" fillId="0" borderId="6" xfId="1" applyFont="1" applyFill="1" applyBorder="1" applyAlignment="1">
      <alignment horizontal="center" vertical="center"/>
    </xf>
    <xf numFmtId="37" fontId="5" fillId="0" borderId="6" xfId="0" applyNumberFormat="1" applyFont="1" applyBorder="1">
      <alignment vertical="center"/>
    </xf>
    <xf numFmtId="176" fontId="5" fillId="0" borderId="6" xfId="2" applyNumberFormat="1" applyFont="1" applyFill="1" applyBorder="1" applyAlignment="1">
      <alignment horizontal="center" vertical="center"/>
    </xf>
    <xf numFmtId="40" fontId="3" fillId="0" borderId="6" xfId="0" applyNumberFormat="1" applyFont="1" applyBorder="1" applyAlignment="1">
      <alignment horizontal="center" vertical="center"/>
    </xf>
    <xf numFmtId="37" fontId="3" fillId="0" borderId="6" xfId="4" applyNumberFormat="1" applyFont="1" applyBorder="1" applyAlignment="1">
      <alignment horizontal="center" vertical="center" wrapText="1"/>
    </xf>
    <xf numFmtId="37" fontId="3" fillId="0" borderId="6" xfId="4" applyNumberFormat="1" applyFont="1" applyFill="1" applyBorder="1" applyAlignment="1">
      <alignment horizontal="center" vertical="center" wrapText="1"/>
    </xf>
    <xf numFmtId="40" fontId="3" fillId="0" borderId="0" xfId="0" applyNumberFormat="1" applyFont="1" applyAlignment="1">
      <alignment horizontal="center" vertical="center"/>
    </xf>
    <xf numFmtId="37" fontId="5" fillId="0" borderId="0" xfId="0" applyNumberFormat="1" applyFont="1">
      <alignment vertical="center"/>
    </xf>
    <xf numFmtId="37" fontId="5" fillId="0" borderId="13" xfId="0" applyNumberFormat="1" applyFont="1" applyBorder="1" applyAlignment="1">
      <alignment horizontal="center" vertical="center"/>
    </xf>
    <xf numFmtId="37" fontId="5" fillId="0" borderId="13" xfId="0" applyNumberFormat="1" applyFont="1" applyBorder="1">
      <alignment vertical="center"/>
    </xf>
    <xf numFmtId="40" fontId="3" fillId="0" borderId="13" xfId="0" applyNumberFormat="1" applyFont="1" applyBorder="1" applyAlignment="1">
      <alignment horizontal="center" vertical="center"/>
    </xf>
    <xf numFmtId="0" fontId="3" fillId="0" borderId="6" xfId="0" applyFont="1" applyBorder="1" applyAlignment="1">
      <alignment horizontal="center" vertical="center" wrapText="1"/>
    </xf>
    <xf numFmtId="40" fontId="5" fillId="0" borderId="13" xfId="0" applyNumberFormat="1" applyFont="1" applyBorder="1" applyAlignment="1">
      <alignment horizontal="center" vertical="center"/>
    </xf>
    <xf numFmtId="191" fontId="5" fillId="0" borderId="13" xfId="0" applyNumberFormat="1" applyFont="1" applyBorder="1" applyAlignment="1">
      <alignment horizontal="center" vertical="center"/>
    </xf>
    <xf numFmtId="191" fontId="5" fillId="0" borderId="13" xfId="0" applyNumberFormat="1" applyFont="1" applyBorder="1">
      <alignment vertical="center"/>
    </xf>
    <xf numFmtId="0" fontId="68" fillId="12" borderId="56" xfId="10" applyFont="1" applyFill="1" applyBorder="1" applyAlignment="1">
      <alignment horizontal="center" vertical="center"/>
    </xf>
    <xf numFmtId="0" fontId="68" fillId="12" borderId="6" xfId="10" applyFont="1" applyFill="1" applyBorder="1" applyAlignment="1">
      <alignment horizontal="center" vertical="center"/>
    </xf>
    <xf numFmtId="0" fontId="81" fillId="17" borderId="6" xfId="10" applyFont="1" applyFill="1" applyBorder="1" applyAlignment="1">
      <alignment horizontal="center" vertical="center"/>
    </xf>
    <xf numFmtId="0" fontId="81" fillId="17" borderId="22" xfId="10" applyFont="1" applyFill="1" applyBorder="1" applyAlignment="1">
      <alignment horizontal="center" vertical="center"/>
    </xf>
  </cellXfs>
  <cellStyles count="12">
    <cellStyle name="백분율" xfId="1" builtinId="5"/>
    <cellStyle name="백분율 2" xfId="9" xr:uid="{80691918-0803-D746-B95D-509F15351879}"/>
    <cellStyle name="백분율 3" xfId="3" xr:uid="{723D7818-D9FD-8242-95F0-93FA150A0E2C}"/>
    <cellStyle name="쉼표 [0]" xfId="4" builtinId="6"/>
    <cellStyle name="쉼표 [0] 2" xfId="2" xr:uid="{5240CDBA-D432-48D2-A359-314AF1922B54}"/>
    <cellStyle name="쉼표 [0] 3" xfId="7" xr:uid="{000D3F5A-08C5-0843-B10D-3EBC3838B93D}"/>
    <cellStyle name="쉼표 [0] 5" xfId="5" xr:uid="{77A8FD32-AA3E-E748-A25B-8EF37C680706}"/>
    <cellStyle name="표준" xfId="0" builtinId="0"/>
    <cellStyle name="표준 2" xfId="6" xr:uid="{3B1FA435-A7FA-1648-BC61-BB197201199E}"/>
    <cellStyle name="표준 2 2" xfId="10" xr:uid="{89A632D3-5D50-7E4D-BF92-98DB98405B3E}"/>
    <cellStyle name="표준 3" xfId="8" xr:uid="{527BCDA5-3B2C-4242-9110-D95959B221B7}"/>
    <cellStyle name="하이퍼링크" xfId="11" builtinId="8"/>
  </cellStyles>
  <dxfs count="10">
    <dxf>
      <font>
        <color rgb="FFFF0000"/>
      </font>
    </dxf>
    <dxf>
      <font>
        <color rgb="FFFF0000"/>
      </font>
    </dxf>
    <dxf>
      <font>
        <color rgb="FFFF0000"/>
      </font>
    </dxf>
    <dxf>
      <font>
        <color rgb="FFFF0000"/>
      </font>
    </dxf>
    <dxf>
      <font>
        <color rgb="FFFF0000"/>
      </font>
    </dxf>
    <dxf>
      <font>
        <color rgb="FFFF0000"/>
      </font>
    </dxf>
    <dxf>
      <font>
        <color rgb="FFFF0000"/>
      </font>
    </dxf>
    <dxf>
      <font>
        <color rgb="FF0070C0"/>
      </font>
    </dxf>
    <dxf>
      <font>
        <color rgb="FFFF0000"/>
      </font>
    </dxf>
    <dxf>
      <font>
        <color rgb="FF0070C0"/>
      </font>
    </dxf>
  </dxfs>
  <tableStyles count="0" defaultTableStyle="TableStyleMedium2" defaultPivotStyle="PivotStyleLight16"/>
  <colors>
    <mruColors>
      <color rgb="FFD0CECE"/>
      <color rgb="FF20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4004734" cy="1519767"/>
    <xdr:pic>
      <xdr:nvPicPr>
        <xdr:cNvPr id="2" name="그림 6">
          <a:extLst>
            <a:ext uri="{FF2B5EF4-FFF2-40B4-BE49-F238E27FC236}">
              <a16:creationId xmlns:a16="http://schemas.microsoft.com/office/drawing/2014/main" id="{7D11D751-9191-4331-ACED-E84B0B16E1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2008414"/>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3" name="그림 6">
          <a:extLst>
            <a:ext uri="{FF2B5EF4-FFF2-40B4-BE49-F238E27FC236}">
              <a16:creationId xmlns:a16="http://schemas.microsoft.com/office/drawing/2014/main" id="{C1351112-903C-4EBD-8056-03ACC2D5CA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2008414"/>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9</xdr:row>
      <xdr:rowOff>0</xdr:rowOff>
    </xdr:from>
    <xdr:ext cx="4004734" cy="1519767"/>
    <xdr:pic>
      <xdr:nvPicPr>
        <xdr:cNvPr id="2" name="그림 6">
          <a:extLst>
            <a:ext uri="{FF2B5EF4-FFF2-40B4-BE49-F238E27FC236}">
              <a16:creationId xmlns:a16="http://schemas.microsoft.com/office/drawing/2014/main" id="{B193AA73-515F-445F-BD30-6C9320E829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2008414"/>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3" name="그림 6">
          <a:extLst>
            <a:ext uri="{FF2B5EF4-FFF2-40B4-BE49-F238E27FC236}">
              <a16:creationId xmlns:a16="http://schemas.microsoft.com/office/drawing/2014/main" id="{EDCD46EC-D7EE-479B-9085-0478CC7297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34072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4" name="그림 6">
          <a:extLst>
            <a:ext uri="{FF2B5EF4-FFF2-40B4-BE49-F238E27FC236}">
              <a16:creationId xmlns:a16="http://schemas.microsoft.com/office/drawing/2014/main" id="{BF5F16D4-F9F7-48A6-9BC6-7572DDF0A8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34072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5" name="그림 6">
          <a:extLst>
            <a:ext uri="{FF2B5EF4-FFF2-40B4-BE49-F238E27FC236}">
              <a16:creationId xmlns:a16="http://schemas.microsoft.com/office/drawing/2014/main" id="{0AD243A2-19EE-4BE5-8DFB-76D1F535FC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3831771"/>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6" name="그림 6">
          <a:extLst>
            <a:ext uri="{FF2B5EF4-FFF2-40B4-BE49-F238E27FC236}">
              <a16:creationId xmlns:a16="http://schemas.microsoft.com/office/drawing/2014/main" id="{54B258ED-1446-4557-AD15-51BF654746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3831771"/>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5138" name="FnBtn1" hidden="1">
          <a:extLst>
            <a:ext uri="{63B3BB69-23CF-44E3-9099-C40C66FF867C}">
              <a14:compatExt xmlns:a14="http://schemas.microsoft.com/office/drawing/2010/main" spid="_x0000_s5138"/>
            </a:ext>
            <a:ext uri="{FF2B5EF4-FFF2-40B4-BE49-F238E27FC236}">
              <a16:creationId xmlns:a16="http://schemas.microsoft.com/office/drawing/2014/main" id="{00000000-0008-0000-0500-00001214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8C3820E0-6C3E-D058-B3C5-F675540B7C0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6145" name="FnBtn1" hidden="1">
          <a:extLst>
            <a:ext uri="{63B3BB69-23CF-44E3-9099-C40C66FF867C}">
              <a14:compatExt xmlns:a14="http://schemas.microsoft.com/office/drawing/2010/main"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2EFEBF70-FC6A-6949-9BC0-9D8B64123DD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7169" name="FnBtn1" hidden="1">
          <a:extLst>
            <a:ext uri="{63B3BB69-23CF-44E3-9099-C40C66FF867C}">
              <a14:compatExt xmlns:a14="http://schemas.microsoft.com/office/drawing/2010/main"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09F5B902-1C44-010C-2FC8-C22AA81A48C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406400</xdr:colOff>
      <xdr:row>0</xdr:row>
      <xdr:rowOff>127000</xdr:rowOff>
    </xdr:to>
    <xdr:sp macro="" textlink="">
      <xdr:nvSpPr>
        <xdr:cNvPr id="2" name="FnBtn1" hidden="1">
          <a:extLst>
            <a:ext uri="{63B3BB69-23CF-44E3-9099-C40C66FF867C}">
              <a14:compatExt xmlns:a14="http://schemas.microsoft.com/office/drawing/2010/main" spid="_x0000_s19464"/>
            </a:ext>
            <a:ext uri="{FF2B5EF4-FFF2-40B4-BE49-F238E27FC236}">
              <a16:creationId xmlns:a16="http://schemas.microsoft.com/office/drawing/2014/main" id="{01484E26-803A-A146-B1B6-AA7A73745CF7}"/>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19464" name="FnBtn1">
          <a:extLst>
            <a:ext uri="{FF2B5EF4-FFF2-40B4-BE49-F238E27FC236}">
              <a16:creationId xmlns:a16="http://schemas.microsoft.com/office/drawing/2014/main" id="{FB969597-37DA-8DAA-25C5-DA20CEB7540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19465" name="Picture 9">
          <a:extLst>
            <a:ext uri="{FF2B5EF4-FFF2-40B4-BE49-F238E27FC236}">
              <a16:creationId xmlns:a16="http://schemas.microsoft.com/office/drawing/2014/main" id="{B60AF795-59CD-8634-59C1-9B1ED965286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19466" name="Picture 10">
          <a:extLst>
            <a:ext uri="{FF2B5EF4-FFF2-40B4-BE49-F238E27FC236}">
              <a16:creationId xmlns:a16="http://schemas.microsoft.com/office/drawing/2014/main" id="{201EF8F9-1CA7-4737-E8B8-88ACE7F43AA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406400</xdr:colOff>
      <xdr:row>0</xdr:row>
      <xdr:rowOff>127000</xdr:rowOff>
    </xdr:to>
    <xdr:sp macro="" textlink="">
      <xdr:nvSpPr>
        <xdr:cNvPr id="2" name="FnBtn1" hidden="1">
          <a:extLst>
            <a:ext uri="{63B3BB69-23CF-44E3-9099-C40C66FF867C}">
              <a14:compatExt xmlns:a14="http://schemas.microsoft.com/office/drawing/2010/main" spid="_x0000_s20488"/>
            </a:ext>
            <a:ext uri="{FF2B5EF4-FFF2-40B4-BE49-F238E27FC236}">
              <a16:creationId xmlns:a16="http://schemas.microsoft.com/office/drawing/2014/main" id="{C6DEACDB-4772-E944-89F5-78D9F768E4BE}"/>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20488" name="FnBtn1">
          <a:extLst>
            <a:ext uri="{FF2B5EF4-FFF2-40B4-BE49-F238E27FC236}">
              <a16:creationId xmlns:a16="http://schemas.microsoft.com/office/drawing/2014/main" id="{6883D2C2-42D2-7F16-D07A-5A442417C12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20489" name="Picture 9">
          <a:extLst>
            <a:ext uri="{FF2B5EF4-FFF2-40B4-BE49-F238E27FC236}">
              <a16:creationId xmlns:a16="http://schemas.microsoft.com/office/drawing/2014/main" id="{008753F0-1969-D825-A55E-505B496D7E4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8.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406400</xdr:colOff>
      <xdr:row>0</xdr:row>
      <xdr:rowOff>127000</xdr:rowOff>
    </xdr:to>
    <xdr:sp macro="" textlink="">
      <xdr:nvSpPr>
        <xdr:cNvPr id="2" name="FnBtn1" hidden="1">
          <a:extLst>
            <a:ext uri="{63B3BB69-23CF-44E3-9099-C40C66FF867C}">
              <a14:compatExt xmlns:a14="http://schemas.microsoft.com/office/drawing/2010/main" spid="_x0000_s21512"/>
            </a:ext>
            <a:ext uri="{FF2B5EF4-FFF2-40B4-BE49-F238E27FC236}">
              <a16:creationId xmlns:a16="http://schemas.microsoft.com/office/drawing/2014/main" id="{F2F27E1A-782C-9C41-9E8B-B7D7E47A5F0A}"/>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21512" name="FnBtn1">
          <a:extLst>
            <a:ext uri="{FF2B5EF4-FFF2-40B4-BE49-F238E27FC236}">
              <a16:creationId xmlns:a16="http://schemas.microsoft.com/office/drawing/2014/main" id="{BC6D55D4-3741-CC55-A54B-A2A47D1200B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406400</xdr:colOff>
      <xdr:row>0</xdr:row>
      <xdr:rowOff>127000</xdr:rowOff>
    </xdr:to>
    <xdr:pic>
      <xdr:nvPicPr>
        <xdr:cNvPr id="21513" name="Picture 9">
          <a:extLst>
            <a:ext uri="{FF2B5EF4-FFF2-40B4-BE49-F238E27FC236}">
              <a16:creationId xmlns:a16="http://schemas.microsoft.com/office/drawing/2014/main" id="{3A6B0DC9-451E-61DE-B4B0-8AD5C805005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393700" cy="1143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brunch.co.kr/@heong-seok/29"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D2C6-9F47-4EA2-8436-A0A141B43852}">
  <sheetPr>
    <tabColor rgb="FF203864"/>
  </sheetPr>
  <dimension ref="A1:C21"/>
  <sheetViews>
    <sheetView showGridLines="0" zoomScaleNormal="100" workbookViewId="0"/>
  </sheetViews>
  <sheetFormatPr defaultColWidth="8" defaultRowHeight="17.399999999999999"/>
  <cols>
    <col min="1" max="16384" width="8" style="415"/>
  </cols>
  <sheetData>
    <row r="1" spans="1:3" s="423" customFormat="1" ht="13.8"/>
    <row r="2" spans="1:3" s="422" customFormat="1" ht="24.6"/>
    <row r="3" spans="1:3" s="419" customFormat="1" ht="36">
      <c r="A3" s="421" t="s">
        <v>667</v>
      </c>
      <c r="B3" s="420"/>
    </row>
    <row r="4" spans="1:3" s="418" customFormat="1" ht="13.2"/>
    <row r="5" spans="1:3" s="416" customFormat="1" ht="22.8">
      <c r="A5" s="417" t="s">
        <v>668</v>
      </c>
    </row>
    <row r="7" spans="1:3" ht="19.8">
      <c r="C7" s="427" t="s">
        <v>666</v>
      </c>
    </row>
    <row r="8" spans="1:3" ht="76.8">
      <c r="C8" s="428" t="s">
        <v>665</v>
      </c>
    </row>
    <row r="9" spans="1:3" ht="76.8">
      <c r="C9" s="428" t="s">
        <v>664</v>
      </c>
    </row>
    <row r="10" spans="1:3" ht="18">
      <c r="C10" s="429"/>
    </row>
    <row r="11" spans="1:3" ht="18">
      <c r="C11" s="429"/>
    </row>
    <row r="12" spans="1:3" ht="18">
      <c r="C12" s="429"/>
    </row>
    <row r="13" spans="1:3" ht="18">
      <c r="C13" s="429"/>
    </row>
    <row r="14" spans="1:3" ht="18">
      <c r="C14" s="429"/>
    </row>
    <row r="15" spans="1:3" ht="18">
      <c r="C15" s="429"/>
    </row>
    <row r="16" spans="1:3" ht="18">
      <c r="C16" s="429"/>
    </row>
    <row r="19" spans="3:3">
      <c r="C19" s="425" t="s">
        <v>663</v>
      </c>
    </row>
    <row r="20" spans="3:3">
      <c r="C20" s="426" t="s">
        <v>662</v>
      </c>
    </row>
    <row r="21" spans="3:3">
      <c r="C21" s="426" t="s">
        <v>661</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F6DF-7D3E-CE48-86BC-0046FA04238B}">
  <sheetPr>
    <tabColor rgb="FFD0CECE"/>
  </sheetPr>
  <dimension ref="A1:AU988"/>
  <sheetViews>
    <sheetView showGridLines="0" topLeftCell="A2" zoomScaleNormal="100" workbookViewId="0">
      <selection activeCell="A2" sqref="A2"/>
    </sheetView>
  </sheetViews>
  <sheetFormatPr defaultColWidth="10.8984375" defaultRowHeight="17.399999999999999"/>
  <cols>
    <col min="1" max="1" width="3.3984375" customWidth="1"/>
    <col min="6" max="6" width="11.8984375" customWidth="1"/>
    <col min="8" max="8" width="12.59765625" customWidth="1"/>
  </cols>
  <sheetData>
    <row r="1" spans="1:47" s="27" customFormat="1">
      <c r="A1" s="24" t="s">
        <v>283</v>
      </c>
      <c r="B1" s="24"/>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row>
    <row r="2" spans="1:47" s="27" customFormat="1" ht="18.600000000000001">
      <c r="A2" s="28" t="s">
        <v>277</v>
      </c>
      <c r="B2" s="28"/>
      <c r="C2" s="28"/>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row>
    <row r="3" spans="1:47" s="27" customFormat="1">
      <c r="A3" s="30" t="s">
        <v>278</v>
      </c>
      <c r="B3" s="30"/>
      <c r="C3" s="30"/>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row>
    <row r="4" spans="1:47" s="27" customFormat="1" ht="18.600000000000001">
      <c r="A4" s="230"/>
      <c r="B4" s="230"/>
      <c r="C4" s="230"/>
      <c r="D4" s="231"/>
      <c r="E4" s="231"/>
      <c r="F4" s="231"/>
      <c r="G4" s="231"/>
      <c r="H4" s="234"/>
      <c r="I4" s="234"/>
      <c r="J4" s="234"/>
      <c r="K4" s="234"/>
      <c r="L4" s="234"/>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row>
    <row r="5" spans="1:47" ht="18">
      <c r="H5" s="22"/>
      <c r="I5" s="22"/>
      <c r="J5" s="22"/>
    </row>
    <row r="6" spans="1:47" ht="18">
      <c r="B6" s="408" t="s">
        <v>507</v>
      </c>
      <c r="C6" s="408"/>
      <c r="D6" s="409"/>
      <c r="E6" s="409"/>
      <c r="F6" s="409"/>
      <c r="H6" s="229" t="s">
        <v>508</v>
      </c>
      <c r="I6" s="229" t="s">
        <v>509</v>
      </c>
      <c r="J6" s="22"/>
    </row>
    <row r="7" spans="1:47" ht="18">
      <c r="B7" s="410" t="s">
        <v>488</v>
      </c>
      <c r="C7" s="90"/>
      <c r="D7" s="402">
        <f>SUM('비용 추정'!O54:R54)</f>
        <v>147350.08437270264</v>
      </c>
      <c r="E7" s="90" t="s">
        <v>489</v>
      </c>
      <c r="F7" s="157" t="s">
        <v>490</v>
      </c>
      <c r="H7" s="401">
        <v>43800</v>
      </c>
      <c r="I7" s="400">
        <v>24.229500000000002</v>
      </c>
      <c r="J7" s="22"/>
    </row>
    <row r="8" spans="1:47" ht="18">
      <c r="B8" s="410"/>
      <c r="C8" s="410" t="s">
        <v>491</v>
      </c>
      <c r="D8" s="402">
        <f>AVERAGE(I10:I11)*1.5</f>
        <v>34.625025000000008</v>
      </c>
      <c r="E8" s="90" t="s">
        <v>492</v>
      </c>
      <c r="F8" s="157" t="s">
        <v>493</v>
      </c>
      <c r="H8" s="401">
        <v>44166</v>
      </c>
      <c r="I8" s="400">
        <v>20.125299999999999</v>
      </c>
      <c r="J8" s="22"/>
    </row>
    <row r="9" spans="1:47" ht="18">
      <c r="B9" s="410" t="s">
        <v>494</v>
      </c>
      <c r="C9" s="404"/>
      <c r="D9" s="227">
        <f>D8*D7/100</f>
        <v>51020.003551569396</v>
      </c>
      <c r="E9" s="403" t="s">
        <v>495</v>
      </c>
      <c r="F9" s="405" t="s">
        <v>496</v>
      </c>
      <c r="H9" s="401">
        <v>44531</v>
      </c>
      <c r="I9" s="400">
        <v>22.156099999999999</v>
      </c>
      <c r="J9" s="399"/>
      <c r="K9" s="399"/>
      <c r="L9" s="399"/>
      <c r="M9" s="399"/>
      <c r="N9" s="399"/>
      <c r="O9" s="399"/>
    </row>
    <row r="10" spans="1:47" ht="18">
      <c r="B10" s="410" t="s">
        <v>497</v>
      </c>
      <c r="C10" s="90"/>
      <c r="D10" s="228">
        <v>65505</v>
      </c>
      <c r="E10" s="90" t="s">
        <v>498</v>
      </c>
      <c r="F10" s="157" t="s">
        <v>659</v>
      </c>
      <c r="H10" s="401">
        <v>44896</v>
      </c>
      <c r="I10" s="400">
        <v>17.808900000000001</v>
      </c>
      <c r="J10" s="22"/>
    </row>
    <row r="11" spans="1:47" ht="18">
      <c r="B11" s="410" t="s">
        <v>499</v>
      </c>
      <c r="C11" s="90"/>
      <c r="D11" s="406">
        <f>(D9*100000000)/(D10*1000)</f>
        <v>77887.189606242871</v>
      </c>
      <c r="E11" s="90" t="s">
        <v>500</v>
      </c>
      <c r="F11" s="157" t="s">
        <v>501</v>
      </c>
      <c r="H11" s="401">
        <v>45261</v>
      </c>
      <c r="I11" s="400">
        <v>28.357800000000001</v>
      </c>
      <c r="J11" s="22"/>
    </row>
    <row r="12" spans="1:47" ht="18">
      <c r="B12" s="411" t="s">
        <v>502</v>
      </c>
      <c r="C12" s="412"/>
      <c r="D12" s="413">
        <v>77900</v>
      </c>
      <c r="E12" s="412" t="s">
        <v>500</v>
      </c>
      <c r="F12" s="414" t="s">
        <v>503</v>
      </c>
      <c r="H12" s="401">
        <v>45627</v>
      </c>
      <c r="I12" s="400">
        <v>24.914200000000001</v>
      </c>
      <c r="J12" s="22"/>
    </row>
    <row r="13" spans="1:47" ht="18">
      <c r="B13" s="410" t="s">
        <v>504</v>
      </c>
      <c r="C13" s="90"/>
      <c r="D13" s="406">
        <v>58000</v>
      </c>
      <c r="E13" s="90" t="s">
        <v>500</v>
      </c>
      <c r="F13" s="157" t="s">
        <v>660</v>
      </c>
      <c r="H13" s="401">
        <v>45992</v>
      </c>
      <c r="I13" s="400">
        <v>26.0792</v>
      </c>
      <c r="J13" s="22"/>
    </row>
    <row r="14" spans="1:47" ht="18">
      <c r="B14" s="410" t="s">
        <v>505</v>
      </c>
      <c r="C14" s="90"/>
      <c r="D14" s="407">
        <f>(D12/D13-1)*100</f>
        <v>34.310344827586214</v>
      </c>
      <c r="E14" s="90" t="s">
        <v>506</v>
      </c>
      <c r="F14" s="157"/>
      <c r="H14" s="398"/>
      <c r="I14" s="22"/>
      <c r="J14" s="22"/>
      <c r="K14" s="398"/>
      <c r="L14" s="22"/>
    </row>
    <row r="15" spans="1:47" ht="18">
      <c r="H15" s="22"/>
      <c r="I15" s="22"/>
      <c r="J15" s="22"/>
      <c r="K15" s="398"/>
      <c r="L15" s="22"/>
    </row>
    <row r="16" spans="1:47" ht="18">
      <c r="H16" s="22"/>
      <c r="I16" s="237"/>
      <c r="J16" s="22"/>
      <c r="K16" s="398"/>
      <c r="L16" s="22"/>
    </row>
    <row r="17" spans="8:12" ht="18">
      <c r="H17" s="22"/>
      <c r="I17" s="22"/>
      <c r="J17" s="22"/>
      <c r="K17" s="398"/>
      <c r="L17" s="22"/>
    </row>
    <row r="18" spans="8:12" ht="18">
      <c r="H18" s="22"/>
      <c r="I18" s="22"/>
      <c r="J18" s="22"/>
      <c r="K18" s="398"/>
      <c r="L18" s="22"/>
    </row>
    <row r="19" spans="8:12" ht="18">
      <c r="H19" s="22"/>
      <c r="I19" s="22"/>
      <c r="J19" s="22"/>
      <c r="K19" s="398"/>
      <c r="L19" s="22"/>
    </row>
    <row r="20" spans="8:12" ht="18">
      <c r="H20" s="22"/>
      <c r="I20" s="22"/>
      <c r="J20" s="22"/>
      <c r="K20" s="398"/>
      <c r="L20" s="22"/>
    </row>
    <row r="21" spans="8:12" ht="18">
      <c r="H21" s="22"/>
      <c r="I21" s="22"/>
      <c r="J21" s="22"/>
      <c r="K21" s="398"/>
      <c r="L21" s="22"/>
    </row>
    <row r="22" spans="8:12" ht="18">
      <c r="H22" s="22"/>
      <c r="I22" s="22"/>
      <c r="J22" s="22"/>
      <c r="K22" s="398"/>
      <c r="L22" s="22"/>
    </row>
    <row r="23" spans="8:12" ht="18">
      <c r="H23" s="22"/>
      <c r="I23" s="22"/>
      <c r="J23" s="22"/>
      <c r="K23" s="398"/>
      <c r="L23" s="22"/>
    </row>
    <row r="24" spans="8:12" ht="18">
      <c r="H24" s="22"/>
      <c r="I24" s="22"/>
      <c r="J24" s="22"/>
      <c r="K24" s="398"/>
      <c r="L24" s="22"/>
    </row>
    <row r="25" spans="8:12" ht="18">
      <c r="H25" s="22"/>
      <c r="I25" s="22"/>
      <c r="J25" s="22"/>
      <c r="K25" s="398"/>
      <c r="L25" s="22"/>
    </row>
    <row r="26" spans="8:12" ht="18">
      <c r="H26" s="22"/>
      <c r="I26" s="22"/>
      <c r="J26" s="22"/>
      <c r="K26" s="398"/>
      <c r="L26" s="22"/>
    </row>
    <row r="27" spans="8:12" ht="18">
      <c r="H27" s="22"/>
      <c r="I27" s="22"/>
      <c r="J27" s="22"/>
      <c r="K27" s="398"/>
      <c r="L27" s="22"/>
    </row>
    <row r="28" spans="8:12" ht="18">
      <c r="H28" s="22"/>
      <c r="I28" s="22"/>
      <c r="J28" s="22"/>
      <c r="K28" s="398"/>
      <c r="L28" s="22"/>
    </row>
    <row r="29" spans="8:12" ht="18">
      <c r="J29" s="22"/>
      <c r="K29" s="398"/>
      <c r="L29" s="22"/>
    </row>
    <row r="30" spans="8:12" ht="18">
      <c r="J30" s="22"/>
      <c r="K30" s="235"/>
      <c r="L30" s="236"/>
    </row>
    <row r="31" spans="8:12">
      <c r="K31" s="232"/>
      <c r="L31" s="233"/>
    </row>
    <row r="32" spans="8:12">
      <c r="K32" s="232"/>
      <c r="L32" s="233"/>
    </row>
    <row r="33" spans="11:12">
      <c r="K33" s="232"/>
      <c r="L33" s="233"/>
    </row>
    <row r="34" spans="11:12">
      <c r="K34" s="232"/>
      <c r="L34" s="233"/>
    </row>
    <row r="35" spans="11:12">
      <c r="K35" s="232"/>
      <c r="L35" s="233"/>
    </row>
    <row r="36" spans="11:12">
      <c r="K36" s="232"/>
      <c r="L36" s="233"/>
    </row>
    <row r="37" spans="11:12">
      <c r="K37" s="232"/>
      <c r="L37" s="233"/>
    </row>
    <row r="38" spans="11:12">
      <c r="K38" s="232"/>
      <c r="L38" s="233"/>
    </row>
    <row r="39" spans="11:12">
      <c r="K39" s="232"/>
      <c r="L39" s="233"/>
    </row>
    <row r="40" spans="11:12">
      <c r="K40" s="232"/>
      <c r="L40" s="233"/>
    </row>
    <row r="41" spans="11:12">
      <c r="K41" s="232"/>
      <c r="L41" s="233"/>
    </row>
    <row r="42" spans="11:12">
      <c r="K42" s="232"/>
      <c r="L42" s="233"/>
    </row>
    <row r="43" spans="11:12">
      <c r="K43" s="232"/>
      <c r="L43" s="233"/>
    </row>
    <row r="44" spans="11:12">
      <c r="K44" s="232"/>
      <c r="L44" s="233"/>
    </row>
    <row r="45" spans="11:12">
      <c r="K45" s="232"/>
      <c r="L45" s="233"/>
    </row>
    <row r="46" spans="11:12">
      <c r="K46" s="232"/>
      <c r="L46" s="233"/>
    </row>
    <row r="47" spans="11:12">
      <c r="K47" s="232"/>
      <c r="L47" s="233"/>
    </row>
    <row r="48" spans="11:12">
      <c r="K48" s="232"/>
      <c r="L48" s="233"/>
    </row>
    <row r="49" spans="11:12">
      <c r="K49" s="232"/>
      <c r="L49" s="233"/>
    </row>
    <row r="50" spans="11:12">
      <c r="K50" s="232"/>
      <c r="L50" s="233"/>
    </row>
    <row r="51" spans="11:12">
      <c r="K51" s="232"/>
      <c r="L51" s="233"/>
    </row>
    <row r="52" spans="11:12">
      <c r="K52" s="232"/>
      <c r="L52" s="233"/>
    </row>
    <row r="53" spans="11:12">
      <c r="K53" s="232"/>
      <c r="L53" s="233"/>
    </row>
    <row r="54" spans="11:12">
      <c r="K54" s="232"/>
      <c r="L54" s="233"/>
    </row>
    <row r="55" spans="11:12">
      <c r="K55" s="232"/>
      <c r="L55" s="233"/>
    </row>
    <row r="56" spans="11:12">
      <c r="K56" s="232"/>
      <c r="L56" s="233"/>
    </row>
    <row r="57" spans="11:12">
      <c r="K57" s="232"/>
      <c r="L57" s="233"/>
    </row>
    <row r="58" spans="11:12">
      <c r="K58" s="232"/>
      <c r="L58" s="233"/>
    </row>
    <row r="59" spans="11:12">
      <c r="K59" s="232"/>
      <c r="L59" s="233"/>
    </row>
    <row r="60" spans="11:12">
      <c r="K60" s="232"/>
      <c r="L60" s="233"/>
    </row>
    <row r="61" spans="11:12">
      <c r="K61" s="232"/>
      <c r="L61" s="233"/>
    </row>
    <row r="62" spans="11:12">
      <c r="K62" s="232"/>
      <c r="L62" s="233"/>
    </row>
    <row r="63" spans="11:12">
      <c r="K63" s="232"/>
      <c r="L63" s="233"/>
    </row>
    <row r="64" spans="11:12">
      <c r="K64" s="232"/>
      <c r="L64" s="233"/>
    </row>
    <row r="65" spans="11:12">
      <c r="K65" s="232"/>
      <c r="L65" s="233"/>
    </row>
    <row r="66" spans="11:12">
      <c r="K66" s="232"/>
      <c r="L66" s="233"/>
    </row>
    <row r="67" spans="11:12">
      <c r="K67" s="232"/>
      <c r="L67" s="233"/>
    </row>
    <row r="68" spans="11:12">
      <c r="K68" s="232"/>
      <c r="L68" s="233"/>
    </row>
    <row r="69" spans="11:12">
      <c r="K69" s="232"/>
      <c r="L69" s="233"/>
    </row>
    <row r="70" spans="11:12">
      <c r="K70" s="232"/>
      <c r="L70" s="233"/>
    </row>
    <row r="71" spans="11:12">
      <c r="K71" s="232"/>
      <c r="L71" s="233"/>
    </row>
    <row r="72" spans="11:12">
      <c r="K72" s="232"/>
      <c r="L72" s="233"/>
    </row>
    <row r="73" spans="11:12">
      <c r="K73" s="232"/>
      <c r="L73" s="233"/>
    </row>
    <row r="74" spans="11:12">
      <c r="K74" s="232"/>
      <c r="L74" s="233"/>
    </row>
    <row r="75" spans="11:12">
      <c r="K75" s="232"/>
      <c r="L75" s="233"/>
    </row>
    <row r="76" spans="11:12">
      <c r="K76" s="232"/>
      <c r="L76" s="233"/>
    </row>
    <row r="77" spans="11:12">
      <c r="K77" s="232"/>
      <c r="L77" s="233"/>
    </row>
    <row r="78" spans="11:12">
      <c r="K78" s="232"/>
      <c r="L78" s="233"/>
    </row>
    <row r="79" spans="11:12">
      <c r="K79" s="232"/>
      <c r="L79" s="233"/>
    </row>
    <row r="80" spans="11:12">
      <c r="K80" s="232"/>
      <c r="L80" s="233"/>
    </row>
    <row r="81" spans="11:12">
      <c r="K81" s="232"/>
      <c r="L81" s="233"/>
    </row>
    <row r="82" spans="11:12">
      <c r="K82" s="232"/>
      <c r="L82" s="233"/>
    </row>
    <row r="83" spans="11:12">
      <c r="K83" s="232"/>
      <c r="L83" s="233"/>
    </row>
    <row r="84" spans="11:12">
      <c r="K84" s="232"/>
      <c r="L84" s="233"/>
    </row>
    <row r="85" spans="11:12">
      <c r="K85" s="232"/>
      <c r="L85" s="233"/>
    </row>
    <row r="86" spans="11:12">
      <c r="K86" s="232"/>
      <c r="L86" s="233"/>
    </row>
    <row r="87" spans="11:12">
      <c r="K87" s="232"/>
      <c r="L87" s="233"/>
    </row>
    <row r="88" spans="11:12">
      <c r="K88" s="232"/>
      <c r="L88" s="233"/>
    </row>
    <row r="89" spans="11:12">
      <c r="K89" s="232"/>
      <c r="L89" s="233"/>
    </row>
    <row r="90" spans="11:12">
      <c r="K90" s="232"/>
      <c r="L90" s="233"/>
    </row>
    <row r="91" spans="11:12">
      <c r="K91" s="232"/>
      <c r="L91" s="233"/>
    </row>
    <row r="92" spans="11:12">
      <c r="K92" s="232"/>
      <c r="L92" s="233"/>
    </row>
    <row r="93" spans="11:12">
      <c r="K93" s="232"/>
      <c r="L93" s="233"/>
    </row>
    <row r="94" spans="11:12">
      <c r="K94" s="232"/>
      <c r="L94" s="233"/>
    </row>
    <row r="95" spans="11:12">
      <c r="K95" s="232"/>
      <c r="L95" s="233"/>
    </row>
    <row r="96" spans="11:12">
      <c r="K96" s="232"/>
      <c r="L96" s="233"/>
    </row>
    <row r="97" spans="11:12">
      <c r="K97" s="232"/>
      <c r="L97" s="233"/>
    </row>
    <row r="98" spans="11:12">
      <c r="K98" s="232"/>
      <c r="L98" s="233"/>
    </row>
    <row r="99" spans="11:12">
      <c r="K99" s="232"/>
      <c r="L99" s="233"/>
    </row>
    <row r="100" spans="11:12">
      <c r="K100" s="232"/>
      <c r="L100" s="233"/>
    </row>
    <row r="101" spans="11:12">
      <c r="K101" s="232"/>
      <c r="L101" s="233"/>
    </row>
    <row r="102" spans="11:12">
      <c r="K102" s="232"/>
      <c r="L102" s="233"/>
    </row>
    <row r="103" spans="11:12">
      <c r="K103" s="232"/>
      <c r="L103" s="233"/>
    </row>
    <row r="104" spans="11:12">
      <c r="K104" s="232"/>
      <c r="L104" s="233"/>
    </row>
    <row r="105" spans="11:12">
      <c r="K105" s="232"/>
      <c r="L105" s="233"/>
    </row>
    <row r="106" spans="11:12">
      <c r="K106" s="232"/>
      <c r="L106" s="233"/>
    </row>
    <row r="107" spans="11:12">
      <c r="K107" s="232"/>
      <c r="L107" s="233"/>
    </row>
    <row r="108" spans="11:12">
      <c r="K108" s="232"/>
      <c r="L108" s="233"/>
    </row>
    <row r="109" spans="11:12">
      <c r="K109" s="232"/>
      <c r="L109" s="233"/>
    </row>
    <row r="110" spans="11:12">
      <c r="K110" s="232"/>
      <c r="L110" s="233"/>
    </row>
    <row r="111" spans="11:12">
      <c r="K111" s="232"/>
      <c r="L111" s="233"/>
    </row>
    <row r="112" spans="11:12">
      <c r="K112" s="232"/>
      <c r="L112" s="233"/>
    </row>
    <row r="113" spans="11:12">
      <c r="K113" s="232"/>
      <c r="L113" s="233"/>
    </row>
    <row r="114" spans="11:12">
      <c r="K114" s="232"/>
      <c r="L114" s="233"/>
    </row>
    <row r="115" spans="11:12">
      <c r="K115" s="232"/>
      <c r="L115" s="233"/>
    </row>
    <row r="116" spans="11:12">
      <c r="K116" s="232"/>
      <c r="L116" s="233"/>
    </row>
    <row r="117" spans="11:12">
      <c r="K117" s="232"/>
      <c r="L117" s="233"/>
    </row>
    <row r="118" spans="11:12">
      <c r="K118" s="232"/>
      <c r="L118" s="233"/>
    </row>
    <row r="119" spans="11:12">
      <c r="K119" s="232"/>
      <c r="L119" s="233"/>
    </row>
    <row r="120" spans="11:12">
      <c r="K120" s="232"/>
      <c r="L120" s="233"/>
    </row>
    <row r="121" spans="11:12">
      <c r="K121" s="232"/>
      <c r="L121" s="233"/>
    </row>
    <row r="122" spans="11:12">
      <c r="K122" s="232"/>
      <c r="L122" s="233"/>
    </row>
    <row r="123" spans="11:12">
      <c r="K123" s="232"/>
      <c r="L123" s="233"/>
    </row>
    <row r="124" spans="11:12">
      <c r="K124" s="232"/>
      <c r="L124" s="233"/>
    </row>
    <row r="125" spans="11:12">
      <c r="K125" s="232"/>
      <c r="L125" s="233"/>
    </row>
    <row r="126" spans="11:12">
      <c r="K126" s="232"/>
      <c r="L126" s="233"/>
    </row>
    <row r="127" spans="11:12">
      <c r="K127" s="232"/>
      <c r="L127" s="233"/>
    </row>
    <row r="128" spans="11:12">
      <c r="K128" s="232"/>
      <c r="L128" s="233"/>
    </row>
    <row r="129" spans="11:12">
      <c r="K129" s="232"/>
      <c r="L129" s="233"/>
    </row>
    <row r="130" spans="11:12">
      <c r="K130" s="232"/>
      <c r="L130" s="233"/>
    </row>
    <row r="131" spans="11:12">
      <c r="K131" s="232"/>
      <c r="L131" s="233"/>
    </row>
    <row r="132" spans="11:12">
      <c r="K132" s="232"/>
      <c r="L132" s="233"/>
    </row>
    <row r="133" spans="11:12">
      <c r="K133" s="232"/>
      <c r="L133" s="233"/>
    </row>
    <row r="134" spans="11:12">
      <c r="K134" s="232"/>
      <c r="L134" s="233"/>
    </row>
    <row r="135" spans="11:12">
      <c r="K135" s="232"/>
      <c r="L135" s="233"/>
    </row>
    <row r="136" spans="11:12">
      <c r="K136" s="232"/>
      <c r="L136" s="233"/>
    </row>
    <row r="137" spans="11:12">
      <c r="K137" s="232"/>
      <c r="L137" s="233"/>
    </row>
    <row r="138" spans="11:12">
      <c r="K138" s="232"/>
      <c r="L138" s="233"/>
    </row>
    <row r="139" spans="11:12">
      <c r="K139" s="232"/>
      <c r="L139" s="233"/>
    </row>
    <row r="140" spans="11:12">
      <c r="K140" s="232"/>
      <c r="L140" s="233"/>
    </row>
    <row r="141" spans="11:12">
      <c r="K141" s="232"/>
      <c r="L141" s="233"/>
    </row>
    <row r="142" spans="11:12">
      <c r="K142" s="232"/>
      <c r="L142" s="233"/>
    </row>
    <row r="143" spans="11:12">
      <c r="K143" s="232"/>
      <c r="L143" s="233"/>
    </row>
    <row r="144" spans="11:12">
      <c r="K144" s="232"/>
      <c r="L144" s="233"/>
    </row>
    <row r="145" spans="11:12">
      <c r="K145" s="232"/>
      <c r="L145" s="233"/>
    </row>
    <row r="146" spans="11:12">
      <c r="K146" s="232"/>
      <c r="L146" s="233"/>
    </row>
    <row r="147" spans="11:12">
      <c r="K147" s="232"/>
      <c r="L147" s="233"/>
    </row>
    <row r="148" spans="11:12">
      <c r="K148" s="232"/>
      <c r="L148" s="233"/>
    </row>
    <row r="149" spans="11:12">
      <c r="K149" s="232"/>
      <c r="L149" s="233"/>
    </row>
    <row r="150" spans="11:12">
      <c r="K150" s="232"/>
      <c r="L150" s="233"/>
    </row>
    <row r="151" spans="11:12">
      <c r="K151" s="232"/>
      <c r="L151" s="233"/>
    </row>
    <row r="152" spans="11:12">
      <c r="K152" s="232"/>
      <c r="L152" s="233"/>
    </row>
    <row r="153" spans="11:12">
      <c r="K153" s="232"/>
      <c r="L153" s="233"/>
    </row>
    <row r="154" spans="11:12">
      <c r="K154" s="232"/>
      <c r="L154" s="233"/>
    </row>
    <row r="155" spans="11:12">
      <c r="K155" s="232"/>
      <c r="L155" s="233"/>
    </row>
    <row r="156" spans="11:12">
      <c r="K156" s="232"/>
      <c r="L156" s="233"/>
    </row>
    <row r="157" spans="11:12">
      <c r="K157" s="232"/>
      <c r="L157" s="233"/>
    </row>
    <row r="158" spans="11:12">
      <c r="K158" s="232"/>
      <c r="L158" s="233"/>
    </row>
    <row r="159" spans="11:12">
      <c r="K159" s="232"/>
      <c r="L159" s="233"/>
    </row>
    <row r="160" spans="11:12">
      <c r="K160" s="232"/>
      <c r="L160" s="233"/>
    </row>
    <row r="161" spans="11:12">
      <c r="K161" s="232"/>
      <c r="L161" s="233"/>
    </row>
    <row r="162" spans="11:12">
      <c r="K162" s="232"/>
      <c r="L162" s="233"/>
    </row>
    <row r="163" spans="11:12">
      <c r="K163" s="232"/>
      <c r="L163" s="233"/>
    </row>
    <row r="164" spans="11:12">
      <c r="K164" s="232"/>
      <c r="L164" s="233"/>
    </row>
    <row r="165" spans="11:12">
      <c r="K165" s="232"/>
      <c r="L165" s="233"/>
    </row>
    <row r="166" spans="11:12">
      <c r="K166" s="232"/>
      <c r="L166" s="233"/>
    </row>
    <row r="167" spans="11:12">
      <c r="K167" s="232"/>
      <c r="L167" s="233"/>
    </row>
    <row r="168" spans="11:12">
      <c r="K168" s="232"/>
      <c r="L168" s="233"/>
    </row>
    <row r="169" spans="11:12">
      <c r="K169" s="232"/>
      <c r="L169" s="233"/>
    </row>
    <row r="170" spans="11:12">
      <c r="K170" s="232"/>
      <c r="L170" s="233"/>
    </row>
    <row r="171" spans="11:12">
      <c r="K171" s="232"/>
      <c r="L171" s="233"/>
    </row>
    <row r="172" spans="11:12">
      <c r="K172" s="232"/>
      <c r="L172" s="233"/>
    </row>
    <row r="173" spans="11:12">
      <c r="K173" s="232"/>
      <c r="L173" s="233"/>
    </row>
    <row r="174" spans="11:12">
      <c r="K174" s="232"/>
      <c r="L174" s="233"/>
    </row>
    <row r="175" spans="11:12">
      <c r="K175" s="232"/>
      <c r="L175" s="233"/>
    </row>
    <row r="176" spans="11:12">
      <c r="K176" s="232"/>
      <c r="L176" s="233"/>
    </row>
    <row r="177" spans="11:12">
      <c r="K177" s="232"/>
      <c r="L177" s="233"/>
    </row>
    <row r="178" spans="11:12">
      <c r="K178" s="232"/>
      <c r="L178" s="233"/>
    </row>
    <row r="179" spans="11:12">
      <c r="K179" s="232"/>
      <c r="L179" s="233"/>
    </row>
    <row r="180" spans="11:12">
      <c r="K180" s="232"/>
      <c r="L180" s="233"/>
    </row>
    <row r="181" spans="11:12">
      <c r="K181" s="232"/>
      <c r="L181" s="233"/>
    </row>
    <row r="182" spans="11:12">
      <c r="K182" s="232"/>
      <c r="L182" s="233"/>
    </row>
    <row r="183" spans="11:12">
      <c r="K183" s="232"/>
      <c r="L183" s="233"/>
    </row>
    <row r="184" spans="11:12">
      <c r="K184" s="232"/>
      <c r="L184" s="233"/>
    </row>
    <row r="185" spans="11:12">
      <c r="K185" s="232"/>
      <c r="L185" s="233"/>
    </row>
    <row r="186" spans="11:12">
      <c r="K186" s="232"/>
      <c r="L186" s="233"/>
    </row>
    <row r="187" spans="11:12">
      <c r="K187" s="232"/>
      <c r="L187" s="233"/>
    </row>
    <row r="188" spans="11:12">
      <c r="K188" s="232"/>
      <c r="L188" s="233"/>
    </row>
    <row r="189" spans="11:12">
      <c r="K189" s="232"/>
      <c r="L189" s="233"/>
    </row>
    <row r="190" spans="11:12">
      <c r="K190" s="232"/>
      <c r="L190" s="233"/>
    </row>
    <row r="191" spans="11:12">
      <c r="K191" s="232"/>
      <c r="L191" s="233"/>
    </row>
    <row r="192" spans="11:12">
      <c r="K192" s="232"/>
      <c r="L192" s="233"/>
    </row>
    <row r="193" spans="11:12">
      <c r="K193" s="232"/>
      <c r="L193" s="233"/>
    </row>
    <row r="194" spans="11:12">
      <c r="K194" s="232"/>
      <c r="L194" s="233"/>
    </row>
    <row r="195" spans="11:12">
      <c r="K195" s="232"/>
      <c r="L195" s="233"/>
    </row>
    <row r="196" spans="11:12">
      <c r="K196" s="232"/>
      <c r="L196" s="233"/>
    </row>
    <row r="197" spans="11:12">
      <c r="K197" s="232"/>
      <c r="L197" s="233"/>
    </row>
    <row r="198" spans="11:12">
      <c r="K198" s="232"/>
      <c r="L198" s="233"/>
    </row>
    <row r="199" spans="11:12">
      <c r="K199" s="232"/>
      <c r="L199" s="233"/>
    </row>
    <row r="200" spans="11:12">
      <c r="K200" s="232"/>
      <c r="L200" s="233"/>
    </row>
    <row r="201" spans="11:12">
      <c r="K201" s="232"/>
      <c r="L201" s="233"/>
    </row>
    <row r="202" spans="11:12">
      <c r="K202" s="232"/>
      <c r="L202" s="233"/>
    </row>
    <row r="203" spans="11:12">
      <c r="K203" s="232"/>
      <c r="L203" s="233"/>
    </row>
    <row r="204" spans="11:12">
      <c r="K204" s="232"/>
      <c r="L204" s="233"/>
    </row>
    <row r="205" spans="11:12">
      <c r="K205" s="232"/>
      <c r="L205" s="233"/>
    </row>
    <row r="206" spans="11:12">
      <c r="K206" s="232"/>
      <c r="L206" s="233"/>
    </row>
    <row r="207" spans="11:12">
      <c r="K207" s="232"/>
      <c r="L207" s="233"/>
    </row>
    <row r="208" spans="11:12">
      <c r="K208" s="232"/>
      <c r="L208" s="233"/>
    </row>
    <row r="209" spans="11:12">
      <c r="K209" s="232"/>
      <c r="L209" s="233"/>
    </row>
    <row r="210" spans="11:12">
      <c r="K210" s="232"/>
      <c r="L210" s="233"/>
    </row>
    <row r="211" spans="11:12">
      <c r="K211" s="232"/>
      <c r="L211" s="233"/>
    </row>
    <row r="212" spans="11:12">
      <c r="K212" s="232"/>
      <c r="L212" s="233"/>
    </row>
    <row r="213" spans="11:12">
      <c r="K213" s="232"/>
      <c r="L213" s="233"/>
    </row>
    <row r="214" spans="11:12">
      <c r="K214" s="232"/>
      <c r="L214" s="233"/>
    </row>
    <row r="215" spans="11:12">
      <c r="K215" s="232"/>
      <c r="L215" s="233"/>
    </row>
    <row r="216" spans="11:12">
      <c r="K216" s="232"/>
      <c r="L216" s="233"/>
    </row>
    <row r="217" spans="11:12">
      <c r="K217" s="232"/>
      <c r="L217" s="233"/>
    </row>
    <row r="218" spans="11:12">
      <c r="K218" s="232"/>
      <c r="L218" s="233"/>
    </row>
    <row r="219" spans="11:12">
      <c r="K219" s="232"/>
      <c r="L219" s="233"/>
    </row>
    <row r="220" spans="11:12">
      <c r="K220" s="232"/>
      <c r="L220" s="233"/>
    </row>
    <row r="221" spans="11:12">
      <c r="K221" s="232"/>
      <c r="L221" s="233"/>
    </row>
    <row r="222" spans="11:12">
      <c r="K222" s="232"/>
      <c r="L222" s="233"/>
    </row>
    <row r="223" spans="11:12">
      <c r="K223" s="232"/>
      <c r="L223" s="233"/>
    </row>
    <row r="224" spans="11:12">
      <c r="K224" s="232"/>
      <c r="L224" s="233"/>
    </row>
    <row r="225" spans="11:12">
      <c r="K225" s="232"/>
      <c r="L225" s="233"/>
    </row>
    <row r="226" spans="11:12">
      <c r="K226" s="232"/>
      <c r="L226" s="233"/>
    </row>
    <row r="227" spans="11:12">
      <c r="K227" s="232"/>
      <c r="L227" s="233"/>
    </row>
    <row r="228" spans="11:12">
      <c r="K228" s="232"/>
      <c r="L228" s="233"/>
    </row>
    <row r="229" spans="11:12">
      <c r="K229" s="232"/>
      <c r="L229" s="233"/>
    </row>
    <row r="230" spans="11:12">
      <c r="K230" s="232"/>
      <c r="L230" s="233"/>
    </row>
    <row r="231" spans="11:12">
      <c r="K231" s="232"/>
      <c r="L231" s="233"/>
    </row>
    <row r="232" spans="11:12">
      <c r="K232" s="232"/>
      <c r="L232" s="233"/>
    </row>
    <row r="233" spans="11:12">
      <c r="K233" s="232"/>
      <c r="L233" s="233"/>
    </row>
    <row r="234" spans="11:12">
      <c r="K234" s="232"/>
      <c r="L234" s="233"/>
    </row>
    <row r="235" spans="11:12">
      <c r="K235" s="232"/>
      <c r="L235" s="233"/>
    </row>
    <row r="236" spans="11:12">
      <c r="K236" s="232"/>
      <c r="L236" s="233"/>
    </row>
    <row r="237" spans="11:12">
      <c r="K237" s="232"/>
      <c r="L237" s="233"/>
    </row>
    <row r="238" spans="11:12">
      <c r="K238" s="232"/>
      <c r="L238" s="233"/>
    </row>
    <row r="239" spans="11:12">
      <c r="K239" s="232"/>
      <c r="L239" s="233"/>
    </row>
    <row r="240" spans="11:12">
      <c r="K240" s="232"/>
      <c r="L240" s="233"/>
    </row>
    <row r="241" spans="11:12">
      <c r="K241" s="232"/>
      <c r="L241" s="233"/>
    </row>
    <row r="242" spans="11:12">
      <c r="K242" s="232"/>
      <c r="L242" s="233"/>
    </row>
    <row r="243" spans="11:12">
      <c r="K243" s="232"/>
      <c r="L243" s="233"/>
    </row>
    <row r="244" spans="11:12">
      <c r="K244" s="232"/>
      <c r="L244" s="233"/>
    </row>
    <row r="245" spans="11:12">
      <c r="K245" s="232"/>
      <c r="L245" s="233"/>
    </row>
    <row r="246" spans="11:12">
      <c r="K246" s="232"/>
      <c r="L246" s="233"/>
    </row>
    <row r="247" spans="11:12">
      <c r="K247" s="232"/>
      <c r="L247" s="233"/>
    </row>
    <row r="248" spans="11:12">
      <c r="K248" s="232"/>
      <c r="L248" s="233"/>
    </row>
    <row r="249" spans="11:12">
      <c r="K249" s="232"/>
      <c r="L249" s="233"/>
    </row>
    <row r="250" spans="11:12">
      <c r="K250" s="232"/>
      <c r="L250" s="233"/>
    </row>
    <row r="251" spans="11:12">
      <c r="K251" s="232"/>
      <c r="L251" s="233"/>
    </row>
    <row r="252" spans="11:12">
      <c r="K252" s="232"/>
      <c r="L252" s="233"/>
    </row>
    <row r="253" spans="11:12">
      <c r="K253" s="232"/>
      <c r="L253" s="233"/>
    </row>
    <row r="254" spans="11:12">
      <c r="K254" s="232"/>
      <c r="L254" s="233"/>
    </row>
    <row r="255" spans="11:12">
      <c r="K255" s="232"/>
      <c r="L255" s="233"/>
    </row>
    <row r="256" spans="11:12">
      <c r="K256" s="232"/>
      <c r="L256" s="233"/>
    </row>
    <row r="257" spans="11:12">
      <c r="K257" s="232"/>
      <c r="L257" s="233"/>
    </row>
    <row r="258" spans="11:12">
      <c r="K258" s="232"/>
      <c r="L258" s="233"/>
    </row>
    <row r="259" spans="11:12">
      <c r="K259" s="232"/>
      <c r="L259" s="233"/>
    </row>
    <row r="260" spans="11:12">
      <c r="K260" s="232"/>
      <c r="L260" s="233"/>
    </row>
    <row r="261" spans="11:12">
      <c r="K261" s="232"/>
      <c r="L261" s="233"/>
    </row>
    <row r="262" spans="11:12">
      <c r="K262" s="232"/>
      <c r="L262" s="233"/>
    </row>
    <row r="263" spans="11:12">
      <c r="K263" s="232"/>
      <c r="L263" s="233"/>
    </row>
    <row r="264" spans="11:12">
      <c r="K264" s="232"/>
      <c r="L264" s="233"/>
    </row>
    <row r="265" spans="11:12">
      <c r="K265" s="232"/>
      <c r="L265" s="233"/>
    </row>
    <row r="266" spans="11:12">
      <c r="K266" s="232"/>
      <c r="L266" s="233"/>
    </row>
    <row r="267" spans="11:12">
      <c r="K267" s="232"/>
      <c r="L267" s="233"/>
    </row>
    <row r="268" spans="11:12">
      <c r="K268" s="232"/>
      <c r="L268" s="233"/>
    </row>
    <row r="269" spans="11:12">
      <c r="K269" s="232"/>
      <c r="L269" s="233"/>
    </row>
    <row r="270" spans="11:12">
      <c r="K270" s="232"/>
      <c r="L270" s="233"/>
    </row>
    <row r="271" spans="11:12">
      <c r="K271" s="232"/>
      <c r="L271" s="233"/>
    </row>
    <row r="272" spans="11:12">
      <c r="K272" s="232"/>
      <c r="L272" s="233"/>
    </row>
    <row r="273" spans="11:12">
      <c r="K273" s="232"/>
      <c r="L273" s="233"/>
    </row>
    <row r="274" spans="11:12">
      <c r="K274" s="232"/>
      <c r="L274" s="233"/>
    </row>
    <row r="275" spans="11:12">
      <c r="K275" s="232"/>
      <c r="L275" s="233"/>
    </row>
    <row r="276" spans="11:12">
      <c r="K276" s="232"/>
      <c r="L276" s="233"/>
    </row>
    <row r="277" spans="11:12">
      <c r="K277" s="232"/>
      <c r="L277" s="233"/>
    </row>
    <row r="278" spans="11:12">
      <c r="K278" s="232"/>
      <c r="L278" s="233"/>
    </row>
    <row r="279" spans="11:12">
      <c r="K279" s="232"/>
      <c r="L279" s="233"/>
    </row>
    <row r="280" spans="11:12">
      <c r="K280" s="232"/>
      <c r="L280" s="233"/>
    </row>
    <row r="281" spans="11:12">
      <c r="K281" s="232"/>
      <c r="L281" s="233"/>
    </row>
    <row r="282" spans="11:12">
      <c r="K282" s="232"/>
      <c r="L282" s="233"/>
    </row>
    <row r="283" spans="11:12">
      <c r="K283" s="232"/>
      <c r="L283" s="233"/>
    </row>
    <row r="284" spans="11:12">
      <c r="K284" s="232"/>
      <c r="L284" s="233"/>
    </row>
    <row r="285" spans="11:12">
      <c r="K285" s="232"/>
      <c r="L285" s="233"/>
    </row>
    <row r="286" spans="11:12">
      <c r="K286" s="232"/>
      <c r="L286" s="233"/>
    </row>
    <row r="287" spans="11:12">
      <c r="K287" s="232"/>
      <c r="L287" s="233"/>
    </row>
    <row r="288" spans="11:12">
      <c r="K288" s="232"/>
      <c r="L288" s="233"/>
    </row>
    <row r="289" spans="11:12">
      <c r="K289" s="232"/>
      <c r="L289" s="233"/>
    </row>
    <row r="290" spans="11:12">
      <c r="K290" s="232"/>
      <c r="L290" s="233"/>
    </row>
    <row r="291" spans="11:12">
      <c r="K291" s="232"/>
      <c r="L291" s="233"/>
    </row>
    <row r="292" spans="11:12">
      <c r="K292" s="232"/>
      <c r="L292" s="233"/>
    </row>
    <row r="293" spans="11:12">
      <c r="K293" s="232"/>
      <c r="L293" s="233"/>
    </row>
    <row r="294" spans="11:12">
      <c r="K294" s="232"/>
      <c r="L294" s="233"/>
    </row>
    <row r="295" spans="11:12">
      <c r="K295" s="232"/>
      <c r="L295" s="233"/>
    </row>
    <row r="296" spans="11:12">
      <c r="K296" s="232"/>
      <c r="L296" s="233"/>
    </row>
    <row r="297" spans="11:12">
      <c r="K297" s="232"/>
      <c r="L297" s="233"/>
    </row>
    <row r="298" spans="11:12">
      <c r="K298" s="232"/>
      <c r="L298" s="233"/>
    </row>
    <row r="299" spans="11:12">
      <c r="K299" s="232"/>
      <c r="L299" s="233"/>
    </row>
    <row r="300" spans="11:12">
      <c r="K300" s="232"/>
      <c r="L300" s="233"/>
    </row>
    <row r="301" spans="11:12">
      <c r="K301" s="232"/>
      <c r="L301" s="233"/>
    </row>
    <row r="302" spans="11:12">
      <c r="K302" s="232"/>
      <c r="L302" s="233"/>
    </row>
    <row r="303" spans="11:12">
      <c r="K303" s="232"/>
      <c r="L303" s="233"/>
    </row>
    <row r="304" spans="11:12">
      <c r="K304" s="232"/>
      <c r="L304" s="233"/>
    </row>
    <row r="305" spans="11:12">
      <c r="K305" s="232"/>
      <c r="L305" s="233"/>
    </row>
    <row r="306" spans="11:12">
      <c r="K306" s="232"/>
      <c r="L306" s="233"/>
    </row>
    <row r="307" spans="11:12">
      <c r="K307" s="232"/>
      <c r="L307" s="233"/>
    </row>
    <row r="308" spans="11:12">
      <c r="K308" s="232"/>
      <c r="L308" s="233"/>
    </row>
    <row r="309" spans="11:12">
      <c r="K309" s="232"/>
      <c r="L309" s="233"/>
    </row>
    <row r="310" spans="11:12">
      <c r="K310" s="232"/>
      <c r="L310" s="233"/>
    </row>
    <row r="311" spans="11:12">
      <c r="K311" s="232"/>
      <c r="L311" s="233"/>
    </row>
    <row r="312" spans="11:12">
      <c r="K312" s="232"/>
      <c r="L312" s="233"/>
    </row>
    <row r="313" spans="11:12">
      <c r="K313" s="232"/>
      <c r="L313" s="233"/>
    </row>
    <row r="314" spans="11:12">
      <c r="K314" s="232"/>
      <c r="L314" s="233"/>
    </row>
    <row r="315" spans="11:12">
      <c r="K315" s="232"/>
      <c r="L315" s="233"/>
    </row>
    <row r="316" spans="11:12">
      <c r="K316" s="232"/>
      <c r="L316" s="233"/>
    </row>
    <row r="317" spans="11:12">
      <c r="K317" s="232"/>
      <c r="L317" s="233"/>
    </row>
    <row r="318" spans="11:12">
      <c r="K318" s="232"/>
      <c r="L318" s="233"/>
    </row>
    <row r="319" spans="11:12">
      <c r="K319" s="232"/>
      <c r="L319" s="233"/>
    </row>
    <row r="320" spans="11:12">
      <c r="K320" s="232"/>
      <c r="L320" s="233"/>
    </row>
    <row r="321" spans="11:12">
      <c r="K321" s="232"/>
      <c r="L321" s="233"/>
    </row>
    <row r="322" spans="11:12">
      <c r="K322" s="232"/>
      <c r="L322" s="233"/>
    </row>
    <row r="323" spans="11:12">
      <c r="K323" s="232"/>
      <c r="L323" s="233"/>
    </row>
    <row r="324" spans="11:12">
      <c r="K324" s="232"/>
      <c r="L324" s="233"/>
    </row>
    <row r="325" spans="11:12">
      <c r="K325" s="232"/>
      <c r="L325" s="233"/>
    </row>
    <row r="326" spans="11:12">
      <c r="K326" s="232"/>
      <c r="L326" s="233"/>
    </row>
    <row r="327" spans="11:12">
      <c r="K327" s="232"/>
      <c r="L327" s="233"/>
    </row>
    <row r="328" spans="11:12">
      <c r="K328" s="232"/>
      <c r="L328" s="233"/>
    </row>
    <row r="329" spans="11:12">
      <c r="K329" s="232"/>
      <c r="L329" s="233"/>
    </row>
    <row r="330" spans="11:12">
      <c r="K330" s="232"/>
      <c r="L330" s="233"/>
    </row>
    <row r="331" spans="11:12">
      <c r="K331" s="232"/>
      <c r="L331" s="233"/>
    </row>
    <row r="332" spans="11:12">
      <c r="K332" s="232"/>
      <c r="L332" s="233"/>
    </row>
    <row r="333" spans="11:12">
      <c r="K333" s="232"/>
      <c r="L333" s="233"/>
    </row>
    <row r="334" spans="11:12">
      <c r="K334" s="232"/>
      <c r="L334" s="233"/>
    </row>
    <row r="335" spans="11:12">
      <c r="K335" s="232"/>
      <c r="L335" s="233"/>
    </row>
    <row r="336" spans="11:12">
      <c r="K336" s="232"/>
      <c r="L336" s="233"/>
    </row>
    <row r="337" spans="11:12">
      <c r="K337" s="232"/>
      <c r="L337" s="233"/>
    </row>
    <row r="338" spans="11:12">
      <c r="K338" s="232"/>
      <c r="L338" s="233"/>
    </row>
    <row r="339" spans="11:12">
      <c r="K339" s="232"/>
      <c r="L339" s="233"/>
    </row>
    <row r="340" spans="11:12">
      <c r="K340" s="232"/>
      <c r="L340" s="233"/>
    </row>
    <row r="341" spans="11:12">
      <c r="K341" s="232"/>
      <c r="L341" s="233"/>
    </row>
    <row r="342" spans="11:12">
      <c r="K342" s="232"/>
      <c r="L342" s="233"/>
    </row>
    <row r="343" spans="11:12">
      <c r="K343" s="232"/>
      <c r="L343" s="233"/>
    </row>
    <row r="344" spans="11:12">
      <c r="K344" s="232"/>
      <c r="L344" s="233"/>
    </row>
    <row r="345" spans="11:12">
      <c r="K345" s="232"/>
      <c r="L345" s="233"/>
    </row>
    <row r="346" spans="11:12">
      <c r="K346" s="232"/>
      <c r="L346" s="233"/>
    </row>
    <row r="347" spans="11:12">
      <c r="K347" s="232"/>
      <c r="L347" s="233"/>
    </row>
    <row r="348" spans="11:12">
      <c r="K348" s="232"/>
      <c r="L348" s="233"/>
    </row>
    <row r="349" spans="11:12">
      <c r="K349" s="232"/>
      <c r="L349" s="233"/>
    </row>
    <row r="350" spans="11:12">
      <c r="K350" s="232"/>
      <c r="L350" s="233"/>
    </row>
    <row r="351" spans="11:12">
      <c r="K351" s="232"/>
      <c r="L351" s="233"/>
    </row>
    <row r="352" spans="11:12">
      <c r="K352" s="232"/>
      <c r="L352" s="233"/>
    </row>
    <row r="353" spans="11:12">
      <c r="K353" s="232"/>
      <c r="L353" s="233"/>
    </row>
    <row r="354" spans="11:12">
      <c r="K354" s="232"/>
      <c r="L354" s="233"/>
    </row>
    <row r="355" spans="11:12">
      <c r="K355" s="232"/>
      <c r="L355" s="233"/>
    </row>
    <row r="356" spans="11:12">
      <c r="K356" s="232"/>
      <c r="L356" s="233"/>
    </row>
    <row r="357" spans="11:12">
      <c r="K357" s="232"/>
      <c r="L357" s="233"/>
    </row>
    <row r="358" spans="11:12">
      <c r="K358" s="232"/>
      <c r="L358" s="233"/>
    </row>
    <row r="359" spans="11:12">
      <c r="K359" s="232"/>
      <c r="L359" s="233"/>
    </row>
    <row r="360" spans="11:12">
      <c r="K360" s="232"/>
      <c r="L360" s="233"/>
    </row>
    <row r="361" spans="11:12">
      <c r="K361" s="232"/>
      <c r="L361" s="233"/>
    </row>
    <row r="362" spans="11:12">
      <c r="K362" s="232"/>
      <c r="L362" s="233"/>
    </row>
    <row r="363" spans="11:12">
      <c r="K363" s="232"/>
      <c r="L363" s="233"/>
    </row>
    <row r="364" spans="11:12">
      <c r="K364" s="232"/>
      <c r="L364" s="233"/>
    </row>
    <row r="365" spans="11:12">
      <c r="K365" s="232"/>
      <c r="L365" s="233"/>
    </row>
    <row r="366" spans="11:12">
      <c r="K366" s="232"/>
      <c r="L366" s="233"/>
    </row>
    <row r="367" spans="11:12">
      <c r="K367" s="232"/>
      <c r="L367" s="233"/>
    </row>
    <row r="368" spans="11:12">
      <c r="K368" s="232"/>
      <c r="L368" s="233"/>
    </row>
    <row r="369" spans="11:12">
      <c r="K369" s="232"/>
      <c r="L369" s="233"/>
    </row>
    <row r="370" spans="11:12">
      <c r="K370" s="232"/>
      <c r="L370" s="233"/>
    </row>
    <row r="371" spans="11:12">
      <c r="K371" s="232"/>
      <c r="L371" s="233"/>
    </row>
    <row r="372" spans="11:12">
      <c r="K372" s="232"/>
      <c r="L372" s="233"/>
    </row>
    <row r="373" spans="11:12">
      <c r="K373" s="232"/>
      <c r="L373" s="233"/>
    </row>
    <row r="374" spans="11:12">
      <c r="K374" s="232"/>
      <c r="L374" s="233"/>
    </row>
    <row r="375" spans="11:12">
      <c r="K375" s="232"/>
      <c r="L375" s="233"/>
    </row>
    <row r="376" spans="11:12">
      <c r="K376" s="232"/>
      <c r="L376" s="233"/>
    </row>
    <row r="377" spans="11:12">
      <c r="K377" s="232"/>
      <c r="L377" s="233"/>
    </row>
    <row r="378" spans="11:12">
      <c r="K378" s="232"/>
      <c r="L378" s="233"/>
    </row>
    <row r="379" spans="11:12">
      <c r="K379" s="232"/>
      <c r="L379" s="233"/>
    </row>
    <row r="380" spans="11:12">
      <c r="K380" s="232"/>
      <c r="L380" s="233"/>
    </row>
    <row r="381" spans="11:12">
      <c r="K381" s="232"/>
      <c r="L381" s="233"/>
    </row>
    <row r="382" spans="11:12">
      <c r="K382" s="232"/>
      <c r="L382" s="233"/>
    </row>
    <row r="383" spans="11:12">
      <c r="K383" s="232"/>
      <c r="L383" s="233"/>
    </row>
    <row r="384" spans="11:12">
      <c r="K384" s="232"/>
      <c r="L384" s="233"/>
    </row>
    <row r="385" spans="11:12">
      <c r="K385" s="232"/>
      <c r="L385" s="233"/>
    </row>
    <row r="386" spans="11:12">
      <c r="K386" s="232"/>
      <c r="L386" s="233"/>
    </row>
    <row r="387" spans="11:12">
      <c r="K387" s="232"/>
      <c r="L387" s="233"/>
    </row>
    <row r="388" spans="11:12">
      <c r="K388" s="232"/>
      <c r="L388" s="233"/>
    </row>
    <row r="389" spans="11:12">
      <c r="K389" s="232"/>
      <c r="L389" s="233"/>
    </row>
    <row r="390" spans="11:12">
      <c r="K390" s="232"/>
      <c r="L390" s="233"/>
    </row>
    <row r="391" spans="11:12">
      <c r="K391" s="232"/>
      <c r="L391" s="233"/>
    </row>
    <row r="392" spans="11:12">
      <c r="K392" s="232"/>
      <c r="L392" s="233"/>
    </row>
    <row r="393" spans="11:12">
      <c r="K393" s="232"/>
      <c r="L393" s="233"/>
    </row>
    <row r="394" spans="11:12">
      <c r="K394" s="232"/>
      <c r="L394" s="233"/>
    </row>
    <row r="395" spans="11:12">
      <c r="K395" s="232"/>
      <c r="L395" s="233"/>
    </row>
    <row r="396" spans="11:12">
      <c r="K396" s="232"/>
      <c r="L396" s="233"/>
    </row>
    <row r="397" spans="11:12">
      <c r="K397" s="232"/>
      <c r="L397" s="233"/>
    </row>
    <row r="398" spans="11:12">
      <c r="K398" s="232"/>
      <c r="L398" s="233"/>
    </row>
    <row r="399" spans="11:12">
      <c r="K399" s="232"/>
      <c r="L399" s="233"/>
    </row>
    <row r="400" spans="11:12">
      <c r="K400" s="232"/>
      <c r="L400" s="233"/>
    </row>
    <row r="401" spans="11:12">
      <c r="K401" s="232"/>
      <c r="L401" s="233"/>
    </row>
    <row r="402" spans="11:12">
      <c r="K402" s="232"/>
      <c r="L402" s="233"/>
    </row>
    <row r="403" spans="11:12">
      <c r="K403" s="232"/>
      <c r="L403" s="233"/>
    </row>
    <row r="404" spans="11:12">
      <c r="K404" s="232"/>
      <c r="L404" s="233"/>
    </row>
    <row r="405" spans="11:12">
      <c r="K405" s="232"/>
      <c r="L405" s="233"/>
    </row>
    <row r="406" spans="11:12">
      <c r="K406" s="232"/>
      <c r="L406" s="233"/>
    </row>
    <row r="407" spans="11:12">
      <c r="K407" s="232"/>
      <c r="L407" s="233"/>
    </row>
    <row r="408" spans="11:12">
      <c r="K408" s="232"/>
      <c r="L408" s="233"/>
    </row>
    <row r="409" spans="11:12">
      <c r="K409" s="232"/>
      <c r="L409" s="233"/>
    </row>
    <row r="410" spans="11:12">
      <c r="K410" s="232"/>
      <c r="L410" s="233"/>
    </row>
    <row r="411" spans="11:12">
      <c r="K411" s="232"/>
      <c r="L411" s="233"/>
    </row>
    <row r="412" spans="11:12">
      <c r="K412" s="232"/>
      <c r="L412" s="233"/>
    </row>
    <row r="413" spans="11:12">
      <c r="K413" s="232"/>
      <c r="L413" s="233"/>
    </row>
    <row r="414" spans="11:12">
      <c r="K414" s="232"/>
      <c r="L414" s="233"/>
    </row>
    <row r="415" spans="11:12">
      <c r="K415" s="232"/>
      <c r="L415" s="233"/>
    </row>
    <row r="416" spans="11:12">
      <c r="K416" s="232"/>
      <c r="L416" s="233"/>
    </row>
    <row r="417" spans="11:12">
      <c r="K417" s="232"/>
      <c r="L417" s="233"/>
    </row>
    <row r="418" spans="11:12">
      <c r="K418" s="232"/>
      <c r="L418" s="233"/>
    </row>
    <row r="419" spans="11:12">
      <c r="K419" s="232"/>
      <c r="L419" s="233"/>
    </row>
    <row r="420" spans="11:12">
      <c r="K420" s="232"/>
      <c r="L420" s="233"/>
    </row>
    <row r="421" spans="11:12">
      <c r="K421" s="232"/>
      <c r="L421" s="233"/>
    </row>
    <row r="422" spans="11:12">
      <c r="K422" s="232"/>
      <c r="L422" s="233"/>
    </row>
    <row r="423" spans="11:12">
      <c r="K423" s="232"/>
      <c r="L423" s="233"/>
    </row>
    <row r="424" spans="11:12">
      <c r="K424" s="232"/>
      <c r="L424" s="233"/>
    </row>
    <row r="425" spans="11:12">
      <c r="K425" s="232"/>
      <c r="L425" s="233"/>
    </row>
    <row r="426" spans="11:12">
      <c r="K426" s="232"/>
      <c r="L426" s="233"/>
    </row>
    <row r="427" spans="11:12">
      <c r="K427" s="232"/>
      <c r="L427" s="233"/>
    </row>
    <row r="428" spans="11:12">
      <c r="K428" s="232"/>
      <c r="L428" s="233"/>
    </row>
    <row r="429" spans="11:12">
      <c r="K429" s="232"/>
      <c r="L429" s="233"/>
    </row>
    <row r="430" spans="11:12">
      <c r="K430" s="232"/>
      <c r="L430" s="233"/>
    </row>
    <row r="431" spans="11:12">
      <c r="K431" s="232"/>
      <c r="L431" s="233"/>
    </row>
    <row r="432" spans="11:12">
      <c r="K432" s="232"/>
      <c r="L432" s="233"/>
    </row>
    <row r="433" spans="11:12">
      <c r="K433" s="232"/>
      <c r="L433" s="233"/>
    </row>
    <row r="434" spans="11:12">
      <c r="K434" s="232"/>
      <c r="L434" s="233"/>
    </row>
    <row r="435" spans="11:12">
      <c r="K435" s="232"/>
      <c r="L435" s="233"/>
    </row>
    <row r="436" spans="11:12">
      <c r="K436" s="232"/>
      <c r="L436" s="233"/>
    </row>
    <row r="437" spans="11:12">
      <c r="K437" s="232"/>
      <c r="L437" s="233"/>
    </row>
    <row r="438" spans="11:12">
      <c r="K438" s="232"/>
      <c r="L438" s="233"/>
    </row>
    <row r="439" spans="11:12">
      <c r="K439" s="232"/>
      <c r="L439" s="233"/>
    </row>
    <row r="440" spans="11:12">
      <c r="K440" s="232"/>
      <c r="L440" s="233"/>
    </row>
    <row r="441" spans="11:12">
      <c r="K441" s="232"/>
      <c r="L441" s="233"/>
    </row>
    <row r="442" spans="11:12">
      <c r="K442" s="232"/>
      <c r="L442" s="233"/>
    </row>
    <row r="443" spans="11:12">
      <c r="K443" s="232"/>
      <c r="L443" s="233"/>
    </row>
    <row r="444" spans="11:12">
      <c r="K444" s="232"/>
      <c r="L444" s="233"/>
    </row>
    <row r="445" spans="11:12">
      <c r="K445" s="232"/>
      <c r="L445" s="233"/>
    </row>
    <row r="446" spans="11:12">
      <c r="K446" s="232"/>
      <c r="L446" s="233"/>
    </row>
    <row r="447" spans="11:12">
      <c r="K447" s="232"/>
      <c r="L447" s="233"/>
    </row>
    <row r="448" spans="11:12">
      <c r="K448" s="232"/>
      <c r="L448" s="233"/>
    </row>
    <row r="449" spans="11:12">
      <c r="K449" s="232"/>
      <c r="L449" s="233"/>
    </row>
    <row r="450" spans="11:12">
      <c r="K450" s="232"/>
      <c r="L450" s="233"/>
    </row>
    <row r="451" spans="11:12">
      <c r="K451" s="232"/>
      <c r="L451" s="233"/>
    </row>
    <row r="452" spans="11:12">
      <c r="K452" s="232"/>
      <c r="L452" s="233"/>
    </row>
    <row r="453" spans="11:12">
      <c r="K453" s="232"/>
      <c r="L453" s="233"/>
    </row>
    <row r="454" spans="11:12">
      <c r="K454" s="232"/>
      <c r="L454" s="233"/>
    </row>
    <row r="455" spans="11:12">
      <c r="K455" s="232"/>
      <c r="L455" s="233"/>
    </row>
    <row r="456" spans="11:12">
      <c r="K456" s="232"/>
      <c r="L456" s="233"/>
    </row>
    <row r="457" spans="11:12">
      <c r="K457" s="232"/>
      <c r="L457" s="233"/>
    </row>
    <row r="458" spans="11:12">
      <c r="K458" s="232"/>
      <c r="L458" s="233"/>
    </row>
    <row r="459" spans="11:12">
      <c r="K459" s="232"/>
      <c r="L459" s="233"/>
    </row>
    <row r="460" spans="11:12">
      <c r="K460" s="232"/>
      <c r="L460" s="233"/>
    </row>
    <row r="461" spans="11:12">
      <c r="K461" s="232"/>
      <c r="L461" s="233"/>
    </row>
    <row r="462" spans="11:12">
      <c r="K462" s="232"/>
      <c r="L462" s="233"/>
    </row>
    <row r="463" spans="11:12">
      <c r="K463" s="232"/>
      <c r="L463" s="233"/>
    </row>
    <row r="464" spans="11:12">
      <c r="K464" s="232"/>
      <c r="L464" s="233"/>
    </row>
    <row r="465" spans="11:12">
      <c r="K465" s="232"/>
      <c r="L465" s="233"/>
    </row>
    <row r="466" spans="11:12">
      <c r="K466" s="232"/>
      <c r="L466" s="233"/>
    </row>
    <row r="467" spans="11:12">
      <c r="K467" s="232"/>
      <c r="L467" s="233"/>
    </row>
    <row r="468" spans="11:12">
      <c r="K468" s="232"/>
      <c r="L468" s="233"/>
    </row>
    <row r="469" spans="11:12">
      <c r="K469" s="232"/>
      <c r="L469" s="233"/>
    </row>
    <row r="470" spans="11:12">
      <c r="K470" s="232"/>
      <c r="L470" s="233"/>
    </row>
    <row r="471" spans="11:12">
      <c r="K471" s="232"/>
      <c r="L471" s="233"/>
    </row>
    <row r="472" spans="11:12">
      <c r="K472" s="232"/>
      <c r="L472" s="233"/>
    </row>
    <row r="473" spans="11:12">
      <c r="K473" s="232"/>
      <c r="L473" s="233"/>
    </row>
    <row r="474" spans="11:12">
      <c r="K474" s="232"/>
      <c r="L474" s="233"/>
    </row>
    <row r="475" spans="11:12">
      <c r="K475" s="232"/>
      <c r="L475" s="233"/>
    </row>
    <row r="476" spans="11:12">
      <c r="K476" s="232"/>
      <c r="L476" s="233"/>
    </row>
    <row r="477" spans="11:12">
      <c r="K477" s="232"/>
      <c r="L477" s="233"/>
    </row>
    <row r="478" spans="11:12">
      <c r="K478" s="232"/>
      <c r="L478" s="233"/>
    </row>
    <row r="479" spans="11:12">
      <c r="K479" s="232"/>
      <c r="L479" s="233"/>
    </row>
    <row r="480" spans="11:12">
      <c r="K480" s="232"/>
      <c r="L480" s="233"/>
    </row>
    <row r="481" spans="11:12">
      <c r="K481" s="232"/>
      <c r="L481" s="233"/>
    </row>
    <row r="482" spans="11:12">
      <c r="K482" s="232"/>
      <c r="L482" s="233"/>
    </row>
    <row r="483" spans="11:12">
      <c r="K483" s="232"/>
      <c r="L483" s="233"/>
    </row>
    <row r="484" spans="11:12">
      <c r="K484" s="232"/>
      <c r="L484" s="233"/>
    </row>
    <row r="485" spans="11:12">
      <c r="K485" s="232"/>
      <c r="L485" s="233"/>
    </row>
    <row r="486" spans="11:12">
      <c r="K486" s="232"/>
      <c r="L486" s="233"/>
    </row>
    <row r="487" spans="11:12">
      <c r="K487" s="232"/>
      <c r="L487" s="233"/>
    </row>
    <row r="488" spans="11:12">
      <c r="K488" s="232"/>
      <c r="L488" s="233"/>
    </row>
    <row r="489" spans="11:12">
      <c r="K489" s="232"/>
      <c r="L489" s="233"/>
    </row>
    <row r="490" spans="11:12">
      <c r="K490" s="232"/>
      <c r="L490" s="233"/>
    </row>
    <row r="491" spans="11:12">
      <c r="K491" s="232"/>
      <c r="L491" s="233"/>
    </row>
    <row r="492" spans="11:12">
      <c r="K492" s="232"/>
      <c r="L492" s="233"/>
    </row>
    <row r="493" spans="11:12">
      <c r="K493" s="232"/>
      <c r="L493" s="233"/>
    </row>
    <row r="494" spans="11:12">
      <c r="K494" s="232"/>
      <c r="L494" s="233"/>
    </row>
    <row r="495" spans="11:12">
      <c r="K495" s="232"/>
      <c r="L495" s="233"/>
    </row>
    <row r="496" spans="11:12">
      <c r="K496" s="232"/>
      <c r="L496" s="233"/>
    </row>
    <row r="497" spans="11:12">
      <c r="K497" s="232"/>
      <c r="L497" s="233"/>
    </row>
    <row r="498" spans="11:12">
      <c r="K498" s="232"/>
      <c r="L498" s="233"/>
    </row>
    <row r="499" spans="11:12">
      <c r="K499" s="232"/>
      <c r="L499" s="233"/>
    </row>
    <row r="500" spans="11:12">
      <c r="K500" s="232"/>
      <c r="L500" s="233"/>
    </row>
    <row r="501" spans="11:12">
      <c r="K501" s="232"/>
      <c r="L501" s="233"/>
    </row>
    <row r="502" spans="11:12">
      <c r="K502" s="232"/>
      <c r="L502" s="233"/>
    </row>
    <row r="503" spans="11:12">
      <c r="K503" s="232"/>
      <c r="L503" s="233"/>
    </row>
    <row r="504" spans="11:12">
      <c r="K504" s="232"/>
      <c r="L504" s="233"/>
    </row>
    <row r="505" spans="11:12">
      <c r="K505" s="232"/>
      <c r="L505" s="233"/>
    </row>
    <row r="506" spans="11:12">
      <c r="K506" s="232"/>
      <c r="L506" s="233"/>
    </row>
    <row r="507" spans="11:12">
      <c r="K507" s="232"/>
      <c r="L507" s="233"/>
    </row>
    <row r="508" spans="11:12">
      <c r="K508" s="232"/>
      <c r="L508" s="233"/>
    </row>
    <row r="509" spans="11:12">
      <c r="K509" s="232"/>
      <c r="L509" s="233"/>
    </row>
    <row r="510" spans="11:12">
      <c r="K510" s="232"/>
      <c r="L510" s="233"/>
    </row>
    <row r="511" spans="11:12">
      <c r="K511" s="232"/>
      <c r="L511" s="233"/>
    </row>
    <row r="512" spans="11:12">
      <c r="K512" s="232"/>
      <c r="L512" s="233"/>
    </row>
    <row r="513" spans="11:12">
      <c r="K513" s="232"/>
      <c r="L513" s="233"/>
    </row>
    <row r="514" spans="11:12">
      <c r="K514" s="232"/>
      <c r="L514" s="233"/>
    </row>
    <row r="515" spans="11:12">
      <c r="K515" s="232"/>
      <c r="L515" s="233"/>
    </row>
    <row r="516" spans="11:12">
      <c r="K516" s="232"/>
      <c r="L516" s="233"/>
    </row>
    <row r="517" spans="11:12">
      <c r="K517" s="232"/>
      <c r="L517" s="233"/>
    </row>
    <row r="518" spans="11:12">
      <c r="K518" s="232"/>
      <c r="L518" s="233"/>
    </row>
    <row r="519" spans="11:12">
      <c r="K519" s="232"/>
      <c r="L519" s="233"/>
    </row>
    <row r="520" spans="11:12">
      <c r="K520" s="232"/>
      <c r="L520" s="233"/>
    </row>
    <row r="521" spans="11:12">
      <c r="K521" s="232"/>
      <c r="L521" s="233"/>
    </row>
    <row r="522" spans="11:12">
      <c r="K522" s="232"/>
      <c r="L522" s="233"/>
    </row>
    <row r="523" spans="11:12">
      <c r="K523" s="232"/>
      <c r="L523" s="233"/>
    </row>
    <row r="524" spans="11:12">
      <c r="K524" s="232"/>
      <c r="L524" s="233"/>
    </row>
    <row r="525" spans="11:12">
      <c r="K525" s="232"/>
      <c r="L525" s="233"/>
    </row>
    <row r="526" spans="11:12">
      <c r="K526" s="232"/>
      <c r="L526" s="233"/>
    </row>
    <row r="527" spans="11:12">
      <c r="K527" s="232"/>
      <c r="L527" s="233"/>
    </row>
    <row r="528" spans="11:12">
      <c r="K528" s="232"/>
      <c r="L528" s="233"/>
    </row>
    <row r="529" spans="11:12">
      <c r="K529" s="232"/>
      <c r="L529" s="233"/>
    </row>
    <row r="530" spans="11:12">
      <c r="K530" s="232"/>
      <c r="L530" s="233"/>
    </row>
    <row r="531" spans="11:12">
      <c r="K531" s="232"/>
      <c r="L531" s="233"/>
    </row>
    <row r="532" spans="11:12">
      <c r="K532" s="232"/>
      <c r="L532" s="233"/>
    </row>
    <row r="533" spans="11:12">
      <c r="K533" s="232"/>
      <c r="L533" s="233"/>
    </row>
    <row r="534" spans="11:12">
      <c r="K534" s="232"/>
      <c r="L534" s="233"/>
    </row>
    <row r="535" spans="11:12">
      <c r="K535" s="232"/>
      <c r="L535" s="233"/>
    </row>
    <row r="536" spans="11:12">
      <c r="K536" s="232"/>
      <c r="L536" s="233"/>
    </row>
    <row r="537" spans="11:12">
      <c r="K537" s="232"/>
      <c r="L537" s="233"/>
    </row>
    <row r="538" spans="11:12">
      <c r="K538" s="232"/>
      <c r="L538" s="233"/>
    </row>
    <row r="539" spans="11:12">
      <c r="K539" s="232"/>
      <c r="L539" s="233"/>
    </row>
    <row r="540" spans="11:12">
      <c r="K540" s="232"/>
      <c r="L540" s="233"/>
    </row>
    <row r="541" spans="11:12">
      <c r="K541" s="232"/>
      <c r="L541" s="233"/>
    </row>
    <row r="542" spans="11:12">
      <c r="K542" s="232"/>
      <c r="L542" s="233"/>
    </row>
    <row r="543" spans="11:12">
      <c r="K543" s="232"/>
      <c r="L543" s="233"/>
    </row>
    <row r="544" spans="11:12">
      <c r="K544" s="232"/>
      <c r="L544" s="233"/>
    </row>
    <row r="545" spans="11:12">
      <c r="K545" s="232"/>
      <c r="L545" s="233"/>
    </row>
    <row r="546" spans="11:12">
      <c r="K546" s="232"/>
      <c r="L546" s="233"/>
    </row>
    <row r="547" spans="11:12">
      <c r="K547" s="232"/>
      <c r="L547" s="233"/>
    </row>
    <row r="548" spans="11:12">
      <c r="K548" s="232"/>
      <c r="L548" s="233"/>
    </row>
    <row r="549" spans="11:12">
      <c r="K549" s="232"/>
      <c r="L549" s="233"/>
    </row>
    <row r="550" spans="11:12">
      <c r="K550" s="232"/>
      <c r="L550" s="233"/>
    </row>
    <row r="551" spans="11:12">
      <c r="K551" s="232"/>
      <c r="L551" s="233"/>
    </row>
    <row r="552" spans="11:12">
      <c r="K552" s="232"/>
      <c r="L552" s="233"/>
    </row>
    <row r="553" spans="11:12">
      <c r="K553" s="232"/>
      <c r="L553" s="233"/>
    </row>
    <row r="554" spans="11:12">
      <c r="K554" s="232"/>
      <c r="L554" s="233"/>
    </row>
    <row r="555" spans="11:12">
      <c r="K555" s="232"/>
      <c r="L555" s="233"/>
    </row>
    <row r="556" spans="11:12">
      <c r="K556" s="232"/>
      <c r="L556" s="233"/>
    </row>
    <row r="557" spans="11:12">
      <c r="K557" s="232"/>
      <c r="L557" s="233"/>
    </row>
    <row r="558" spans="11:12">
      <c r="K558" s="232"/>
      <c r="L558" s="233"/>
    </row>
    <row r="559" spans="11:12">
      <c r="K559" s="232"/>
      <c r="L559" s="233"/>
    </row>
    <row r="560" spans="11:12">
      <c r="K560" s="232"/>
      <c r="L560" s="233"/>
    </row>
    <row r="561" spans="11:12">
      <c r="K561" s="232"/>
      <c r="L561" s="233"/>
    </row>
    <row r="562" spans="11:12">
      <c r="K562" s="232"/>
      <c r="L562" s="233"/>
    </row>
    <row r="563" spans="11:12">
      <c r="K563" s="232"/>
      <c r="L563" s="233"/>
    </row>
    <row r="564" spans="11:12">
      <c r="K564" s="232"/>
      <c r="L564" s="233"/>
    </row>
    <row r="565" spans="11:12">
      <c r="K565" s="232"/>
      <c r="L565" s="233"/>
    </row>
    <row r="566" spans="11:12">
      <c r="K566" s="232"/>
      <c r="L566" s="233"/>
    </row>
    <row r="567" spans="11:12">
      <c r="K567" s="232"/>
      <c r="L567" s="233"/>
    </row>
    <row r="568" spans="11:12">
      <c r="K568" s="232"/>
      <c r="L568" s="233"/>
    </row>
    <row r="569" spans="11:12">
      <c r="K569" s="232"/>
      <c r="L569" s="233"/>
    </row>
    <row r="570" spans="11:12">
      <c r="K570" s="232"/>
      <c r="L570" s="233"/>
    </row>
    <row r="571" spans="11:12">
      <c r="K571" s="232"/>
      <c r="L571" s="233"/>
    </row>
    <row r="572" spans="11:12">
      <c r="K572" s="232"/>
      <c r="L572" s="233"/>
    </row>
    <row r="573" spans="11:12">
      <c r="K573" s="232"/>
      <c r="L573" s="233"/>
    </row>
    <row r="574" spans="11:12">
      <c r="K574" s="232"/>
      <c r="L574" s="233"/>
    </row>
    <row r="575" spans="11:12">
      <c r="K575" s="232"/>
      <c r="L575" s="233"/>
    </row>
    <row r="576" spans="11:12">
      <c r="K576" s="232"/>
      <c r="L576" s="233"/>
    </row>
    <row r="577" spans="11:12">
      <c r="K577" s="232"/>
      <c r="L577" s="233"/>
    </row>
    <row r="578" spans="11:12">
      <c r="K578" s="232"/>
      <c r="L578" s="233"/>
    </row>
    <row r="579" spans="11:12">
      <c r="K579" s="232"/>
      <c r="L579" s="233"/>
    </row>
    <row r="580" spans="11:12">
      <c r="K580" s="232"/>
      <c r="L580" s="233"/>
    </row>
    <row r="581" spans="11:12">
      <c r="K581" s="232"/>
      <c r="L581" s="233"/>
    </row>
    <row r="582" spans="11:12">
      <c r="K582" s="232"/>
      <c r="L582" s="233"/>
    </row>
    <row r="583" spans="11:12">
      <c r="K583" s="232"/>
      <c r="L583" s="233"/>
    </row>
    <row r="584" spans="11:12">
      <c r="K584" s="232"/>
      <c r="L584" s="233"/>
    </row>
    <row r="585" spans="11:12">
      <c r="K585" s="232"/>
      <c r="L585" s="233"/>
    </row>
    <row r="586" spans="11:12">
      <c r="K586" s="232"/>
      <c r="L586" s="233"/>
    </row>
    <row r="587" spans="11:12">
      <c r="K587" s="232"/>
      <c r="L587" s="233"/>
    </row>
    <row r="588" spans="11:12">
      <c r="K588" s="232"/>
      <c r="L588" s="233"/>
    </row>
    <row r="589" spans="11:12">
      <c r="K589" s="232"/>
      <c r="L589" s="233"/>
    </row>
    <row r="590" spans="11:12">
      <c r="K590" s="232"/>
      <c r="L590" s="233"/>
    </row>
    <row r="591" spans="11:12">
      <c r="K591" s="232"/>
      <c r="L591" s="233"/>
    </row>
    <row r="592" spans="11:12">
      <c r="K592" s="232"/>
      <c r="L592" s="233"/>
    </row>
    <row r="593" spans="11:12">
      <c r="K593" s="232"/>
      <c r="L593" s="233"/>
    </row>
    <row r="594" spans="11:12">
      <c r="K594" s="232"/>
      <c r="L594" s="233"/>
    </row>
    <row r="595" spans="11:12">
      <c r="K595" s="232"/>
      <c r="L595" s="233"/>
    </row>
    <row r="596" spans="11:12">
      <c r="K596" s="232"/>
      <c r="L596" s="233"/>
    </row>
    <row r="597" spans="11:12">
      <c r="K597" s="232"/>
      <c r="L597" s="233"/>
    </row>
    <row r="598" spans="11:12">
      <c r="K598" s="232"/>
      <c r="L598" s="233"/>
    </row>
    <row r="599" spans="11:12">
      <c r="K599" s="232"/>
      <c r="L599" s="233"/>
    </row>
    <row r="600" spans="11:12">
      <c r="K600" s="232"/>
      <c r="L600" s="233"/>
    </row>
    <row r="601" spans="11:12">
      <c r="K601" s="232"/>
      <c r="L601" s="233"/>
    </row>
    <row r="602" spans="11:12">
      <c r="K602" s="232"/>
      <c r="L602" s="233"/>
    </row>
    <row r="603" spans="11:12">
      <c r="K603" s="232"/>
      <c r="L603" s="233"/>
    </row>
    <row r="604" spans="11:12">
      <c r="K604" s="232"/>
      <c r="L604" s="233"/>
    </row>
    <row r="605" spans="11:12">
      <c r="K605" s="232"/>
      <c r="L605" s="233"/>
    </row>
    <row r="606" spans="11:12">
      <c r="K606" s="232"/>
      <c r="L606" s="233"/>
    </row>
    <row r="607" spans="11:12">
      <c r="K607" s="232"/>
      <c r="L607" s="233"/>
    </row>
    <row r="608" spans="11:12">
      <c r="K608" s="232"/>
      <c r="L608" s="233"/>
    </row>
    <row r="609" spans="11:12">
      <c r="K609" s="232"/>
      <c r="L609" s="233"/>
    </row>
    <row r="610" spans="11:12">
      <c r="K610" s="232"/>
      <c r="L610" s="233"/>
    </row>
    <row r="611" spans="11:12">
      <c r="K611" s="232"/>
      <c r="L611" s="233"/>
    </row>
    <row r="612" spans="11:12">
      <c r="K612" s="232"/>
      <c r="L612" s="233"/>
    </row>
    <row r="613" spans="11:12">
      <c r="K613" s="232"/>
      <c r="L613" s="233"/>
    </row>
    <row r="614" spans="11:12">
      <c r="K614" s="232"/>
      <c r="L614" s="233"/>
    </row>
    <row r="615" spans="11:12">
      <c r="K615" s="232"/>
      <c r="L615" s="233"/>
    </row>
    <row r="616" spans="11:12">
      <c r="K616" s="232"/>
      <c r="L616" s="233"/>
    </row>
    <row r="617" spans="11:12">
      <c r="K617" s="232"/>
      <c r="L617" s="233"/>
    </row>
    <row r="618" spans="11:12">
      <c r="K618" s="232"/>
      <c r="L618" s="233"/>
    </row>
    <row r="619" spans="11:12">
      <c r="K619" s="232"/>
      <c r="L619" s="233"/>
    </row>
    <row r="620" spans="11:12">
      <c r="K620" s="232"/>
      <c r="L620" s="233"/>
    </row>
    <row r="621" spans="11:12">
      <c r="K621" s="232"/>
      <c r="L621" s="233"/>
    </row>
    <row r="622" spans="11:12">
      <c r="K622" s="232"/>
      <c r="L622" s="233"/>
    </row>
    <row r="623" spans="11:12">
      <c r="K623" s="232"/>
      <c r="L623" s="233"/>
    </row>
    <row r="624" spans="11:12">
      <c r="K624" s="232"/>
      <c r="L624" s="233"/>
    </row>
    <row r="625" spans="11:12">
      <c r="K625" s="232"/>
      <c r="L625" s="233"/>
    </row>
    <row r="626" spans="11:12">
      <c r="K626" s="232"/>
      <c r="L626" s="233"/>
    </row>
    <row r="627" spans="11:12">
      <c r="K627" s="232"/>
      <c r="L627" s="233"/>
    </row>
    <row r="628" spans="11:12">
      <c r="K628" s="232"/>
      <c r="L628" s="233"/>
    </row>
    <row r="629" spans="11:12">
      <c r="K629" s="232"/>
      <c r="L629" s="233"/>
    </row>
    <row r="630" spans="11:12">
      <c r="K630" s="232"/>
      <c r="L630" s="233"/>
    </row>
    <row r="631" spans="11:12">
      <c r="K631" s="232"/>
      <c r="L631" s="233"/>
    </row>
    <row r="632" spans="11:12">
      <c r="K632" s="232"/>
      <c r="L632" s="233"/>
    </row>
    <row r="633" spans="11:12">
      <c r="K633" s="232"/>
      <c r="L633" s="233"/>
    </row>
    <row r="634" spans="11:12">
      <c r="K634" s="232"/>
      <c r="L634" s="233"/>
    </row>
    <row r="635" spans="11:12">
      <c r="K635" s="232"/>
      <c r="L635" s="233"/>
    </row>
    <row r="636" spans="11:12">
      <c r="K636" s="232"/>
      <c r="L636" s="233"/>
    </row>
    <row r="637" spans="11:12">
      <c r="K637" s="232"/>
      <c r="L637" s="233"/>
    </row>
    <row r="638" spans="11:12">
      <c r="K638" s="232"/>
      <c r="L638" s="233"/>
    </row>
    <row r="639" spans="11:12">
      <c r="K639" s="232"/>
      <c r="L639" s="233"/>
    </row>
    <row r="640" spans="11:12">
      <c r="K640" s="232"/>
      <c r="L640" s="233"/>
    </row>
    <row r="641" spans="11:12">
      <c r="K641" s="232"/>
      <c r="L641" s="233"/>
    </row>
    <row r="642" spans="11:12">
      <c r="K642" s="232"/>
      <c r="L642" s="233"/>
    </row>
    <row r="643" spans="11:12">
      <c r="K643" s="232"/>
      <c r="L643" s="233"/>
    </row>
    <row r="644" spans="11:12">
      <c r="K644" s="232"/>
      <c r="L644" s="233"/>
    </row>
    <row r="645" spans="11:12">
      <c r="K645" s="232"/>
      <c r="L645" s="233"/>
    </row>
    <row r="646" spans="11:12">
      <c r="K646" s="232"/>
      <c r="L646" s="233"/>
    </row>
    <row r="647" spans="11:12">
      <c r="K647" s="232"/>
      <c r="L647" s="233"/>
    </row>
    <row r="648" spans="11:12">
      <c r="K648" s="232"/>
      <c r="L648" s="233"/>
    </row>
    <row r="649" spans="11:12">
      <c r="K649" s="232"/>
      <c r="L649" s="233"/>
    </row>
    <row r="650" spans="11:12">
      <c r="K650" s="232"/>
      <c r="L650" s="233"/>
    </row>
    <row r="651" spans="11:12">
      <c r="K651" s="232"/>
      <c r="L651" s="233"/>
    </row>
    <row r="652" spans="11:12">
      <c r="K652" s="232"/>
      <c r="L652" s="233"/>
    </row>
    <row r="653" spans="11:12">
      <c r="K653" s="232"/>
      <c r="L653" s="233"/>
    </row>
    <row r="654" spans="11:12">
      <c r="K654" s="232"/>
      <c r="L654" s="233"/>
    </row>
    <row r="655" spans="11:12">
      <c r="K655" s="232"/>
      <c r="L655" s="233"/>
    </row>
    <row r="656" spans="11:12">
      <c r="K656" s="232"/>
      <c r="L656" s="233"/>
    </row>
    <row r="657" spans="11:12">
      <c r="K657" s="232"/>
      <c r="L657" s="233"/>
    </row>
    <row r="658" spans="11:12">
      <c r="K658" s="232"/>
      <c r="L658" s="233"/>
    </row>
    <row r="659" spans="11:12">
      <c r="K659" s="232"/>
      <c r="L659" s="233"/>
    </row>
    <row r="660" spans="11:12">
      <c r="K660" s="232"/>
      <c r="L660" s="233"/>
    </row>
    <row r="661" spans="11:12">
      <c r="K661" s="232"/>
      <c r="L661" s="233"/>
    </row>
    <row r="662" spans="11:12">
      <c r="K662" s="232"/>
      <c r="L662" s="233"/>
    </row>
    <row r="663" spans="11:12">
      <c r="K663" s="232"/>
      <c r="L663" s="233"/>
    </row>
    <row r="664" spans="11:12">
      <c r="K664" s="232"/>
      <c r="L664" s="233"/>
    </row>
    <row r="665" spans="11:12">
      <c r="K665" s="232"/>
      <c r="L665" s="233"/>
    </row>
    <row r="666" spans="11:12">
      <c r="K666" s="232"/>
      <c r="L666" s="233"/>
    </row>
    <row r="667" spans="11:12">
      <c r="K667" s="232"/>
      <c r="L667" s="233"/>
    </row>
    <row r="668" spans="11:12">
      <c r="K668" s="232"/>
      <c r="L668" s="233"/>
    </row>
    <row r="669" spans="11:12">
      <c r="K669" s="232"/>
      <c r="L669" s="233"/>
    </row>
    <row r="670" spans="11:12">
      <c r="K670" s="232"/>
      <c r="L670" s="233"/>
    </row>
    <row r="671" spans="11:12">
      <c r="K671" s="232"/>
      <c r="L671" s="233"/>
    </row>
    <row r="672" spans="11:12">
      <c r="K672" s="232"/>
      <c r="L672" s="233"/>
    </row>
    <row r="673" spans="11:12">
      <c r="K673" s="232"/>
      <c r="L673" s="233"/>
    </row>
    <row r="674" spans="11:12">
      <c r="K674" s="232"/>
      <c r="L674" s="233"/>
    </row>
    <row r="675" spans="11:12">
      <c r="K675" s="232"/>
      <c r="L675" s="233"/>
    </row>
    <row r="676" spans="11:12">
      <c r="K676" s="232"/>
      <c r="L676" s="233"/>
    </row>
    <row r="677" spans="11:12">
      <c r="K677" s="232"/>
      <c r="L677" s="233"/>
    </row>
    <row r="678" spans="11:12">
      <c r="K678" s="232"/>
      <c r="L678" s="233"/>
    </row>
    <row r="679" spans="11:12">
      <c r="K679" s="232"/>
      <c r="L679" s="233"/>
    </row>
    <row r="680" spans="11:12">
      <c r="K680" s="232"/>
      <c r="L680" s="233"/>
    </row>
    <row r="681" spans="11:12">
      <c r="K681" s="232"/>
      <c r="L681" s="233"/>
    </row>
    <row r="682" spans="11:12">
      <c r="K682" s="232"/>
      <c r="L682" s="233"/>
    </row>
    <row r="683" spans="11:12">
      <c r="K683" s="232"/>
      <c r="L683" s="233"/>
    </row>
    <row r="684" spans="11:12">
      <c r="K684" s="232"/>
      <c r="L684" s="233"/>
    </row>
    <row r="685" spans="11:12">
      <c r="K685" s="232"/>
      <c r="L685" s="233"/>
    </row>
    <row r="686" spans="11:12">
      <c r="K686" s="232"/>
      <c r="L686" s="233"/>
    </row>
    <row r="687" spans="11:12">
      <c r="K687" s="232"/>
      <c r="L687" s="233"/>
    </row>
    <row r="688" spans="11:12">
      <c r="K688" s="232"/>
      <c r="L688" s="233"/>
    </row>
    <row r="689" spans="11:12">
      <c r="K689" s="232"/>
      <c r="L689" s="233"/>
    </row>
    <row r="690" spans="11:12">
      <c r="K690" s="232"/>
      <c r="L690" s="233"/>
    </row>
    <row r="691" spans="11:12">
      <c r="K691" s="232"/>
      <c r="L691" s="233"/>
    </row>
    <row r="692" spans="11:12">
      <c r="K692" s="232"/>
      <c r="L692" s="233"/>
    </row>
    <row r="693" spans="11:12">
      <c r="K693" s="232"/>
      <c r="L693" s="233"/>
    </row>
    <row r="694" spans="11:12">
      <c r="K694" s="232"/>
      <c r="L694" s="233"/>
    </row>
    <row r="695" spans="11:12">
      <c r="K695" s="232"/>
      <c r="L695" s="233"/>
    </row>
    <row r="696" spans="11:12">
      <c r="K696" s="232"/>
      <c r="L696" s="233"/>
    </row>
    <row r="697" spans="11:12">
      <c r="K697" s="232"/>
      <c r="L697" s="233"/>
    </row>
    <row r="698" spans="11:12">
      <c r="K698" s="232"/>
      <c r="L698" s="233"/>
    </row>
    <row r="699" spans="11:12">
      <c r="K699" s="232"/>
      <c r="L699" s="233"/>
    </row>
    <row r="700" spans="11:12">
      <c r="K700" s="232"/>
      <c r="L700" s="233"/>
    </row>
    <row r="701" spans="11:12">
      <c r="K701" s="232"/>
      <c r="L701" s="233"/>
    </row>
    <row r="702" spans="11:12">
      <c r="K702" s="232"/>
      <c r="L702" s="233"/>
    </row>
    <row r="703" spans="11:12">
      <c r="K703" s="232"/>
      <c r="L703" s="233"/>
    </row>
    <row r="704" spans="11:12">
      <c r="K704" s="232"/>
      <c r="L704" s="233"/>
    </row>
    <row r="705" spans="11:12">
      <c r="K705" s="232"/>
      <c r="L705" s="233"/>
    </row>
    <row r="706" spans="11:12">
      <c r="K706" s="232"/>
      <c r="L706" s="233"/>
    </row>
    <row r="707" spans="11:12">
      <c r="K707" s="232"/>
      <c r="L707" s="233"/>
    </row>
    <row r="708" spans="11:12">
      <c r="K708" s="232"/>
      <c r="L708" s="233"/>
    </row>
    <row r="709" spans="11:12">
      <c r="K709" s="232"/>
      <c r="L709" s="233"/>
    </row>
    <row r="710" spans="11:12">
      <c r="K710" s="232"/>
      <c r="L710" s="233"/>
    </row>
    <row r="711" spans="11:12">
      <c r="K711" s="232"/>
      <c r="L711" s="233"/>
    </row>
    <row r="712" spans="11:12">
      <c r="K712" s="232"/>
      <c r="L712" s="233"/>
    </row>
    <row r="713" spans="11:12">
      <c r="K713" s="232"/>
      <c r="L713" s="233"/>
    </row>
    <row r="714" spans="11:12">
      <c r="K714" s="232"/>
      <c r="L714" s="233"/>
    </row>
    <row r="715" spans="11:12">
      <c r="K715" s="232"/>
      <c r="L715" s="233"/>
    </row>
    <row r="716" spans="11:12">
      <c r="K716" s="232"/>
      <c r="L716" s="233"/>
    </row>
    <row r="717" spans="11:12">
      <c r="K717" s="232"/>
      <c r="L717" s="233"/>
    </row>
    <row r="718" spans="11:12">
      <c r="K718" s="232"/>
      <c r="L718" s="233"/>
    </row>
    <row r="719" spans="11:12">
      <c r="K719" s="232"/>
      <c r="L719" s="233"/>
    </row>
    <row r="720" spans="11:12">
      <c r="K720" s="232"/>
      <c r="L720" s="233"/>
    </row>
    <row r="721" spans="11:12">
      <c r="K721" s="232"/>
      <c r="L721" s="233"/>
    </row>
    <row r="722" spans="11:12">
      <c r="K722" s="232"/>
      <c r="L722" s="233"/>
    </row>
    <row r="723" spans="11:12">
      <c r="K723" s="232"/>
      <c r="L723" s="233"/>
    </row>
    <row r="724" spans="11:12">
      <c r="K724" s="232"/>
      <c r="L724" s="233"/>
    </row>
    <row r="725" spans="11:12">
      <c r="K725" s="232"/>
      <c r="L725" s="233"/>
    </row>
    <row r="726" spans="11:12">
      <c r="K726" s="232"/>
      <c r="L726" s="233"/>
    </row>
    <row r="727" spans="11:12">
      <c r="K727" s="232"/>
      <c r="L727" s="233"/>
    </row>
    <row r="728" spans="11:12">
      <c r="K728" s="232"/>
      <c r="L728" s="233"/>
    </row>
    <row r="729" spans="11:12">
      <c r="K729" s="232"/>
      <c r="L729" s="233"/>
    </row>
    <row r="730" spans="11:12">
      <c r="K730" s="232"/>
      <c r="L730" s="233"/>
    </row>
    <row r="731" spans="11:12">
      <c r="K731" s="232"/>
      <c r="L731" s="233"/>
    </row>
    <row r="732" spans="11:12">
      <c r="K732" s="232"/>
      <c r="L732" s="233"/>
    </row>
    <row r="733" spans="11:12">
      <c r="K733" s="232"/>
      <c r="L733" s="233"/>
    </row>
    <row r="734" spans="11:12">
      <c r="K734" s="232"/>
      <c r="L734" s="233"/>
    </row>
    <row r="735" spans="11:12">
      <c r="K735" s="232"/>
      <c r="L735" s="233"/>
    </row>
    <row r="736" spans="11:12">
      <c r="K736" s="232"/>
      <c r="L736" s="233"/>
    </row>
    <row r="737" spans="11:12">
      <c r="K737" s="232"/>
      <c r="L737" s="233"/>
    </row>
    <row r="738" spans="11:12">
      <c r="K738" s="232"/>
      <c r="L738" s="233"/>
    </row>
    <row r="739" spans="11:12">
      <c r="K739" s="232"/>
      <c r="L739" s="233"/>
    </row>
    <row r="740" spans="11:12">
      <c r="K740" s="232"/>
      <c r="L740" s="233"/>
    </row>
    <row r="741" spans="11:12">
      <c r="K741" s="232"/>
      <c r="L741" s="233"/>
    </row>
    <row r="742" spans="11:12">
      <c r="K742" s="232"/>
      <c r="L742" s="233"/>
    </row>
    <row r="743" spans="11:12">
      <c r="K743" s="232"/>
      <c r="L743" s="233"/>
    </row>
    <row r="744" spans="11:12">
      <c r="K744" s="232"/>
      <c r="L744" s="233"/>
    </row>
    <row r="745" spans="11:12">
      <c r="K745" s="232"/>
      <c r="L745" s="233"/>
    </row>
    <row r="746" spans="11:12">
      <c r="K746" s="232"/>
      <c r="L746" s="233"/>
    </row>
    <row r="747" spans="11:12">
      <c r="K747" s="232"/>
      <c r="L747" s="233"/>
    </row>
    <row r="748" spans="11:12">
      <c r="K748" s="232"/>
      <c r="L748" s="233"/>
    </row>
    <row r="749" spans="11:12">
      <c r="K749" s="232"/>
      <c r="L749" s="233"/>
    </row>
    <row r="750" spans="11:12">
      <c r="K750" s="232"/>
      <c r="L750" s="233"/>
    </row>
    <row r="751" spans="11:12">
      <c r="K751" s="232"/>
      <c r="L751" s="233"/>
    </row>
    <row r="752" spans="11:12">
      <c r="K752" s="232"/>
      <c r="L752" s="233"/>
    </row>
    <row r="753" spans="11:12">
      <c r="K753" s="232"/>
      <c r="L753" s="233"/>
    </row>
    <row r="754" spans="11:12">
      <c r="K754" s="232"/>
      <c r="L754" s="233"/>
    </row>
    <row r="755" spans="11:12">
      <c r="K755" s="232"/>
      <c r="L755" s="233"/>
    </row>
    <row r="756" spans="11:12">
      <c r="K756" s="232"/>
      <c r="L756" s="233"/>
    </row>
    <row r="757" spans="11:12">
      <c r="K757" s="232"/>
      <c r="L757" s="233"/>
    </row>
    <row r="758" spans="11:12">
      <c r="K758" s="232"/>
      <c r="L758" s="233"/>
    </row>
    <row r="759" spans="11:12">
      <c r="K759" s="232"/>
      <c r="L759" s="233"/>
    </row>
    <row r="760" spans="11:12">
      <c r="K760" s="232"/>
      <c r="L760" s="233"/>
    </row>
    <row r="761" spans="11:12">
      <c r="K761" s="232"/>
      <c r="L761" s="233"/>
    </row>
    <row r="762" spans="11:12">
      <c r="K762" s="232"/>
      <c r="L762" s="233"/>
    </row>
    <row r="763" spans="11:12">
      <c r="K763" s="232"/>
      <c r="L763" s="233"/>
    </row>
    <row r="764" spans="11:12">
      <c r="K764" s="232"/>
      <c r="L764" s="233"/>
    </row>
    <row r="765" spans="11:12">
      <c r="K765" s="232"/>
    </row>
    <row r="766" spans="11:12">
      <c r="K766" s="232"/>
    </row>
    <row r="767" spans="11:12">
      <c r="K767" s="232"/>
    </row>
    <row r="768" spans="11:12">
      <c r="K768" s="232"/>
    </row>
    <row r="769" spans="11:11">
      <c r="K769" s="232"/>
    </row>
    <row r="770" spans="11:11">
      <c r="K770" s="232"/>
    </row>
    <row r="771" spans="11:11">
      <c r="K771" s="232"/>
    </row>
    <row r="772" spans="11:11">
      <c r="K772" s="232"/>
    </row>
    <row r="773" spans="11:11">
      <c r="K773" s="232"/>
    </row>
    <row r="774" spans="11:11">
      <c r="K774" s="232"/>
    </row>
    <row r="775" spans="11:11">
      <c r="K775" s="232"/>
    </row>
    <row r="776" spans="11:11">
      <c r="K776" s="232"/>
    </row>
    <row r="777" spans="11:11">
      <c r="K777" s="232"/>
    </row>
    <row r="778" spans="11:11">
      <c r="K778" s="232"/>
    </row>
    <row r="779" spans="11:11">
      <c r="K779" s="232"/>
    </row>
    <row r="780" spans="11:11">
      <c r="K780" s="232"/>
    </row>
    <row r="781" spans="11:11">
      <c r="K781" s="232"/>
    </row>
    <row r="782" spans="11:11">
      <c r="K782" s="232"/>
    </row>
    <row r="783" spans="11:11">
      <c r="K783" s="232"/>
    </row>
    <row r="784" spans="11:11">
      <c r="K784" s="232"/>
    </row>
    <row r="785" spans="11:11">
      <c r="K785" s="232"/>
    </row>
    <row r="786" spans="11:11">
      <c r="K786" s="232"/>
    </row>
    <row r="787" spans="11:11">
      <c r="K787" s="232"/>
    </row>
    <row r="788" spans="11:11">
      <c r="K788" s="232"/>
    </row>
    <row r="789" spans="11:11">
      <c r="K789" s="232"/>
    </row>
    <row r="790" spans="11:11">
      <c r="K790" s="232"/>
    </row>
    <row r="791" spans="11:11">
      <c r="K791" s="232"/>
    </row>
    <row r="792" spans="11:11">
      <c r="K792" s="232"/>
    </row>
    <row r="793" spans="11:11">
      <c r="K793" s="232"/>
    </row>
    <row r="794" spans="11:11">
      <c r="K794" s="232"/>
    </row>
    <row r="795" spans="11:11">
      <c r="K795" s="232"/>
    </row>
    <row r="796" spans="11:11">
      <c r="K796" s="232"/>
    </row>
    <row r="797" spans="11:11">
      <c r="K797" s="232"/>
    </row>
    <row r="798" spans="11:11">
      <c r="K798" s="232"/>
    </row>
    <row r="799" spans="11:11">
      <c r="K799" s="232"/>
    </row>
    <row r="800" spans="11:11">
      <c r="K800" s="232"/>
    </row>
    <row r="801" spans="11:11">
      <c r="K801" s="232"/>
    </row>
    <row r="802" spans="11:11">
      <c r="K802" s="232"/>
    </row>
    <row r="803" spans="11:11">
      <c r="K803" s="232"/>
    </row>
    <row r="804" spans="11:11">
      <c r="K804" s="232"/>
    </row>
    <row r="805" spans="11:11">
      <c r="K805" s="232"/>
    </row>
    <row r="806" spans="11:11">
      <c r="K806" s="232"/>
    </row>
    <row r="807" spans="11:11">
      <c r="K807" s="232"/>
    </row>
    <row r="808" spans="11:11">
      <c r="K808" s="232"/>
    </row>
    <row r="809" spans="11:11">
      <c r="K809" s="232"/>
    </row>
    <row r="810" spans="11:11">
      <c r="K810" s="232"/>
    </row>
    <row r="811" spans="11:11">
      <c r="K811" s="232"/>
    </row>
    <row r="812" spans="11:11">
      <c r="K812" s="232"/>
    </row>
    <row r="813" spans="11:11">
      <c r="K813" s="232"/>
    </row>
    <row r="814" spans="11:11">
      <c r="K814" s="232"/>
    </row>
    <row r="815" spans="11:11">
      <c r="K815" s="232"/>
    </row>
    <row r="816" spans="11:11">
      <c r="K816" s="232"/>
    </row>
    <row r="817" spans="11:11">
      <c r="K817" s="232"/>
    </row>
    <row r="818" spans="11:11">
      <c r="K818" s="232"/>
    </row>
    <row r="819" spans="11:11">
      <c r="K819" s="232"/>
    </row>
    <row r="820" spans="11:11">
      <c r="K820" s="232"/>
    </row>
    <row r="821" spans="11:11">
      <c r="K821" s="232"/>
    </row>
    <row r="822" spans="11:11">
      <c r="K822" s="232"/>
    </row>
    <row r="823" spans="11:11">
      <c r="K823" s="232"/>
    </row>
    <row r="824" spans="11:11">
      <c r="K824" s="232"/>
    </row>
    <row r="825" spans="11:11">
      <c r="K825" s="232"/>
    </row>
    <row r="826" spans="11:11">
      <c r="K826" s="232"/>
    </row>
    <row r="827" spans="11:11">
      <c r="K827" s="232"/>
    </row>
    <row r="828" spans="11:11">
      <c r="K828" s="232"/>
    </row>
    <row r="829" spans="11:11">
      <c r="K829" s="232"/>
    </row>
    <row r="830" spans="11:11">
      <c r="K830" s="232"/>
    </row>
    <row r="831" spans="11:11">
      <c r="K831" s="232"/>
    </row>
    <row r="832" spans="11:11">
      <c r="K832" s="232"/>
    </row>
    <row r="833" spans="11:11">
      <c r="K833" s="232"/>
    </row>
    <row r="834" spans="11:11">
      <c r="K834" s="232"/>
    </row>
    <row r="835" spans="11:11">
      <c r="K835" s="232"/>
    </row>
    <row r="836" spans="11:11">
      <c r="K836" s="232"/>
    </row>
    <row r="837" spans="11:11">
      <c r="K837" s="232"/>
    </row>
    <row r="838" spans="11:11">
      <c r="K838" s="232"/>
    </row>
    <row r="839" spans="11:11">
      <c r="K839" s="232"/>
    </row>
    <row r="840" spans="11:11">
      <c r="K840" s="232"/>
    </row>
    <row r="841" spans="11:11">
      <c r="K841" s="232"/>
    </row>
    <row r="842" spans="11:11">
      <c r="K842" s="232"/>
    </row>
    <row r="843" spans="11:11">
      <c r="K843" s="232"/>
    </row>
    <row r="844" spans="11:11">
      <c r="K844" s="232"/>
    </row>
    <row r="845" spans="11:11">
      <c r="K845" s="232"/>
    </row>
    <row r="846" spans="11:11">
      <c r="K846" s="232"/>
    </row>
    <row r="847" spans="11:11">
      <c r="K847" s="232"/>
    </row>
    <row r="848" spans="11:11">
      <c r="K848" s="232"/>
    </row>
    <row r="849" spans="11:11">
      <c r="K849" s="232"/>
    </row>
    <row r="850" spans="11:11">
      <c r="K850" s="232"/>
    </row>
    <row r="851" spans="11:11">
      <c r="K851" s="232"/>
    </row>
    <row r="852" spans="11:11">
      <c r="K852" s="232"/>
    </row>
    <row r="853" spans="11:11">
      <c r="K853" s="232"/>
    </row>
    <row r="854" spans="11:11">
      <c r="K854" s="232"/>
    </row>
    <row r="855" spans="11:11">
      <c r="K855" s="232"/>
    </row>
    <row r="856" spans="11:11">
      <c r="K856" s="232"/>
    </row>
    <row r="857" spans="11:11">
      <c r="K857" s="232"/>
    </row>
    <row r="858" spans="11:11">
      <c r="K858" s="232"/>
    </row>
    <row r="859" spans="11:11">
      <c r="K859" s="232"/>
    </row>
    <row r="860" spans="11:11">
      <c r="K860" s="232"/>
    </row>
    <row r="861" spans="11:11">
      <c r="K861" s="232"/>
    </row>
    <row r="862" spans="11:11">
      <c r="K862" s="232"/>
    </row>
    <row r="863" spans="11:11">
      <c r="K863" s="232"/>
    </row>
    <row r="864" spans="11:11">
      <c r="K864" s="232"/>
    </row>
    <row r="865" spans="11:11">
      <c r="K865" s="232"/>
    </row>
    <row r="866" spans="11:11">
      <c r="K866" s="232"/>
    </row>
    <row r="867" spans="11:11">
      <c r="K867" s="232"/>
    </row>
    <row r="868" spans="11:11">
      <c r="K868" s="232"/>
    </row>
    <row r="869" spans="11:11">
      <c r="K869" s="232"/>
    </row>
    <row r="870" spans="11:11">
      <c r="K870" s="232"/>
    </row>
    <row r="871" spans="11:11">
      <c r="K871" s="232"/>
    </row>
    <row r="872" spans="11:11">
      <c r="K872" s="232"/>
    </row>
    <row r="873" spans="11:11">
      <c r="K873" s="232"/>
    </row>
    <row r="874" spans="11:11">
      <c r="K874" s="232"/>
    </row>
    <row r="875" spans="11:11">
      <c r="K875" s="232"/>
    </row>
    <row r="876" spans="11:11">
      <c r="K876" s="232"/>
    </row>
    <row r="877" spans="11:11">
      <c r="K877" s="232"/>
    </row>
    <row r="878" spans="11:11">
      <c r="K878" s="232"/>
    </row>
    <row r="879" spans="11:11">
      <c r="K879" s="232"/>
    </row>
    <row r="880" spans="11:11">
      <c r="K880" s="232"/>
    </row>
    <row r="881" spans="11:11">
      <c r="K881" s="232"/>
    </row>
    <row r="882" spans="11:11">
      <c r="K882" s="232"/>
    </row>
    <row r="883" spans="11:11">
      <c r="K883" s="232"/>
    </row>
    <row r="884" spans="11:11">
      <c r="K884" s="232"/>
    </row>
    <row r="885" spans="11:11">
      <c r="K885" s="232"/>
    </row>
    <row r="886" spans="11:11">
      <c r="K886" s="232"/>
    </row>
    <row r="887" spans="11:11">
      <c r="K887" s="232"/>
    </row>
    <row r="888" spans="11:11">
      <c r="K888" s="232"/>
    </row>
    <row r="889" spans="11:11">
      <c r="K889" s="232"/>
    </row>
    <row r="890" spans="11:11">
      <c r="K890" s="232"/>
    </row>
    <row r="891" spans="11:11">
      <c r="K891" s="232"/>
    </row>
    <row r="892" spans="11:11">
      <c r="K892" s="232"/>
    </row>
    <row r="893" spans="11:11">
      <c r="K893" s="232"/>
    </row>
    <row r="894" spans="11:11">
      <c r="K894" s="232"/>
    </row>
    <row r="895" spans="11:11">
      <c r="K895" s="232"/>
    </row>
    <row r="896" spans="11:11">
      <c r="K896" s="232"/>
    </row>
    <row r="897" spans="11:11">
      <c r="K897" s="232"/>
    </row>
    <row r="898" spans="11:11">
      <c r="K898" s="232"/>
    </row>
    <row r="899" spans="11:11">
      <c r="K899" s="232"/>
    </row>
    <row r="900" spans="11:11">
      <c r="K900" s="232"/>
    </row>
    <row r="901" spans="11:11">
      <c r="K901" s="232"/>
    </row>
    <row r="902" spans="11:11">
      <c r="K902" s="232"/>
    </row>
    <row r="903" spans="11:11">
      <c r="K903" s="232"/>
    </row>
    <row r="904" spans="11:11">
      <c r="K904" s="232"/>
    </row>
    <row r="905" spans="11:11">
      <c r="K905" s="232"/>
    </row>
    <row r="906" spans="11:11">
      <c r="K906" s="232"/>
    </row>
    <row r="907" spans="11:11">
      <c r="K907" s="232"/>
    </row>
    <row r="908" spans="11:11">
      <c r="K908" s="232"/>
    </row>
    <row r="909" spans="11:11">
      <c r="K909" s="232"/>
    </row>
    <row r="910" spans="11:11">
      <c r="K910" s="232"/>
    </row>
    <row r="911" spans="11:11">
      <c r="K911" s="232"/>
    </row>
    <row r="912" spans="11:11">
      <c r="K912" s="232"/>
    </row>
    <row r="913" spans="11:11">
      <c r="K913" s="232"/>
    </row>
    <row r="914" spans="11:11">
      <c r="K914" s="232"/>
    </row>
    <row r="915" spans="11:11">
      <c r="K915" s="232"/>
    </row>
    <row r="916" spans="11:11">
      <c r="K916" s="232"/>
    </row>
    <row r="917" spans="11:11">
      <c r="K917" s="232"/>
    </row>
    <row r="918" spans="11:11">
      <c r="K918" s="232"/>
    </row>
    <row r="919" spans="11:11">
      <c r="K919" s="232"/>
    </row>
    <row r="920" spans="11:11">
      <c r="K920" s="232"/>
    </row>
    <row r="921" spans="11:11">
      <c r="K921" s="232"/>
    </row>
    <row r="922" spans="11:11">
      <c r="K922" s="232"/>
    </row>
    <row r="923" spans="11:11">
      <c r="K923" s="232"/>
    </row>
    <row r="924" spans="11:11">
      <c r="K924" s="232"/>
    </row>
    <row r="925" spans="11:11">
      <c r="K925" s="232"/>
    </row>
    <row r="926" spans="11:11">
      <c r="K926" s="232"/>
    </row>
    <row r="927" spans="11:11">
      <c r="K927" s="232"/>
    </row>
    <row r="928" spans="11:11">
      <c r="K928" s="232"/>
    </row>
    <row r="929" spans="11:11">
      <c r="K929" s="232"/>
    </row>
    <row r="930" spans="11:11">
      <c r="K930" s="232"/>
    </row>
    <row r="931" spans="11:11">
      <c r="K931" s="232"/>
    </row>
    <row r="932" spans="11:11">
      <c r="K932" s="232"/>
    </row>
    <row r="933" spans="11:11">
      <c r="K933" s="232"/>
    </row>
    <row r="934" spans="11:11">
      <c r="K934" s="232"/>
    </row>
    <row r="935" spans="11:11">
      <c r="K935" s="232"/>
    </row>
    <row r="936" spans="11:11">
      <c r="K936" s="232"/>
    </row>
    <row r="937" spans="11:11">
      <c r="K937" s="232"/>
    </row>
    <row r="938" spans="11:11">
      <c r="K938" s="232"/>
    </row>
    <row r="939" spans="11:11">
      <c r="K939" s="232"/>
    </row>
    <row r="940" spans="11:11">
      <c r="K940" s="232"/>
    </row>
    <row r="941" spans="11:11">
      <c r="K941" s="232"/>
    </row>
    <row r="942" spans="11:11">
      <c r="K942" s="232"/>
    </row>
    <row r="943" spans="11:11">
      <c r="K943" s="232"/>
    </row>
    <row r="944" spans="11:11">
      <c r="K944" s="232"/>
    </row>
    <row r="945" spans="11:11">
      <c r="K945" s="232"/>
    </row>
    <row r="946" spans="11:11">
      <c r="K946" s="232"/>
    </row>
    <row r="947" spans="11:11">
      <c r="K947" s="232"/>
    </row>
    <row r="948" spans="11:11">
      <c r="K948" s="232"/>
    </row>
    <row r="949" spans="11:11">
      <c r="K949" s="232"/>
    </row>
    <row r="950" spans="11:11">
      <c r="K950" s="232"/>
    </row>
    <row r="951" spans="11:11">
      <c r="K951" s="232"/>
    </row>
    <row r="952" spans="11:11">
      <c r="K952" s="232"/>
    </row>
    <row r="953" spans="11:11">
      <c r="K953" s="232"/>
    </row>
    <row r="954" spans="11:11">
      <c r="K954" s="232"/>
    </row>
    <row r="955" spans="11:11">
      <c r="K955" s="232"/>
    </row>
    <row r="956" spans="11:11">
      <c r="K956" s="232"/>
    </row>
    <row r="957" spans="11:11">
      <c r="K957" s="232"/>
    </row>
    <row r="958" spans="11:11">
      <c r="K958" s="232"/>
    </row>
    <row r="959" spans="11:11">
      <c r="K959" s="232"/>
    </row>
    <row r="960" spans="11:11">
      <c r="K960" s="232"/>
    </row>
    <row r="961" spans="11:11">
      <c r="K961" s="232"/>
    </row>
    <row r="962" spans="11:11">
      <c r="K962" s="232"/>
    </row>
    <row r="963" spans="11:11">
      <c r="K963" s="232"/>
    </row>
    <row r="964" spans="11:11">
      <c r="K964" s="232"/>
    </row>
    <row r="965" spans="11:11">
      <c r="K965" s="232"/>
    </row>
    <row r="966" spans="11:11">
      <c r="K966" s="232"/>
    </row>
    <row r="967" spans="11:11">
      <c r="K967" s="232"/>
    </row>
    <row r="968" spans="11:11">
      <c r="K968" s="232"/>
    </row>
    <row r="969" spans="11:11">
      <c r="K969" s="232"/>
    </row>
    <row r="970" spans="11:11">
      <c r="K970" s="232"/>
    </row>
    <row r="971" spans="11:11">
      <c r="K971" s="232"/>
    </row>
    <row r="972" spans="11:11">
      <c r="K972" s="232"/>
    </row>
    <row r="973" spans="11:11">
      <c r="K973" s="232"/>
    </row>
    <row r="974" spans="11:11">
      <c r="K974" s="232"/>
    </row>
    <row r="975" spans="11:11">
      <c r="K975" s="232"/>
    </row>
    <row r="976" spans="11:11">
      <c r="K976" s="232"/>
    </row>
    <row r="977" spans="11:11">
      <c r="K977" s="232"/>
    </row>
    <row r="978" spans="11:11">
      <c r="K978" s="232"/>
    </row>
    <row r="979" spans="11:11">
      <c r="K979" s="232"/>
    </row>
    <row r="980" spans="11:11">
      <c r="K980" s="232"/>
    </row>
    <row r="981" spans="11:11">
      <c r="K981" s="232"/>
    </row>
    <row r="982" spans="11:11">
      <c r="K982" s="232"/>
    </row>
    <row r="983" spans="11:11">
      <c r="K983" s="232"/>
    </row>
    <row r="984" spans="11:11">
      <c r="K984" s="232"/>
    </row>
    <row r="985" spans="11:11">
      <c r="K985" s="232"/>
    </row>
    <row r="986" spans="11:11">
      <c r="K986" s="232"/>
    </row>
    <row r="987" spans="11:11">
      <c r="K987" s="232"/>
    </row>
    <row r="988" spans="11:11">
      <c r="K988" s="232"/>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1BCD-EB67-4422-AAA0-8D7EE16C560E}">
  <sheetPr>
    <tabColor rgb="FFD0CECE"/>
  </sheetPr>
  <dimension ref="A1:AU26"/>
  <sheetViews>
    <sheetView showGridLines="0" zoomScaleNormal="100" workbookViewId="0">
      <selection activeCell="O16" sqref="O16"/>
    </sheetView>
  </sheetViews>
  <sheetFormatPr defaultColWidth="8.8984375" defaultRowHeight="17.399999999999999"/>
  <cols>
    <col min="2" max="2" width="15.59765625" customWidth="1"/>
    <col min="3" max="10" width="0" hidden="1" customWidth="1"/>
    <col min="11" max="14" width="9.09765625"/>
    <col min="19" max="22" width="0" hidden="1" customWidth="1"/>
  </cols>
  <sheetData>
    <row r="1" spans="1:47" s="27" customFormat="1">
      <c r="A1" s="24" t="s">
        <v>283</v>
      </c>
      <c r="B1" s="24"/>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row>
    <row r="2" spans="1:47" s="27" customFormat="1" ht="18.600000000000001">
      <c r="A2" s="28" t="s">
        <v>277</v>
      </c>
      <c r="B2" s="28"/>
      <c r="C2" s="28"/>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row>
    <row r="3" spans="1:47" s="27" customFormat="1">
      <c r="A3" s="30" t="s">
        <v>278</v>
      </c>
      <c r="B3" s="30"/>
      <c r="C3" s="30"/>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row>
    <row r="5" spans="1:47">
      <c r="B5" s="464" t="s">
        <v>455</v>
      </c>
      <c r="C5" s="465" t="s">
        <v>0</v>
      </c>
      <c r="D5" s="465" t="s">
        <v>1</v>
      </c>
      <c r="E5" s="465" t="s">
        <v>2</v>
      </c>
      <c r="F5" s="465" t="s">
        <v>3</v>
      </c>
      <c r="G5" s="465" t="s">
        <v>4</v>
      </c>
      <c r="H5" s="465" t="s">
        <v>5</v>
      </c>
      <c r="I5" s="465" t="s">
        <v>6</v>
      </c>
      <c r="J5" s="465" t="s">
        <v>7</v>
      </c>
      <c r="K5" s="465" t="s">
        <v>8</v>
      </c>
      <c r="L5" s="465" t="s">
        <v>9</v>
      </c>
      <c r="M5" s="465" t="s">
        <v>10</v>
      </c>
      <c r="N5" s="465" t="s">
        <v>11</v>
      </c>
      <c r="O5" s="465" t="s">
        <v>29</v>
      </c>
      <c r="P5" s="465" t="s">
        <v>30</v>
      </c>
      <c r="Q5" s="465" t="s">
        <v>31</v>
      </c>
      <c r="R5" s="465" t="s">
        <v>32</v>
      </c>
      <c r="S5">
        <v>2023</v>
      </c>
      <c r="T5">
        <v>2024</v>
      </c>
      <c r="U5">
        <v>2025</v>
      </c>
    </row>
    <row r="6" spans="1:47">
      <c r="B6" s="466" t="s">
        <v>26</v>
      </c>
      <c r="C6" s="467">
        <f>'비용 추정'!C6</f>
        <v>35382</v>
      </c>
      <c r="D6" s="467">
        <f>'비용 추정'!D6</f>
        <v>32686</v>
      </c>
      <c r="E6" s="467">
        <f>'비용 추정'!E6</f>
        <v>33268</v>
      </c>
      <c r="F6" s="467">
        <f>'비용 추정'!F6</f>
        <v>40467</v>
      </c>
      <c r="G6" s="467">
        <f>'비용 추정'!G6</f>
        <v>38974</v>
      </c>
      <c r="H6" s="467">
        <f>'비용 추정'!H6</f>
        <v>45897</v>
      </c>
      <c r="I6" s="467">
        <f>'비용 추정'!I6</f>
        <v>48243</v>
      </c>
      <c r="J6" s="467">
        <f>'비용 추정'!J6</f>
        <v>47008</v>
      </c>
      <c r="K6" s="467">
        <f>'비용 추정'!K6</f>
        <v>50349</v>
      </c>
      <c r="L6" s="467">
        <f>'비용 추정'!L6</f>
        <v>58773</v>
      </c>
      <c r="M6" s="467">
        <f>'비용 추정'!M6</f>
        <v>59414</v>
      </c>
      <c r="N6" s="467">
        <f>'비용 추정'!N6</f>
        <v>74403</v>
      </c>
      <c r="O6" s="468">
        <f>'매출액 추정'!O6</f>
        <v>80584.532364571773</v>
      </c>
      <c r="P6" s="468">
        <f>'매출액 추정'!P6</f>
        <v>82456.051933929761</v>
      </c>
      <c r="Q6" s="468">
        <f>'매출액 추정'!Q6</f>
        <v>91470.968012384401</v>
      </c>
      <c r="R6" s="468">
        <f>'매출액 추정'!R6</f>
        <v>100949.82182788232</v>
      </c>
      <c r="T6" s="225">
        <f>SUM(K6:N6)</f>
        <v>242939</v>
      </c>
      <c r="U6" s="33">
        <f>SUM(O6:R6)</f>
        <v>355461.3741387683</v>
      </c>
    </row>
    <row r="7" spans="1:47">
      <c r="B7" s="469" t="s">
        <v>12</v>
      </c>
      <c r="C7" s="470">
        <f>'비용 추정'!C7</f>
        <v>8800</v>
      </c>
      <c r="D7" s="470">
        <f>'비용 추정'!D7</f>
        <v>8277</v>
      </c>
      <c r="E7" s="470">
        <f>'비용 추정'!E7</f>
        <v>7317</v>
      </c>
      <c r="F7" s="470">
        <f>'비용 추정'!F7</f>
        <v>9241</v>
      </c>
      <c r="G7" s="470">
        <f>'비용 추정'!G7</f>
        <v>8764</v>
      </c>
      <c r="H7" s="470">
        <f>'비용 추정'!H7</f>
        <v>9577</v>
      </c>
      <c r="I7" s="470">
        <f>'비용 추정'!I7</f>
        <v>11234</v>
      </c>
      <c r="J7" s="470">
        <f>'비용 추정'!J7</f>
        <v>10099</v>
      </c>
      <c r="K7" s="470">
        <f>'비용 추정'!K7</f>
        <v>10177</v>
      </c>
      <c r="L7" s="470">
        <f>'비용 추정'!L7</f>
        <v>11228</v>
      </c>
      <c r="M7" s="470">
        <f>'비용 추정'!M7</f>
        <v>12814</v>
      </c>
      <c r="N7" s="470">
        <f>'비용 추정'!N7</f>
        <v>17593</v>
      </c>
      <c r="O7" s="471">
        <f>'비용 추정'!O7</f>
        <v>18118.758371163687</v>
      </c>
      <c r="P7" s="471">
        <f>'비용 추정'!P7</f>
        <v>17581.919222082844</v>
      </c>
      <c r="Q7" s="471">
        <f>'비용 추정'!Q7</f>
        <v>18441.816751563707</v>
      </c>
      <c r="R7" s="471">
        <f>'비용 추정'!R7</f>
        <v>19180.46614729764</v>
      </c>
      <c r="T7" s="225">
        <f t="shared" ref="T7:T26" si="0">SUM(K7:N7)</f>
        <v>51812</v>
      </c>
      <c r="U7" s="33">
        <f t="shared" ref="U7:U26" si="1">SUM(O7:R7)</f>
        <v>73322.960492107886</v>
      </c>
    </row>
    <row r="8" spans="1:47">
      <c r="B8" s="472" t="s">
        <v>13</v>
      </c>
      <c r="C8" s="473">
        <v>0.24872106497837823</v>
      </c>
      <c r="D8" s="473">
        <v>0.25324317708970751</v>
      </c>
      <c r="E8" s="473">
        <v>0.21994108452567032</v>
      </c>
      <c r="F8" s="473">
        <v>0.22835890972891493</v>
      </c>
      <c r="G8" s="473">
        <v>0.22486786062503208</v>
      </c>
      <c r="H8" s="473">
        <v>0.208658329338969</v>
      </c>
      <c r="I8" s="473">
        <v>0.23284831903162956</v>
      </c>
      <c r="J8" s="473">
        <v>0.21484948409743643</v>
      </c>
      <c r="K8" s="473">
        <v>0.20200877349689356</v>
      </c>
      <c r="L8" s="473">
        <v>0.19114417527791491</v>
      </c>
      <c r="M8" s="473">
        <v>0.21567307368633654</v>
      </c>
      <c r="N8" s="473">
        <v>0.23645234127197459</v>
      </c>
      <c r="O8" s="474">
        <f>O7/O6</f>
        <v>0.22484163945002214</v>
      </c>
      <c r="P8" s="474">
        <f t="shared" ref="P8:R8" si="2">P7/P6</f>
        <v>0.21322775963334811</v>
      </c>
      <c r="Q8" s="474">
        <f t="shared" si="2"/>
        <v>0.20161387981667406</v>
      </c>
      <c r="R8" s="474">
        <f t="shared" si="2"/>
        <v>0.19</v>
      </c>
      <c r="T8" s="225">
        <f t="shared" si="0"/>
        <v>0.8452783637331196</v>
      </c>
      <c r="U8" s="33">
        <f t="shared" si="1"/>
        <v>0.82968327890004434</v>
      </c>
    </row>
    <row r="9" spans="1:47">
      <c r="B9" s="475" t="s">
        <v>14</v>
      </c>
      <c r="C9" s="470">
        <f>C6-C7</f>
        <v>26582</v>
      </c>
      <c r="D9" s="470">
        <f t="shared" ref="D9:N9" si="3">D6-D7</f>
        <v>24409</v>
      </c>
      <c r="E9" s="470">
        <f t="shared" si="3"/>
        <v>25951</v>
      </c>
      <c r="F9" s="470">
        <f t="shared" si="3"/>
        <v>31226</v>
      </c>
      <c r="G9" s="470">
        <f t="shared" si="3"/>
        <v>30210</v>
      </c>
      <c r="H9" s="470">
        <f t="shared" si="3"/>
        <v>36320</v>
      </c>
      <c r="I9" s="470">
        <f t="shared" si="3"/>
        <v>37009</v>
      </c>
      <c r="J9" s="470">
        <f t="shared" si="3"/>
        <v>36909</v>
      </c>
      <c r="K9" s="470">
        <f t="shared" si="3"/>
        <v>40172</v>
      </c>
      <c r="L9" s="470">
        <f t="shared" si="3"/>
        <v>47545</v>
      </c>
      <c r="M9" s="470">
        <f t="shared" si="3"/>
        <v>46600</v>
      </c>
      <c r="N9" s="470">
        <f t="shared" si="3"/>
        <v>56810</v>
      </c>
      <c r="O9" s="476">
        <f>O6-O7</f>
        <v>62465.773993408089</v>
      </c>
      <c r="P9" s="476">
        <f t="shared" ref="P9:R9" si="4">P6-P7</f>
        <v>64874.13271184692</v>
      </c>
      <c r="Q9" s="476">
        <f t="shared" si="4"/>
        <v>73029.151260820698</v>
      </c>
      <c r="R9" s="476">
        <f t="shared" si="4"/>
        <v>81769.355680584675</v>
      </c>
      <c r="T9" s="225">
        <f t="shared" si="0"/>
        <v>191127</v>
      </c>
      <c r="U9" s="33">
        <f t="shared" si="1"/>
        <v>282138.4136466604</v>
      </c>
    </row>
    <row r="10" spans="1:47">
      <c r="B10" s="477" t="s">
        <v>27</v>
      </c>
      <c r="C10" s="473">
        <v>0.7512789350216218</v>
      </c>
      <c r="D10" s="473">
        <v>0.74675682291029244</v>
      </c>
      <c r="E10" s="473">
        <v>0.78005891547432971</v>
      </c>
      <c r="F10" s="473">
        <v>0.77164109027108507</v>
      </c>
      <c r="G10" s="473">
        <v>0.77513213937496794</v>
      </c>
      <c r="H10" s="473">
        <v>0.791341670661031</v>
      </c>
      <c r="I10" s="473">
        <v>0.76715168096837039</v>
      </c>
      <c r="J10" s="473">
        <v>0.78515051590256368</v>
      </c>
      <c r="K10" s="473">
        <v>0.7979912265031065</v>
      </c>
      <c r="L10" s="473">
        <v>0.80885582472208506</v>
      </c>
      <c r="M10" s="473">
        <v>0.78432692631366341</v>
      </c>
      <c r="N10" s="473">
        <v>0.76354765872802544</v>
      </c>
      <c r="O10" s="474">
        <f>O9/O6</f>
        <v>0.77515836054997789</v>
      </c>
      <c r="P10" s="474">
        <f t="shared" ref="P10:R10" si="5">P9/P6</f>
        <v>0.78677224036665194</v>
      </c>
      <c r="Q10" s="474">
        <f t="shared" si="5"/>
        <v>0.798386120183326</v>
      </c>
      <c r="R10" s="474">
        <f t="shared" si="5"/>
        <v>0.80999999999999994</v>
      </c>
      <c r="T10" s="225">
        <f t="shared" si="0"/>
        <v>3.1547216362668804</v>
      </c>
      <c r="U10" s="33">
        <f t="shared" si="1"/>
        <v>3.1703167210999559</v>
      </c>
    </row>
    <row r="11" spans="1:47">
      <c r="B11" s="478" t="s">
        <v>25</v>
      </c>
      <c r="C11" s="470">
        <f>'비용 추정'!C11</f>
        <v>9876.724000000002</v>
      </c>
      <c r="D11" s="470">
        <f>'비용 추정'!D11</f>
        <v>9144.9521890000015</v>
      </c>
      <c r="E11" s="470">
        <f>'비용 추정'!E11</f>
        <v>8471.9285869999985</v>
      </c>
      <c r="F11" s="470">
        <f>'비용 추정'!F11</f>
        <v>11797.211579999997</v>
      </c>
      <c r="G11" s="470">
        <f>'비용 추정'!G11</f>
        <v>10318.627559000002</v>
      </c>
      <c r="H11" s="470">
        <f>'비용 추정'!H11</f>
        <v>13174.373552999999</v>
      </c>
      <c r="I11" s="470">
        <f>'비용 추정'!I11</f>
        <v>12348.211809999993</v>
      </c>
      <c r="J11" s="470">
        <f>'비용 추정'!J11</f>
        <v>14985.468999999997</v>
      </c>
      <c r="K11" s="470">
        <f>'비용 추정'!K11</f>
        <v>13694.299000000001</v>
      </c>
      <c r="L11" s="470">
        <f>'비용 추정'!L11</f>
        <v>16325.518</v>
      </c>
      <c r="M11" s="470">
        <f>'비용 추정'!M11</f>
        <v>17648.23</v>
      </c>
      <c r="N11" s="470">
        <f>'비용 추정'!N11</f>
        <v>21003.691999999988</v>
      </c>
      <c r="O11" s="479">
        <f>'비용 추정'!O11</f>
        <v>22079.562886096359</v>
      </c>
      <c r="P11" s="479">
        <f>'비용 추정'!P11</f>
        <v>22582.111809552182</v>
      </c>
      <c r="Q11" s="479">
        <f>'비용 추정'!Q11</f>
        <v>24968.434513172848</v>
      </c>
      <c r="R11" s="479">
        <f>'비용 추정'!R11</f>
        <v>27636.255708682562</v>
      </c>
      <c r="T11" s="225">
        <f t="shared" si="0"/>
        <v>68671.739000000001</v>
      </c>
      <c r="U11" s="33">
        <f t="shared" si="1"/>
        <v>97266.364917503961</v>
      </c>
    </row>
    <row r="12" spans="1:47">
      <c r="B12" s="472" t="s">
        <v>13</v>
      </c>
      <c r="C12" s="473">
        <v>0.2791328679234617</v>
      </c>
      <c r="D12" s="473">
        <v>0.27976991800269246</v>
      </c>
      <c r="E12" s="473">
        <v>0.25462907298304677</v>
      </c>
      <c r="F12" s="473">
        <v>0.29152148664343791</v>
      </c>
      <c r="G12" s="473">
        <v>0.26476625442602764</v>
      </c>
      <c r="H12" s="473">
        <v>0.28702775720074947</v>
      </c>
      <c r="I12" s="473">
        <v>0.25593831612983459</v>
      </c>
      <c r="J12" s="473">
        <v>0.31879587277949151</v>
      </c>
      <c r="K12" s="473">
        <v>0.27181960737608929</v>
      </c>
      <c r="L12" s="473">
        <v>0.27793193850972914</v>
      </c>
      <c r="M12" s="473">
        <v>0.29703436900393843</v>
      </c>
      <c r="N12" s="473">
        <v>0.28228993064888991</v>
      </c>
      <c r="O12" s="474">
        <f>O11/O6</f>
        <v>0.27399256703763453</v>
      </c>
      <c r="P12" s="474">
        <f t="shared" ref="P12:R12" si="6">P11/P6</f>
        <v>0.27386845816540833</v>
      </c>
      <c r="Q12" s="474">
        <f t="shared" si="6"/>
        <v>0.27296567485535228</v>
      </c>
      <c r="R12" s="474">
        <f t="shared" si="6"/>
        <v>0.27376230297664017</v>
      </c>
      <c r="T12" s="225">
        <f t="shared" si="0"/>
        <v>1.1290758455386467</v>
      </c>
      <c r="U12" s="33">
        <f t="shared" si="1"/>
        <v>1.0945890030350354</v>
      </c>
    </row>
    <row r="13" spans="1:47">
      <c r="B13" s="480" t="s">
        <v>15</v>
      </c>
      <c r="C13" s="470">
        <f>'비용 추정'!C44</f>
        <v>16705.275999999998</v>
      </c>
      <c r="D13" s="470">
        <f>'비용 추정'!D44</f>
        <v>15264.047810999999</v>
      </c>
      <c r="E13" s="470">
        <f>'비용 추정'!E44</f>
        <v>17479.071413000001</v>
      </c>
      <c r="F13" s="470">
        <f>'비용 추정'!F44</f>
        <v>19428.788420000004</v>
      </c>
      <c r="G13" s="470">
        <f>'비용 추정'!G44</f>
        <v>19891.372441</v>
      </c>
      <c r="H13" s="470">
        <f>'비용 추정'!H44</f>
        <v>23145.626447000002</v>
      </c>
      <c r="I13" s="470">
        <f>'비용 추정'!I44</f>
        <v>24660.788190000007</v>
      </c>
      <c r="J13" s="470">
        <f>'비용 추정'!J44</f>
        <v>21923.531000000003</v>
      </c>
      <c r="K13" s="470">
        <f>'비용 추정'!K44</f>
        <v>26477.701000000001</v>
      </c>
      <c r="L13" s="470">
        <f>'비용 추정'!L44</f>
        <v>31219.482</v>
      </c>
      <c r="M13" s="470">
        <f>'비용 추정'!M44</f>
        <v>28951.77</v>
      </c>
      <c r="N13" s="470">
        <f>'비용 추정'!N44</f>
        <v>35806.308000000012</v>
      </c>
      <c r="O13" s="476">
        <f>O9-O11</f>
        <v>40386.211107311727</v>
      </c>
      <c r="P13" s="476">
        <f t="shared" ref="P13:R13" si="7">P9-P11</f>
        <v>42292.020902294738</v>
      </c>
      <c r="Q13" s="476">
        <f t="shared" si="7"/>
        <v>48060.71674764785</v>
      </c>
      <c r="R13" s="476">
        <f t="shared" si="7"/>
        <v>54133.099971902113</v>
      </c>
      <c r="T13" s="225">
        <f t="shared" si="0"/>
        <v>122455.26100000003</v>
      </c>
      <c r="U13" s="33">
        <f t="shared" si="1"/>
        <v>184872.04872915644</v>
      </c>
    </row>
    <row r="14" spans="1:47">
      <c r="B14" s="477" t="s">
        <v>28</v>
      </c>
      <c r="C14" s="473">
        <v>0.47214606709815998</v>
      </c>
      <c r="D14" s="473">
        <v>0.46698690490759998</v>
      </c>
      <c r="E14" s="473">
        <v>0.52542984249128288</v>
      </c>
      <c r="F14" s="473">
        <v>0.48011960362764722</v>
      </c>
      <c r="G14" s="473">
        <v>0.51036588494894031</v>
      </c>
      <c r="H14" s="473">
        <v>0.50431391346028154</v>
      </c>
      <c r="I14" s="473">
        <v>0.51121336483853586</v>
      </c>
      <c r="J14" s="473">
        <v>0.46635464312307212</v>
      </c>
      <c r="K14" s="473">
        <v>0.52617161912701715</v>
      </c>
      <c r="L14" s="473">
        <v>0.53092388621235587</v>
      </c>
      <c r="M14" s="473">
        <v>0.48729255730972498</v>
      </c>
      <c r="N14" s="473">
        <v>0.48125772807913553</v>
      </c>
      <c r="O14" s="474">
        <f>O13/O6</f>
        <v>0.50116579351234336</v>
      </c>
      <c r="P14" s="474">
        <f t="shared" ref="P14:R14" si="8">P13/P6</f>
        <v>0.51290378220124355</v>
      </c>
      <c r="Q14" s="474">
        <f t="shared" si="8"/>
        <v>0.52542044532797372</v>
      </c>
      <c r="R14" s="474">
        <f t="shared" si="8"/>
        <v>0.53623769702335977</v>
      </c>
      <c r="T14" s="225">
        <f t="shared" si="0"/>
        <v>2.0256457907282335</v>
      </c>
      <c r="U14" s="33">
        <f t="shared" si="1"/>
        <v>2.0757277180649205</v>
      </c>
    </row>
    <row r="15" spans="1:47">
      <c r="B15" s="481" t="s">
        <v>16</v>
      </c>
      <c r="C15" s="482">
        <v>0</v>
      </c>
      <c r="D15" s="482">
        <v>0</v>
      </c>
      <c r="E15" s="482">
        <v>0</v>
      </c>
      <c r="F15" s="482">
        <v>0</v>
      </c>
      <c r="G15" s="483">
        <v>0</v>
      </c>
      <c r="H15" s="482">
        <v>0</v>
      </c>
      <c r="I15" s="482">
        <v>0</v>
      </c>
      <c r="J15" s="482">
        <v>0</v>
      </c>
      <c r="K15" s="470">
        <v>0</v>
      </c>
      <c r="L15" s="470">
        <v>267</v>
      </c>
      <c r="M15" s="470">
        <v>-822.65554599999996</v>
      </c>
      <c r="N15" s="470">
        <v>-511</v>
      </c>
      <c r="O15" s="479">
        <f>'비용 추정'!O46</f>
        <v>-511</v>
      </c>
      <c r="P15" s="479">
        <f>'비용 추정'!P46</f>
        <v>-511</v>
      </c>
      <c r="Q15" s="479">
        <f>'비용 추정'!Q46</f>
        <v>-511</v>
      </c>
      <c r="R15" s="479">
        <f>'비용 추정'!R46</f>
        <v>-511</v>
      </c>
      <c r="T15" s="225">
        <f t="shared" si="0"/>
        <v>-1066.655546</v>
      </c>
      <c r="U15" s="33">
        <f t="shared" si="1"/>
        <v>-2044</v>
      </c>
    </row>
    <row r="16" spans="1:47">
      <c r="B16" s="484" t="s">
        <v>17</v>
      </c>
      <c r="C16" s="110">
        <v>704</v>
      </c>
      <c r="D16" s="110">
        <v>2974</v>
      </c>
      <c r="E16" s="110">
        <v>5432</v>
      </c>
      <c r="F16" s="110">
        <v>-6526</v>
      </c>
      <c r="G16" s="110">
        <v>4394</v>
      </c>
      <c r="H16" s="110">
        <v>2027.0000000000002</v>
      </c>
      <c r="I16" s="110">
        <v>4088</v>
      </c>
      <c r="J16" s="110">
        <v>-1850</v>
      </c>
      <c r="K16" s="110">
        <v>6480</v>
      </c>
      <c r="L16" s="110">
        <v>4854</v>
      </c>
      <c r="M16" s="110">
        <v>-3060</v>
      </c>
      <c r="N16" s="110">
        <v>15933</v>
      </c>
      <c r="O16" s="485">
        <f>'비용 추정'!O47</f>
        <v>2419</v>
      </c>
      <c r="P16" s="485">
        <f>'비용 추정'!P47</f>
        <v>2419</v>
      </c>
      <c r="Q16" s="485">
        <f>'비용 추정'!Q47</f>
        <v>2419</v>
      </c>
      <c r="R16" s="485">
        <f>'비용 추정'!R47</f>
        <v>2419</v>
      </c>
      <c r="T16" s="225">
        <f t="shared" si="0"/>
        <v>24207</v>
      </c>
      <c r="U16" s="33">
        <f t="shared" si="1"/>
        <v>9676</v>
      </c>
    </row>
    <row r="17" spans="2:21">
      <c r="B17" s="484" t="s">
        <v>18</v>
      </c>
      <c r="C17" s="110">
        <v>-792</v>
      </c>
      <c r="D17" s="110">
        <v>-731</v>
      </c>
      <c r="E17" s="110">
        <v>-770</v>
      </c>
      <c r="F17" s="110">
        <v>-2380</v>
      </c>
      <c r="G17" s="110">
        <v>-1145</v>
      </c>
      <c r="H17" s="110">
        <v>-489</v>
      </c>
      <c r="I17" s="110">
        <v>-564</v>
      </c>
      <c r="J17" s="110">
        <v>-1395</v>
      </c>
      <c r="K17" s="110">
        <v>-556</v>
      </c>
      <c r="L17" s="110">
        <v>-536</v>
      </c>
      <c r="M17" s="110">
        <v>-2674.6856170000001</v>
      </c>
      <c r="N17" s="110">
        <v>-144</v>
      </c>
      <c r="O17" s="485" cm="1">
        <f t="array" ref="O17:R17">'비용 추정'!O48:R48</f>
        <v>-937.96070212500001</v>
      </c>
      <c r="P17" s="485">
        <v>-937.96070212500001</v>
      </c>
      <c r="Q17" s="485">
        <v>-937.96070212500001</v>
      </c>
      <c r="R17" s="485">
        <v>-937.96070212500001</v>
      </c>
      <c r="T17" s="225">
        <f t="shared" si="0"/>
        <v>-3910.6856170000001</v>
      </c>
      <c r="U17" s="33">
        <f t="shared" si="1"/>
        <v>-3751.8428085</v>
      </c>
    </row>
    <row r="18" spans="2:21">
      <c r="B18" s="484" t="s">
        <v>19</v>
      </c>
      <c r="C18" s="110">
        <v>2</v>
      </c>
      <c r="D18" s="110">
        <v>27</v>
      </c>
      <c r="E18" s="110">
        <v>5</v>
      </c>
      <c r="F18" s="110">
        <v>30338</v>
      </c>
      <c r="G18" s="110">
        <v>1</v>
      </c>
      <c r="H18" s="110">
        <v>15</v>
      </c>
      <c r="I18" s="110">
        <v>15</v>
      </c>
      <c r="J18" s="110">
        <v>17.429601999999999</v>
      </c>
      <c r="K18" s="110">
        <v>0.4</v>
      </c>
      <c r="L18" s="110">
        <v>10</v>
      </c>
      <c r="M18" s="110">
        <v>1.375159</v>
      </c>
      <c r="N18" s="110">
        <v>17.402787999999997</v>
      </c>
      <c r="O18" s="485">
        <f>'비용 추정'!O49</f>
        <v>0</v>
      </c>
      <c r="P18" s="485">
        <f>'비용 추정'!P49</f>
        <v>0</v>
      </c>
      <c r="Q18" s="485">
        <f>'비용 추정'!Q49</f>
        <v>0</v>
      </c>
      <c r="R18" s="485">
        <f>'비용 추정'!R49</f>
        <v>0</v>
      </c>
      <c r="T18" s="225">
        <f t="shared" si="0"/>
        <v>29.177946999999996</v>
      </c>
      <c r="U18" s="33">
        <f t="shared" si="1"/>
        <v>0</v>
      </c>
    </row>
    <row r="19" spans="2:21">
      <c r="B19" s="488" t="s">
        <v>20</v>
      </c>
      <c r="C19" s="486">
        <v>-2E-3</v>
      </c>
      <c r="D19" s="486">
        <v>-0.2</v>
      </c>
      <c r="E19" s="486">
        <v>-6.0000000000000005E-2</v>
      </c>
      <c r="F19" s="486">
        <v>-400</v>
      </c>
      <c r="G19" s="486">
        <v>-11</v>
      </c>
      <c r="H19" s="486">
        <v>-51</v>
      </c>
      <c r="I19" s="486">
        <v>-434</v>
      </c>
      <c r="J19" s="486">
        <v>-398</v>
      </c>
      <c r="K19" s="486">
        <v>-346</v>
      </c>
      <c r="L19" s="486">
        <v>-1241</v>
      </c>
      <c r="M19" s="486">
        <v>-2.0697079999999999</v>
      </c>
      <c r="N19" s="486">
        <v>-12190</v>
      </c>
      <c r="O19" s="487">
        <f>'비용 추정'!O50</f>
        <v>0</v>
      </c>
      <c r="P19" s="487">
        <f>'비용 추정'!P50</f>
        <v>0</v>
      </c>
      <c r="Q19" s="487">
        <f>'비용 추정'!Q50</f>
        <v>0</v>
      </c>
      <c r="R19" s="487">
        <f>'비용 추정'!R50</f>
        <v>0</v>
      </c>
      <c r="T19" s="225">
        <f t="shared" si="0"/>
        <v>-13779.069707999999</v>
      </c>
      <c r="U19" s="33">
        <f t="shared" si="1"/>
        <v>0</v>
      </c>
    </row>
    <row r="20" spans="2:21">
      <c r="B20" s="489" t="s">
        <v>33</v>
      </c>
      <c r="C20" s="470">
        <f>C13+SUM(C16:C19)</f>
        <v>16619.273999999998</v>
      </c>
      <c r="D20" s="470">
        <f t="shared" ref="D20:K20" si="9">D13+SUM(D16:D19)</f>
        <v>17533.847811</v>
      </c>
      <c r="E20" s="470">
        <f t="shared" si="9"/>
        <v>22146.011413</v>
      </c>
      <c r="F20" s="470">
        <f t="shared" si="9"/>
        <v>40460.788420000004</v>
      </c>
      <c r="G20" s="470">
        <f t="shared" si="9"/>
        <v>23130.372441</v>
      </c>
      <c r="H20" s="470">
        <f t="shared" si="9"/>
        <v>24647.626447000002</v>
      </c>
      <c r="I20" s="470">
        <f t="shared" si="9"/>
        <v>27765.788190000007</v>
      </c>
      <c r="J20" s="470">
        <f t="shared" si="9"/>
        <v>18297.960602000003</v>
      </c>
      <c r="K20" s="470">
        <f t="shared" si="9"/>
        <v>32056.101000000002</v>
      </c>
      <c r="L20" s="470">
        <f>L13+SUM(L15:L19)</f>
        <v>34573.482000000004</v>
      </c>
      <c r="M20" s="470">
        <f t="shared" ref="M20:N20" si="10">M13+SUM(M15:M19)</f>
        <v>22393.734288</v>
      </c>
      <c r="N20" s="470">
        <f t="shared" si="10"/>
        <v>38911.710788000011</v>
      </c>
      <c r="O20" s="479">
        <f>'비용 추정'!O51</f>
        <v>41356.751570980239</v>
      </c>
      <c r="P20" s="479">
        <f>'비용 추정'!P51</f>
        <v>43262.573103951945</v>
      </c>
      <c r="Q20" s="479">
        <f>'비용 추정'!Q51</f>
        <v>49031.281465968183</v>
      </c>
      <c r="R20" s="479">
        <f>'비용 추정'!R51</f>
        <v>55103.675507474138</v>
      </c>
      <c r="T20" s="225">
        <f t="shared" si="0"/>
        <v>127935.02807600003</v>
      </c>
      <c r="U20" s="33">
        <f t="shared" si="1"/>
        <v>188754.28164837451</v>
      </c>
    </row>
    <row r="21" spans="2:21">
      <c r="B21" s="490" t="s">
        <v>21</v>
      </c>
      <c r="C21" s="486">
        <v>-3801.9999999999977</v>
      </c>
      <c r="D21" s="486">
        <v>-3724.9999999999995</v>
      </c>
      <c r="E21" s="486">
        <v>-3429.9999999999995</v>
      </c>
      <c r="F21" s="486">
        <v>-10424</v>
      </c>
      <c r="G21" s="486">
        <v>-4355</v>
      </c>
      <c r="H21" s="486">
        <v>-6088.9999999999982</v>
      </c>
      <c r="I21" s="486">
        <v>-6574.9999999999991</v>
      </c>
      <c r="J21" s="486">
        <v>-2597.000000000005</v>
      </c>
      <c r="K21" s="491">
        <v>-6002.4000000000051</v>
      </c>
      <c r="L21" s="491">
        <v>-7960.9999999999945</v>
      </c>
      <c r="M21" s="491">
        <v>-5908.5837840000004</v>
      </c>
      <c r="N21" s="491">
        <v>-10514.902787999998</v>
      </c>
      <c r="O21" s="492">
        <f>'비용 추정'!O52</f>
        <v>-9027.2983292851804</v>
      </c>
      <c r="P21" s="492">
        <f>'비용 추정'!P52</f>
        <v>-9405.4733533529707</v>
      </c>
      <c r="Q21" s="492">
        <f>'비용 추정'!Q52</f>
        <v>-10679.874597888267</v>
      </c>
      <c r="R21" s="492">
        <f>'비용 추정'!R52</f>
        <v>-12291.550995145448</v>
      </c>
      <c r="T21" s="225">
        <f t="shared" si="0"/>
        <v>-30386.886571999996</v>
      </c>
      <c r="U21" s="33">
        <f t="shared" si="1"/>
        <v>-41404.197275671861</v>
      </c>
    </row>
    <row r="22" spans="2:21">
      <c r="B22" s="475" t="s">
        <v>22</v>
      </c>
      <c r="C22" s="470">
        <v>12816.998</v>
      </c>
      <c r="D22" s="470">
        <v>13807.799999999996</v>
      </c>
      <c r="E22" s="470">
        <v>18716.939999999999</v>
      </c>
      <c r="F22" s="470">
        <v>30037.000000000007</v>
      </c>
      <c r="G22" s="470">
        <v>18775</v>
      </c>
      <c r="H22" s="470">
        <v>18560.000000000011</v>
      </c>
      <c r="I22" s="470">
        <v>21194.000000000004</v>
      </c>
      <c r="J22" s="470">
        <v>15698.429602</v>
      </c>
      <c r="K22" s="470">
        <v>26084</v>
      </c>
      <c r="L22" s="470">
        <v>26580.000000000004</v>
      </c>
      <c r="M22" s="470">
        <v>16485.380503999997</v>
      </c>
      <c r="N22" s="470">
        <v>28398</v>
      </c>
      <c r="O22" s="479">
        <f>'비용 추정'!O54</f>
        <v>32329.453241695061</v>
      </c>
      <c r="P22" s="479">
        <f>'비용 추정'!P54</f>
        <v>33857.099750598973</v>
      </c>
      <c r="Q22" s="479">
        <f>'비용 추정'!Q54</f>
        <v>38351.406868079917</v>
      </c>
      <c r="R22" s="479">
        <f>'비용 추정'!R54</f>
        <v>42812.124512328694</v>
      </c>
      <c r="T22" s="225">
        <f t="shared" si="0"/>
        <v>97547.380504000001</v>
      </c>
      <c r="U22" s="33">
        <f t="shared" si="1"/>
        <v>147350.08437270264</v>
      </c>
    </row>
    <row r="23" spans="2:21">
      <c r="B23" s="477" t="s">
        <v>13</v>
      </c>
      <c r="C23" s="473">
        <v>0.36225652186201635</v>
      </c>
      <c r="D23" s="473">
        <v>0.42246359074776635</v>
      </c>
      <c r="E23" s="473">
        <v>0.56261091739810021</v>
      </c>
      <c r="F23" s="473">
        <v>0.74225912471890698</v>
      </c>
      <c r="G23" s="473">
        <v>0.48173141068404579</v>
      </c>
      <c r="H23" s="473">
        <v>0.40437491829709371</v>
      </c>
      <c r="I23" s="473">
        <v>0.43929030385938733</v>
      </c>
      <c r="J23" s="473">
        <v>0.33397361136049358</v>
      </c>
      <c r="K23" s="473">
        <v>0.51775541396216684</v>
      </c>
      <c r="L23" s="473">
        <v>0.45249485027493574</v>
      </c>
      <c r="M23" s="473">
        <v>0.27746626222775772</v>
      </c>
      <c r="N23" s="473">
        <v>0.3816730283318101</v>
      </c>
      <c r="O23" s="474">
        <f>O22/O6</f>
        <v>0.40118683192741833</v>
      </c>
      <c r="P23" s="474">
        <f t="shared" ref="P23:R23" si="11">P22/P6</f>
        <v>0.41060782024499465</v>
      </c>
      <c r="Q23" s="474">
        <f t="shared" si="11"/>
        <v>0.41927408992640658</v>
      </c>
      <c r="R23" s="474">
        <f t="shared" si="11"/>
        <v>0.4240931161356839</v>
      </c>
      <c r="T23" s="225">
        <f t="shared" si="0"/>
        <v>1.6293895547966704</v>
      </c>
      <c r="U23" s="33">
        <f t="shared" si="1"/>
        <v>1.6551618582345036</v>
      </c>
    </row>
    <row r="24" spans="2:21" hidden="1">
      <c r="B24" s="1" t="s">
        <v>23</v>
      </c>
      <c r="C24" s="110">
        <v>946</v>
      </c>
      <c r="D24" s="110">
        <v>974</v>
      </c>
      <c r="E24" s="110">
        <v>1002.9999999999999</v>
      </c>
      <c r="F24" s="110">
        <v>976</v>
      </c>
      <c r="G24" s="110">
        <v>984.20500000000004</v>
      </c>
      <c r="H24" s="110">
        <v>1033</v>
      </c>
      <c r="I24" s="110">
        <v>1103</v>
      </c>
      <c r="J24" s="110">
        <v>1158</v>
      </c>
      <c r="K24" s="110">
        <v>1159.778</v>
      </c>
      <c r="L24" s="110">
        <v>1176.567</v>
      </c>
      <c r="M24" s="110">
        <v>1204</v>
      </c>
      <c r="N24" s="110">
        <v>3664</v>
      </c>
      <c r="O24" s="157"/>
      <c r="P24" s="157"/>
      <c r="Q24" s="157"/>
      <c r="R24" s="157"/>
      <c r="T24" s="225">
        <f t="shared" si="0"/>
        <v>7204.3450000000003</v>
      </c>
      <c r="U24" s="33">
        <f t="shared" si="1"/>
        <v>0</v>
      </c>
    </row>
    <row r="25" spans="2:21" hidden="1">
      <c r="B25" s="1" t="s">
        <v>24</v>
      </c>
      <c r="C25" s="110">
        <v>17651</v>
      </c>
      <c r="D25" s="110">
        <v>16236.999999999995</v>
      </c>
      <c r="E25" s="110">
        <v>18483</v>
      </c>
      <c r="F25" s="110">
        <v>20404.999999999996</v>
      </c>
      <c r="G25" s="110">
        <v>20875.204999999998</v>
      </c>
      <c r="H25" s="110">
        <v>24180.000000000007</v>
      </c>
      <c r="I25" s="110">
        <v>25767.000000000004</v>
      </c>
      <c r="J25" s="110">
        <v>23079.000000000007</v>
      </c>
      <c r="K25" s="110">
        <v>27667.777999999995</v>
      </c>
      <c r="L25" s="110">
        <v>32363.566999999995</v>
      </c>
      <c r="M25" s="110">
        <v>30156.000000000004</v>
      </c>
      <c r="N25" s="110">
        <v>39471.5</v>
      </c>
      <c r="O25" s="157"/>
      <c r="P25" s="157"/>
      <c r="Q25" s="157"/>
      <c r="R25" s="157"/>
      <c r="T25" s="225">
        <f t="shared" si="0"/>
        <v>129658.84499999999</v>
      </c>
      <c r="U25" s="33">
        <f t="shared" si="1"/>
        <v>0</v>
      </c>
    </row>
    <row r="26" spans="2:21" hidden="1">
      <c r="B26" s="139" t="s">
        <v>13</v>
      </c>
      <c r="C26" s="138">
        <v>0.49888358158333568</v>
      </c>
      <c r="D26" s="138">
        <v>0.49678741892057265</v>
      </c>
      <c r="E26" s="138">
        <v>0.55557893471203557</v>
      </c>
      <c r="F26" s="138">
        <v>0.50423802110361526</v>
      </c>
      <c r="G26" s="138">
        <v>0.53561874583055369</v>
      </c>
      <c r="H26" s="138">
        <v>0.52682034075558859</v>
      </c>
      <c r="I26" s="138">
        <v>0.53407536376072628</v>
      </c>
      <c r="J26" s="138">
        <v>0.49099032017870453</v>
      </c>
      <c r="K26" s="138">
        <v>0.5491926794894697</v>
      </c>
      <c r="L26" s="138">
        <v>0.55095362693859473</v>
      </c>
      <c r="M26" s="138">
        <v>0.50755714141448149</v>
      </c>
      <c r="N26" s="138">
        <v>0.53050239234449759</v>
      </c>
      <c r="O26" s="226"/>
      <c r="P26" s="226"/>
      <c r="Q26" s="226"/>
      <c r="R26" s="226"/>
      <c r="T26" s="225">
        <f t="shared" si="0"/>
        <v>2.1382058401870436</v>
      </c>
      <c r="U26" s="33">
        <f t="shared" si="1"/>
        <v>0</v>
      </c>
    </row>
  </sheetData>
  <phoneticPr fontId="2" type="noConversion"/>
  <conditionalFormatting sqref="G15">
    <cfRule type="cellIs" dxfId="9" priority="1" operator="lessThan">
      <formula>0</formula>
    </cfRule>
    <cfRule type="cellIs" dxfId="8" priority="2"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1B9EB-74E6-4FDB-969C-C2EC037A4D0A}">
  <sheetPr>
    <tabColor rgb="FFD0CECE"/>
  </sheetPr>
  <dimension ref="A1:AT26"/>
  <sheetViews>
    <sheetView showGridLines="0" zoomScaleNormal="100" workbookViewId="0"/>
  </sheetViews>
  <sheetFormatPr defaultColWidth="8.8984375" defaultRowHeight="18"/>
  <cols>
    <col min="1" max="1" width="3" style="22" customWidth="1"/>
    <col min="2" max="2" width="17.59765625" style="22" customWidth="1"/>
    <col min="3" max="3" width="8.8984375" style="444" customWidth="1"/>
    <col min="4" max="6" width="8.8984375" style="22" customWidth="1"/>
    <col min="7" max="12" width="8.8984375" style="22"/>
    <col min="13" max="13" width="10.5" style="22" bestFit="1" customWidth="1"/>
    <col min="14" max="22" width="8.8984375" style="22"/>
    <col min="24" max="16384" width="8.8984375" style="22"/>
  </cols>
  <sheetData>
    <row r="1" spans="1:46" s="27" customFormat="1" ht="17.399999999999999">
      <c r="A1" s="24" t="s">
        <v>283</v>
      </c>
      <c r="B1" s="24"/>
      <c r="C1" s="441"/>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s="27" customFormat="1" ht="18.600000000000001">
      <c r="A2" s="28" t="s">
        <v>277</v>
      </c>
      <c r="B2" s="28"/>
      <c r="C2" s="442"/>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row>
    <row r="3" spans="1:46" s="27" customFormat="1" ht="17.399999999999999">
      <c r="A3" s="30" t="s">
        <v>278</v>
      </c>
      <c r="B3" s="30"/>
      <c r="C3" s="443"/>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row>
    <row r="5" spans="1:46" s="23" customFormat="1">
      <c r="B5" s="409" t="s">
        <v>288</v>
      </c>
      <c r="C5" s="20" t="s">
        <v>0</v>
      </c>
      <c r="D5" s="21" t="s">
        <v>1</v>
      </c>
      <c r="E5" s="21" t="s">
        <v>2</v>
      </c>
      <c r="F5" s="21" t="s">
        <v>3</v>
      </c>
      <c r="G5" s="20" t="s">
        <v>4</v>
      </c>
      <c r="H5" s="21" t="s">
        <v>5</v>
      </c>
      <c r="I5" s="21" t="s">
        <v>6</v>
      </c>
      <c r="J5" s="21" t="s">
        <v>7</v>
      </c>
      <c r="K5" s="20" t="s">
        <v>8</v>
      </c>
      <c r="L5" s="21" t="s">
        <v>9</v>
      </c>
      <c r="M5" s="21" t="s">
        <v>10</v>
      </c>
      <c r="N5" s="21" t="s">
        <v>11</v>
      </c>
      <c r="O5" s="34" t="s">
        <v>265</v>
      </c>
      <c r="P5" s="35" t="s">
        <v>266</v>
      </c>
      <c r="Q5" s="35" t="s">
        <v>267</v>
      </c>
      <c r="R5" s="35" t="s">
        <v>268</v>
      </c>
      <c r="S5" s="446" t="s">
        <v>279</v>
      </c>
      <c r="T5" s="35" t="s">
        <v>280</v>
      </c>
      <c r="U5" s="35" t="s">
        <v>281</v>
      </c>
      <c r="V5" s="36" t="s">
        <v>282</v>
      </c>
      <c r="W5" s="37">
        <v>2024</v>
      </c>
      <c r="X5" s="38" t="s">
        <v>286</v>
      </c>
      <c r="Y5" s="39" t="s">
        <v>287</v>
      </c>
    </row>
    <row r="6" spans="1:46" s="43" customFormat="1" ht="16.8">
      <c r="B6" s="447" t="s">
        <v>275</v>
      </c>
      <c r="C6" s="61">
        <f>SUM(C8,C18,C20)</f>
        <v>35382</v>
      </c>
      <c r="D6" s="60">
        <f t="shared" ref="D6:M6" si="0">SUM(D8,D18,D20)</f>
        <v>32686</v>
      </c>
      <c r="E6" s="60">
        <f t="shared" si="0"/>
        <v>33268</v>
      </c>
      <c r="F6" s="60">
        <f t="shared" si="0"/>
        <v>40467</v>
      </c>
      <c r="G6" s="61">
        <f t="shared" si="0"/>
        <v>38974</v>
      </c>
      <c r="H6" s="60">
        <f t="shared" si="0"/>
        <v>45897</v>
      </c>
      <c r="I6" s="60">
        <f t="shared" si="0"/>
        <v>48243</v>
      </c>
      <c r="J6" s="60">
        <f t="shared" si="0"/>
        <v>47008</v>
      </c>
      <c r="K6" s="61">
        <f t="shared" si="0"/>
        <v>50349</v>
      </c>
      <c r="L6" s="60">
        <f t="shared" si="0"/>
        <v>58773</v>
      </c>
      <c r="M6" s="60">
        <f t="shared" si="0"/>
        <v>59414</v>
      </c>
      <c r="N6" s="60">
        <f>SUM(N8,N18,N20,N16)</f>
        <v>74403</v>
      </c>
      <c r="O6" s="61">
        <f t="shared" ref="O6:V6" si="1">SUM(O8,O18,O20,O16)</f>
        <v>80584.532364571773</v>
      </c>
      <c r="P6" s="60">
        <f t="shared" si="1"/>
        <v>82456.051933929761</v>
      </c>
      <c r="Q6" s="60">
        <f t="shared" si="1"/>
        <v>91470.968012384401</v>
      </c>
      <c r="R6" s="60">
        <f t="shared" si="1"/>
        <v>100949.82182788232</v>
      </c>
      <c r="S6" s="43">
        <f t="shared" si="1"/>
        <v>107625.70821727792</v>
      </c>
      <c r="T6" s="43">
        <f t="shared" si="1"/>
        <v>116479.5888651343</v>
      </c>
      <c r="U6" s="43">
        <f t="shared" si="1"/>
        <v>124912.66316404589</v>
      </c>
      <c r="V6" s="44">
        <f t="shared" si="1"/>
        <v>131740.97215220169</v>
      </c>
      <c r="W6" s="43">
        <f>SUM(W8,W16,W18,W20)</f>
        <v>242939</v>
      </c>
      <c r="X6" s="43">
        <f>SUM(X8,X18,X20,X16)</f>
        <v>355461.37413876824</v>
      </c>
      <c r="Y6" s="44">
        <f>SUM(Y8,Y18,Y20,Y16)</f>
        <v>480758.93239865988</v>
      </c>
    </row>
    <row r="7" spans="1:46" s="74" customFormat="1" ht="16.8">
      <c r="B7" s="42" t="s">
        <v>276</v>
      </c>
      <c r="C7" s="57"/>
      <c r="D7" s="58"/>
      <c r="E7" s="58"/>
      <c r="F7" s="58"/>
      <c r="G7" s="57">
        <f>G6/C6-1</f>
        <v>0.10152054717087777</v>
      </c>
      <c r="H7" s="58">
        <f t="shared" ref="H7:V7" si="2">H6/D6-1</f>
        <v>0.40417915927308323</v>
      </c>
      <c r="I7" s="58">
        <f t="shared" si="2"/>
        <v>0.45013225922808697</v>
      </c>
      <c r="J7" s="58">
        <f t="shared" si="2"/>
        <v>0.16163787777695404</v>
      </c>
      <c r="K7" s="57">
        <f t="shared" si="2"/>
        <v>0.29186124082721809</v>
      </c>
      <c r="L7" s="58">
        <f t="shared" si="2"/>
        <v>0.28054121184391145</v>
      </c>
      <c r="M7" s="58">
        <f t="shared" si="2"/>
        <v>0.23155690981074972</v>
      </c>
      <c r="N7" s="58">
        <f t="shared" si="2"/>
        <v>0.58277314499659627</v>
      </c>
      <c r="O7" s="57">
        <f t="shared" si="2"/>
        <v>0.6005190245004226</v>
      </c>
      <c r="P7" s="58">
        <f t="shared" si="2"/>
        <v>0.40295802381926671</v>
      </c>
      <c r="Q7" s="58">
        <f t="shared" si="2"/>
        <v>0.53955242892894595</v>
      </c>
      <c r="R7" s="58">
        <f t="shared" si="2"/>
        <v>0.35679773433708739</v>
      </c>
      <c r="S7" s="55">
        <f t="shared" si="2"/>
        <v>0.33556285628573734</v>
      </c>
      <c r="T7" s="55">
        <f t="shared" si="2"/>
        <v>0.41262631587632703</v>
      </c>
      <c r="U7" s="55">
        <f t="shared" si="2"/>
        <v>0.36559900784185184</v>
      </c>
      <c r="V7" s="55">
        <f t="shared" si="2"/>
        <v>0.30501440980072014</v>
      </c>
      <c r="W7" s="54"/>
      <c r="X7" s="431">
        <f>X6/W6-1</f>
        <v>0.46317130694852726</v>
      </c>
      <c r="Y7" s="56">
        <f>Y6/X6-1</f>
        <v>0.35249275273148761</v>
      </c>
    </row>
    <row r="8" spans="1:46" s="43" customFormat="1" ht="16.8">
      <c r="B8" s="60" t="s">
        <v>269</v>
      </c>
      <c r="C8" s="61">
        <f>SUM(C10,C12,C14)</f>
        <v>34293</v>
      </c>
      <c r="D8" s="60">
        <f t="shared" ref="D8:V8" si="3">SUM(D10,D12,D14)</f>
        <v>31395</v>
      </c>
      <c r="E8" s="60">
        <f t="shared" si="3"/>
        <v>32305</v>
      </c>
      <c r="F8" s="60">
        <f t="shared" si="3"/>
        <v>39694</v>
      </c>
      <c r="G8" s="61">
        <f t="shared" si="3"/>
        <v>38207</v>
      </c>
      <c r="H8" s="60">
        <f t="shared" si="3"/>
        <v>45263</v>
      </c>
      <c r="I8" s="60">
        <f t="shared" si="3"/>
        <v>47201</v>
      </c>
      <c r="J8" s="60">
        <f t="shared" si="3"/>
        <v>45445</v>
      </c>
      <c r="K8" s="61">
        <f t="shared" si="3"/>
        <v>48692</v>
      </c>
      <c r="L8" s="60">
        <f t="shared" si="3"/>
        <v>56963</v>
      </c>
      <c r="M8" s="60">
        <f>SUM(M10,M12,M14)</f>
        <v>58746</v>
      </c>
      <c r="N8" s="60">
        <f t="shared" si="3"/>
        <v>61334</v>
      </c>
      <c r="O8" s="61">
        <f t="shared" si="3"/>
        <v>66075.068569860683</v>
      </c>
      <c r="P8" s="60">
        <f t="shared" si="3"/>
        <v>66651.118847157806</v>
      </c>
      <c r="Q8" s="60">
        <f t="shared" si="3"/>
        <v>72950.395523104322</v>
      </c>
      <c r="R8" s="60">
        <f t="shared" si="3"/>
        <v>80484.3205185564</v>
      </c>
      <c r="S8" s="60">
        <f t="shared" si="3"/>
        <v>85901.905438329326</v>
      </c>
      <c r="T8" s="60">
        <f t="shared" si="3"/>
        <v>93295.863685462333</v>
      </c>
      <c r="U8" s="60">
        <f t="shared" si="3"/>
        <v>100014.93102336375</v>
      </c>
      <c r="V8" s="60">
        <f t="shared" si="3"/>
        <v>106584.2460086307</v>
      </c>
      <c r="W8" s="61">
        <f>SUM(K8:N8)</f>
        <v>225735</v>
      </c>
      <c r="X8" s="432">
        <f>SUM(X10,X12,X14)</f>
        <v>286160.90345867921</v>
      </c>
      <c r="Y8" s="44">
        <f>SUM(Y10,Y12,Y14)</f>
        <v>385796.94615578617</v>
      </c>
    </row>
    <row r="9" spans="1:46" s="74" customFormat="1" ht="16.8">
      <c r="B9" s="164" t="s">
        <v>270</v>
      </c>
      <c r="C9" s="54">
        <f>C8/C6</f>
        <v>0.96922163812107853</v>
      </c>
      <c r="D9" s="55">
        <f t="shared" ref="D9:V9" si="4">D8/D6</f>
        <v>0.96050296763140186</v>
      </c>
      <c r="E9" s="55">
        <f t="shared" si="4"/>
        <v>0.97105326439822048</v>
      </c>
      <c r="F9" s="55">
        <f t="shared" si="4"/>
        <v>0.98089801566708679</v>
      </c>
      <c r="G9" s="54">
        <f t="shared" si="4"/>
        <v>0.98032021347565046</v>
      </c>
      <c r="H9" s="55">
        <f t="shared" si="4"/>
        <v>0.98618646098873564</v>
      </c>
      <c r="I9" s="55">
        <f t="shared" si="4"/>
        <v>0.97840101154571646</v>
      </c>
      <c r="J9" s="55">
        <f t="shared" si="4"/>
        <v>0.96675034036759699</v>
      </c>
      <c r="K9" s="54">
        <f t="shared" si="4"/>
        <v>0.96708971379769215</v>
      </c>
      <c r="L9" s="55">
        <f t="shared" si="4"/>
        <v>0.96920354584588164</v>
      </c>
      <c r="M9" s="55">
        <f t="shared" si="4"/>
        <v>0.9887568586528428</v>
      </c>
      <c r="N9" s="55">
        <f t="shared" si="4"/>
        <v>0.82434848057201993</v>
      </c>
      <c r="O9" s="54">
        <f t="shared" si="4"/>
        <v>0.81994728555265484</v>
      </c>
      <c r="P9" s="55">
        <f t="shared" si="4"/>
        <v>0.80832294639287239</v>
      </c>
      <c r="Q9" s="55">
        <f t="shared" si="4"/>
        <v>0.79752512855475033</v>
      </c>
      <c r="R9" s="55">
        <f t="shared" si="4"/>
        <v>0.79727055542287895</v>
      </c>
      <c r="S9" s="55">
        <f t="shared" si="4"/>
        <v>0.7981541479374803</v>
      </c>
      <c r="T9" s="55">
        <f t="shared" si="4"/>
        <v>0.8009631953069889</v>
      </c>
      <c r="U9" s="55">
        <f t="shared" si="4"/>
        <v>0.80067887826565409</v>
      </c>
      <c r="V9" s="55">
        <f t="shared" si="4"/>
        <v>0.80904402227647776</v>
      </c>
      <c r="W9" s="54">
        <f t="shared" ref="W9" si="5">W8/W6</f>
        <v>0.92918386920173379</v>
      </c>
      <c r="X9" s="55">
        <f t="shared" ref="X9" si="6">X8/X6</f>
        <v>0.80504078439466431</v>
      </c>
      <c r="Y9" s="56">
        <f t="shared" ref="Y9" si="7">Y8/Y6</f>
        <v>0.8024748375051961</v>
      </c>
    </row>
    <row r="10" spans="1:46" s="43" customFormat="1" ht="16.8">
      <c r="B10" s="437" t="s">
        <v>271</v>
      </c>
      <c r="C10" s="45">
        <f>8752+11789</f>
        <v>20541</v>
      </c>
      <c r="D10" s="43">
        <f>18116+19559-C10</f>
        <v>17134</v>
      </c>
      <c r="E10" s="43">
        <f>29609+23586-D10-C10</f>
        <v>15520</v>
      </c>
      <c r="F10" s="43">
        <f>44284+29903-SUM(C10:E10)</f>
        <v>20992</v>
      </c>
      <c r="G10" s="45">
        <f>12460+5893</f>
        <v>18353</v>
      </c>
      <c r="H10" s="43">
        <f>28766+11544-G10</f>
        <v>21957</v>
      </c>
      <c r="I10" s="43">
        <f>46546+19586-G10-H10</f>
        <v>25822</v>
      </c>
      <c r="J10" s="43">
        <f>63157+26822-SUM(G10:I10)</f>
        <v>23847</v>
      </c>
      <c r="K10" s="45">
        <f>14261+6537</f>
        <v>20798</v>
      </c>
      <c r="L10" s="43">
        <f>37562+13130-K10</f>
        <v>29894</v>
      </c>
      <c r="M10" s="43">
        <f>62935+19296-K10-L10</f>
        <v>31539</v>
      </c>
      <c r="N10" s="43">
        <f>84686+26302-SUM(K10:M10)</f>
        <v>28757</v>
      </c>
      <c r="O10" s="45">
        <f>의료기기!O6</f>
        <v>32402.688351920693</v>
      </c>
      <c r="P10" s="43">
        <f>의료기기!P6</f>
        <v>35838.044526937796</v>
      </c>
      <c r="Q10" s="43">
        <f>의료기기!Q6</f>
        <v>38404.646968829889</v>
      </c>
      <c r="R10" s="43">
        <f>의료기기!R6</f>
        <v>42455.887794315742</v>
      </c>
      <c r="S10" s="43">
        <f>의료기기!S6</f>
        <v>45291.604079293778</v>
      </c>
      <c r="T10" s="43">
        <f>의료기기!T6</f>
        <v>48588.353011137049</v>
      </c>
      <c r="U10" s="43">
        <f>의료기기!U6</f>
        <v>52429.855223730017</v>
      </c>
      <c r="V10" s="43">
        <f>의료기기!V6</f>
        <v>55663.927923897943</v>
      </c>
      <c r="W10" s="45">
        <f>SUM(K10:N10)</f>
        <v>110988</v>
      </c>
      <c r="X10" s="46">
        <f>SUM(O10:R10)</f>
        <v>149101.26764200412</v>
      </c>
      <c r="Y10" s="47">
        <f>SUM(S10:V10)</f>
        <v>201973.74023805882</v>
      </c>
    </row>
    <row r="11" spans="1:46" s="74" customFormat="1" ht="16.8">
      <c r="B11" s="438" t="s">
        <v>456</v>
      </c>
      <c r="C11" s="54">
        <f>C10/C6</f>
        <v>0.58054943191453279</v>
      </c>
      <c r="D11" s="55">
        <f t="shared" ref="D11:Y11" si="8">D10/D6</f>
        <v>0.52419996328703422</v>
      </c>
      <c r="E11" s="55">
        <f t="shared" si="8"/>
        <v>0.46651436816159675</v>
      </c>
      <c r="F11" s="55">
        <f t="shared" si="8"/>
        <v>0.51874366767983793</v>
      </c>
      <c r="G11" s="54">
        <f t="shared" si="8"/>
        <v>0.47090367937599426</v>
      </c>
      <c r="H11" s="55">
        <f t="shared" si="8"/>
        <v>0.47839728086803057</v>
      </c>
      <c r="I11" s="55">
        <f t="shared" si="8"/>
        <v>0.53524863710797421</v>
      </c>
      <c r="J11" s="55">
        <f t="shared" si="8"/>
        <v>0.50729663036078965</v>
      </c>
      <c r="K11" s="54">
        <f t="shared" si="8"/>
        <v>0.41307672446324656</v>
      </c>
      <c r="L11" s="55">
        <f t="shared" si="8"/>
        <v>0.50863491739404143</v>
      </c>
      <c r="M11" s="55">
        <f t="shared" si="8"/>
        <v>0.53083448345507789</v>
      </c>
      <c r="N11" s="55">
        <f t="shared" si="8"/>
        <v>0.38650323239654316</v>
      </c>
      <c r="O11" s="54">
        <f t="shared" si="8"/>
        <v>0.40209563052780373</v>
      </c>
      <c r="P11" s="55">
        <f t="shared" si="8"/>
        <v>0.4346320698892307</v>
      </c>
      <c r="Q11" s="55">
        <f t="shared" si="8"/>
        <v>0.41985613362734087</v>
      </c>
      <c r="R11" s="55">
        <f t="shared" si="8"/>
        <v>0.42056426673741226</v>
      </c>
      <c r="S11" s="55">
        <f t="shared" si="8"/>
        <v>0.42082514326277665</v>
      </c>
      <c r="T11" s="55">
        <f t="shared" si="8"/>
        <v>0.41714049203414511</v>
      </c>
      <c r="U11" s="55">
        <f t="shared" si="8"/>
        <v>0.41973210638279873</v>
      </c>
      <c r="V11" s="55">
        <f t="shared" si="8"/>
        <v>0.42252555916764328</v>
      </c>
      <c r="W11" s="54">
        <f t="shared" si="8"/>
        <v>0.45685542461276285</v>
      </c>
      <c r="X11" s="55">
        <f t="shared" si="8"/>
        <v>0.41945842358612112</v>
      </c>
      <c r="Y11" s="56">
        <f t="shared" si="8"/>
        <v>0.42011437880175689</v>
      </c>
    </row>
    <row r="12" spans="1:46" s="43" customFormat="1" ht="16.8">
      <c r="B12" s="437" t="s">
        <v>272</v>
      </c>
      <c r="C12" s="45">
        <f>1864+130</f>
        <v>1994</v>
      </c>
      <c r="D12" s="43">
        <f>3991+308-C12</f>
        <v>2305</v>
      </c>
      <c r="E12" s="43">
        <f>5376+446-C12-D12</f>
        <v>1523</v>
      </c>
      <c r="F12" s="43">
        <f>7397+519-SUM(C12:E12)</f>
        <v>2094</v>
      </c>
      <c r="G12" s="45">
        <f>1042+126</f>
        <v>1168</v>
      </c>
      <c r="H12" s="43">
        <f>2449+251-G12</f>
        <v>1532</v>
      </c>
      <c r="I12" s="43">
        <f>3266+316-G12-H12</f>
        <v>882</v>
      </c>
      <c r="J12" s="43">
        <f>4770+325-SUM(G12:I12)</f>
        <v>1513</v>
      </c>
      <c r="K12" s="45">
        <f>1332+66</f>
        <v>1398</v>
      </c>
      <c r="L12" s="43">
        <f>2277+125-K12</f>
        <v>1004</v>
      </c>
      <c r="M12" s="43">
        <f>3395+203-L12-K12</f>
        <v>1196</v>
      </c>
      <c r="N12" s="43">
        <f>4524+363-SUM(K12:M12)</f>
        <v>1289</v>
      </c>
      <c r="O12" s="45">
        <f>의료기기!Q75</f>
        <v>1221.75</v>
      </c>
      <c r="P12" s="43">
        <f>의료기기!R75</f>
        <v>1177.6875</v>
      </c>
      <c r="Q12" s="43">
        <f>의료기기!S75</f>
        <v>1221.109375</v>
      </c>
      <c r="R12" s="43">
        <f>의료기기!T75</f>
        <v>1227.38671875</v>
      </c>
      <c r="S12" s="43">
        <f>의료기기!U75</f>
        <v>1211.9833984375</v>
      </c>
      <c r="T12" s="43">
        <f>의료기기!V75</f>
        <v>1209.541748046875</v>
      </c>
      <c r="U12" s="43">
        <f>의료기기!W75</f>
        <v>1217.5053100585938</v>
      </c>
      <c r="V12" s="47">
        <f>의료기기!X75</f>
        <v>1216.6042938232422</v>
      </c>
      <c r="W12" s="43">
        <f>의료기기!Y75</f>
        <v>4887</v>
      </c>
      <c r="X12" s="43">
        <f>의료기기!Z75</f>
        <v>4847.93359375</v>
      </c>
      <c r="Y12" s="47">
        <f>의료기기!AA75</f>
        <v>4855.6347503662109</v>
      </c>
    </row>
    <row r="13" spans="1:46" s="74" customFormat="1" ht="16.8">
      <c r="B13" s="439" t="s">
        <v>270</v>
      </c>
      <c r="C13" s="54">
        <f>C12/C6</f>
        <v>5.6356339381606467E-2</v>
      </c>
      <c r="D13" s="55">
        <f t="shared" ref="D13:Y13" si="9">D12/D6</f>
        <v>7.0519488466009916E-2</v>
      </c>
      <c r="E13" s="55">
        <f t="shared" si="9"/>
        <v>4.5779728267404111E-2</v>
      </c>
      <c r="F13" s="55">
        <f t="shared" si="9"/>
        <v>5.1745867002742973E-2</v>
      </c>
      <c r="G13" s="54">
        <f t="shared" si="9"/>
        <v>2.9968697080104686E-2</v>
      </c>
      <c r="H13" s="55">
        <f t="shared" si="9"/>
        <v>3.3379087957818597E-2</v>
      </c>
      <c r="I13" s="55">
        <f t="shared" si="9"/>
        <v>1.8282445121572042E-2</v>
      </c>
      <c r="J13" s="55">
        <f t="shared" si="9"/>
        <v>3.2186010891763102E-2</v>
      </c>
      <c r="K13" s="54">
        <f t="shared" si="9"/>
        <v>2.7766191979979742E-2</v>
      </c>
      <c r="L13" s="55">
        <f t="shared" si="9"/>
        <v>1.7082674016980586E-2</v>
      </c>
      <c r="M13" s="55">
        <f t="shared" si="9"/>
        <v>2.0129935705389301E-2</v>
      </c>
      <c r="N13" s="55">
        <f t="shared" si="9"/>
        <v>1.7324570245823422E-2</v>
      </c>
      <c r="O13" s="54">
        <f t="shared" si="9"/>
        <v>1.51610980935236E-2</v>
      </c>
      <c r="P13" s="55">
        <f t="shared" si="9"/>
        <v>1.4282608400213672E-2</v>
      </c>
      <c r="Q13" s="55">
        <f t="shared" si="9"/>
        <v>1.3349693367568517E-2</v>
      </c>
      <c r="R13" s="55">
        <f t="shared" si="9"/>
        <v>1.2158384200446366E-2</v>
      </c>
      <c r="S13" s="55">
        <f t="shared" si="9"/>
        <v>1.1261095685342322E-2</v>
      </c>
      <c r="T13" s="55">
        <f t="shared" si="9"/>
        <v>1.0384151934527696E-2</v>
      </c>
      <c r="U13" s="55">
        <f t="shared" si="9"/>
        <v>9.7468525545697689E-3</v>
      </c>
      <c r="V13" s="55">
        <f t="shared" si="9"/>
        <v>9.2348209820228653E-3</v>
      </c>
      <c r="W13" s="54">
        <f t="shared" si="9"/>
        <v>2.0116160846961582E-2</v>
      </c>
      <c r="X13" s="55">
        <f t="shared" si="9"/>
        <v>1.36384258500543E-2</v>
      </c>
      <c r="Y13" s="56">
        <f t="shared" si="9"/>
        <v>1.0099936627573195E-2</v>
      </c>
    </row>
    <row r="14" spans="1:46" s="43" customFormat="1" ht="16.8">
      <c r="B14" s="437" t="s">
        <v>284</v>
      </c>
      <c r="C14" s="45">
        <f>8300+3458</f>
        <v>11758</v>
      </c>
      <c r="D14" s="43">
        <f>15836+7878-C14</f>
        <v>11956</v>
      </c>
      <c r="E14" s="43">
        <f>25620+13356-C14-D14</f>
        <v>15262</v>
      </c>
      <c r="F14" s="43">
        <f>34715+20869-SUM(C14:E14)</f>
        <v>16608</v>
      </c>
      <c r="G14" s="45">
        <f>10478+8208</f>
        <v>18686</v>
      </c>
      <c r="H14" s="43">
        <f>23984+16476-G14</f>
        <v>21774</v>
      </c>
      <c r="I14" s="43">
        <f>36143+24814-G14-H14</f>
        <v>20497</v>
      </c>
      <c r="J14" s="43">
        <f>47778+33264-SUM(G14:I14)</f>
        <v>20085</v>
      </c>
      <c r="K14" s="45">
        <f>17358+9138</f>
        <v>26496</v>
      </c>
      <c r="L14" s="43">
        <f>32836+19725-K14</f>
        <v>26065</v>
      </c>
      <c r="M14" s="43">
        <f>46414+32158-L14-K14</f>
        <v>26011</v>
      </c>
      <c r="N14" s="43">
        <f>64512+45348-SUM(K14:M14)</f>
        <v>31288</v>
      </c>
      <c r="O14" s="45">
        <f>소모품!P6</f>
        <v>32450.630217940001</v>
      </c>
      <c r="P14" s="43">
        <f>소모품!Q6</f>
        <v>29635.386820220003</v>
      </c>
      <c r="Q14" s="43">
        <f>소모품!R6</f>
        <v>33324.63917927444</v>
      </c>
      <c r="R14" s="43">
        <f>소모품!S6</f>
        <v>36801.046005490665</v>
      </c>
      <c r="S14" s="43">
        <f>소모품!T6</f>
        <v>39398.317960598048</v>
      </c>
      <c r="T14" s="43">
        <f>소모품!U6</f>
        <v>43497.968926278416</v>
      </c>
      <c r="U14" s="43">
        <f>소모품!V6</f>
        <v>46367.570489575141</v>
      </c>
      <c r="V14" s="43">
        <f>소모품!W6</f>
        <v>49703.713790909518</v>
      </c>
      <c r="W14" s="45">
        <f>SUM(K14:N14)</f>
        <v>109860</v>
      </c>
      <c r="X14" s="46">
        <f>SUM(O14:R14)</f>
        <v>132211.70222292512</v>
      </c>
      <c r="Y14" s="47">
        <f>SUM(S14:V14)</f>
        <v>178967.57116736111</v>
      </c>
    </row>
    <row r="15" spans="1:46" s="74" customFormat="1" ht="16.8">
      <c r="B15" s="440" t="s">
        <v>270</v>
      </c>
      <c r="C15" s="57">
        <f>C14/C6</f>
        <v>0.33231586682493924</v>
      </c>
      <c r="D15" s="58">
        <f t="shared" ref="D15:Y15" si="10">D14/D6</f>
        <v>0.36578351587835772</v>
      </c>
      <c r="E15" s="58">
        <f t="shared" si="10"/>
        <v>0.45875916796921967</v>
      </c>
      <c r="F15" s="58">
        <f t="shared" si="10"/>
        <v>0.41040848098450589</v>
      </c>
      <c r="G15" s="57">
        <f t="shared" si="10"/>
        <v>0.47944783701955151</v>
      </c>
      <c r="H15" s="58">
        <f t="shared" si="10"/>
        <v>0.47441009216288649</v>
      </c>
      <c r="I15" s="58">
        <f t="shared" si="10"/>
        <v>0.42486992931617024</v>
      </c>
      <c r="J15" s="58">
        <f t="shared" si="10"/>
        <v>0.42726769911504425</v>
      </c>
      <c r="K15" s="57">
        <f t="shared" si="10"/>
        <v>0.52624679735446578</v>
      </c>
      <c r="L15" s="58">
        <f t="shared" si="10"/>
        <v>0.44348595443485955</v>
      </c>
      <c r="M15" s="58">
        <f t="shared" si="10"/>
        <v>0.43779243949237551</v>
      </c>
      <c r="N15" s="58">
        <f t="shared" si="10"/>
        <v>0.42052067792965336</v>
      </c>
      <c r="O15" s="57">
        <f t="shared" si="10"/>
        <v>0.4026905569313276</v>
      </c>
      <c r="P15" s="58">
        <f t="shared" si="10"/>
        <v>0.35940826810342791</v>
      </c>
      <c r="Q15" s="58">
        <f t="shared" si="10"/>
        <v>0.36431930155984099</v>
      </c>
      <c r="R15" s="58">
        <f t="shared" si="10"/>
        <v>0.36454790448502034</v>
      </c>
      <c r="S15" s="58">
        <f t="shared" si="10"/>
        <v>0.36606790898936131</v>
      </c>
      <c r="T15" s="58">
        <f t="shared" si="10"/>
        <v>0.37343855133831616</v>
      </c>
      <c r="U15" s="58">
        <f t="shared" si="10"/>
        <v>0.37119991932828555</v>
      </c>
      <c r="V15" s="58">
        <f t="shared" si="10"/>
        <v>0.37728364212681159</v>
      </c>
      <c r="W15" s="57">
        <f t="shared" si="10"/>
        <v>0.45221228374200934</v>
      </c>
      <c r="X15" s="58">
        <f t="shared" si="10"/>
        <v>0.37194393495848893</v>
      </c>
      <c r="Y15" s="59">
        <f t="shared" si="10"/>
        <v>0.37226052207586602</v>
      </c>
    </row>
    <row r="16" spans="1:46" s="65" customFormat="1" ht="16.8">
      <c r="B16" s="434" t="s">
        <v>289</v>
      </c>
      <c r="C16" s="435"/>
      <c r="D16" s="434"/>
      <c r="E16" s="434"/>
      <c r="F16" s="434"/>
      <c r="G16" s="435"/>
      <c r="H16" s="434"/>
      <c r="I16" s="434"/>
      <c r="J16" s="434"/>
      <c r="K16" s="435"/>
      <c r="L16" s="434"/>
      <c r="M16" s="434"/>
      <c r="N16" s="434">
        <f>8350+3334</f>
        <v>11684</v>
      </c>
      <c r="O16" s="435">
        <f>'이루다 및 기타'!L6</f>
        <v>13129.463794711086</v>
      </c>
      <c r="P16" s="434">
        <f>'이루다 및 기타'!M6</f>
        <v>14494.183086771949</v>
      </c>
      <c r="Q16" s="434">
        <f>'이루다 및 기타'!N6</f>
        <v>17334.634989280079</v>
      </c>
      <c r="R16" s="434">
        <f>'이루다 및 기타'!O6</f>
        <v>19150.079434325911</v>
      </c>
      <c r="S16" s="434">
        <f>'이루다 및 기타'!P6</f>
        <v>20425.775435198593</v>
      </c>
      <c r="T16" s="434">
        <f>'이루다 및 기타'!Q6</f>
        <v>21906.190999984461</v>
      </c>
      <c r="U16" s="434">
        <f>'이루다 및 기타'!R6</f>
        <v>23628.501916072768</v>
      </c>
      <c r="V16" s="434">
        <f>'이루다 및 기타'!S6</f>
        <v>23866.672737809284</v>
      </c>
      <c r="W16" s="435">
        <f>N16</f>
        <v>11684</v>
      </c>
      <c r="X16" s="434">
        <f>SUM(O16:R16)</f>
        <v>64108.361305089027</v>
      </c>
      <c r="Y16" s="436">
        <f>SUM(S16:V16)</f>
        <v>89827.141089065117</v>
      </c>
    </row>
    <row r="17" spans="2:25" s="74" customFormat="1" ht="16.8">
      <c r="B17" s="433" t="s">
        <v>270</v>
      </c>
      <c r="C17" s="57"/>
      <c r="D17" s="58"/>
      <c r="E17" s="58"/>
      <c r="F17" s="58"/>
      <c r="G17" s="57"/>
      <c r="H17" s="58"/>
      <c r="I17" s="58"/>
      <c r="J17" s="58"/>
      <c r="K17" s="57"/>
      <c r="L17" s="58"/>
      <c r="M17" s="58"/>
      <c r="N17" s="58">
        <f>N16/N6</f>
        <v>0.15703667862854992</v>
      </c>
      <c r="O17" s="57">
        <f t="shared" ref="O17:Y17" si="11">O16/O6</f>
        <v>0.16292783998934429</v>
      </c>
      <c r="P17" s="58">
        <f t="shared" si="11"/>
        <v>0.17578070677438962</v>
      </c>
      <c r="Q17" s="58">
        <f t="shared" si="11"/>
        <v>0.18950969215645685</v>
      </c>
      <c r="R17" s="58">
        <f t="shared" si="11"/>
        <v>0.18969899191081746</v>
      </c>
      <c r="S17" s="58">
        <f t="shared" si="11"/>
        <v>0.18978528247138168</v>
      </c>
      <c r="T17" s="58">
        <f t="shared" si="11"/>
        <v>0.18806892446494217</v>
      </c>
      <c r="U17" s="58">
        <f t="shared" si="11"/>
        <v>0.18916018054183839</v>
      </c>
      <c r="V17" s="59">
        <f t="shared" si="11"/>
        <v>0.18116363002267719</v>
      </c>
      <c r="W17" s="58">
        <f t="shared" si="11"/>
        <v>4.8094377600961559E-2</v>
      </c>
      <c r="X17" s="58">
        <f t="shared" si="11"/>
        <v>0.18035253889515945</v>
      </c>
      <c r="Y17" s="59">
        <f t="shared" si="11"/>
        <v>0.18684445578762066</v>
      </c>
    </row>
    <row r="18" spans="2:25" s="43" customFormat="1" ht="16.8">
      <c r="B18" s="60" t="s">
        <v>285</v>
      </c>
      <c r="C18" s="61">
        <f>366+212</f>
        <v>578</v>
      </c>
      <c r="D18" s="60">
        <f>818+450-C18</f>
        <v>690</v>
      </c>
      <c r="E18" s="60">
        <f>978+725-C18-D18</f>
        <v>435</v>
      </c>
      <c r="F18" s="60">
        <f>1073+891-SUM(C18:E18)</f>
        <v>261</v>
      </c>
      <c r="G18" s="61">
        <f>63+213</f>
        <v>276</v>
      </c>
      <c r="H18" s="60">
        <f>97+420-G18</f>
        <v>241</v>
      </c>
      <c r="I18" s="60">
        <f>375+782-G18-H18</f>
        <v>640</v>
      </c>
      <c r="J18" s="60">
        <f>1358+1073-SUM(G18:I18)</f>
        <v>1274</v>
      </c>
      <c r="K18" s="61">
        <f>669+696</f>
        <v>1365</v>
      </c>
      <c r="L18" s="60">
        <f>1295+1616-K18</f>
        <v>1546</v>
      </c>
      <c r="M18" s="60">
        <f>1451+1892-K18-L18</f>
        <v>432</v>
      </c>
      <c r="N18" s="60">
        <f>1680+2828-SUM(K18:M18)</f>
        <v>1165</v>
      </c>
      <c r="O18" s="61">
        <f>'이루다 및 기타'!Q16</f>
        <v>1127</v>
      </c>
      <c r="P18" s="60">
        <f>'이루다 및 기타'!R16</f>
        <v>1067.5</v>
      </c>
      <c r="Q18" s="60">
        <f>'이루다 및 기타'!S16</f>
        <v>947.875</v>
      </c>
      <c r="R18" s="60">
        <f>'이루다 및 기타'!T16</f>
        <v>1076.84375</v>
      </c>
      <c r="S18" s="60">
        <f>'이루다 및 기타'!U16</f>
        <v>1054.8046875</v>
      </c>
      <c r="T18" s="60">
        <f>'이루다 및 기타'!V16</f>
        <v>1036.755859375</v>
      </c>
      <c r="U18" s="60">
        <f>'이루다 및 기타'!W16</f>
        <v>1029.06982421875</v>
      </c>
      <c r="V18" s="60">
        <f>'이루다 및 기타'!X16</f>
        <v>1049.3685302734375</v>
      </c>
      <c r="W18" s="61">
        <f>SUM(K18:N18)</f>
        <v>4508</v>
      </c>
      <c r="X18" s="432">
        <f>SUM(O18:R18)</f>
        <v>4219.21875</v>
      </c>
      <c r="Y18" s="44">
        <f>SUM(S18:V18)</f>
        <v>4169.9989013671875</v>
      </c>
    </row>
    <row r="19" spans="2:25" s="74" customFormat="1" ht="16.8">
      <c r="B19" s="430" t="s">
        <v>270</v>
      </c>
      <c r="C19" s="57">
        <f>C18/C6</f>
        <v>1.6335990051438584E-2</v>
      </c>
      <c r="D19" s="58">
        <f t="shared" ref="D19:Y19" si="12">D18/D6</f>
        <v>2.1109955332558283E-2</v>
      </c>
      <c r="E19" s="58">
        <f t="shared" si="12"/>
        <v>1.3075628231333413E-2</v>
      </c>
      <c r="F19" s="58">
        <f t="shared" si="12"/>
        <v>6.4496997553562165E-3</v>
      </c>
      <c r="G19" s="57">
        <f t="shared" si="12"/>
        <v>7.0816441730384358E-3</v>
      </c>
      <c r="H19" s="58">
        <f t="shared" si="12"/>
        <v>5.2508878575941781E-3</v>
      </c>
      <c r="I19" s="58">
        <f t="shared" si="12"/>
        <v>1.3266173330845926E-2</v>
      </c>
      <c r="J19" s="58">
        <f t="shared" si="12"/>
        <v>2.7101769911504425E-2</v>
      </c>
      <c r="K19" s="57">
        <f t="shared" si="12"/>
        <v>2.7110766847405113E-2</v>
      </c>
      <c r="L19" s="58">
        <f t="shared" si="12"/>
        <v>2.6304595647661341E-2</v>
      </c>
      <c r="M19" s="58">
        <f t="shared" si="12"/>
        <v>7.2710135658262363E-3</v>
      </c>
      <c r="N19" s="58">
        <f t="shared" si="12"/>
        <v>1.5657970780748088E-2</v>
      </c>
      <c r="O19" s="57">
        <f t="shared" si="12"/>
        <v>1.3985314140700715E-2</v>
      </c>
      <c r="P19" s="58">
        <f t="shared" si="12"/>
        <v>1.2946290477930771E-2</v>
      </c>
      <c r="Q19" s="58">
        <f t="shared" si="12"/>
        <v>1.0362577554352171E-2</v>
      </c>
      <c r="R19" s="58">
        <f t="shared" si="12"/>
        <v>1.0667118876504803E-2</v>
      </c>
      <c r="S19" s="58">
        <f t="shared" si="12"/>
        <v>9.8006759255932566E-3</v>
      </c>
      <c r="T19" s="58">
        <f t="shared" si="12"/>
        <v>8.9007513631886703E-3</v>
      </c>
      <c r="U19" s="58">
        <f t="shared" si="12"/>
        <v>8.2383146604382961E-3</v>
      </c>
      <c r="V19" s="58">
        <f t="shared" si="12"/>
        <v>7.9653923386954466E-3</v>
      </c>
      <c r="W19" s="57">
        <f t="shared" si="12"/>
        <v>1.8556098444465482E-2</v>
      </c>
      <c r="X19" s="58">
        <f t="shared" si="12"/>
        <v>1.1869696841808931E-2</v>
      </c>
      <c r="Y19" s="59">
        <f t="shared" si="12"/>
        <v>8.6737835125844272E-3</v>
      </c>
    </row>
    <row r="20" spans="2:25" s="43" customFormat="1" ht="16.8">
      <c r="B20" s="60" t="s">
        <v>274</v>
      </c>
      <c r="C20" s="61">
        <f>511</f>
        <v>511</v>
      </c>
      <c r="D20" s="60">
        <f>1112-C20</f>
        <v>601</v>
      </c>
      <c r="E20" s="60">
        <f>1640-C20-D20</f>
        <v>528</v>
      </c>
      <c r="F20" s="60">
        <f>2152-SUM(C20:E20)</f>
        <v>512</v>
      </c>
      <c r="G20" s="61">
        <f>491</f>
        <v>491</v>
      </c>
      <c r="H20" s="60">
        <f>884-G20</f>
        <v>393</v>
      </c>
      <c r="I20" s="60">
        <f>1286-G20-H20</f>
        <v>402</v>
      </c>
      <c r="J20" s="60">
        <f>1575-SUM(G20:I20)</f>
        <v>289</v>
      </c>
      <c r="K20" s="61">
        <f>292</f>
        <v>292</v>
      </c>
      <c r="L20" s="60">
        <f>556-K20</f>
        <v>264</v>
      </c>
      <c r="M20" s="60">
        <f>792-K20-L20</f>
        <v>236</v>
      </c>
      <c r="N20" s="60">
        <f>1012-SUM(K20:M20)</f>
        <v>220</v>
      </c>
      <c r="O20" s="61">
        <f>'이루다 및 기타'!Q18</f>
        <v>253</v>
      </c>
      <c r="P20" s="60">
        <f>'이루다 및 기타'!R18</f>
        <v>243.25</v>
      </c>
      <c r="Q20" s="60">
        <f>'이루다 및 기타'!S18</f>
        <v>238.0625</v>
      </c>
      <c r="R20" s="60">
        <f>'이루다 및 기타'!T18</f>
        <v>238.578125</v>
      </c>
      <c r="S20" s="43">
        <f>'이루다 및 기타'!U18</f>
        <v>243.22265625</v>
      </c>
      <c r="T20" s="43">
        <f>'이루다 및 기타'!V18</f>
        <v>240.7783203125</v>
      </c>
      <c r="U20" s="43">
        <f>'이루다 및 기타'!W18</f>
        <v>240.160400390625</v>
      </c>
      <c r="V20" s="43">
        <f>'이루다 및 기타'!X18</f>
        <v>240.68487548828125</v>
      </c>
      <c r="W20" s="45">
        <f>SUM(K20:N20)</f>
        <v>1012</v>
      </c>
      <c r="X20" s="46">
        <f>SUM(O20:R20)</f>
        <v>972.890625</v>
      </c>
      <c r="Y20" s="47">
        <f>SUM(S20:V20)</f>
        <v>964.84625244140625</v>
      </c>
    </row>
    <row r="21" spans="2:25" s="74" customFormat="1" ht="16.8">
      <c r="B21" s="430" t="s">
        <v>270</v>
      </c>
      <c r="C21" s="57">
        <f>C20/C6</f>
        <v>1.4442371827482901E-2</v>
      </c>
      <c r="D21" s="58">
        <f t="shared" ref="D21:Y21" si="13">D20/D6</f>
        <v>1.8387077036039895E-2</v>
      </c>
      <c r="E21" s="58">
        <f t="shared" si="13"/>
        <v>1.5871107370446075E-2</v>
      </c>
      <c r="F21" s="58">
        <f t="shared" si="13"/>
        <v>1.2652284577557021E-2</v>
      </c>
      <c r="G21" s="57">
        <f t="shared" si="13"/>
        <v>1.2598142351311131E-2</v>
      </c>
      <c r="H21" s="58">
        <f t="shared" si="13"/>
        <v>8.5626511536701748E-3</v>
      </c>
      <c r="I21" s="58">
        <f t="shared" si="13"/>
        <v>8.3328151234375973E-3</v>
      </c>
      <c r="J21" s="58">
        <f t="shared" si="13"/>
        <v>6.1478897208985701E-3</v>
      </c>
      <c r="K21" s="57">
        <f t="shared" si="13"/>
        <v>5.7995193549027785E-3</v>
      </c>
      <c r="L21" s="58">
        <f t="shared" si="13"/>
        <v>4.4918585064570469E-3</v>
      </c>
      <c r="M21" s="58">
        <f t="shared" si="13"/>
        <v>3.9721277813309997E-3</v>
      </c>
      <c r="N21" s="58">
        <f t="shared" si="13"/>
        <v>2.9568700186820424E-3</v>
      </c>
      <c r="O21" s="57">
        <f t="shared" si="13"/>
        <v>3.1395603173001605E-3</v>
      </c>
      <c r="P21" s="58">
        <f t="shared" si="13"/>
        <v>2.9500563548071758E-3</v>
      </c>
      <c r="Q21" s="58">
        <f t="shared" si="13"/>
        <v>2.6026017344406844E-3</v>
      </c>
      <c r="R21" s="58">
        <f t="shared" si="13"/>
        <v>2.3633337897987728E-3</v>
      </c>
      <c r="S21" s="58">
        <f t="shared" si="13"/>
        <v>2.2598936655448066E-3</v>
      </c>
      <c r="T21" s="58">
        <f t="shared" si="13"/>
        <v>2.0671288648802218E-3</v>
      </c>
      <c r="U21" s="58">
        <f t="shared" si="13"/>
        <v>1.9226265320692589E-3</v>
      </c>
      <c r="V21" s="58">
        <f t="shared" si="13"/>
        <v>1.8269553621497157E-3</v>
      </c>
      <c r="W21" s="57">
        <f t="shared" si="13"/>
        <v>4.1656547528391898E-3</v>
      </c>
      <c r="X21" s="58">
        <f t="shared" si="13"/>
        <v>2.7369798683673408E-3</v>
      </c>
      <c r="Y21" s="59">
        <f t="shared" si="13"/>
        <v>2.0069231945987567E-3</v>
      </c>
    </row>
    <row r="23" spans="2:25">
      <c r="F23" s="32"/>
    </row>
    <row r="24" spans="2:25">
      <c r="I24" s="32"/>
    </row>
    <row r="26" spans="2:25">
      <c r="C26" s="445"/>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12EE5-AD17-9340-9C39-05CFF23028A2}">
  <dimension ref="A1:AX76"/>
  <sheetViews>
    <sheetView showGridLines="0" topLeftCell="A10" zoomScale="70" zoomScaleNormal="70" workbookViewId="0">
      <selection activeCell="F17" sqref="F17"/>
    </sheetView>
  </sheetViews>
  <sheetFormatPr defaultColWidth="10.8984375" defaultRowHeight="18"/>
  <cols>
    <col min="1" max="1" width="3.5" style="22" customWidth="1"/>
    <col min="2" max="2" width="15.59765625" style="22" customWidth="1"/>
    <col min="3" max="3" width="10.8984375" style="22"/>
    <col min="4" max="4" width="12.5" style="22" bestFit="1" customWidth="1"/>
    <col min="5" max="16" width="10.8984375" style="22"/>
    <col min="17" max="17" width="11.59765625" style="22" bestFit="1" customWidth="1"/>
    <col min="18" max="27" width="10.8984375" style="22"/>
    <col min="28" max="28" width="11.09765625" style="22" customWidth="1"/>
    <col min="29" max="29" width="10.8984375" style="22"/>
    <col min="30" max="30" width="21.59765625" style="22" customWidth="1"/>
    <col min="31" max="16384" width="10.8984375" style="22"/>
  </cols>
  <sheetData>
    <row r="1" spans="1:48" s="68" customFormat="1">
      <c r="A1" s="66" t="s">
        <v>298</v>
      </c>
      <c r="B1" s="66"/>
      <c r="C1" s="66"/>
      <c r="D1" s="66"/>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row>
    <row r="2" spans="1:48" s="68" customFormat="1" ht="22.2">
      <c r="A2" s="69" t="s">
        <v>277</v>
      </c>
      <c r="B2" s="69"/>
      <c r="C2" s="69"/>
      <c r="D2" s="69"/>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row>
    <row r="3" spans="1:48" s="68" customFormat="1">
      <c r="A3" s="71" t="s">
        <v>278</v>
      </c>
      <c r="B3" s="71"/>
      <c r="C3" s="71"/>
      <c r="D3" s="71"/>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row>
    <row r="4" spans="1:48">
      <c r="Q4" s="193">
        <f>O6/N6-1</f>
        <v>0.1267756842480332</v>
      </c>
      <c r="R4" s="193">
        <f t="shared" ref="R4:X4" si="0">O8/N8-1</f>
        <v>0.14466001563146524</v>
      </c>
      <c r="S4" s="193">
        <f t="shared" si="0"/>
        <v>0.11793022685395749</v>
      </c>
      <c r="T4" s="193">
        <f t="shared" si="0"/>
        <v>7.4277457901393174E-2</v>
      </c>
      <c r="U4" s="193">
        <f t="shared" si="0"/>
        <v>0.1187934431233002</v>
      </c>
      <c r="V4" s="193">
        <f t="shared" si="0"/>
        <v>6.984481352488614E-2</v>
      </c>
      <c r="W4" s="193">
        <f t="shared" si="0"/>
        <v>7.8166721857653387E-2</v>
      </c>
      <c r="X4" s="193">
        <f t="shared" si="0"/>
        <v>8.6617113373707255E-2</v>
      </c>
    </row>
    <row r="5" spans="1:48" s="23" customFormat="1">
      <c r="B5" s="451" t="s">
        <v>288</v>
      </c>
      <c r="C5" s="171" t="s">
        <v>0</v>
      </c>
      <c r="D5" s="171" t="s">
        <v>1</v>
      </c>
      <c r="E5" s="171" t="s">
        <v>2</v>
      </c>
      <c r="F5" s="171" t="s">
        <v>3</v>
      </c>
      <c r="G5" s="171" t="s">
        <v>4</v>
      </c>
      <c r="H5" s="171" t="s">
        <v>5</v>
      </c>
      <c r="I5" s="171" t="s">
        <v>6</v>
      </c>
      <c r="J5" s="171" t="s">
        <v>7</v>
      </c>
      <c r="K5" s="171" t="s">
        <v>8</v>
      </c>
      <c r="L5" s="171" t="s">
        <v>9</v>
      </c>
      <c r="M5" s="171" t="s">
        <v>10</v>
      </c>
      <c r="N5" s="171" t="s">
        <v>11</v>
      </c>
      <c r="O5" s="452" t="s">
        <v>265</v>
      </c>
      <c r="P5" s="452" t="s">
        <v>266</v>
      </c>
      <c r="Q5" s="452" t="s">
        <v>267</v>
      </c>
      <c r="R5" s="452" t="s">
        <v>268</v>
      </c>
      <c r="S5" s="84" t="s">
        <v>279</v>
      </c>
      <c r="T5" s="84" t="s">
        <v>280</v>
      </c>
      <c r="U5" s="84" t="s">
        <v>281</v>
      </c>
      <c r="V5" s="85" t="s">
        <v>282</v>
      </c>
      <c r="W5" s="86">
        <v>2024</v>
      </c>
      <c r="X5" s="87" t="s">
        <v>286</v>
      </c>
      <c r="Y5" s="88" t="s">
        <v>287</v>
      </c>
    </row>
    <row r="6" spans="1:48" s="43" customFormat="1" ht="16.8">
      <c r="B6" s="448" t="s">
        <v>271</v>
      </c>
      <c r="C6" s="43">
        <f>C8+C24</f>
        <v>20541</v>
      </c>
      <c r="D6" s="43">
        <f>D8+D24</f>
        <v>17134</v>
      </c>
      <c r="E6" s="43">
        <f t="shared" ref="E6:N6" si="1">E8+E24</f>
        <v>15520</v>
      </c>
      <c r="F6" s="43">
        <f t="shared" si="1"/>
        <v>20992</v>
      </c>
      <c r="G6" s="43">
        <f t="shared" si="1"/>
        <v>18353</v>
      </c>
      <c r="H6" s="43">
        <f t="shared" si="1"/>
        <v>21957</v>
      </c>
      <c r="I6" s="43">
        <f t="shared" si="1"/>
        <v>25826</v>
      </c>
      <c r="J6" s="43">
        <f t="shared" si="1"/>
        <v>23843</v>
      </c>
      <c r="K6" s="43">
        <f t="shared" si="1"/>
        <v>20798</v>
      </c>
      <c r="L6" s="43">
        <f t="shared" si="1"/>
        <v>29894</v>
      </c>
      <c r="M6" s="43">
        <f t="shared" si="1"/>
        <v>31539</v>
      </c>
      <c r="N6" s="43">
        <f t="shared" si="1"/>
        <v>28757</v>
      </c>
      <c r="O6" s="43">
        <f>O8+O24</f>
        <v>32402.688351920693</v>
      </c>
      <c r="P6" s="43">
        <f t="shared" ref="P6:V6" si="2">P8+P24</f>
        <v>35838.044526937796</v>
      </c>
      <c r="Q6" s="43">
        <f t="shared" si="2"/>
        <v>38404.646968829889</v>
      </c>
      <c r="R6" s="43">
        <f t="shared" si="2"/>
        <v>42455.887794315742</v>
      </c>
      <c r="S6" s="43">
        <f t="shared" si="2"/>
        <v>45291.604079293778</v>
      </c>
      <c r="T6" s="43">
        <f t="shared" si="2"/>
        <v>48588.353011137049</v>
      </c>
      <c r="U6" s="43">
        <f t="shared" si="2"/>
        <v>52429.855223730017</v>
      </c>
      <c r="V6" s="44">
        <f t="shared" si="2"/>
        <v>55663.927923897943</v>
      </c>
      <c r="W6" s="43">
        <f>SUM(W8,W24)</f>
        <v>110988</v>
      </c>
      <c r="X6" s="43">
        <f t="shared" ref="X6:Y6" si="3">SUM(X8,X18,X20,X16)</f>
        <v>144138.02412279719</v>
      </c>
      <c r="Y6" s="44">
        <f t="shared" si="3"/>
        <v>226898.84518053575</v>
      </c>
    </row>
    <row r="7" spans="1:48" s="74" customFormat="1" ht="17.399999999999999" thickBot="1">
      <c r="B7" s="41" t="s">
        <v>276</v>
      </c>
      <c r="C7" s="55"/>
      <c r="D7" s="55"/>
      <c r="E7" s="55"/>
      <c r="F7" s="55"/>
      <c r="G7" s="55">
        <f t="shared" ref="G7:V7" si="4">G6/C6-1</f>
        <v>-0.1065186699771189</v>
      </c>
      <c r="H7" s="55">
        <f t="shared" si="4"/>
        <v>0.28148710166919577</v>
      </c>
      <c r="I7" s="55">
        <f t="shared" si="4"/>
        <v>0.6640463917525774</v>
      </c>
      <c r="J7" s="55">
        <f t="shared" si="4"/>
        <v>0.13581364329268286</v>
      </c>
      <c r="K7" s="55">
        <f t="shared" si="4"/>
        <v>0.13322072685664477</v>
      </c>
      <c r="L7" s="55">
        <f t="shared" si="4"/>
        <v>0.36147925490731891</v>
      </c>
      <c r="M7" s="55">
        <f t="shared" si="4"/>
        <v>0.221211182529234</v>
      </c>
      <c r="N7" s="55">
        <f t="shared" si="4"/>
        <v>0.20609822589439242</v>
      </c>
      <c r="O7" s="55">
        <f t="shared" si="4"/>
        <v>0.55797136031929484</v>
      </c>
      <c r="P7" s="55">
        <f t="shared" si="4"/>
        <v>0.19883737629416598</v>
      </c>
      <c r="Q7" s="55">
        <f t="shared" si="4"/>
        <v>0.21768752873679853</v>
      </c>
      <c r="R7" s="55">
        <f t="shared" si="4"/>
        <v>0.47636706868990997</v>
      </c>
      <c r="S7" s="51">
        <f t="shared" si="4"/>
        <v>0.39777303621812243</v>
      </c>
      <c r="T7" s="51">
        <f t="shared" si="4"/>
        <v>0.35577578666758547</v>
      </c>
      <c r="U7" s="51">
        <f t="shared" si="4"/>
        <v>0.36519560422683517</v>
      </c>
      <c r="V7" s="52">
        <f t="shared" si="4"/>
        <v>0.31110031648780123</v>
      </c>
      <c r="W7" s="210"/>
      <c r="X7" s="210">
        <f>X6/W6-1</f>
        <v>0.29868115582582977</v>
      </c>
      <c r="Y7" s="211">
        <f>Y6/X6-1</f>
        <v>0.57417757431745531</v>
      </c>
    </row>
    <row r="8" spans="1:48" s="43" customFormat="1" ht="17.399999999999999" thickTop="1">
      <c r="B8" s="60" t="s">
        <v>290</v>
      </c>
      <c r="C8" s="60">
        <v>8752</v>
      </c>
      <c r="D8" s="60">
        <f>18116-C8</f>
        <v>9364</v>
      </c>
      <c r="E8" s="60">
        <f>29609-D8-C8</f>
        <v>11493</v>
      </c>
      <c r="F8" s="60">
        <f>44284-SUM(C8:E8)</f>
        <v>14675</v>
      </c>
      <c r="G8" s="60">
        <f>12460</f>
        <v>12460</v>
      </c>
      <c r="H8" s="60">
        <f>28766-G8</f>
        <v>16306</v>
      </c>
      <c r="I8" s="60">
        <f>46547-G8-H8</f>
        <v>17781</v>
      </c>
      <c r="J8" s="60">
        <f>63157-SUM(G8:I8)</f>
        <v>16610</v>
      </c>
      <c r="K8" s="60">
        <v>14261</v>
      </c>
      <c r="L8" s="60">
        <f>37562-K8</f>
        <v>23301</v>
      </c>
      <c r="M8" s="60">
        <f>62935-L8-K8</f>
        <v>25373</v>
      </c>
      <c r="N8" s="60">
        <f>84686-SUM(K8:M8)</f>
        <v>21751</v>
      </c>
      <c r="O8" s="60">
        <f>SUM(O10,O12,O14,O16,O18,O20,O22)</f>
        <v>24897.5</v>
      </c>
      <c r="P8" s="60">
        <f t="shared" ref="P8:U8" si="5">SUM(P10,P12,P14,P16,P18,P20,P22)</f>
        <v>27833.667823096406</v>
      </c>
      <c r="Q8" s="60">
        <f t="shared" si="5"/>
        <v>29901.08191306781</v>
      </c>
      <c r="R8" s="60">
        <f t="shared" si="5"/>
        <v>33453.13438663297</v>
      </c>
      <c r="S8" s="43">
        <f t="shared" si="5"/>
        <v>35789.662319690309</v>
      </c>
      <c r="T8" s="43">
        <f t="shared" si="5"/>
        <v>38587.222899612883</v>
      </c>
      <c r="U8" s="43">
        <f t="shared" si="5"/>
        <v>41929.536760285162</v>
      </c>
      <c r="V8" s="48">
        <f>SUM(V10,V12,V14,V16,V18,V20,V22)</f>
        <v>44664.421108532391</v>
      </c>
      <c r="W8" s="43">
        <f>SUM(K8:N8)</f>
        <v>84686</v>
      </c>
      <c r="X8" s="43">
        <f>SUM(O8:R8)</f>
        <v>116085.38412279719</v>
      </c>
      <c r="Y8" s="47">
        <f>SUM(S8:V8)</f>
        <v>160970.84308812075</v>
      </c>
    </row>
    <row r="9" spans="1:48" s="74" customFormat="1" ht="16.8">
      <c r="B9" s="42" t="s">
        <v>324</v>
      </c>
      <c r="C9" s="58"/>
      <c r="D9" s="58"/>
      <c r="E9" s="58"/>
      <c r="F9" s="58"/>
      <c r="G9" s="58">
        <f t="shared" ref="G9:V9" si="6">G8/C8-1</f>
        <v>0.42367458866544783</v>
      </c>
      <c r="H9" s="58">
        <f t="shared" si="6"/>
        <v>0.74134985049124302</v>
      </c>
      <c r="I9" s="58">
        <f t="shared" si="6"/>
        <v>0.54711563560428078</v>
      </c>
      <c r="J9" s="58">
        <f t="shared" si="6"/>
        <v>0.13185689948892665</v>
      </c>
      <c r="K9" s="58">
        <f t="shared" si="6"/>
        <v>0.14454253611556989</v>
      </c>
      <c r="L9" s="58">
        <f t="shared" si="6"/>
        <v>0.42898319636943461</v>
      </c>
      <c r="M9" s="58">
        <f t="shared" si="6"/>
        <v>0.42697261121421737</v>
      </c>
      <c r="N9" s="58">
        <f t="shared" si="6"/>
        <v>0.30951234196267308</v>
      </c>
      <c r="O9" s="58">
        <f t="shared" si="6"/>
        <v>0.74584531239043539</v>
      </c>
      <c r="P9" s="58">
        <f t="shared" si="6"/>
        <v>0.19452675091611549</v>
      </c>
      <c r="Q9" s="58">
        <f t="shared" si="6"/>
        <v>0.17846064371843329</v>
      </c>
      <c r="R9" s="58">
        <f t="shared" si="6"/>
        <v>0.53800443136559095</v>
      </c>
      <c r="S9" s="58">
        <f t="shared" si="6"/>
        <v>0.43748016144955559</v>
      </c>
      <c r="T9" s="58">
        <f t="shared" si="6"/>
        <v>0.38635062920428931</v>
      </c>
      <c r="U9" s="58">
        <f t="shared" si="6"/>
        <v>0.40227490370375185</v>
      </c>
      <c r="V9" s="59">
        <f t="shared" si="6"/>
        <v>0.33513411904324175</v>
      </c>
      <c r="W9" s="75">
        <f>W8/W6</f>
        <v>0.76301942552348001</v>
      </c>
      <c r="X9" s="75">
        <f>X8/X6</f>
        <v>0.80537654674591075</v>
      </c>
      <c r="Y9" s="76">
        <f>Y8/Y6</f>
        <v>0.70943879401431809</v>
      </c>
    </row>
    <row r="10" spans="1:48" s="43" customFormat="1" ht="16.8">
      <c r="B10" s="453" t="s">
        <v>291</v>
      </c>
      <c r="C10" s="60">
        <f>D29</f>
        <v>1951.2059400000001</v>
      </c>
      <c r="D10" s="60">
        <f t="shared" ref="D10:N10" si="7">E29</f>
        <v>1891.7553499999999</v>
      </c>
      <c r="E10" s="60">
        <f t="shared" si="7"/>
        <v>4334.80285</v>
      </c>
      <c r="F10" s="60">
        <f t="shared" si="7"/>
        <v>7807.1330600000001</v>
      </c>
      <c r="G10" s="60">
        <f t="shared" si="7"/>
        <v>5591.1358600000003</v>
      </c>
      <c r="H10" s="60">
        <f t="shared" si="7"/>
        <v>7369.2029300000004</v>
      </c>
      <c r="I10" s="60">
        <f t="shared" si="7"/>
        <v>8161.6163300000007</v>
      </c>
      <c r="J10" s="60">
        <f t="shared" si="7"/>
        <v>6176.9532600000002</v>
      </c>
      <c r="K10" s="60">
        <f t="shared" si="7"/>
        <v>4355.3810999999996</v>
      </c>
      <c r="L10" s="60">
        <f t="shared" si="7"/>
        <v>7579.673960000001</v>
      </c>
      <c r="M10" s="60">
        <f t="shared" si="7"/>
        <v>9015.3742799999982</v>
      </c>
      <c r="N10" s="60">
        <f t="shared" si="7"/>
        <v>3385.2312000000002</v>
      </c>
      <c r="O10" s="60">
        <f t="shared" ref="O10" si="8">P29</f>
        <v>6083.9151349999984</v>
      </c>
      <c r="P10" s="60">
        <f t="shared" ref="P10" si="9">Q29</f>
        <v>6252.9127776388877</v>
      </c>
      <c r="Q10" s="60">
        <f t="shared" ref="Q10" si="10">R29</f>
        <v>6421.9104202777762</v>
      </c>
      <c r="R10" s="60">
        <f t="shared" ref="R10" si="11">S29</f>
        <v>6590.9080629166656</v>
      </c>
      <c r="S10" s="43">
        <f t="shared" ref="S10" si="12">T29</f>
        <v>6759.9057055555541</v>
      </c>
      <c r="T10" s="43">
        <f t="shared" ref="T10" si="13">U29</f>
        <v>6928.9033481944434</v>
      </c>
      <c r="U10" s="43">
        <f t="shared" ref="U10" si="14">V29</f>
        <v>7097.9009908333319</v>
      </c>
      <c r="V10" s="47">
        <f t="shared" ref="V10" si="15">W29</f>
        <v>7266.8986334722213</v>
      </c>
      <c r="W10" s="61">
        <f>SUM(K10:N10)</f>
        <v>24335.660539999997</v>
      </c>
      <c r="X10" s="43">
        <f>SUM(O10:R10)</f>
        <v>25349.646395833326</v>
      </c>
      <c r="Y10" s="47">
        <f>SUM(S10:V10)</f>
        <v>28053.608678055549</v>
      </c>
    </row>
    <row r="11" spans="1:48" s="53" customFormat="1" ht="15">
      <c r="B11" s="164" t="s">
        <v>270</v>
      </c>
      <c r="C11" s="55">
        <f t="shared" ref="C11:Y11" si="16">C10/C6</f>
        <v>9.4990795969037534E-2</v>
      </c>
      <c r="D11" s="55">
        <f t="shared" si="16"/>
        <v>0.11040944029415198</v>
      </c>
      <c r="E11" s="55">
        <f t="shared" si="16"/>
        <v>0.27930430734536082</v>
      </c>
      <c r="F11" s="55">
        <f t="shared" si="16"/>
        <v>0.37190992092225611</v>
      </c>
      <c r="G11" s="55">
        <f t="shared" si="16"/>
        <v>0.30464424671715795</v>
      </c>
      <c r="H11" s="55">
        <f t="shared" si="16"/>
        <v>0.33561975360932733</v>
      </c>
      <c r="I11" s="55">
        <f t="shared" si="16"/>
        <v>0.31602324517927671</v>
      </c>
      <c r="J11" s="55">
        <f t="shared" si="16"/>
        <v>0.25906778761061949</v>
      </c>
      <c r="K11" s="55">
        <f t="shared" si="16"/>
        <v>0.20941345802481007</v>
      </c>
      <c r="L11" s="55">
        <f t="shared" si="16"/>
        <v>0.25355168127383426</v>
      </c>
      <c r="M11" s="55">
        <f t="shared" si="16"/>
        <v>0.28584845048986962</v>
      </c>
      <c r="N11" s="55">
        <f t="shared" si="16"/>
        <v>0.11771851027575896</v>
      </c>
      <c r="O11" s="55">
        <f t="shared" si="16"/>
        <v>0.18775957935722853</v>
      </c>
      <c r="P11" s="55">
        <f t="shared" si="16"/>
        <v>0.17447695208199385</v>
      </c>
      <c r="Q11" s="55">
        <f t="shared" si="16"/>
        <v>0.16721701479224504</v>
      </c>
      <c r="R11" s="55">
        <f t="shared" si="16"/>
        <v>0.1552413199989448</v>
      </c>
      <c r="S11" s="55">
        <f t="shared" si="16"/>
        <v>0.14925295411751643</v>
      </c>
      <c r="T11" s="55">
        <f t="shared" si="16"/>
        <v>0.14260420283449932</v>
      </c>
      <c r="U11" s="55">
        <f t="shared" si="16"/>
        <v>0.13537899276175736</v>
      </c>
      <c r="V11" s="56">
        <f t="shared" si="16"/>
        <v>0.13054951212582963</v>
      </c>
      <c r="W11" s="54">
        <f t="shared" si="16"/>
        <v>0.21926388924928819</v>
      </c>
      <c r="X11" s="55">
        <f t="shared" si="16"/>
        <v>0.17587063892479132</v>
      </c>
      <c r="Y11" s="56">
        <f t="shared" si="16"/>
        <v>0.12363927483074777</v>
      </c>
    </row>
    <row r="12" spans="1:48" s="43" customFormat="1" ht="16.8">
      <c r="B12" s="437" t="s">
        <v>292</v>
      </c>
      <c r="C12" s="43">
        <f>D34</f>
        <v>780.23816999999997</v>
      </c>
      <c r="D12" s="43">
        <f t="shared" ref="D12:N12" si="17">E34</f>
        <v>1126.6226999999999</v>
      </c>
      <c r="E12" s="43">
        <f t="shared" si="17"/>
        <v>1977.44939</v>
      </c>
      <c r="F12" s="43">
        <f t="shared" si="17"/>
        <v>845.13544000000002</v>
      </c>
      <c r="G12" s="43">
        <f t="shared" si="17"/>
        <v>1562.9588100000001</v>
      </c>
      <c r="H12" s="43">
        <f t="shared" si="17"/>
        <v>3043.3783699999999</v>
      </c>
      <c r="I12" s="43">
        <f t="shared" si="17"/>
        <v>1705.71001</v>
      </c>
      <c r="J12" s="43">
        <f t="shared" si="17"/>
        <v>1178.7979200000002</v>
      </c>
      <c r="K12" s="43">
        <f t="shared" si="17"/>
        <v>3080.5705000000003</v>
      </c>
      <c r="L12" s="43">
        <f t="shared" si="17"/>
        <v>4877.3794200000002</v>
      </c>
      <c r="M12" s="43">
        <f t="shared" si="17"/>
        <v>1639.1589599999998</v>
      </c>
      <c r="N12" s="43">
        <f t="shared" si="17"/>
        <v>1645.2797400000002</v>
      </c>
      <c r="O12" s="43">
        <f t="shared" ref="O12" si="18">P34</f>
        <v>2810.5971550000004</v>
      </c>
      <c r="P12" s="43">
        <f t="shared" ref="P12" si="19">Q34</f>
        <v>2947.4907759436837</v>
      </c>
      <c r="Q12" s="43">
        <f t="shared" ref="Q12" si="20">R34</f>
        <v>3084.3843968873671</v>
      </c>
      <c r="R12" s="43">
        <f t="shared" ref="R12" si="21">S34</f>
        <v>3221.2780178310504</v>
      </c>
      <c r="S12" s="43">
        <f t="shared" ref="S12" si="22">T34</f>
        <v>3358.1716387747338</v>
      </c>
      <c r="T12" s="43">
        <f t="shared" ref="T12" si="23">U34</f>
        <v>3495.0652597184176</v>
      </c>
      <c r="U12" s="43">
        <f t="shared" ref="U12" si="24">V34</f>
        <v>3631.9588806621009</v>
      </c>
      <c r="V12" s="47">
        <f t="shared" ref="V12" si="25">W34</f>
        <v>3768.8525016057838</v>
      </c>
      <c r="W12" s="45">
        <f>SUM(K12:N12)</f>
        <v>11242.38862</v>
      </c>
      <c r="X12" s="43">
        <f>SUM(O12:R12)</f>
        <v>12063.750345662102</v>
      </c>
      <c r="Y12" s="47">
        <f>SUM(S12:V12)</f>
        <v>14254.048280761035</v>
      </c>
    </row>
    <row r="13" spans="1:48" s="53" customFormat="1" ht="15">
      <c r="B13" s="165" t="s">
        <v>270</v>
      </c>
      <c r="C13" s="55">
        <f t="shared" ref="C13:Y13" si="26">C12/C6</f>
        <v>3.7984429677230903E-2</v>
      </c>
      <c r="D13" s="55">
        <f t="shared" si="26"/>
        <v>6.5753630208941274E-2</v>
      </c>
      <c r="E13" s="55">
        <f t="shared" si="26"/>
        <v>0.1274129761597938</v>
      </c>
      <c r="F13" s="55">
        <f t="shared" si="26"/>
        <v>4.0259881859756097E-2</v>
      </c>
      <c r="G13" s="55">
        <f t="shared" si="26"/>
        <v>8.516094425979405E-2</v>
      </c>
      <c r="H13" s="55">
        <f t="shared" si="26"/>
        <v>0.13860629275401923</v>
      </c>
      <c r="I13" s="55">
        <f t="shared" si="26"/>
        <v>6.6046232866103921E-2</v>
      </c>
      <c r="J13" s="55">
        <f t="shared" si="26"/>
        <v>4.9440000000000012E-2</v>
      </c>
      <c r="K13" s="55">
        <f t="shared" si="26"/>
        <v>0.1481185931339552</v>
      </c>
      <c r="L13" s="55">
        <f t="shared" si="26"/>
        <v>0.16315579781896034</v>
      </c>
      <c r="M13" s="55">
        <f t="shared" si="26"/>
        <v>5.1972445543612661E-2</v>
      </c>
      <c r="N13" s="55">
        <f t="shared" si="26"/>
        <v>5.7213191223006575E-2</v>
      </c>
      <c r="O13" s="55">
        <f t="shared" si="26"/>
        <v>8.6739628652861459E-2</v>
      </c>
      <c r="P13" s="55">
        <f t="shared" si="26"/>
        <v>8.2244743396314254E-2</v>
      </c>
      <c r="Q13" s="55">
        <f t="shared" si="26"/>
        <v>8.0312791298165709E-2</v>
      </c>
      <c r="R13" s="55">
        <f t="shared" si="26"/>
        <v>7.5873528624275641E-2</v>
      </c>
      <c r="S13" s="55">
        <f t="shared" si="26"/>
        <v>7.414556642541191E-2</v>
      </c>
      <c r="T13" s="55">
        <f t="shared" si="26"/>
        <v>7.1932161580313403E-2</v>
      </c>
      <c r="U13" s="55">
        <f t="shared" si="26"/>
        <v>6.9272723816682563E-2</v>
      </c>
      <c r="V13" s="56">
        <f t="shared" si="26"/>
        <v>6.7707268282584124E-2</v>
      </c>
      <c r="W13" s="54">
        <f t="shared" si="26"/>
        <v>0.10129373103398566</v>
      </c>
      <c r="X13" s="55">
        <f t="shared" si="26"/>
        <v>8.3695821550769212E-2</v>
      </c>
      <c r="Y13" s="56">
        <f t="shared" si="26"/>
        <v>6.2821158342254102E-2</v>
      </c>
    </row>
    <row r="14" spans="1:48" s="43" customFormat="1" ht="16.8">
      <c r="B14" s="437" t="s">
        <v>293</v>
      </c>
      <c r="C14" s="43">
        <f>D39</f>
        <v>2468.9226600000002</v>
      </c>
      <c r="D14" s="43">
        <f t="shared" ref="D14:N14" si="27">E39</f>
        <v>2443.5705499999999</v>
      </c>
      <c r="E14" s="43">
        <f t="shared" si="27"/>
        <v>2507.64518</v>
      </c>
      <c r="F14" s="43">
        <f t="shared" si="27"/>
        <v>2281.3472000000002</v>
      </c>
      <c r="G14" s="43">
        <f t="shared" si="27"/>
        <v>2568.3709100000001</v>
      </c>
      <c r="H14" s="43">
        <f t="shared" si="27"/>
        <v>2161.6155699999999</v>
      </c>
      <c r="I14" s="43">
        <f t="shared" si="27"/>
        <v>2315.9367400000001</v>
      </c>
      <c r="J14" s="43">
        <f t="shared" si="27"/>
        <v>2245.4535599999999</v>
      </c>
      <c r="K14" s="43">
        <f t="shared" si="27"/>
        <v>2256.8672000000001</v>
      </c>
      <c r="L14" s="43">
        <f t="shared" si="27"/>
        <v>1498.8211800000001</v>
      </c>
      <c r="M14" s="43">
        <f t="shared" si="27"/>
        <v>1340.1592799999999</v>
      </c>
      <c r="N14" s="43">
        <f t="shared" si="27"/>
        <v>1596.50946</v>
      </c>
      <c r="O14" s="43">
        <f t="shared" ref="O14" si="28">P39</f>
        <v>1673.0892800000001</v>
      </c>
      <c r="P14" s="43">
        <f t="shared" ref="P14" si="29">Q39</f>
        <v>1759.4365320138336</v>
      </c>
      <c r="Q14" s="43">
        <f t="shared" ref="Q14" si="30">R39</f>
        <v>1845.783784027667</v>
      </c>
      <c r="R14" s="43">
        <f t="shared" ref="R14" si="31">S39</f>
        <v>1932.1310360415005</v>
      </c>
      <c r="S14" s="43">
        <f t="shared" ref="S14" si="32">T39</f>
        <v>2018.4782880553339</v>
      </c>
      <c r="T14" s="43">
        <f t="shared" ref="T14" si="33">U39</f>
        <v>2104.8255400691669</v>
      </c>
      <c r="U14" s="43">
        <f t="shared" ref="U14" si="34">V39</f>
        <v>2191.1727920830008</v>
      </c>
      <c r="V14" s="47">
        <f t="shared" ref="V14" si="35">W39</f>
        <v>2277.5200440968342</v>
      </c>
      <c r="W14" s="45">
        <f>SUM(K14:N14)</f>
        <v>6692.3571200000006</v>
      </c>
      <c r="X14" s="43">
        <f>SUM(O14:R14)</f>
        <v>7210.4406320830021</v>
      </c>
      <c r="Y14" s="47">
        <f>SUM(S14:V14)</f>
        <v>8591.9966643043354</v>
      </c>
    </row>
    <row r="15" spans="1:48" s="53" customFormat="1" ht="15">
      <c r="B15" s="165" t="s">
        <v>270</v>
      </c>
      <c r="C15" s="55">
        <f t="shared" ref="C15:Y15" si="36">C14/C6</f>
        <v>0.12019486198335039</v>
      </c>
      <c r="D15" s="55">
        <f t="shared" si="36"/>
        <v>0.14261529998832731</v>
      </c>
      <c r="E15" s="55">
        <f t="shared" si="36"/>
        <v>0.16157507603092783</v>
      </c>
      <c r="F15" s="55">
        <f t="shared" si="36"/>
        <v>0.10867698170731709</v>
      </c>
      <c r="G15" s="55">
        <f t="shared" si="36"/>
        <v>0.13994283822808259</v>
      </c>
      <c r="H15" s="55">
        <f t="shared" si="36"/>
        <v>9.8447673634831714E-2</v>
      </c>
      <c r="I15" s="55">
        <f t="shared" si="36"/>
        <v>8.9674620150236195E-2</v>
      </c>
      <c r="J15" s="55">
        <f t="shared" si="36"/>
        <v>9.4176637168141591E-2</v>
      </c>
      <c r="K15" s="55">
        <f t="shared" si="36"/>
        <v>0.10851366477545918</v>
      </c>
      <c r="L15" s="55">
        <f t="shared" si="36"/>
        <v>5.0137859771191548E-2</v>
      </c>
      <c r="M15" s="55">
        <f t="shared" si="36"/>
        <v>4.2492129744126313E-2</v>
      </c>
      <c r="N15" s="55">
        <f t="shared" si="36"/>
        <v>5.5517246583440552E-2</v>
      </c>
      <c r="O15" s="55">
        <f t="shared" si="36"/>
        <v>5.1634273731513594E-2</v>
      </c>
      <c r="P15" s="55">
        <f t="shared" si="36"/>
        <v>4.9094099726656314E-2</v>
      </c>
      <c r="Q15" s="55">
        <f t="shared" si="36"/>
        <v>4.8061469892582226E-2</v>
      </c>
      <c r="R15" s="55">
        <f t="shared" si="36"/>
        <v>4.5509142227858117E-2</v>
      </c>
      <c r="S15" s="55">
        <f t="shared" si="36"/>
        <v>4.4566279536523042E-2</v>
      </c>
      <c r="T15" s="55">
        <f t="shared" si="36"/>
        <v>4.3319549020044271E-2</v>
      </c>
      <c r="U15" s="55">
        <f t="shared" si="36"/>
        <v>4.1792463144000154E-2</v>
      </c>
      <c r="V15" s="56">
        <f t="shared" si="36"/>
        <v>4.091554672912396E-2</v>
      </c>
      <c r="W15" s="54">
        <f t="shared" si="36"/>
        <v>6.029802429091434E-2</v>
      </c>
      <c r="X15" s="55">
        <f t="shared" si="36"/>
        <v>5.0024555810062495E-2</v>
      </c>
      <c r="Y15" s="56">
        <f t="shared" si="36"/>
        <v>3.7867079744138735E-2</v>
      </c>
    </row>
    <row r="16" spans="1:48" s="65" customFormat="1" ht="16.8">
      <c r="B16" s="450" t="s">
        <v>294</v>
      </c>
      <c r="C16" s="134" t="s">
        <v>373</v>
      </c>
      <c r="D16" s="134" t="s">
        <v>373</v>
      </c>
      <c r="E16" s="134" t="s">
        <v>373</v>
      </c>
      <c r="F16" s="134" t="s">
        <v>373</v>
      </c>
      <c r="G16" s="134" t="s">
        <v>373</v>
      </c>
      <c r="H16" s="134" t="s">
        <v>373</v>
      </c>
      <c r="I16" s="134" t="s">
        <v>373</v>
      </c>
      <c r="J16" s="134" t="s">
        <v>373</v>
      </c>
      <c r="K16" s="63"/>
      <c r="L16" s="63"/>
      <c r="M16" s="63"/>
      <c r="N16" s="63">
        <f>E44</f>
        <v>3311.9999999999986</v>
      </c>
      <c r="O16" s="63">
        <f t="shared" ref="O16:V16" si="37">F44</f>
        <v>4554</v>
      </c>
      <c r="P16" s="63">
        <f t="shared" si="37"/>
        <v>5796</v>
      </c>
      <c r="Q16" s="63">
        <f t="shared" si="37"/>
        <v>7037.9999999999991</v>
      </c>
      <c r="R16" s="63">
        <f t="shared" si="37"/>
        <v>8280</v>
      </c>
      <c r="S16" s="63">
        <f t="shared" si="37"/>
        <v>9522</v>
      </c>
      <c r="T16" s="63">
        <f t="shared" si="37"/>
        <v>10764</v>
      </c>
      <c r="U16" s="63">
        <f t="shared" si="37"/>
        <v>12005.999999999998</v>
      </c>
      <c r="V16" s="64">
        <f t="shared" si="37"/>
        <v>13247.999999999998</v>
      </c>
      <c r="W16" s="62">
        <f>N16</f>
        <v>3311.9999999999986</v>
      </c>
      <c r="X16" s="63">
        <f>SUM(O16:R16)</f>
        <v>25668</v>
      </c>
      <c r="Y16" s="64">
        <f>SUM(S16:V16)</f>
        <v>45540</v>
      </c>
    </row>
    <row r="17" spans="2:50" s="53" customFormat="1" ht="15">
      <c r="B17" s="165" t="s">
        <v>270</v>
      </c>
      <c r="C17" s="135"/>
      <c r="D17" s="135"/>
      <c r="E17" s="135"/>
      <c r="F17" s="135"/>
      <c r="G17" s="135"/>
      <c r="H17" s="135"/>
      <c r="I17" s="135"/>
      <c r="J17" s="136"/>
      <c r="K17" s="55">
        <f t="shared" ref="K17:Y17" si="38">K16/K6</f>
        <v>0</v>
      </c>
      <c r="L17" s="55">
        <f t="shared" si="38"/>
        <v>0</v>
      </c>
      <c r="M17" s="55">
        <f t="shared" si="38"/>
        <v>0</v>
      </c>
      <c r="N17" s="55">
        <f t="shared" si="38"/>
        <v>0.11517195813193305</v>
      </c>
      <c r="O17" s="55">
        <f t="shared" si="38"/>
        <v>0.14054389409112278</v>
      </c>
      <c r="P17" s="55">
        <f t="shared" si="38"/>
        <v>0.1617275740489528</v>
      </c>
      <c r="Q17" s="55">
        <f t="shared" si="38"/>
        <v>0.18325907293750687</v>
      </c>
      <c r="R17" s="55">
        <f t="shared" si="38"/>
        <v>0.19502595352884314</v>
      </c>
      <c r="S17" s="55">
        <f t="shared" si="38"/>
        <v>0.21023764102789258</v>
      </c>
      <c r="T17" s="55">
        <f t="shared" si="38"/>
        <v>0.22153457223653492</v>
      </c>
      <c r="U17" s="55">
        <f t="shared" si="38"/>
        <v>0.22899166798702167</v>
      </c>
      <c r="V17" s="56">
        <f t="shared" si="38"/>
        <v>0.23799973329428473</v>
      </c>
      <c r="W17" s="54">
        <f t="shared" si="38"/>
        <v>2.9841063898799858E-2</v>
      </c>
      <c r="X17" s="55">
        <f t="shared" si="38"/>
        <v>0.17807931082871209</v>
      </c>
      <c r="Y17" s="56">
        <f t="shared" si="38"/>
        <v>0.20070617796122039</v>
      </c>
    </row>
    <row r="18" spans="2:50" s="43" customFormat="1" ht="16.8">
      <c r="B18" s="437" t="s">
        <v>295</v>
      </c>
      <c r="C18" s="449" t="s">
        <v>373</v>
      </c>
      <c r="D18" s="449" t="s">
        <v>373</v>
      </c>
      <c r="E18" s="449" t="s">
        <v>373</v>
      </c>
      <c r="F18" s="449" t="s">
        <v>373</v>
      </c>
      <c r="G18" s="449" t="s">
        <v>373</v>
      </c>
      <c r="H18" s="449" t="s">
        <v>373</v>
      </c>
      <c r="I18" s="449" t="s">
        <v>373</v>
      </c>
      <c r="J18" s="449" t="s">
        <v>373</v>
      </c>
      <c r="R18" s="43">
        <f>E51</f>
        <v>2384.639999999999</v>
      </c>
      <c r="S18" s="43">
        <f>F51</f>
        <v>3278.88</v>
      </c>
      <c r="T18" s="43">
        <f>G51</f>
        <v>4173.12</v>
      </c>
      <c r="U18" s="43">
        <f>H51</f>
        <v>5067.3599999999997</v>
      </c>
      <c r="V18" s="47">
        <f>I51</f>
        <v>5961.6</v>
      </c>
      <c r="W18" s="45"/>
      <c r="X18" s="43">
        <f>R18</f>
        <v>2384.639999999999</v>
      </c>
      <c r="Y18" s="47">
        <f>SUM(S18:V18)</f>
        <v>18480.96</v>
      </c>
    </row>
    <row r="19" spans="2:50" s="53" customFormat="1" ht="15">
      <c r="B19" s="164" t="s">
        <v>270</v>
      </c>
      <c r="C19" s="135"/>
      <c r="D19" s="135"/>
      <c r="E19" s="135"/>
      <c r="F19" s="135"/>
      <c r="G19" s="135"/>
      <c r="H19" s="135"/>
      <c r="I19" s="135"/>
      <c r="J19" s="135"/>
      <c r="K19" s="55">
        <f t="shared" ref="K19:Y19" si="39">K18/K6</f>
        <v>0</v>
      </c>
      <c r="L19" s="55">
        <f t="shared" si="39"/>
        <v>0</v>
      </c>
      <c r="M19" s="55">
        <f t="shared" si="39"/>
        <v>0</v>
      </c>
      <c r="N19" s="55">
        <f t="shared" si="39"/>
        <v>0</v>
      </c>
      <c r="O19" s="55">
        <f t="shared" si="39"/>
        <v>0</v>
      </c>
      <c r="P19" s="55">
        <f t="shared" si="39"/>
        <v>0</v>
      </c>
      <c r="Q19" s="55">
        <f t="shared" si="39"/>
        <v>0</v>
      </c>
      <c r="R19" s="55">
        <f t="shared" si="39"/>
        <v>5.6167474616306792E-2</v>
      </c>
      <c r="S19" s="55">
        <f t="shared" si="39"/>
        <v>7.2394874649604743E-2</v>
      </c>
      <c r="T19" s="55">
        <f t="shared" si="39"/>
        <v>8.5887249544010461E-2</v>
      </c>
      <c r="U19" s="55">
        <f t="shared" si="39"/>
        <v>9.665027641934984E-2</v>
      </c>
      <c r="V19" s="56">
        <f t="shared" si="39"/>
        <v>0.10709987998242815</v>
      </c>
      <c r="W19" s="54">
        <f t="shared" si="39"/>
        <v>0</v>
      </c>
      <c r="X19" s="55">
        <f t="shared" si="39"/>
        <v>1.6544142425377117E-2</v>
      </c>
      <c r="Y19" s="56">
        <f t="shared" si="39"/>
        <v>8.1450216219898883E-2</v>
      </c>
    </row>
    <row r="20" spans="2:50" s="43" customFormat="1" ht="16.8">
      <c r="B20" s="437" t="s">
        <v>296</v>
      </c>
      <c r="C20" s="449" t="s">
        <v>373</v>
      </c>
      <c r="D20" s="449" t="s">
        <v>373</v>
      </c>
      <c r="E20" s="449" t="s">
        <v>373</v>
      </c>
      <c r="F20" s="449" t="s">
        <v>373</v>
      </c>
      <c r="G20" s="449" t="s">
        <v>373</v>
      </c>
      <c r="H20" s="449" t="s">
        <v>373</v>
      </c>
      <c r="I20" s="449" t="s">
        <v>373</v>
      </c>
      <c r="J20" s="449" t="s">
        <v>373</v>
      </c>
      <c r="U20" s="43">
        <f>G56</f>
        <v>802.96509154315584</v>
      </c>
      <c r="V20" s="47">
        <f>H56</f>
        <v>1104.0770008718396</v>
      </c>
      <c r="W20" s="45"/>
      <c r="Y20" s="47">
        <f>SUM(U20:V20)</f>
        <v>1907.0420924149953</v>
      </c>
    </row>
    <row r="21" spans="2:50" s="73" customFormat="1" ht="16.8">
      <c r="B21" s="164" t="s">
        <v>270</v>
      </c>
      <c r="C21" s="55"/>
      <c r="D21" s="55"/>
      <c r="E21" s="55"/>
      <c r="F21" s="55"/>
      <c r="G21" s="55"/>
      <c r="H21" s="55"/>
      <c r="I21" s="55"/>
      <c r="J21" s="55"/>
      <c r="K21" s="55">
        <f t="shared" ref="K21:Y21" si="40">K20/K6</f>
        <v>0</v>
      </c>
      <c r="L21" s="55">
        <f t="shared" si="40"/>
        <v>0</v>
      </c>
      <c r="M21" s="55">
        <f t="shared" si="40"/>
        <v>0</v>
      </c>
      <c r="N21" s="55">
        <f t="shared" si="40"/>
        <v>0</v>
      </c>
      <c r="O21" s="55">
        <f t="shared" si="40"/>
        <v>0</v>
      </c>
      <c r="P21" s="55">
        <f t="shared" si="40"/>
        <v>0</v>
      </c>
      <c r="Q21" s="55">
        <f t="shared" si="40"/>
        <v>0</v>
      </c>
      <c r="R21" s="55">
        <f t="shared" si="40"/>
        <v>0</v>
      </c>
      <c r="S21" s="55">
        <f t="shared" si="40"/>
        <v>0</v>
      </c>
      <c r="T21" s="55">
        <f t="shared" si="40"/>
        <v>0</v>
      </c>
      <c r="U21" s="55">
        <f t="shared" si="40"/>
        <v>1.5315035452925107E-2</v>
      </c>
      <c r="V21" s="56">
        <f t="shared" si="40"/>
        <v>1.9834694425109572E-2</v>
      </c>
      <c r="W21" s="54">
        <f t="shared" si="40"/>
        <v>0</v>
      </c>
      <c r="X21" s="55">
        <f t="shared" si="40"/>
        <v>0</v>
      </c>
      <c r="Y21" s="56">
        <f t="shared" si="40"/>
        <v>8.4048118045626299E-3</v>
      </c>
    </row>
    <row r="22" spans="2:50" s="65" customFormat="1" ht="16.8">
      <c r="B22" s="450" t="s">
        <v>274</v>
      </c>
      <c r="C22" s="63">
        <f>C8-SUM(C10,C12,C14)</f>
        <v>3551.6332299999995</v>
      </c>
      <c r="D22" s="63">
        <f t="shared" ref="D22:F22" si="41">D8-SUM(D10,D12,D14)</f>
        <v>3902.0514000000003</v>
      </c>
      <c r="E22" s="63">
        <f t="shared" si="41"/>
        <v>2673.1025800000007</v>
      </c>
      <c r="F22" s="63">
        <f t="shared" si="41"/>
        <v>3741.3842999999997</v>
      </c>
      <c r="G22" s="63">
        <f>G8-SUM(G10,G12,G14)</f>
        <v>2737.53442</v>
      </c>
      <c r="H22" s="63">
        <f>H8-SUM(H10,H12,H14)</f>
        <v>3731.8031300000002</v>
      </c>
      <c r="I22" s="63">
        <f>I8-SUM(I10,I12,I14)</f>
        <v>5597.7369199999994</v>
      </c>
      <c r="J22" s="63">
        <f>J8-SUM(J10,J12,J14)</f>
        <v>7008.795259999999</v>
      </c>
      <c r="K22" s="63">
        <f t="shared" ref="K22:M22" si="42">K8-SUM(K10,K12,K14)</f>
        <v>4568.1811999999991</v>
      </c>
      <c r="L22" s="63">
        <f t="shared" si="42"/>
        <v>9345.125439999998</v>
      </c>
      <c r="M22" s="63">
        <f t="shared" si="42"/>
        <v>13378.307480000003</v>
      </c>
      <c r="N22" s="63">
        <f>N8-SUM(N10,N12,N14,N16)</f>
        <v>11811.979600000001</v>
      </c>
      <c r="O22" s="63">
        <f>AVERAGE(K22:N22)</f>
        <v>9775.8984299999993</v>
      </c>
      <c r="P22" s="63">
        <f t="shared" ref="P22:V22" si="43">AVERAGE(L22:O22)</f>
        <v>11077.8277375</v>
      </c>
      <c r="Q22" s="63">
        <f t="shared" si="43"/>
        <v>11511.003311875</v>
      </c>
      <c r="R22" s="63">
        <f t="shared" si="43"/>
        <v>11044.177269843749</v>
      </c>
      <c r="S22" s="63">
        <f t="shared" si="43"/>
        <v>10852.226687304686</v>
      </c>
      <c r="T22" s="63">
        <f t="shared" si="43"/>
        <v>11121.308751630859</v>
      </c>
      <c r="U22" s="63">
        <f t="shared" si="43"/>
        <v>11132.179005163573</v>
      </c>
      <c r="V22" s="64">
        <f t="shared" si="43"/>
        <v>11037.472928485717</v>
      </c>
      <c r="W22" s="63">
        <f>SUM(K22:N22)</f>
        <v>39103.593719999997</v>
      </c>
      <c r="X22" s="63">
        <f>SUM(O22:R22)</f>
        <v>43408.906749218746</v>
      </c>
      <c r="Y22" s="64">
        <f>SUM(S22:V22)</f>
        <v>44143.187372584835</v>
      </c>
    </row>
    <row r="23" spans="2:50" s="74" customFormat="1" ht="16.8">
      <c r="B23" s="430" t="s">
        <v>270</v>
      </c>
      <c r="C23" s="58">
        <f t="shared" ref="C23:Y23" si="44">C22/C8</f>
        <v>0.40580818441499078</v>
      </c>
      <c r="D23" s="58">
        <f t="shared" si="44"/>
        <v>0.41670775309696712</v>
      </c>
      <c r="E23" s="58">
        <f t="shared" si="44"/>
        <v>0.23258527625511186</v>
      </c>
      <c r="F23" s="58">
        <f t="shared" si="44"/>
        <v>0.25494952640545143</v>
      </c>
      <c r="G23" s="58">
        <f t="shared" si="44"/>
        <v>0.21970581219903693</v>
      </c>
      <c r="H23" s="58">
        <f t="shared" si="44"/>
        <v>0.22886073408561267</v>
      </c>
      <c r="I23" s="58">
        <f t="shared" si="44"/>
        <v>0.31481564141499352</v>
      </c>
      <c r="J23" s="58">
        <f t="shared" si="44"/>
        <v>0.42196238771824196</v>
      </c>
      <c r="K23" s="58">
        <f t="shared" si="44"/>
        <v>0.32032684944954765</v>
      </c>
      <c r="L23" s="58">
        <f t="shared" si="44"/>
        <v>0.40106113214025141</v>
      </c>
      <c r="M23" s="58">
        <f t="shared" si="44"/>
        <v>0.52726549797028355</v>
      </c>
      <c r="N23" s="58">
        <f t="shared" si="44"/>
        <v>0.54305455381361778</v>
      </c>
      <c r="O23" s="58">
        <f t="shared" si="44"/>
        <v>0.39264578491816443</v>
      </c>
      <c r="P23" s="58">
        <f t="shared" si="44"/>
        <v>0.39800100396066401</v>
      </c>
      <c r="Q23" s="58">
        <f t="shared" si="44"/>
        <v>0.38496945847448721</v>
      </c>
      <c r="R23" s="58">
        <f t="shared" si="44"/>
        <v>0.33013878885611159</v>
      </c>
      <c r="S23" s="58">
        <f t="shared" si="44"/>
        <v>0.30322238277543467</v>
      </c>
      <c r="T23" s="58">
        <f t="shared" si="44"/>
        <v>0.28821220901446187</v>
      </c>
      <c r="U23" s="58">
        <f t="shared" si="44"/>
        <v>0.26549730489051704</v>
      </c>
      <c r="V23" s="59">
        <f t="shared" si="44"/>
        <v>0.24712002651204612</v>
      </c>
      <c r="W23" s="55">
        <f t="shared" si="44"/>
        <v>0.46174803060718417</v>
      </c>
      <c r="X23" s="55">
        <f t="shared" si="44"/>
        <v>0.37393946772231063</v>
      </c>
      <c r="Y23" s="59">
        <f t="shared" si="44"/>
        <v>0.2742309509332656</v>
      </c>
    </row>
    <row r="24" spans="2:50" s="43" customFormat="1" ht="16.8">
      <c r="B24" s="60" t="s">
        <v>297</v>
      </c>
      <c r="C24" s="60">
        <v>11789</v>
      </c>
      <c r="D24" s="60">
        <f>19559-C24</f>
        <v>7770</v>
      </c>
      <c r="E24" s="60">
        <f>23586-C24-D24</f>
        <v>4027</v>
      </c>
      <c r="F24" s="60">
        <f>29903-SUM(C24:E24)</f>
        <v>6317</v>
      </c>
      <c r="G24" s="60">
        <f>5893</f>
        <v>5893</v>
      </c>
      <c r="H24" s="60">
        <f>11544-G24</f>
        <v>5651</v>
      </c>
      <c r="I24" s="60">
        <f>19589-G24-H24</f>
        <v>8045</v>
      </c>
      <c r="J24" s="60">
        <f>26822-SUM(G24:I24)</f>
        <v>7233</v>
      </c>
      <c r="K24" s="60">
        <f>6537</f>
        <v>6537</v>
      </c>
      <c r="L24" s="60">
        <f>13130-K24</f>
        <v>6593</v>
      </c>
      <c r="M24" s="60">
        <f>19296-L24-K24</f>
        <v>6166</v>
      </c>
      <c r="N24" s="60">
        <f>26302-K24-L24-M24</f>
        <v>7006</v>
      </c>
      <c r="O24" s="60">
        <v>7505.1883519206931</v>
      </c>
      <c r="P24" s="60">
        <v>8004.3767038413871</v>
      </c>
      <c r="Q24" s="60">
        <v>8503.5650557620811</v>
      </c>
      <c r="R24" s="60">
        <v>9002.753407682776</v>
      </c>
      <c r="S24" s="60">
        <v>9501.9417596034691</v>
      </c>
      <c r="T24" s="60">
        <v>10001.130111524164</v>
      </c>
      <c r="U24" s="60">
        <v>10500.318463444857</v>
      </c>
      <c r="V24" s="44">
        <v>10999.506815365552</v>
      </c>
      <c r="W24" s="60">
        <f>SUM(K24:N24)</f>
        <v>26302</v>
      </c>
      <c r="X24" s="60">
        <f>SUM(O24:R24)</f>
        <v>33015.883519206938</v>
      </c>
      <c r="Y24" s="44">
        <f>SUM(S24:V24)</f>
        <v>41002.897149938042</v>
      </c>
    </row>
    <row r="25" spans="2:50" s="49" customFormat="1" ht="16.8">
      <c r="B25" s="42" t="s">
        <v>324</v>
      </c>
      <c r="C25" s="58"/>
      <c r="D25" s="58"/>
      <c r="E25" s="58"/>
      <c r="F25" s="58"/>
      <c r="G25" s="58">
        <f>G24/C24-1</f>
        <v>-0.50012723725506825</v>
      </c>
      <c r="H25" s="58">
        <f t="shared" ref="H25:V25" si="45">H24/D24-1</f>
        <v>-0.27271557271557267</v>
      </c>
      <c r="I25" s="58">
        <f t="shared" si="45"/>
        <v>0.99776508567171596</v>
      </c>
      <c r="J25" s="58">
        <f t="shared" si="45"/>
        <v>0.14500554060471749</v>
      </c>
      <c r="K25" s="58">
        <f t="shared" si="45"/>
        <v>0.10928219921941285</v>
      </c>
      <c r="L25" s="58">
        <f t="shared" si="45"/>
        <v>0.16669615997168652</v>
      </c>
      <c r="M25" s="58">
        <f t="shared" si="45"/>
        <v>-0.23356121814791797</v>
      </c>
      <c r="N25" s="58">
        <f t="shared" si="45"/>
        <v>-3.1383934743536623E-2</v>
      </c>
      <c r="O25" s="58">
        <f t="shared" si="45"/>
        <v>0.14810897229932585</v>
      </c>
      <c r="P25" s="58">
        <f t="shared" si="45"/>
        <v>0.21407200118935044</v>
      </c>
      <c r="Q25" s="58">
        <f t="shared" si="45"/>
        <v>0.37910558802498873</v>
      </c>
      <c r="R25" s="58">
        <f t="shared" si="45"/>
        <v>0.28500619578686504</v>
      </c>
      <c r="S25" s="58">
        <f t="shared" si="45"/>
        <v>0.2660497397339503</v>
      </c>
      <c r="T25" s="58">
        <f t="shared" si="45"/>
        <v>0.24945770065075945</v>
      </c>
      <c r="U25" s="58">
        <f t="shared" si="45"/>
        <v>0.23481368044920892</v>
      </c>
      <c r="V25" s="59">
        <f t="shared" si="45"/>
        <v>0.22179363548698161</v>
      </c>
      <c r="W25" s="58">
        <f t="shared" ref="W25:Y25" si="46">W24/W6</f>
        <v>0.23698057447651999</v>
      </c>
      <c r="X25" s="58">
        <f t="shared" si="46"/>
        <v>0.22905741715370909</v>
      </c>
      <c r="Y25" s="59">
        <f t="shared" si="46"/>
        <v>0.18071003013397191</v>
      </c>
      <c r="Z25" s="53"/>
      <c r="AA25" s="53"/>
    </row>
    <row r="26" spans="2:50">
      <c r="Q26" s="193">
        <f t="shared" ref="Q26:X26" si="47">O24/N24-1</f>
        <v>7.1251548946716037E-2</v>
      </c>
      <c r="R26" s="193">
        <f t="shared" si="47"/>
        <v>6.6512434933487574E-2</v>
      </c>
      <c r="S26" s="193">
        <f t="shared" si="47"/>
        <v>6.2364425162689807E-2</v>
      </c>
      <c r="T26" s="193">
        <f t="shared" si="47"/>
        <v>5.8703420112302229E-2</v>
      </c>
      <c r="U26" s="193">
        <f t="shared" si="47"/>
        <v>5.5448408871745292E-2</v>
      </c>
      <c r="V26" s="193">
        <f t="shared" si="47"/>
        <v>5.253540429419834E-2</v>
      </c>
      <c r="W26" s="193">
        <f t="shared" si="47"/>
        <v>4.991319444444442E-2</v>
      </c>
      <c r="X26" s="193">
        <f t="shared" si="47"/>
        <v>4.7540305911533798E-2</v>
      </c>
    </row>
    <row r="27" spans="2:50">
      <c r="P27" s="32"/>
    </row>
    <row r="28" spans="2:50">
      <c r="B28" s="201" t="s">
        <v>288</v>
      </c>
      <c r="C28" s="202"/>
      <c r="D28" s="81" t="s">
        <v>0</v>
      </c>
      <c r="E28" s="82" t="s">
        <v>1</v>
      </c>
      <c r="F28" s="82" t="s">
        <v>2</v>
      </c>
      <c r="G28" s="82" t="s">
        <v>325</v>
      </c>
      <c r="H28" s="81" t="s">
        <v>4</v>
      </c>
      <c r="I28" s="82" t="s">
        <v>5</v>
      </c>
      <c r="J28" s="82" t="s">
        <v>6</v>
      </c>
      <c r="K28" s="82" t="s">
        <v>7</v>
      </c>
      <c r="L28" s="81" t="s">
        <v>8</v>
      </c>
      <c r="M28" s="82" t="s">
        <v>9</v>
      </c>
      <c r="N28" s="82" t="s">
        <v>10</v>
      </c>
      <c r="O28" s="82" t="s">
        <v>11</v>
      </c>
      <c r="P28" s="83" t="s">
        <v>29</v>
      </c>
      <c r="Q28" s="84" t="s">
        <v>266</v>
      </c>
      <c r="R28" s="84" t="s">
        <v>267</v>
      </c>
      <c r="S28" s="84" t="s">
        <v>268</v>
      </c>
      <c r="T28" s="83" t="s">
        <v>279</v>
      </c>
      <c r="U28" s="84" t="s">
        <v>280</v>
      </c>
      <c r="V28" s="84" t="s">
        <v>281</v>
      </c>
      <c r="W28" s="84" t="s">
        <v>282</v>
      </c>
      <c r="X28" s="212">
        <v>2024</v>
      </c>
      <c r="Y28" s="87" t="s">
        <v>286</v>
      </c>
      <c r="Z28" s="88" t="s">
        <v>287</v>
      </c>
      <c r="AA28" s="166"/>
      <c r="AB28" s="173" t="s">
        <v>471</v>
      </c>
      <c r="AC28" s="173" t="s">
        <v>457</v>
      </c>
      <c r="AD28" s="174" t="s">
        <v>464</v>
      </c>
      <c r="AE28" s="174" t="s">
        <v>465</v>
      </c>
      <c r="AF28" s="174" t="s">
        <v>466</v>
      </c>
      <c r="AG28" s="174" t="s">
        <v>467</v>
      </c>
      <c r="AH28" s="174" t="s">
        <v>468</v>
      </c>
      <c r="AI28" s="174" t="s">
        <v>469</v>
      </c>
      <c r="AJ28" s="174" t="s">
        <v>470</v>
      </c>
      <c r="AM28" s="170" t="s">
        <v>326</v>
      </c>
      <c r="AN28" s="171" t="s">
        <v>327</v>
      </c>
      <c r="AO28" s="171" t="s">
        <v>454</v>
      </c>
      <c r="AP28" s="172"/>
      <c r="AQ28" s="172"/>
      <c r="AR28" s="172"/>
      <c r="AS28" s="172"/>
      <c r="AT28" s="172"/>
      <c r="AU28" s="172"/>
      <c r="AV28" s="172"/>
      <c r="AW28" s="172"/>
      <c r="AX28" s="172"/>
    </row>
    <row r="29" spans="2:50" s="23" customFormat="1">
      <c r="B29" s="89" t="s">
        <v>291</v>
      </c>
      <c r="C29" s="43"/>
      <c r="D29" s="194">
        <v>1951.2059400000001</v>
      </c>
      <c r="E29" s="194">
        <v>1891.7553499999999</v>
      </c>
      <c r="F29" s="194">
        <v>4334.80285</v>
      </c>
      <c r="G29" s="194">
        <v>7807.1330600000001</v>
      </c>
      <c r="H29" s="194">
        <v>5591.1358600000003</v>
      </c>
      <c r="I29" s="194">
        <v>7369.2029300000004</v>
      </c>
      <c r="J29" s="194">
        <v>8161.6163300000007</v>
      </c>
      <c r="K29" s="194">
        <v>6176.9532600000002</v>
      </c>
      <c r="L29" s="194">
        <v>4355.3810999999996</v>
      </c>
      <c r="M29" s="194">
        <v>7579.673960000001</v>
      </c>
      <c r="N29" s="194">
        <v>9015.3742799999982</v>
      </c>
      <c r="O29" s="194">
        <v>3385.2312000000002</v>
      </c>
      <c r="P29" s="91">
        <v>6083.9151349999984</v>
      </c>
      <c r="Q29" s="91">
        <v>6252.9127776388877</v>
      </c>
      <c r="R29" s="91">
        <v>6421.9104202777762</v>
      </c>
      <c r="S29" s="91">
        <v>6590.9080629166656</v>
      </c>
      <c r="T29" s="91">
        <v>6759.9057055555541</v>
      </c>
      <c r="U29" s="91">
        <v>6928.9033481944434</v>
      </c>
      <c r="V29" s="91">
        <v>7097.9009908333319</v>
      </c>
      <c r="W29" s="91">
        <f>AVERAGE(L29:O29)*AF38/AD38</f>
        <v>7266.8986334722213</v>
      </c>
      <c r="X29" s="213">
        <f>SUM(L29:O29)</f>
        <v>24335.660539999997</v>
      </c>
      <c r="Y29" s="195">
        <f>SUM(P29:S29)</f>
        <v>25349.646395833326</v>
      </c>
      <c r="Z29" s="196">
        <f>SUM(T29:W29)</f>
        <v>28053.608678055549</v>
      </c>
      <c r="AB29" s="175" t="s">
        <v>458</v>
      </c>
      <c r="AC29" s="175" t="s">
        <v>459</v>
      </c>
      <c r="AD29" s="176">
        <v>12.8</v>
      </c>
      <c r="AE29" s="176">
        <v>13.266666666666667</v>
      </c>
      <c r="AF29" s="176">
        <v>13.733333333333334</v>
      </c>
      <c r="AG29" s="176">
        <v>14.2</v>
      </c>
      <c r="AH29" s="176">
        <v>14.666666666666666</v>
      </c>
      <c r="AI29" s="176">
        <v>15.133333333333333</v>
      </c>
      <c r="AJ29" s="176">
        <v>15.6</v>
      </c>
      <c r="AL29" s="90" t="s">
        <v>472</v>
      </c>
      <c r="AM29" s="184">
        <v>1205.5</v>
      </c>
      <c r="AN29" s="184">
        <v>1231.9000000000001</v>
      </c>
      <c r="AO29" s="184">
        <v>1334.6</v>
      </c>
    </row>
    <row r="30" spans="2:50" s="43" customFormat="1" ht="16.8">
      <c r="B30" s="57"/>
      <c r="C30" s="42" t="s">
        <v>276</v>
      </c>
      <c r="D30" s="58"/>
      <c r="E30" s="58"/>
      <c r="F30" s="58"/>
      <c r="G30" s="58"/>
      <c r="H30" s="197">
        <f>H29/D29-1</f>
        <v>1.8654770597920587</v>
      </c>
      <c r="I30" s="197">
        <f t="shared" ref="I30:W30" si="48">I29/E29-1</f>
        <v>2.8954312617643718</v>
      </c>
      <c r="J30" s="197">
        <f t="shared" si="48"/>
        <v>0.88281142474564911</v>
      </c>
      <c r="K30" s="197">
        <f t="shared" si="48"/>
        <v>-0.20880645782153484</v>
      </c>
      <c r="L30" s="197">
        <f t="shared" si="48"/>
        <v>-0.22102034200971832</v>
      </c>
      <c r="M30" s="197">
        <f t="shared" si="48"/>
        <v>2.8560894848365992E-2</v>
      </c>
      <c r="N30" s="197">
        <f t="shared" si="48"/>
        <v>0.1046064793393684</v>
      </c>
      <c r="O30" s="197">
        <f>O29/K29-1</f>
        <v>-0.45195777634878853</v>
      </c>
      <c r="P30" s="197">
        <f t="shared" si="48"/>
        <v>0.39687320014315142</v>
      </c>
      <c r="Q30" s="197">
        <f t="shared" si="48"/>
        <v>-0.17504198589052677</v>
      </c>
      <c r="R30" s="197">
        <f t="shared" si="48"/>
        <v>-0.2876712357329021</v>
      </c>
      <c r="S30" s="197">
        <f t="shared" si="48"/>
        <v>0.94695950542954499</v>
      </c>
      <c r="T30" s="197">
        <f t="shared" si="48"/>
        <v>0.11111111111111116</v>
      </c>
      <c r="U30" s="197">
        <f t="shared" si="48"/>
        <v>0.10810810810810811</v>
      </c>
      <c r="V30" s="197">
        <f t="shared" si="48"/>
        <v>0.10526315789473695</v>
      </c>
      <c r="W30" s="197">
        <f t="shared" si="48"/>
        <v>0.10256410256410264</v>
      </c>
      <c r="X30" s="214"/>
      <c r="Y30" s="92"/>
      <c r="Z30" s="198"/>
      <c r="AC30" s="43" t="s">
        <v>460</v>
      </c>
      <c r="AD30" s="177">
        <v>38.699999999999996</v>
      </c>
      <c r="AE30" s="177">
        <v>43.066666666666663</v>
      </c>
      <c r="AF30" s="177">
        <v>47.433333333333337</v>
      </c>
      <c r="AG30" s="177">
        <v>51.8</v>
      </c>
      <c r="AH30" s="177">
        <v>56.166666666666671</v>
      </c>
      <c r="AI30" s="177">
        <v>60.533333333333339</v>
      </c>
      <c r="AJ30" s="177">
        <v>64.900000000000006</v>
      </c>
    </row>
    <row r="31" spans="2:50" s="43" customFormat="1" ht="16.8">
      <c r="F31" s="49">
        <f>G29/F29-1</f>
        <v>0.8010353250552098</v>
      </c>
      <c r="M31" s="49">
        <f>M29/L29-1</f>
        <v>0.74030097159580399</v>
      </c>
      <c r="N31" s="49">
        <f>N29/M29-1</f>
        <v>0.18941452199350239</v>
      </c>
      <c r="AB31" s="92"/>
      <c r="AC31" s="92" t="s">
        <v>461</v>
      </c>
      <c r="AD31" s="178">
        <v>11.900000000000002</v>
      </c>
      <c r="AE31" s="178">
        <v>12.300000000000002</v>
      </c>
      <c r="AF31" s="178">
        <v>12.700000000000003</v>
      </c>
      <c r="AG31" s="178">
        <v>13.100000000000001</v>
      </c>
      <c r="AH31" s="178">
        <v>13.500000000000002</v>
      </c>
      <c r="AI31" s="178">
        <v>13.900000000000002</v>
      </c>
      <c r="AJ31" s="178">
        <v>14.300000000000002</v>
      </c>
    </row>
    <row r="32" spans="2:50" s="53" customFormat="1" ht="16.8">
      <c r="S32" s="167"/>
      <c r="T32" s="90"/>
      <c r="U32" s="168"/>
      <c r="V32" s="168"/>
      <c r="W32" s="168"/>
      <c r="X32" s="168"/>
      <c r="Y32" s="168"/>
      <c r="Z32" s="168"/>
      <c r="AA32" s="168"/>
      <c r="AB32" s="179" t="s">
        <v>462</v>
      </c>
      <c r="AC32" s="175" t="s">
        <v>459</v>
      </c>
      <c r="AD32" s="180">
        <v>1</v>
      </c>
      <c r="AE32" s="180">
        <v>1.5</v>
      </c>
      <c r="AF32" s="180">
        <v>2</v>
      </c>
      <c r="AG32" s="180">
        <v>2.5</v>
      </c>
      <c r="AH32" s="180">
        <v>3</v>
      </c>
      <c r="AI32" s="180">
        <v>3.5</v>
      </c>
      <c r="AJ32" s="180">
        <v>4</v>
      </c>
    </row>
    <row r="33" spans="2:36" s="33" customFormat="1" ht="17.399999999999999">
      <c r="B33" s="201" t="s">
        <v>288</v>
      </c>
      <c r="C33" s="202"/>
      <c r="D33" s="81" t="s">
        <v>0</v>
      </c>
      <c r="E33" s="82" t="s">
        <v>1</v>
      </c>
      <c r="F33" s="82" t="s">
        <v>2</v>
      </c>
      <c r="G33" s="82" t="s">
        <v>325</v>
      </c>
      <c r="H33" s="81" t="s">
        <v>4</v>
      </c>
      <c r="I33" s="82" t="s">
        <v>5</v>
      </c>
      <c r="J33" s="82" t="s">
        <v>6</v>
      </c>
      <c r="K33" s="82" t="s">
        <v>7</v>
      </c>
      <c r="L33" s="81" t="s">
        <v>8</v>
      </c>
      <c r="M33" s="82" t="s">
        <v>9</v>
      </c>
      <c r="N33" s="82" t="s">
        <v>10</v>
      </c>
      <c r="O33" s="82" t="s">
        <v>11</v>
      </c>
      <c r="P33" s="83" t="s">
        <v>265</v>
      </c>
      <c r="Q33" s="84" t="s">
        <v>266</v>
      </c>
      <c r="R33" s="84" t="s">
        <v>267</v>
      </c>
      <c r="S33" s="84" t="s">
        <v>268</v>
      </c>
      <c r="T33" s="83" t="s">
        <v>279</v>
      </c>
      <c r="U33" s="84" t="s">
        <v>280</v>
      </c>
      <c r="V33" s="84" t="s">
        <v>281</v>
      </c>
      <c r="W33" s="84" t="s">
        <v>282</v>
      </c>
      <c r="X33" s="212">
        <v>2024</v>
      </c>
      <c r="Y33" s="87" t="s">
        <v>286</v>
      </c>
      <c r="Z33" s="88" t="s">
        <v>287</v>
      </c>
      <c r="AB33" s="43"/>
      <c r="AC33" s="43" t="s">
        <v>460</v>
      </c>
      <c r="AD33" s="177">
        <v>23</v>
      </c>
      <c r="AE33" s="177">
        <v>29.166666666666664</v>
      </c>
      <c r="AF33" s="177">
        <v>35.333333333333329</v>
      </c>
      <c r="AG33" s="177">
        <v>41.5</v>
      </c>
      <c r="AH33" s="177">
        <v>47.666666666666671</v>
      </c>
      <c r="AI33" s="177">
        <v>53.833333333333329</v>
      </c>
      <c r="AJ33" s="177">
        <v>60</v>
      </c>
    </row>
    <row r="34" spans="2:36" s="77" customFormat="1" ht="17.399999999999999">
      <c r="B34" s="89" t="s">
        <v>292</v>
      </c>
      <c r="C34" s="43"/>
      <c r="D34" s="194">
        <v>780.23816999999997</v>
      </c>
      <c r="E34" s="194">
        <v>1126.6226999999999</v>
      </c>
      <c r="F34" s="194">
        <v>1977.44939</v>
      </c>
      <c r="G34" s="194">
        <v>845.13544000000002</v>
      </c>
      <c r="H34" s="194">
        <v>1562.9588100000001</v>
      </c>
      <c r="I34" s="194">
        <v>3043.3783699999999</v>
      </c>
      <c r="J34" s="194">
        <v>1705.71001</v>
      </c>
      <c r="K34" s="194">
        <v>1178.7979200000002</v>
      </c>
      <c r="L34" s="194">
        <v>3080.5705000000003</v>
      </c>
      <c r="M34" s="194">
        <v>4877.3794200000002</v>
      </c>
      <c r="N34" s="194">
        <v>1639.1589599999998</v>
      </c>
      <c r="O34" s="194">
        <v>1645.2797400000002</v>
      </c>
      <c r="P34" s="91">
        <v>2810.5971550000004</v>
      </c>
      <c r="Q34" s="91">
        <v>2947.4907759436837</v>
      </c>
      <c r="R34" s="91">
        <v>3084.3843968873671</v>
      </c>
      <c r="S34" s="91">
        <v>3221.2780178310504</v>
      </c>
      <c r="T34" s="91">
        <v>3358.1716387747338</v>
      </c>
      <c r="U34" s="91">
        <v>3495.0652597184176</v>
      </c>
      <c r="V34" s="91">
        <v>3631.9588806621009</v>
      </c>
      <c r="W34" s="185">
        <f>AVERAGE(L34:O34)*AF39/AD39</f>
        <v>3768.8525016057838</v>
      </c>
      <c r="X34" s="213">
        <f>SUM(L34:O34)</f>
        <v>11242.38862</v>
      </c>
      <c r="Y34" s="195">
        <f>SUM(P34:S34)</f>
        <v>12063.750345662102</v>
      </c>
      <c r="Z34" s="196">
        <f>SUM(T34:W34)</f>
        <v>14254.048280761035</v>
      </c>
      <c r="AA34" s="169"/>
      <c r="AB34" s="181"/>
      <c r="AC34" s="92" t="s">
        <v>461</v>
      </c>
      <c r="AD34" s="182">
        <v>3.0000000000000009</v>
      </c>
      <c r="AE34" s="182">
        <v>4.8333333333333339</v>
      </c>
      <c r="AF34" s="182">
        <v>6.666666666666667</v>
      </c>
      <c r="AG34" s="182">
        <v>8.5</v>
      </c>
      <c r="AH34" s="182">
        <v>10.333333333333332</v>
      </c>
      <c r="AI34" s="182">
        <v>12.166666666666666</v>
      </c>
      <c r="AJ34" s="182">
        <v>14</v>
      </c>
    </row>
    <row r="35" spans="2:36">
      <c r="B35" s="57"/>
      <c r="C35" s="42" t="s">
        <v>276</v>
      </c>
      <c r="D35" s="58"/>
      <c r="E35" s="58"/>
      <c r="F35" s="58"/>
      <c r="G35" s="58"/>
      <c r="H35" s="197">
        <f>H34/D34-1</f>
        <v>1.0031816823316912</v>
      </c>
      <c r="I35" s="197">
        <f t="shared" ref="I35:W35" si="49">I34/E34-1</f>
        <v>1.7013288210862432</v>
      </c>
      <c r="J35" s="197">
        <f t="shared" si="49"/>
        <v>-0.13741913263327565</v>
      </c>
      <c r="K35" s="197">
        <f t="shared" si="49"/>
        <v>0.39480355953360591</v>
      </c>
      <c r="L35" s="197">
        <f t="shared" si="49"/>
        <v>0.97098636271802974</v>
      </c>
      <c r="M35" s="197">
        <f t="shared" si="49"/>
        <v>0.60262012376725949</v>
      </c>
      <c r="N35" s="197">
        <f t="shared" si="49"/>
        <v>-3.9016626278695621E-2</v>
      </c>
      <c r="O35" s="197">
        <f t="shared" si="49"/>
        <v>0.39572670776344765</v>
      </c>
      <c r="P35" s="197">
        <f t="shared" si="49"/>
        <v>-8.7637450595595801E-2</v>
      </c>
      <c r="Q35" s="197">
        <f t="shared" si="49"/>
        <v>-0.39568146700719797</v>
      </c>
      <c r="R35" s="197">
        <f t="shared" si="49"/>
        <v>0.88168717748238867</v>
      </c>
      <c r="S35" s="197">
        <f t="shared" si="49"/>
        <v>0.95789077049660265</v>
      </c>
      <c r="T35" s="197">
        <f t="shared" si="49"/>
        <v>0.19482496194824961</v>
      </c>
      <c r="U35" s="197">
        <f t="shared" si="49"/>
        <v>0.18577648766328014</v>
      </c>
      <c r="V35" s="197">
        <f t="shared" si="49"/>
        <v>0.17753120665742039</v>
      </c>
      <c r="W35" s="197">
        <f t="shared" si="49"/>
        <v>0.16998671978751645</v>
      </c>
      <c r="X35" s="215"/>
      <c r="Y35" s="183"/>
      <c r="Z35" s="199"/>
      <c r="AB35" s="175" t="s">
        <v>463</v>
      </c>
      <c r="AC35" s="175" t="s">
        <v>459</v>
      </c>
      <c r="AD35" s="176">
        <v>2.9999999999999996</v>
      </c>
      <c r="AE35" s="176">
        <v>3.6666666666666661</v>
      </c>
      <c r="AF35" s="176">
        <v>4.333333333333333</v>
      </c>
      <c r="AG35" s="176">
        <v>5</v>
      </c>
      <c r="AH35" s="176">
        <v>5.666666666666667</v>
      </c>
      <c r="AI35" s="176">
        <v>6.3333333333333339</v>
      </c>
      <c r="AJ35" s="176">
        <v>7</v>
      </c>
    </row>
    <row r="36" spans="2:36">
      <c r="L36" s="193"/>
      <c r="M36" s="193">
        <f>M34/L34-1</f>
        <v>0.58327148169470555</v>
      </c>
      <c r="T36" s="90"/>
      <c r="U36" s="43"/>
      <c r="AC36" s="43" t="s">
        <v>460</v>
      </c>
      <c r="AD36" s="177">
        <v>3.9999999999999996</v>
      </c>
      <c r="AE36" s="177">
        <v>4.6666666666666661</v>
      </c>
      <c r="AF36" s="177">
        <v>5.333333333333333</v>
      </c>
      <c r="AG36" s="177">
        <v>6</v>
      </c>
      <c r="AH36" s="177">
        <v>6.666666666666667</v>
      </c>
      <c r="AI36" s="177">
        <v>7.3333333333333339</v>
      </c>
      <c r="AJ36" s="177">
        <v>8</v>
      </c>
    </row>
    <row r="37" spans="2:36">
      <c r="T37" s="90"/>
      <c r="U37" s="43"/>
      <c r="AB37" s="183"/>
      <c r="AC37" s="92" t="s">
        <v>461</v>
      </c>
      <c r="AD37" s="178">
        <v>3</v>
      </c>
      <c r="AE37" s="178">
        <v>4</v>
      </c>
      <c r="AF37" s="178">
        <v>5</v>
      </c>
      <c r="AG37" s="178">
        <v>6</v>
      </c>
      <c r="AH37" s="178">
        <v>7</v>
      </c>
      <c r="AI37" s="178">
        <v>8</v>
      </c>
      <c r="AJ37" s="178">
        <v>9</v>
      </c>
    </row>
    <row r="38" spans="2:36">
      <c r="B38" s="201" t="s">
        <v>288</v>
      </c>
      <c r="C38" s="202"/>
      <c r="D38" s="81" t="s">
        <v>0</v>
      </c>
      <c r="E38" s="82" t="s">
        <v>1</v>
      </c>
      <c r="F38" s="82" t="s">
        <v>2</v>
      </c>
      <c r="G38" s="82" t="s">
        <v>325</v>
      </c>
      <c r="H38" s="81" t="s">
        <v>4</v>
      </c>
      <c r="I38" s="82" t="s">
        <v>5</v>
      </c>
      <c r="J38" s="82" t="s">
        <v>6</v>
      </c>
      <c r="K38" s="82" t="s">
        <v>7</v>
      </c>
      <c r="L38" s="81" t="s">
        <v>8</v>
      </c>
      <c r="M38" s="82" t="s">
        <v>9</v>
      </c>
      <c r="N38" s="82" t="s">
        <v>10</v>
      </c>
      <c r="O38" s="82" t="s">
        <v>11</v>
      </c>
      <c r="P38" s="83" t="s">
        <v>265</v>
      </c>
      <c r="Q38" s="84" t="s">
        <v>266</v>
      </c>
      <c r="R38" s="84" t="s">
        <v>267</v>
      </c>
      <c r="S38" s="84" t="s">
        <v>268</v>
      </c>
      <c r="T38" s="83" t="s">
        <v>279</v>
      </c>
      <c r="U38" s="84" t="s">
        <v>280</v>
      </c>
      <c r="V38" s="84" t="s">
        <v>281</v>
      </c>
      <c r="W38" s="84" t="s">
        <v>282</v>
      </c>
      <c r="X38" s="212">
        <v>2024</v>
      </c>
      <c r="Y38" s="87" t="s">
        <v>286</v>
      </c>
      <c r="Z38" s="88" t="s">
        <v>287</v>
      </c>
      <c r="AB38" s="175" t="s">
        <v>473</v>
      </c>
      <c r="AC38" s="175" t="s">
        <v>459</v>
      </c>
      <c r="AD38" s="176">
        <f>AVERAGE(AD29,AD32,AD35)</f>
        <v>5.6000000000000005</v>
      </c>
      <c r="AE38" s="176">
        <f t="shared" ref="AE38:AJ38" si="50">AVERAGE(AE29,AE32,AE35)</f>
        <v>6.1444444444444448</v>
      </c>
      <c r="AF38" s="176">
        <f t="shared" si="50"/>
        <v>6.6888888888888891</v>
      </c>
      <c r="AG38" s="176">
        <f t="shared" si="50"/>
        <v>7.2333333333333334</v>
      </c>
      <c r="AH38" s="176">
        <f t="shared" si="50"/>
        <v>7.7777777777777777</v>
      </c>
      <c r="AI38" s="176">
        <f t="shared" si="50"/>
        <v>8.3222222222222229</v>
      </c>
      <c r="AJ38" s="176">
        <f t="shared" si="50"/>
        <v>8.8666666666666671</v>
      </c>
    </row>
    <row r="39" spans="2:36">
      <c r="B39" s="89" t="s">
        <v>293</v>
      </c>
      <c r="C39" s="43"/>
      <c r="D39" s="194">
        <v>2468.9226600000002</v>
      </c>
      <c r="E39" s="194">
        <v>2443.5705499999999</v>
      </c>
      <c r="F39" s="194">
        <v>2507.64518</v>
      </c>
      <c r="G39" s="194">
        <v>2281.3472000000002</v>
      </c>
      <c r="H39" s="194">
        <v>2568.3709100000001</v>
      </c>
      <c r="I39" s="194">
        <v>2161.6155699999999</v>
      </c>
      <c r="J39" s="194">
        <v>2315.9367400000001</v>
      </c>
      <c r="K39" s="194">
        <v>2245.4535599999999</v>
      </c>
      <c r="L39" s="194">
        <v>2256.8672000000001</v>
      </c>
      <c r="M39" s="194">
        <v>1498.8211800000001</v>
      </c>
      <c r="N39" s="194">
        <v>1340.1592799999999</v>
      </c>
      <c r="O39" s="194">
        <v>1596.50946</v>
      </c>
      <c r="P39" s="91">
        <v>1673.0892800000001</v>
      </c>
      <c r="Q39" s="91">
        <v>1759.4365320138336</v>
      </c>
      <c r="R39" s="91">
        <v>1845.783784027667</v>
      </c>
      <c r="S39" s="91">
        <v>1932.1310360415005</v>
      </c>
      <c r="T39" s="91">
        <v>2018.4782880553339</v>
      </c>
      <c r="U39" s="91">
        <v>2104.8255400691669</v>
      </c>
      <c r="V39" s="91">
        <v>2191.1727920830008</v>
      </c>
      <c r="W39" s="194">
        <f>AVERAGE(L39:O39)*AF40/AD40</f>
        <v>2277.5200440968342</v>
      </c>
      <c r="X39" s="213">
        <f>SUM(L39:O39)</f>
        <v>6692.3571200000006</v>
      </c>
      <c r="Y39" s="195">
        <f>SUM(P39:S39)</f>
        <v>7210.4406320830021</v>
      </c>
      <c r="Z39" s="196">
        <f>SUM(T39:W39)</f>
        <v>8591.9966643043354</v>
      </c>
      <c r="AC39" s="43" t="s">
        <v>460</v>
      </c>
      <c r="AD39" s="177">
        <f>AVERAGE(AD30,AD33,AD36)</f>
        <v>21.899999999999995</v>
      </c>
      <c r="AE39" s="177">
        <f t="shared" ref="AE39:AJ39" si="51">AVERAGE(AE30,AE33,AE36)</f>
        <v>25.633333333333329</v>
      </c>
      <c r="AF39" s="177">
        <f t="shared" si="51"/>
        <v>29.366666666666664</v>
      </c>
      <c r="AG39" s="177">
        <f t="shared" si="51"/>
        <v>33.1</v>
      </c>
      <c r="AH39" s="177">
        <f t="shared" si="51"/>
        <v>36.833333333333336</v>
      </c>
      <c r="AI39" s="177">
        <f t="shared" si="51"/>
        <v>40.56666666666667</v>
      </c>
      <c r="AJ39" s="177">
        <f t="shared" si="51"/>
        <v>44.300000000000004</v>
      </c>
    </row>
    <row r="40" spans="2:36">
      <c r="B40" s="57"/>
      <c r="C40" s="42" t="s">
        <v>276</v>
      </c>
      <c r="D40" s="200"/>
      <c r="E40" s="200"/>
      <c r="F40" s="200"/>
      <c r="G40" s="200"/>
      <c r="H40" s="197">
        <f t="shared" ref="H40:W40" si="52">H39/D39-1</f>
        <v>4.0280018329938327E-2</v>
      </c>
      <c r="I40" s="197">
        <f t="shared" si="52"/>
        <v>-0.11538647001618185</v>
      </c>
      <c r="J40" s="197">
        <f t="shared" si="52"/>
        <v>-7.6449587656575835E-2</v>
      </c>
      <c r="K40" s="197">
        <f t="shared" si="52"/>
        <v>-1.5733527978555983E-2</v>
      </c>
      <c r="L40" s="197">
        <f t="shared" si="52"/>
        <v>-0.12128454997958216</v>
      </c>
      <c r="M40" s="197">
        <f t="shared" si="52"/>
        <v>-0.30661991854546078</v>
      </c>
      <c r="N40" s="197">
        <f t="shared" si="52"/>
        <v>-0.42133165519883764</v>
      </c>
      <c r="O40" s="197">
        <f t="shared" si="52"/>
        <v>-0.28900357217808592</v>
      </c>
      <c r="P40" s="197">
        <f t="shared" si="52"/>
        <v>-0.25866737750453372</v>
      </c>
      <c r="Q40" s="197">
        <f t="shared" si="52"/>
        <v>0.17388021699415357</v>
      </c>
      <c r="R40" s="197">
        <f t="shared" si="52"/>
        <v>0.37728687296607544</v>
      </c>
      <c r="S40" s="197">
        <f t="shared" si="52"/>
        <v>0.21022210293793098</v>
      </c>
      <c r="T40" s="197">
        <f t="shared" si="52"/>
        <v>0.20643788241553596</v>
      </c>
      <c r="U40" s="197">
        <f t="shared" si="52"/>
        <v>0.1963066025803184</v>
      </c>
      <c r="V40" s="197">
        <f t="shared" si="52"/>
        <v>0.18712322160598016</v>
      </c>
      <c r="W40" s="197">
        <f t="shared" si="52"/>
        <v>0.1787606542271365</v>
      </c>
      <c r="X40" s="215"/>
      <c r="Y40" s="183"/>
      <c r="Z40" s="199"/>
      <c r="AB40" s="183"/>
      <c r="AC40" s="92" t="s">
        <v>461</v>
      </c>
      <c r="AD40" s="178">
        <f>AVERAGE(AD31,AD34,AD37)</f>
        <v>5.9666666666666677</v>
      </c>
      <c r="AE40" s="178">
        <f t="shared" ref="AE40:AJ40" si="53">AVERAGE(AE31,AE34,AE37)</f>
        <v>7.0444444444444452</v>
      </c>
      <c r="AF40" s="178">
        <f t="shared" si="53"/>
        <v>8.1222222222222236</v>
      </c>
      <c r="AG40" s="178">
        <f t="shared" si="53"/>
        <v>9.2000000000000011</v>
      </c>
      <c r="AH40" s="178">
        <f t="shared" si="53"/>
        <v>10.277777777777779</v>
      </c>
      <c r="AI40" s="178">
        <f t="shared" si="53"/>
        <v>11.355555555555556</v>
      </c>
      <c r="AJ40" s="178">
        <f t="shared" si="53"/>
        <v>12.433333333333335</v>
      </c>
    </row>
    <row r="43" spans="2:36">
      <c r="B43" s="79" t="s">
        <v>288</v>
      </c>
      <c r="C43" s="80"/>
      <c r="D43" s="80"/>
      <c r="E43" s="82" t="s">
        <v>11</v>
      </c>
      <c r="F43" s="83" t="s">
        <v>265</v>
      </c>
      <c r="G43" s="84" t="s">
        <v>266</v>
      </c>
      <c r="H43" s="84" t="s">
        <v>267</v>
      </c>
      <c r="I43" s="84" t="s">
        <v>268</v>
      </c>
      <c r="J43" s="83" t="s">
        <v>279</v>
      </c>
      <c r="K43" s="84" t="s">
        <v>280</v>
      </c>
      <c r="L43" s="84" t="s">
        <v>281</v>
      </c>
      <c r="M43" s="85" t="s">
        <v>282</v>
      </c>
      <c r="N43" s="86">
        <v>2024</v>
      </c>
      <c r="O43" s="87" t="s">
        <v>286</v>
      </c>
      <c r="P43" s="88" t="s">
        <v>287</v>
      </c>
    </row>
    <row r="44" spans="2:36">
      <c r="B44" s="89" t="s">
        <v>294</v>
      </c>
      <c r="C44" s="43"/>
      <c r="D44" s="43"/>
      <c r="E44" s="43">
        <f>E46*E47</f>
        <v>3311.9999999999986</v>
      </c>
      <c r="F44" s="43">
        <f>F46*F47</f>
        <v>4554</v>
      </c>
      <c r="G44" s="43">
        <f t="shared" ref="G44:M44" si="54">G46*G47</f>
        <v>5796</v>
      </c>
      <c r="H44" s="43">
        <f t="shared" si="54"/>
        <v>7037.9999999999991</v>
      </c>
      <c r="I44" s="43">
        <f t="shared" si="54"/>
        <v>8280</v>
      </c>
      <c r="J44" s="43">
        <f t="shared" si="54"/>
        <v>9522</v>
      </c>
      <c r="K44" s="43">
        <f t="shared" si="54"/>
        <v>10764</v>
      </c>
      <c r="L44" s="43">
        <f t="shared" si="54"/>
        <v>12005.999999999998</v>
      </c>
      <c r="M44" s="44">
        <f t="shared" si="54"/>
        <v>13247.999999999998</v>
      </c>
      <c r="N44" s="43">
        <f>E44</f>
        <v>3311.9999999999986</v>
      </c>
      <c r="O44" s="43">
        <f>SUM(F44:I44)</f>
        <v>25668</v>
      </c>
      <c r="P44" s="44">
        <f>SUM(J44:M44)</f>
        <v>45540</v>
      </c>
      <c r="Q44" s="43"/>
    </row>
    <row r="45" spans="2:36">
      <c r="B45" s="216"/>
      <c r="C45" s="42" t="s">
        <v>276</v>
      </c>
      <c r="D45" s="58"/>
      <c r="E45" s="58"/>
      <c r="F45" s="58"/>
      <c r="G45" s="58"/>
      <c r="H45" s="58"/>
      <c r="I45" s="58">
        <f>I44/E44-1</f>
        <v>1.5000000000000009</v>
      </c>
      <c r="J45" s="58">
        <f t="shared" ref="J45:M45" si="55">J44/F44-1</f>
        <v>1.0909090909090908</v>
      </c>
      <c r="K45" s="58">
        <f t="shared" si="55"/>
        <v>0.85714285714285721</v>
      </c>
      <c r="L45" s="58">
        <f t="shared" si="55"/>
        <v>0.70588235294117641</v>
      </c>
      <c r="M45" s="59">
        <f t="shared" si="55"/>
        <v>0.59999999999999987</v>
      </c>
      <c r="N45" s="58"/>
      <c r="O45" s="58">
        <f>O44/N44-1</f>
        <v>6.7500000000000036</v>
      </c>
      <c r="P45" s="59">
        <f>P44/O44-1</f>
        <v>0.77419354838709675</v>
      </c>
      <c r="Q45" s="73"/>
    </row>
    <row r="46" spans="2:36" s="32" customFormat="1">
      <c r="B46" s="45"/>
      <c r="C46" s="187" t="s">
        <v>474</v>
      </c>
      <c r="D46" s="43"/>
      <c r="E46" s="43">
        <v>24.999999999999993</v>
      </c>
      <c r="F46" s="43">
        <v>34.375</v>
      </c>
      <c r="G46" s="43">
        <v>43.75</v>
      </c>
      <c r="H46" s="43">
        <v>53.125</v>
      </c>
      <c r="I46" s="43">
        <v>62.5</v>
      </c>
      <c r="J46" s="43">
        <v>71.875</v>
      </c>
      <c r="K46" s="43">
        <v>81.25</v>
      </c>
      <c r="L46" s="43">
        <v>90.625</v>
      </c>
      <c r="M46" s="47">
        <v>100</v>
      </c>
      <c r="N46" s="43"/>
      <c r="O46" s="43">
        <f>SUM(F46:I46)</f>
        <v>193.75</v>
      </c>
      <c r="P46" s="47">
        <f>SUM(J46:M46)</f>
        <v>343.75</v>
      </c>
      <c r="Q46" s="43"/>
    </row>
    <row r="47" spans="2:36">
      <c r="B47" s="93"/>
      <c r="C47" s="188" t="s">
        <v>475</v>
      </c>
      <c r="D47" s="94"/>
      <c r="E47" s="94">
        <f>90000*1472/1000000</f>
        <v>132.47999999999999</v>
      </c>
      <c r="F47" s="94">
        <f t="shared" ref="F47:M47" si="56">90000*1472/1000000</f>
        <v>132.47999999999999</v>
      </c>
      <c r="G47" s="94">
        <f t="shared" si="56"/>
        <v>132.47999999999999</v>
      </c>
      <c r="H47" s="94">
        <f t="shared" si="56"/>
        <v>132.47999999999999</v>
      </c>
      <c r="I47" s="94">
        <f t="shared" si="56"/>
        <v>132.47999999999999</v>
      </c>
      <c r="J47" s="94">
        <f t="shared" si="56"/>
        <v>132.47999999999999</v>
      </c>
      <c r="K47" s="94">
        <f t="shared" si="56"/>
        <v>132.47999999999999</v>
      </c>
      <c r="L47" s="94">
        <f t="shared" si="56"/>
        <v>132.47999999999999</v>
      </c>
      <c r="M47" s="95">
        <f t="shared" si="56"/>
        <v>132.47999999999999</v>
      </c>
      <c r="N47" s="94"/>
      <c r="O47" s="94"/>
      <c r="P47" s="95"/>
      <c r="Q47" s="186"/>
    </row>
    <row r="50" spans="2:30">
      <c r="B50" s="79" t="s">
        <v>288</v>
      </c>
      <c r="C50" s="80"/>
      <c r="D50" s="80"/>
      <c r="E50" s="84" t="s">
        <v>268</v>
      </c>
      <c r="F50" s="83" t="s">
        <v>279</v>
      </c>
      <c r="G50" s="84" t="s">
        <v>280</v>
      </c>
      <c r="H50" s="84" t="s">
        <v>281</v>
      </c>
      <c r="I50" s="84" t="s">
        <v>282</v>
      </c>
      <c r="J50" s="217" t="s">
        <v>286</v>
      </c>
      <c r="K50" s="88" t="s">
        <v>287</v>
      </c>
      <c r="O50" s="454" t="s">
        <v>670</v>
      </c>
      <c r="P50" s="454"/>
      <c r="Q50" s="455" t="s">
        <v>671</v>
      </c>
    </row>
    <row r="51" spans="2:30">
      <c r="B51" s="89" t="s">
        <v>295</v>
      </c>
      <c r="C51" s="43"/>
      <c r="D51" s="43"/>
      <c r="E51" s="43">
        <f>E44*0.4*1.8</f>
        <v>2384.639999999999</v>
      </c>
      <c r="F51" s="43">
        <f>F44*0.4*1.8</f>
        <v>3278.88</v>
      </c>
      <c r="G51" s="43">
        <f>G44*0.4*1.8</f>
        <v>4173.12</v>
      </c>
      <c r="H51" s="43">
        <f>H44*0.4*1.8</f>
        <v>5067.3599999999997</v>
      </c>
      <c r="I51" s="43">
        <f>I44*0.4*1.8</f>
        <v>5961.6</v>
      </c>
      <c r="J51" s="45">
        <f>E51</f>
        <v>2384.639999999999</v>
      </c>
      <c r="K51" s="47">
        <f>SUM(F51:I51)</f>
        <v>18480.96</v>
      </c>
      <c r="O51" s="456" t="s">
        <v>672</v>
      </c>
      <c r="P51" s="457"/>
      <c r="Q51" s="457">
        <v>2709000</v>
      </c>
    </row>
    <row r="52" spans="2:30">
      <c r="B52" s="57"/>
      <c r="C52" s="42" t="s">
        <v>276</v>
      </c>
      <c r="D52" s="58"/>
      <c r="E52" s="58"/>
      <c r="F52" s="58"/>
      <c r="G52" s="58"/>
      <c r="H52" s="58"/>
      <c r="I52" s="58">
        <f>I51/E51-1</f>
        <v>1.5000000000000013</v>
      </c>
      <c r="J52" s="57"/>
      <c r="K52" s="59">
        <f>K51/J51-1</f>
        <v>6.7500000000000027</v>
      </c>
      <c r="O52" s="90" t="s">
        <v>294</v>
      </c>
      <c r="P52" s="90"/>
      <c r="Q52" s="90">
        <v>1147000</v>
      </c>
    </row>
    <row r="53" spans="2:30">
      <c r="O53" s="90" t="s">
        <v>295</v>
      </c>
      <c r="P53" s="90"/>
      <c r="Q53" s="90">
        <v>460000</v>
      </c>
      <c r="R53" s="458">
        <f>Q53/Q51</f>
        <v>0.16980435585086748</v>
      </c>
      <c r="S53" s="458">
        <f>Q53/Q52</f>
        <v>0.40104620749782038</v>
      </c>
      <c r="T53" s="459"/>
    </row>
    <row r="54" spans="2:30" s="23" customFormat="1">
      <c r="K54" s="130"/>
      <c r="L54" s="130"/>
      <c r="M54" s="130"/>
      <c r="O54" s="457" t="s">
        <v>296</v>
      </c>
      <c r="P54" s="457"/>
      <c r="Q54" s="457">
        <v>176000</v>
      </c>
      <c r="R54" s="458">
        <f>Q54/Q51</f>
        <v>6.4968623108157986E-2</v>
      </c>
      <c r="S54" s="458">
        <f>Q54/Q52</f>
        <v>0.15344376634699217</v>
      </c>
      <c r="T54" s="166"/>
    </row>
    <row r="55" spans="2:30" s="43" customFormat="1">
      <c r="B55" s="79" t="s">
        <v>288</v>
      </c>
      <c r="C55" s="80"/>
      <c r="D55" s="80"/>
      <c r="E55" s="83" t="s">
        <v>279</v>
      </c>
      <c r="F55" s="84" t="s">
        <v>280</v>
      </c>
      <c r="G55" s="84" t="s">
        <v>281</v>
      </c>
      <c r="H55" s="85" t="s">
        <v>282</v>
      </c>
      <c r="I55" s="88" t="s">
        <v>287</v>
      </c>
      <c r="K55" s="91"/>
      <c r="L55" s="91"/>
      <c r="M55" s="91"/>
      <c r="O55" s="23"/>
      <c r="P55" s="23"/>
      <c r="Q55" s="23"/>
      <c r="R55" s="23"/>
      <c r="S55" s="23"/>
    </row>
    <row r="56" spans="2:30" s="43" customFormat="1" ht="16.8">
      <c r="B56" s="89" t="s">
        <v>296</v>
      </c>
      <c r="F56" s="91"/>
      <c r="G56" s="43">
        <f>E44*S54*1.58</f>
        <v>802.96509154315584</v>
      </c>
      <c r="H56" s="44">
        <f>F44*S54*1.58</f>
        <v>1104.0770008718396</v>
      </c>
      <c r="I56" s="44">
        <f>G56+H56</f>
        <v>1907.0420924149953</v>
      </c>
      <c r="K56" s="131"/>
      <c r="L56" s="132"/>
      <c r="M56" s="91"/>
    </row>
    <row r="57" spans="2:30" s="74" customFormat="1" ht="16.8">
      <c r="B57" s="218"/>
      <c r="C57" s="42" t="s">
        <v>276</v>
      </c>
      <c r="D57" s="92"/>
      <c r="E57" s="219"/>
      <c r="F57" s="220"/>
      <c r="G57" s="220"/>
      <c r="H57" s="221"/>
      <c r="I57" s="198"/>
      <c r="K57" s="131"/>
      <c r="L57" s="132"/>
      <c r="M57" s="133"/>
    </row>
    <row r="59" spans="2:30">
      <c r="AD59" s="22" t="s">
        <v>481</v>
      </c>
    </row>
    <row r="60" spans="2:30">
      <c r="B60" s="79" t="s">
        <v>288</v>
      </c>
      <c r="C60" s="80"/>
      <c r="D60" s="80"/>
      <c r="E60" s="81" t="s">
        <v>0</v>
      </c>
      <c r="F60" s="82" t="s">
        <v>1</v>
      </c>
      <c r="G60" s="82" t="s">
        <v>2</v>
      </c>
      <c r="H60" s="82" t="s">
        <v>325</v>
      </c>
      <c r="I60" s="81" t="s">
        <v>332</v>
      </c>
      <c r="J60" s="82" t="s">
        <v>5</v>
      </c>
      <c r="K60" s="82" t="s">
        <v>6</v>
      </c>
      <c r="L60" s="82" t="s">
        <v>7</v>
      </c>
      <c r="M60" s="81" t="s">
        <v>8</v>
      </c>
      <c r="N60" s="82" t="s">
        <v>9</v>
      </c>
      <c r="O60" s="82" t="s">
        <v>10</v>
      </c>
      <c r="P60" s="82" t="s">
        <v>11</v>
      </c>
      <c r="Q60" s="83" t="s">
        <v>265</v>
      </c>
      <c r="R60" s="84" t="s">
        <v>266</v>
      </c>
      <c r="S60" s="84" t="s">
        <v>267</v>
      </c>
      <c r="T60" s="84" t="s">
        <v>268</v>
      </c>
      <c r="U60" s="83" t="s">
        <v>279</v>
      </c>
      <c r="V60" s="84" t="s">
        <v>280</v>
      </c>
      <c r="W60" s="84" t="s">
        <v>281</v>
      </c>
      <c r="X60" s="85" t="s">
        <v>282</v>
      </c>
      <c r="Y60" s="86">
        <v>2024</v>
      </c>
      <c r="Z60" s="87" t="s">
        <v>286</v>
      </c>
      <c r="AA60" s="88" t="s">
        <v>287</v>
      </c>
      <c r="AC60" s="207" t="s">
        <v>479</v>
      </c>
      <c r="AD60" s="203" t="s">
        <v>480</v>
      </c>
    </row>
    <row r="61" spans="2:30">
      <c r="B61" s="89" t="s">
        <v>297</v>
      </c>
      <c r="C61" s="43"/>
      <c r="D61" s="43"/>
      <c r="E61" s="60">
        <v>11789</v>
      </c>
      <c r="F61" s="60">
        <f>19559-E61</f>
        <v>7770</v>
      </c>
      <c r="G61" s="60">
        <f>23586-E61-F61</f>
        <v>4027</v>
      </c>
      <c r="H61" s="60">
        <f>29903-SUM(E61:G61)</f>
        <v>6317</v>
      </c>
      <c r="I61" s="60">
        <f>5893</f>
        <v>5893</v>
      </c>
      <c r="J61" s="60">
        <f>11544-I61</f>
        <v>5651</v>
      </c>
      <c r="K61" s="60">
        <f>19589-I61-J61</f>
        <v>8045</v>
      </c>
      <c r="L61" s="60">
        <f>26822-SUM(I61:K61)</f>
        <v>7233</v>
      </c>
      <c r="M61" s="60">
        <f>6537</f>
        <v>6537</v>
      </c>
      <c r="N61" s="60">
        <f>13130-M61</f>
        <v>6593</v>
      </c>
      <c r="O61" s="60">
        <f>19296-N61-M61</f>
        <v>6166</v>
      </c>
      <c r="P61" s="60">
        <v>7005.9999999999991</v>
      </c>
      <c r="Q61" s="60">
        <v>7505.1883519206931</v>
      </c>
      <c r="R61" s="60">
        <v>8004.3767038413871</v>
      </c>
      <c r="S61" s="60">
        <v>8503.5650557620811</v>
      </c>
      <c r="T61" s="60">
        <v>9002.753407682776</v>
      </c>
      <c r="U61" s="60">
        <v>9501.9417596034691</v>
      </c>
      <c r="V61" s="60">
        <v>10001.130111524164</v>
      </c>
      <c r="W61" s="60">
        <v>10500.318463444857</v>
      </c>
      <c r="X61" s="44">
        <v>10999.506815365552</v>
      </c>
      <c r="Y61" s="43">
        <f>SUM(M61:P61)</f>
        <v>26302</v>
      </c>
      <c r="Z61" s="43">
        <f>SUM(Q61:T61)</f>
        <v>33015.883519206938</v>
      </c>
      <c r="AA61" s="44">
        <f>SUM(U61:X61)</f>
        <v>41002.897149938042</v>
      </c>
      <c r="AC61" s="208">
        <v>2015</v>
      </c>
      <c r="AD61" s="204">
        <v>598</v>
      </c>
    </row>
    <row r="62" spans="2:30">
      <c r="B62" s="57"/>
      <c r="C62" s="42" t="s">
        <v>276</v>
      </c>
      <c r="D62" s="58"/>
      <c r="E62" s="58"/>
      <c r="F62" s="58"/>
      <c r="G62" s="58"/>
      <c r="H62" s="58"/>
      <c r="I62" s="58">
        <f>I61/E61-1</f>
        <v>-0.50012723725506825</v>
      </c>
      <c r="J62" s="58">
        <f t="shared" ref="J62:X62" si="57">J61/F61-1</f>
        <v>-0.27271557271557267</v>
      </c>
      <c r="K62" s="58">
        <f t="shared" si="57"/>
        <v>0.99776508567171596</v>
      </c>
      <c r="L62" s="58">
        <f t="shared" si="57"/>
        <v>0.14500554060471749</v>
      </c>
      <c r="M62" s="58">
        <f t="shared" si="57"/>
        <v>0.10928219921941285</v>
      </c>
      <c r="N62" s="58">
        <f t="shared" si="57"/>
        <v>0.16669615997168652</v>
      </c>
      <c r="O62" s="58">
        <f t="shared" si="57"/>
        <v>-0.23356121814791797</v>
      </c>
      <c r="P62" s="58">
        <f t="shared" si="57"/>
        <v>-3.1383934743536734E-2</v>
      </c>
      <c r="Q62" s="58">
        <f t="shared" si="57"/>
        <v>0.14810897229932585</v>
      </c>
      <c r="R62" s="58">
        <f t="shared" si="57"/>
        <v>0.21407200118935044</v>
      </c>
      <c r="S62" s="58">
        <f t="shared" si="57"/>
        <v>0.37910558802498873</v>
      </c>
      <c r="T62" s="58">
        <f t="shared" si="57"/>
        <v>0.28500619578686504</v>
      </c>
      <c r="U62" s="58">
        <f t="shared" si="57"/>
        <v>0.2660497397339503</v>
      </c>
      <c r="V62" s="58">
        <f t="shared" si="57"/>
        <v>0.24945770065075945</v>
      </c>
      <c r="W62" s="58">
        <f t="shared" si="57"/>
        <v>0.23481368044920892</v>
      </c>
      <c r="X62" s="59">
        <f t="shared" si="57"/>
        <v>0.22179363548698161</v>
      </c>
      <c r="Y62" s="58"/>
      <c r="Z62" s="58">
        <f>Z61/Y61-1</f>
        <v>0.25526133066713319</v>
      </c>
      <c r="AA62" s="59">
        <f>AA61/Z61-1</f>
        <v>0.24191427820142009</v>
      </c>
      <c r="AC62" s="208">
        <v>2016</v>
      </c>
      <c r="AD62" s="204">
        <v>807</v>
      </c>
    </row>
    <row r="63" spans="2:30">
      <c r="AC63" s="208">
        <v>2017</v>
      </c>
      <c r="AD63" s="204">
        <v>417</v>
      </c>
    </row>
    <row r="64" spans="2:30">
      <c r="AC64" s="208">
        <v>2018</v>
      </c>
      <c r="AD64" s="204">
        <v>478</v>
      </c>
    </row>
    <row r="65" spans="2:31">
      <c r="AC65" s="208">
        <v>2019</v>
      </c>
      <c r="AD65" s="204">
        <v>602</v>
      </c>
    </row>
    <row r="66" spans="2:31">
      <c r="AC66" s="208">
        <v>2020</v>
      </c>
      <c r="AD66" s="204">
        <v>69</v>
      </c>
    </row>
    <row r="67" spans="2:31">
      <c r="AC67" s="208">
        <v>2021</v>
      </c>
      <c r="AD67" s="204">
        <v>17</v>
      </c>
    </row>
    <row r="68" spans="2:31">
      <c r="AC68" s="208">
        <v>2022</v>
      </c>
      <c r="AD68" s="204">
        <v>23</v>
      </c>
    </row>
    <row r="69" spans="2:31">
      <c r="AC69" s="208">
        <v>2023</v>
      </c>
      <c r="AD69" s="204">
        <v>204</v>
      </c>
    </row>
    <row r="70" spans="2:31">
      <c r="AC70" s="209">
        <v>2024</v>
      </c>
      <c r="AD70" s="205">
        <v>460</v>
      </c>
      <c r="AE70" s="206">
        <f>AD70/AD62</f>
        <v>0.57001239157372985</v>
      </c>
    </row>
    <row r="73" spans="2:31">
      <c r="AC73" s="23"/>
      <c r="AD73" s="23"/>
    </row>
    <row r="74" spans="2:31" s="23" customFormat="1">
      <c r="B74" s="79" t="s">
        <v>288</v>
      </c>
      <c r="C74" s="80"/>
      <c r="D74" s="80"/>
      <c r="E74" s="81" t="s">
        <v>0</v>
      </c>
      <c r="F74" s="82" t="s">
        <v>1</v>
      </c>
      <c r="G74" s="82" t="s">
        <v>2</v>
      </c>
      <c r="H74" s="82" t="s">
        <v>325</v>
      </c>
      <c r="I74" s="81" t="s">
        <v>4</v>
      </c>
      <c r="J74" s="82" t="s">
        <v>5</v>
      </c>
      <c r="K74" s="82" t="s">
        <v>6</v>
      </c>
      <c r="L74" s="82" t="s">
        <v>7</v>
      </c>
      <c r="M74" s="81" t="s">
        <v>8</v>
      </c>
      <c r="N74" s="82" t="s">
        <v>9</v>
      </c>
      <c r="O74" s="82" t="s">
        <v>10</v>
      </c>
      <c r="P74" s="82" t="s">
        <v>11</v>
      </c>
      <c r="Q74" s="83" t="s">
        <v>265</v>
      </c>
      <c r="R74" s="84" t="s">
        <v>266</v>
      </c>
      <c r="S74" s="84" t="s">
        <v>267</v>
      </c>
      <c r="T74" s="84" t="s">
        <v>268</v>
      </c>
      <c r="U74" s="83" t="s">
        <v>279</v>
      </c>
      <c r="V74" s="84" t="s">
        <v>280</v>
      </c>
      <c r="W74" s="84" t="s">
        <v>281</v>
      </c>
      <c r="X74" s="85" t="s">
        <v>282</v>
      </c>
      <c r="Y74" s="86">
        <v>2024</v>
      </c>
      <c r="Z74" s="87" t="s">
        <v>286</v>
      </c>
      <c r="AA74" s="88" t="s">
        <v>287</v>
      </c>
      <c r="AC74" s="43"/>
      <c r="AD74" s="43"/>
    </row>
    <row r="75" spans="2:31" s="43" customFormat="1" ht="16.8">
      <c r="B75" s="89" t="s">
        <v>272</v>
      </c>
      <c r="E75" s="91">
        <f>1864+130</f>
        <v>1994</v>
      </c>
      <c r="F75" s="91">
        <f>3991+308-E75</f>
        <v>2305</v>
      </c>
      <c r="G75" s="91">
        <f>5376+446-E75-F75</f>
        <v>1523</v>
      </c>
      <c r="H75" s="91">
        <f>7397+519-SUM(E75:G75)</f>
        <v>2094</v>
      </c>
      <c r="I75" s="91">
        <f>1042+126</f>
        <v>1168</v>
      </c>
      <c r="J75" s="91">
        <f>2449+251-I75</f>
        <v>1532</v>
      </c>
      <c r="K75" s="91">
        <f>3266+316-I75-J75</f>
        <v>882</v>
      </c>
      <c r="L75" s="91">
        <f>4770+325-SUM(I75:K75)</f>
        <v>1513</v>
      </c>
      <c r="M75" s="91">
        <f>1332+66</f>
        <v>1398</v>
      </c>
      <c r="N75" s="91">
        <f>2277+125-M75</f>
        <v>1004</v>
      </c>
      <c r="O75" s="91">
        <f>3395+203-N75-M75</f>
        <v>1196</v>
      </c>
      <c r="P75" s="91">
        <f>4524+363-SUM(M75:O75)</f>
        <v>1289</v>
      </c>
      <c r="Q75" s="43">
        <f>AVERAGE(M75:P75)</f>
        <v>1221.75</v>
      </c>
      <c r="R75" s="43">
        <f t="shared" ref="R75:X75" si="58">AVERAGE(N75:Q75)</f>
        <v>1177.6875</v>
      </c>
      <c r="S75" s="43">
        <f t="shared" si="58"/>
        <v>1221.109375</v>
      </c>
      <c r="T75" s="43">
        <f t="shared" si="58"/>
        <v>1227.38671875</v>
      </c>
      <c r="U75" s="43">
        <f t="shared" si="58"/>
        <v>1211.9833984375</v>
      </c>
      <c r="V75" s="43">
        <f t="shared" si="58"/>
        <v>1209.541748046875</v>
      </c>
      <c r="W75" s="43">
        <f t="shared" si="58"/>
        <v>1217.5053100585938</v>
      </c>
      <c r="X75" s="47">
        <f t="shared" si="58"/>
        <v>1216.6042938232422</v>
      </c>
      <c r="Y75" s="43">
        <f>SUM(M75:P75)</f>
        <v>4887</v>
      </c>
      <c r="Z75" s="43">
        <f>SUM(Q75:T75)</f>
        <v>4847.93359375</v>
      </c>
      <c r="AA75" s="44">
        <f>SUM(U75:X75)</f>
        <v>4855.6347503662109</v>
      </c>
      <c r="AC75" s="74"/>
      <c r="AD75" s="74"/>
    </row>
    <row r="76" spans="2:31" s="74" customFormat="1">
      <c r="B76" s="57"/>
      <c r="C76" s="42" t="s">
        <v>276</v>
      </c>
      <c r="D76" s="58"/>
      <c r="E76" s="58"/>
      <c r="F76" s="58"/>
      <c r="G76" s="58"/>
      <c r="H76" s="58"/>
      <c r="I76" s="58">
        <f t="shared" ref="I76:X76" si="59">I75/E75-1</f>
        <v>-0.41424272818455365</v>
      </c>
      <c r="J76" s="58">
        <f t="shared" si="59"/>
        <v>-0.33535791757049893</v>
      </c>
      <c r="K76" s="58">
        <f t="shared" si="59"/>
        <v>-0.42087984241628362</v>
      </c>
      <c r="L76" s="58">
        <f t="shared" si="59"/>
        <v>-0.27745940783190071</v>
      </c>
      <c r="M76" s="58">
        <f t="shared" si="59"/>
        <v>0.19691780821917804</v>
      </c>
      <c r="N76" s="58">
        <f t="shared" si="59"/>
        <v>-0.34464751958224538</v>
      </c>
      <c r="O76" s="58">
        <f t="shared" si="59"/>
        <v>0.35600907029478468</v>
      </c>
      <c r="P76" s="58">
        <f t="shared" si="59"/>
        <v>-0.14805023132848649</v>
      </c>
      <c r="Q76" s="58">
        <f t="shared" si="59"/>
        <v>-0.12607296137339052</v>
      </c>
      <c r="R76" s="58">
        <f t="shared" si="59"/>
        <v>0.17299551792828693</v>
      </c>
      <c r="S76" s="58">
        <f t="shared" si="59"/>
        <v>2.0994460702341122E-2</v>
      </c>
      <c r="T76" s="58">
        <f t="shared" si="59"/>
        <v>-4.7799287238169175E-2</v>
      </c>
      <c r="U76" s="58">
        <f t="shared" si="59"/>
        <v>-7.9939443932882659E-3</v>
      </c>
      <c r="V76" s="58">
        <f t="shared" si="59"/>
        <v>2.7048132927347091E-2</v>
      </c>
      <c r="W76" s="58">
        <f t="shared" si="59"/>
        <v>-2.9514677515323218E-3</v>
      </c>
      <c r="X76" s="59">
        <f t="shared" si="59"/>
        <v>-8.7848636147366266E-3</v>
      </c>
      <c r="Y76" s="58"/>
      <c r="Z76" s="58"/>
      <c r="AA76" s="59"/>
      <c r="AC76" s="22"/>
      <c r="AD76" s="22"/>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5DA2-E0D5-3746-8215-D465250390FE}">
  <dimension ref="A1:AU11"/>
  <sheetViews>
    <sheetView showGridLines="0" zoomScale="86" workbookViewId="0"/>
  </sheetViews>
  <sheetFormatPr defaultColWidth="10.8984375" defaultRowHeight="17.399999999999999"/>
  <cols>
    <col min="1" max="1" width="3" customWidth="1"/>
    <col min="2" max="2" width="2.8984375" customWidth="1"/>
  </cols>
  <sheetData>
    <row r="1" spans="1:47" s="68" customFormat="1" ht="18">
      <c r="A1" s="66" t="s">
        <v>298</v>
      </c>
      <c r="B1" s="66"/>
      <c r="C1" s="66"/>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row>
    <row r="2" spans="1:47" s="68" customFormat="1" ht="22.2">
      <c r="A2" s="69" t="s">
        <v>277</v>
      </c>
      <c r="B2" s="69"/>
      <c r="C2" s="69"/>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row>
    <row r="3" spans="1:47" s="68" customFormat="1" ht="18">
      <c r="A3" s="71" t="s">
        <v>278</v>
      </c>
      <c r="B3" s="71"/>
      <c r="C3" s="71"/>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row>
    <row r="4" spans="1:47" s="22" customFormat="1" ht="18"/>
    <row r="5" spans="1:47" s="23" customFormat="1" ht="18">
      <c r="B5" s="79" t="s">
        <v>288</v>
      </c>
      <c r="C5" s="80"/>
      <c r="D5" s="81" t="s">
        <v>0</v>
      </c>
      <c r="E5" s="82" t="s">
        <v>1</v>
      </c>
      <c r="F5" s="82" t="s">
        <v>2</v>
      </c>
      <c r="G5" s="82" t="s">
        <v>3</v>
      </c>
      <c r="H5" s="81" t="s">
        <v>4</v>
      </c>
      <c r="I5" s="82" t="s">
        <v>5</v>
      </c>
      <c r="J5" s="82" t="s">
        <v>6</v>
      </c>
      <c r="K5" s="82" t="s">
        <v>7</v>
      </c>
      <c r="L5" s="81" t="s">
        <v>8</v>
      </c>
      <c r="M5" s="82" t="s">
        <v>9</v>
      </c>
      <c r="N5" s="82" t="s">
        <v>10</v>
      </c>
      <c r="O5" s="82" t="s">
        <v>11</v>
      </c>
      <c r="P5" s="83" t="s">
        <v>265</v>
      </c>
      <c r="Q5" s="84" t="s">
        <v>266</v>
      </c>
      <c r="R5" s="84" t="s">
        <v>267</v>
      </c>
      <c r="S5" s="84" t="s">
        <v>268</v>
      </c>
      <c r="T5" s="83" t="s">
        <v>279</v>
      </c>
      <c r="U5" s="84" t="s">
        <v>280</v>
      </c>
      <c r="V5" s="84" t="s">
        <v>281</v>
      </c>
      <c r="W5" s="85" t="s">
        <v>282</v>
      </c>
      <c r="X5" s="86">
        <v>2024</v>
      </c>
      <c r="Y5" s="87" t="s">
        <v>286</v>
      </c>
      <c r="Z5" s="88" t="s">
        <v>287</v>
      </c>
    </row>
    <row r="6" spans="1:47" s="43" customFormat="1" ht="16.8">
      <c r="B6" s="89" t="s">
        <v>273</v>
      </c>
      <c r="D6" s="43">
        <v>11758</v>
      </c>
      <c r="E6" s="43">
        <v>11956</v>
      </c>
      <c r="F6" s="43">
        <v>15252</v>
      </c>
      <c r="G6" s="43">
        <v>16618</v>
      </c>
      <c r="H6" s="43">
        <v>18686</v>
      </c>
      <c r="I6" s="43">
        <v>26556</v>
      </c>
      <c r="J6" s="43">
        <v>15715</v>
      </c>
      <c r="K6" s="43">
        <v>20086</v>
      </c>
      <c r="L6" s="43">
        <v>26496</v>
      </c>
      <c r="M6" s="43">
        <v>26065</v>
      </c>
      <c r="N6" s="43">
        <v>26011</v>
      </c>
      <c r="O6" s="43">
        <v>31288</v>
      </c>
      <c r="P6" s="43">
        <f>의료기기!M6*1.01194946+534.756199</f>
        <v>32450.630217940001</v>
      </c>
      <c r="Q6" s="43">
        <f>의료기기!N6*1.01194946+534.756199</f>
        <v>29635.386820220003</v>
      </c>
      <c r="R6" s="43">
        <f>의료기기!O6*1.01194946+534.756199</f>
        <v>33324.63917927444</v>
      </c>
      <c r="S6" s="43">
        <f>의료기기!P6*1.01194946+534.756199</f>
        <v>36801.046005490665</v>
      </c>
      <c r="T6" s="43">
        <f>의료기기!Q6*1.01194946+534.756199</f>
        <v>39398.317960598048</v>
      </c>
      <c r="U6" s="43">
        <f>의료기기!R6*1.01194946+534.756199</f>
        <v>43497.968926278416</v>
      </c>
      <c r="V6" s="43">
        <f>의료기기!S6*1.01194946+534.756199</f>
        <v>46367.570489575141</v>
      </c>
      <c r="W6" s="47">
        <f>의료기기!T6*1.01194946+534.756199</f>
        <v>49703.713790909518</v>
      </c>
      <c r="X6" s="43">
        <f>SUM(L6:O6)</f>
        <v>109860</v>
      </c>
      <c r="Y6" s="43">
        <f>SUM(P6:S6)</f>
        <v>132211.70222292512</v>
      </c>
      <c r="Z6" s="44">
        <f>SUM(T6:W6)</f>
        <v>178967.57116736111</v>
      </c>
    </row>
    <row r="7" spans="1:47" s="53" customFormat="1" ht="15">
      <c r="B7" s="57"/>
      <c r="C7" s="42" t="s">
        <v>276</v>
      </c>
      <c r="D7" s="58"/>
      <c r="E7" s="58"/>
      <c r="F7" s="58"/>
      <c r="G7" s="58"/>
      <c r="H7" s="58">
        <f>H6/D6-1</f>
        <v>0.58921585303623059</v>
      </c>
      <c r="I7" s="58">
        <f t="shared" ref="I7:W7" si="0">I6/E6-1</f>
        <v>1.2211441953830713</v>
      </c>
      <c r="J7" s="58">
        <f t="shared" si="0"/>
        <v>3.0356674534487205E-2</v>
      </c>
      <c r="K7" s="58">
        <f t="shared" si="0"/>
        <v>0.20868937296906975</v>
      </c>
      <c r="L7" s="58">
        <f t="shared" si="0"/>
        <v>0.41795997003103924</v>
      </c>
      <c r="M7" s="58">
        <f t="shared" si="0"/>
        <v>-1.8489230305768989E-2</v>
      </c>
      <c r="N7" s="58">
        <f t="shared" si="0"/>
        <v>0.65517021953547561</v>
      </c>
      <c r="O7" s="58">
        <f t="shared" si="0"/>
        <v>0.55770188190779657</v>
      </c>
      <c r="P7" s="58">
        <f t="shared" si="0"/>
        <v>0.22473694965051338</v>
      </c>
      <c r="Q7" s="58">
        <f t="shared" si="0"/>
        <v>0.13698011970918866</v>
      </c>
      <c r="R7" s="58">
        <f t="shared" si="0"/>
        <v>0.28117485599455772</v>
      </c>
      <c r="S7" s="58">
        <f t="shared" si="0"/>
        <v>0.17620320907346798</v>
      </c>
      <c r="T7" s="58">
        <f t="shared" si="0"/>
        <v>0.21410024076565048</v>
      </c>
      <c r="U7" s="58">
        <f t="shared" si="0"/>
        <v>0.46777125570029932</v>
      </c>
      <c r="V7" s="58">
        <f t="shared" si="0"/>
        <v>0.39139002346385432</v>
      </c>
      <c r="W7" s="59">
        <f t="shared" si="0"/>
        <v>0.35060600678289933</v>
      </c>
      <c r="X7" s="58"/>
      <c r="Y7" s="58">
        <f>Y6/X6-1</f>
        <v>0.20345623723762163</v>
      </c>
      <c r="Z7" s="59">
        <f>Z6/Y6-1</f>
        <v>0.35364395252698477</v>
      </c>
    </row>
    <row r="8" spans="1:47" s="43" customFormat="1" thickBot="1"/>
    <row r="9" spans="1:47" s="53" customFormat="1">
      <c r="B9" s="55"/>
      <c r="C9" s="191"/>
      <c r="D9" s="191" t="s">
        <v>316</v>
      </c>
      <c r="E9" s="191" t="s">
        <v>305</v>
      </c>
      <c r="F9" s="191" t="s">
        <v>317</v>
      </c>
      <c r="G9" s="191" t="s">
        <v>318</v>
      </c>
      <c r="H9" s="191" t="s">
        <v>319</v>
      </c>
      <c r="I9" s="191" t="s">
        <v>320</v>
      </c>
      <c r="J9" s="191" t="s">
        <v>321</v>
      </c>
      <c r="K9" s="191" t="s">
        <v>322</v>
      </c>
      <c r="L9" s="55"/>
      <c r="M9" s="55"/>
      <c r="N9" s="55"/>
      <c r="O9" s="55"/>
      <c r="P9" s="55"/>
      <c r="Q9" s="55"/>
      <c r="R9" s="55"/>
      <c r="S9" s="55"/>
      <c r="T9" s="55"/>
      <c r="U9" s="55"/>
      <c r="V9" s="55"/>
      <c r="W9" s="55"/>
      <c r="X9" s="55"/>
      <c r="Y9" s="55"/>
      <c r="Z9" s="55"/>
    </row>
    <row r="10" spans="1:47" s="33" customFormat="1">
      <c r="B10" s="43"/>
      <c r="C10" t="s">
        <v>323</v>
      </c>
      <c r="D10">
        <v>534.75619875486882</v>
      </c>
      <c r="E10">
        <v>6488.9558887742205</v>
      </c>
      <c r="F10">
        <v>8.2410207115136608E-2</v>
      </c>
      <c r="G10">
        <v>0.93634515464080181</v>
      </c>
      <c r="H10">
        <v>-14428.802913915915</v>
      </c>
      <c r="I10">
        <v>15498.315311425653</v>
      </c>
      <c r="J10">
        <v>-14428.802913915915</v>
      </c>
      <c r="K10">
        <v>15498.315311425653</v>
      </c>
      <c r="L10" s="43"/>
      <c r="M10" s="43"/>
      <c r="N10" s="43"/>
      <c r="O10" s="43"/>
      <c r="P10" s="43"/>
      <c r="Q10" s="43"/>
      <c r="R10" s="43"/>
      <c r="S10" s="43"/>
      <c r="T10" s="43"/>
      <c r="U10" s="43"/>
      <c r="V10" s="43"/>
      <c r="W10" s="43"/>
      <c r="X10" s="43"/>
      <c r="Y10" s="43"/>
      <c r="Z10" s="43"/>
    </row>
    <row r="11" spans="1:47" s="77" customFormat="1" ht="18.600000000000001" thickBot="1">
      <c r="B11" s="189"/>
      <c r="C11" s="190" t="s">
        <v>478</v>
      </c>
      <c r="D11" s="190">
        <v>1.0119494643553013</v>
      </c>
      <c r="E11" s="190">
        <v>0.29670872714149082</v>
      </c>
      <c r="F11" s="190">
        <v>3.4105820684968773</v>
      </c>
      <c r="G11" s="190">
        <v>9.2152139924069273E-3</v>
      </c>
      <c r="H11" s="190">
        <v>0.32773791261585861</v>
      </c>
      <c r="I11" s="190">
        <v>1.696161016094744</v>
      </c>
      <c r="J11" s="190">
        <v>0.32773791261585861</v>
      </c>
      <c r="K11" s="190">
        <v>1.696161016094744</v>
      </c>
      <c r="L11" s="55"/>
      <c r="M11" s="55"/>
      <c r="N11" s="55"/>
      <c r="O11" s="55"/>
      <c r="P11" s="55"/>
      <c r="Q11" s="55"/>
      <c r="R11" s="55"/>
      <c r="S11" s="55"/>
      <c r="T11" s="55"/>
      <c r="U11" s="55"/>
      <c r="V11" s="55"/>
      <c r="W11" s="55"/>
      <c r="X11" s="55"/>
      <c r="Y11" s="55"/>
      <c r="Z11" s="55"/>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E55C-7135-9644-B32C-30B4F523FBD4}">
  <dimension ref="A1:AV32"/>
  <sheetViews>
    <sheetView showGridLines="0" topLeftCell="A2" zoomScale="81" zoomScaleNormal="100" workbookViewId="0">
      <selection activeCell="A3" sqref="A3"/>
    </sheetView>
  </sheetViews>
  <sheetFormatPr defaultColWidth="10.8984375" defaultRowHeight="17.399999999999999"/>
  <cols>
    <col min="1" max="1" width="3.09765625" customWidth="1"/>
    <col min="2" max="2" width="9.59765625" bestFit="1" customWidth="1"/>
  </cols>
  <sheetData>
    <row r="1" spans="1:48" s="68" customFormat="1" ht="18">
      <c r="A1" s="66" t="s">
        <v>298</v>
      </c>
      <c r="B1" s="66"/>
      <c r="C1" s="66"/>
      <c r="D1" s="66"/>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row>
    <row r="2" spans="1:48" s="68" customFormat="1" ht="22.2">
      <c r="A2" s="69" t="s">
        <v>277</v>
      </c>
      <c r="B2" s="69"/>
      <c r="C2" s="69"/>
      <c r="D2" s="69"/>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row>
    <row r="3" spans="1:48" s="68" customFormat="1" ht="18">
      <c r="A3" s="71" t="s">
        <v>278</v>
      </c>
      <c r="B3" s="71"/>
      <c r="C3" s="71"/>
      <c r="D3" s="71"/>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row>
    <row r="4" spans="1:48" s="22" customFormat="1" ht="18"/>
    <row r="5" spans="1:48" s="23" customFormat="1" ht="18">
      <c r="B5" s="79" t="s">
        <v>288</v>
      </c>
      <c r="C5" s="80"/>
      <c r="D5" s="81" t="s">
        <v>4</v>
      </c>
      <c r="E5" s="82" t="s">
        <v>5</v>
      </c>
      <c r="F5" s="82" t="s">
        <v>6</v>
      </c>
      <c r="G5" s="82" t="s">
        <v>7</v>
      </c>
      <c r="H5" s="81" t="s">
        <v>8</v>
      </c>
      <c r="I5" s="82" t="s">
        <v>9</v>
      </c>
      <c r="J5" s="82" t="s">
        <v>10</v>
      </c>
      <c r="K5" s="82" t="s">
        <v>11</v>
      </c>
      <c r="L5" s="83" t="s">
        <v>265</v>
      </c>
      <c r="M5" s="84" t="s">
        <v>266</v>
      </c>
      <c r="N5" s="84" t="s">
        <v>267</v>
      </c>
      <c r="O5" s="84" t="s">
        <v>268</v>
      </c>
      <c r="P5" s="83" t="s">
        <v>279</v>
      </c>
      <c r="Q5" s="84" t="s">
        <v>280</v>
      </c>
      <c r="R5" s="84" t="s">
        <v>281</v>
      </c>
      <c r="S5" s="85" t="s">
        <v>282</v>
      </c>
      <c r="T5" s="86">
        <v>2024</v>
      </c>
      <c r="U5" s="87" t="s">
        <v>286</v>
      </c>
      <c r="V5" s="88" t="s">
        <v>287</v>
      </c>
    </row>
    <row r="6" spans="1:48" s="43" customFormat="1" ht="16.8">
      <c r="B6" s="89" t="s">
        <v>289</v>
      </c>
      <c r="D6" s="43">
        <v>11161</v>
      </c>
      <c r="E6" s="43">
        <v>14372</v>
      </c>
      <c r="F6" s="43">
        <v>13971</v>
      </c>
      <c r="G6" s="43">
        <v>16702</v>
      </c>
      <c r="H6" s="43">
        <v>14088</v>
      </c>
      <c r="I6" s="43">
        <v>12241</v>
      </c>
      <c r="K6" s="43">
        <f t="shared" ref="K6:S6" si="0">SUM(K8,K10)</f>
        <v>11684</v>
      </c>
      <c r="L6" s="43">
        <f>L8+L10</f>
        <v>13129.463794711086</v>
      </c>
      <c r="M6" s="43">
        <f t="shared" si="0"/>
        <v>14494.183086771949</v>
      </c>
      <c r="N6" s="43">
        <f t="shared" si="0"/>
        <v>17334.634989280079</v>
      </c>
      <c r="O6" s="43">
        <f t="shared" si="0"/>
        <v>19150.079434325911</v>
      </c>
      <c r="P6" s="43">
        <f t="shared" si="0"/>
        <v>20425.775435198593</v>
      </c>
      <c r="Q6" s="43">
        <f t="shared" si="0"/>
        <v>21906.190999984461</v>
      </c>
      <c r="R6" s="43">
        <f t="shared" si="0"/>
        <v>23628.501916072768</v>
      </c>
      <c r="S6" s="44">
        <f t="shared" si="0"/>
        <v>23866.672737809284</v>
      </c>
      <c r="T6" s="43">
        <f>SUM(T8,X18,X20,X16)</f>
        <v>28797.053405761719</v>
      </c>
      <c r="U6" s="43">
        <f>U8+U10</f>
        <v>64108.36130508902</v>
      </c>
      <c r="V6" s="44">
        <f>V8+V10</f>
        <v>89827.141089065117</v>
      </c>
    </row>
    <row r="7" spans="1:48" s="53" customFormat="1" ht="15.6" thickBot="1">
      <c r="B7" s="50"/>
      <c r="C7" s="40" t="s">
        <v>276</v>
      </c>
      <c r="D7" s="51"/>
      <c r="E7" s="51"/>
      <c r="F7" s="51"/>
      <c r="G7" s="51"/>
      <c r="H7" s="51">
        <v>0.26225248633634979</v>
      </c>
      <c r="I7" s="51">
        <v>-0.14827442248817146</v>
      </c>
      <c r="J7" s="51">
        <f t="shared" ref="J7" si="1">J6/F6-1</f>
        <v>-1</v>
      </c>
      <c r="K7" s="51"/>
      <c r="L7" s="51">
        <f t="shared" ref="L7" si="2">L6/H6-1</f>
        <v>-6.8039196854692952E-2</v>
      </c>
      <c r="M7" s="51">
        <f t="shared" ref="M7" si="3">M6/I6-1</f>
        <v>0.18406854724058075</v>
      </c>
      <c r="N7" s="51" t="e">
        <f t="shared" ref="N7" si="4">N6/J6-1</f>
        <v>#DIV/0!</v>
      </c>
      <c r="O7" s="51">
        <f t="shared" ref="O7" si="5">O6/K6-1</f>
        <v>0.63900029393409041</v>
      </c>
      <c r="P7" s="51">
        <f t="shared" ref="P7" si="6">P6/L6-1</f>
        <v>0.55572045854809882</v>
      </c>
      <c r="Q7" s="51">
        <f t="shared" ref="Q7" si="7">Q6/M6-1</f>
        <v>0.51137810726132238</v>
      </c>
      <c r="R7" s="51">
        <f t="shared" ref="R7" si="8">R6/N6-1</f>
        <v>0.3630804415948119</v>
      </c>
      <c r="S7" s="52">
        <f t="shared" ref="S7" si="9">S6/O6-1</f>
        <v>0.24629627880441207</v>
      </c>
      <c r="T7" s="51"/>
      <c r="U7" s="51">
        <f>U6/T6-1</f>
        <v>1.2262125364625747</v>
      </c>
      <c r="V7" s="52">
        <f>V6/U6-1</f>
        <v>0.40117668367128423</v>
      </c>
    </row>
    <row r="8" spans="1:48" s="43" customFormat="1" thickTop="1">
      <c r="B8" s="45"/>
      <c r="C8" s="43" t="s">
        <v>290</v>
      </c>
      <c r="D8" s="43">
        <v>8316</v>
      </c>
      <c r="E8" s="43">
        <v>10718</v>
      </c>
      <c r="F8" s="43">
        <v>10597</v>
      </c>
      <c r="G8" s="43">
        <v>13168</v>
      </c>
      <c r="H8" s="43">
        <v>10352</v>
      </c>
      <c r="I8" s="43">
        <v>8805</v>
      </c>
      <c r="K8" s="43">
        <v>8350</v>
      </c>
      <c r="L8" s="43">
        <f>K8*(의료기기!R4+1)</f>
        <v>9557.9111305227343</v>
      </c>
      <c r="M8" s="43">
        <f>L8*(의료기기!S4+1)</f>
        <v>10685.077758395246</v>
      </c>
      <c r="N8" s="43">
        <f>M8*(G12+1)</f>
        <v>13277.446817264188</v>
      </c>
      <c r="O8" s="43">
        <f>N8*(의료기기!U4+1)</f>
        <v>14854.720440573505</v>
      </c>
      <c r="P8" s="43">
        <f>O8*(의료기기!V4+1)</f>
        <v>15892.245619709676</v>
      </c>
      <c r="Q8" s="43">
        <f>P8*(의료기기!W4+1)</f>
        <v>17134.490362759032</v>
      </c>
      <c r="R8" s="43">
        <f>Q8*(의료기기!X4+1)</f>
        <v>18618.630457110827</v>
      </c>
      <c r="S8" s="47">
        <f>R8*(의료기기!Y4+1)</f>
        <v>18618.630457110827</v>
      </c>
      <c r="T8" s="43">
        <f>SUM(H8:K8)</f>
        <v>27507</v>
      </c>
      <c r="U8" s="43">
        <f>SUM(L8:O8)</f>
        <v>48375.156146755668</v>
      </c>
      <c r="V8" s="47">
        <f>SUM(P8:S8)</f>
        <v>70263.996896690369</v>
      </c>
    </row>
    <row r="9" spans="1:48" s="53" customFormat="1" ht="15">
      <c r="B9" s="57"/>
      <c r="C9" s="42" t="s">
        <v>270</v>
      </c>
      <c r="D9" s="58">
        <v>0.74509452558014511</v>
      </c>
      <c r="E9" s="58">
        <v>0.74575563595880878</v>
      </c>
      <c r="F9" s="58">
        <v>0.75849974948106791</v>
      </c>
      <c r="G9" s="58">
        <v>0.78840857382349416</v>
      </c>
      <c r="H9" s="58">
        <v>0.73480976717773994</v>
      </c>
      <c r="I9" s="58">
        <v>0.71930397843313454</v>
      </c>
      <c r="J9" s="58" t="e">
        <f t="shared" ref="J9:V9" si="10">J8/J6</f>
        <v>#DIV/0!</v>
      </c>
      <c r="K9" s="58">
        <f t="shared" si="10"/>
        <v>0.71465251626155424</v>
      </c>
      <c r="L9" s="58">
        <f t="shared" si="10"/>
        <v>0.72797421737610701</v>
      </c>
      <c r="M9" s="58">
        <f t="shared" si="10"/>
        <v>0.73719765332252041</v>
      </c>
      <c r="N9" s="58">
        <f t="shared" si="10"/>
        <v>0.76594902779753371</v>
      </c>
      <c r="O9" s="58">
        <f t="shared" si="10"/>
        <v>0.77570019965279557</v>
      </c>
      <c r="P9" s="58">
        <f t="shared" si="10"/>
        <v>0.77804858229878804</v>
      </c>
      <c r="Q9" s="58">
        <f t="shared" si="10"/>
        <v>0.78217570378945322</v>
      </c>
      <c r="R9" s="58">
        <f t="shared" si="10"/>
        <v>0.78797337737463213</v>
      </c>
      <c r="S9" s="59">
        <f t="shared" si="10"/>
        <v>0.78011001624099141</v>
      </c>
      <c r="T9" s="58">
        <f t="shared" si="10"/>
        <v>0.95520189556950974</v>
      </c>
      <c r="U9" s="58">
        <f t="shared" si="10"/>
        <v>0.75458419404202703</v>
      </c>
      <c r="V9" s="59">
        <f t="shared" si="10"/>
        <v>0.78221343844197866</v>
      </c>
    </row>
    <row r="10" spans="1:48" s="33" customFormat="1">
      <c r="B10" s="45"/>
      <c r="C10" s="60" t="s">
        <v>297</v>
      </c>
      <c r="D10" s="60">
        <v>2845</v>
      </c>
      <c r="E10" s="60">
        <v>3654</v>
      </c>
      <c r="F10" s="60">
        <v>3374</v>
      </c>
      <c r="G10" s="60">
        <v>3534</v>
      </c>
      <c r="H10" s="60">
        <v>3736</v>
      </c>
      <c r="I10" s="60">
        <v>3436</v>
      </c>
      <c r="J10" s="60"/>
      <c r="K10" s="60">
        <v>3334</v>
      </c>
      <c r="L10" s="60">
        <f>K10*(의료기기!Q26+1)</f>
        <v>3571.5526641883512</v>
      </c>
      <c r="M10" s="60">
        <f>L10*(의료기기!R26+1)</f>
        <v>3809.1053283767033</v>
      </c>
      <c r="N10" s="60">
        <f>M10*G25</f>
        <v>4057.1881720158922</v>
      </c>
      <c r="O10" s="60">
        <f>'이루다 및 기타'!N10*(의료기기!T26+1)</f>
        <v>4295.3589937524048</v>
      </c>
      <c r="P10" s="60">
        <f>'이루다 및 기타'!O10*(의료기기!U26+1)</f>
        <v>4533.5298154889169</v>
      </c>
      <c r="Q10" s="60">
        <f>'이루다 및 기타'!P10*(의료기기!V26+1)</f>
        <v>4771.70063722543</v>
      </c>
      <c r="R10" s="60">
        <f>'이루다 및 기타'!Q10*(의료기기!W26+1)</f>
        <v>5009.8714589619422</v>
      </c>
      <c r="S10" s="44">
        <f>'이루다 및 기타'!R10*(의료기기!X26+1)</f>
        <v>5248.0422806984552</v>
      </c>
      <c r="T10" s="60">
        <f>SUM(H10:K10)</f>
        <v>10506</v>
      </c>
      <c r="U10" s="60">
        <f>SUM(L10:O10)</f>
        <v>15733.205158333352</v>
      </c>
      <c r="V10" s="44">
        <f>SUM(P10:S10)</f>
        <v>19563.144192374741</v>
      </c>
    </row>
    <row r="11" spans="1:48" s="77" customFormat="1" ht="18">
      <c r="B11" s="78"/>
      <c r="C11" s="42" t="s">
        <v>270</v>
      </c>
      <c r="D11" s="58">
        <v>0.25490547441985484</v>
      </c>
      <c r="E11" s="58">
        <v>0.25424436404119122</v>
      </c>
      <c r="F11" s="58">
        <v>0.24150025051893206</v>
      </c>
      <c r="G11" s="58">
        <v>0.21159142617650581</v>
      </c>
      <c r="H11" s="58">
        <v>0.26519023282226006</v>
      </c>
      <c r="I11" s="58">
        <v>0.28069602156686546</v>
      </c>
      <c r="J11" s="58" t="e">
        <f t="shared" ref="J11:V11" si="11">J10/J6</f>
        <v>#DIV/0!</v>
      </c>
      <c r="K11" s="58">
        <f t="shared" si="11"/>
        <v>0.28534748373844576</v>
      </c>
      <c r="L11" s="58">
        <f t="shared" si="11"/>
        <v>0.27202578262389299</v>
      </c>
      <c r="M11" s="58">
        <f t="shared" si="11"/>
        <v>0.26280234667747959</v>
      </c>
      <c r="N11" s="58">
        <f t="shared" si="11"/>
        <v>0.23405097220246635</v>
      </c>
      <c r="O11" s="58">
        <f t="shared" si="11"/>
        <v>0.22429980034720429</v>
      </c>
      <c r="P11" s="58">
        <f t="shared" si="11"/>
        <v>0.22195141770121193</v>
      </c>
      <c r="Q11" s="58">
        <f t="shared" si="11"/>
        <v>0.2178242962105468</v>
      </c>
      <c r="R11" s="58">
        <f t="shared" si="11"/>
        <v>0.21202662262536787</v>
      </c>
      <c r="S11" s="59">
        <f t="shared" si="11"/>
        <v>0.21988998375900853</v>
      </c>
      <c r="T11" s="58">
        <f t="shared" si="11"/>
        <v>0.3648289931600418</v>
      </c>
      <c r="U11" s="58">
        <f t="shared" si="11"/>
        <v>0.24541580595797302</v>
      </c>
      <c r="V11" s="59">
        <f t="shared" si="11"/>
        <v>0.21778656155802126</v>
      </c>
    </row>
    <row r="12" spans="1:48">
      <c r="G12" s="77">
        <f>G8/F8-1</f>
        <v>0.24261583467018966</v>
      </c>
    </row>
    <row r="15" spans="1:48" s="23" customFormat="1" ht="18">
      <c r="B15" s="79" t="s">
        <v>288</v>
      </c>
      <c r="C15" s="80"/>
      <c r="D15" s="80"/>
      <c r="E15" s="81" t="s">
        <v>0</v>
      </c>
      <c r="F15" s="82" t="s">
        <v>1</v>
      </c>
      <c r="G15" s="82" t="s">
        <v>2</v>
      </c>
      <c r="H15" s="82" t="s">
        <v>3</v>
      </c>
      <c r="I15" s="81" t="s">
        <v>4</v>
      </c>
      <c r="J15" s="82" t="s">
        <v>5</v>
      </c>
      <c r="K15" s="82" t="s">
        <v>6</v>
      </c>
      <c r="L15" s="82" t="s">
        <v>7</v>
      </c>
      <c r="M15" s="81" t="s">
        <v>8</v>
      </c>
      <c r="N15" s="82" t="s">
        <v>9</v>
      </c>
      <c r="O15" s="82" t="s">
        <v>10</v>
      </c>
      <c r="P15" s="82" t="s">
        <v>11</v>
      </c>
      <c r="Q15" s="83" t="s">
        <v>265</v>
      </c>
      <c r="R15" s="84" t="s">
        <v>266</v>
      </c>
      <c r="S15" s="84" t="s">
        <v>267</v>
      </c>
      <c r="T15" s="84" t="s">
        <v>268</v>
      </c>
      <c r="U15" s="84" t="s">
        <v>279</v>
      </c>
      <c r="V15" s="84" t="s">
        <v>280</v>
      </c>
      <c r="W15" s="84" t="s">
        <v>281</v>
      </c>
      <c r="X15" s="85" t="s">
        <v>282</v>
      </c>
      <c r="Y15" s="86">
        <v>2024</v>
      </c>
      <c r="Z15" s="87" t="s">
        <v>286</v>
      </c>
      <c r="AA15" s="88" t="s">
        <v>287</v>
      </c>
    </row>
    <row r="16" spans="1:48" s="43" customFormat="1" ht="16.8">
      <c r="B16" s="89" t="s">
        <v>299</v>
      </c>
      <c r="E16" s="43">
        <f>366+212</f>
        <v>578</v>
      </c>
      <c r="F16" s="43">
        <f>818+450-E16</f>
        <v>690</v>
      </c>
      <c r="G16" s="43">
        <f>978+725-E16-F16</f>
        <v>435</v>
      </c>
      <c r="H16" s="43">
        <f>1073+891-SUM(E16:G16)</f>
        <v>261</v>
      </c>
      <c r="I16" s="43">
        <f>63+213</f>
        <v>276</v>
      </c>
      <c r="J16" s="43">
        <f>97+420-I16</f>
        <v>241</v>
      </c>
      <c r="K16" s="43">
        <f>375+782-I16-J16</f>
        <v>640</v>
      </c>
      <c r="L16" s="43">
        <f>1358+1073-SUM(I16:K16)</f>
        <v>1274</v>
      </c>
      <c r="M16" s="43">
        <f>669+696</f>
        <v>1365</v>
      </c>
      <c r="N16" s="43">
        <f>1295+1616-M16</f>
        <v>1546</v>
      </c>
      <c r="O16" s="43">
        <f>1451+1892-M16-N16</f>
        <v>432</v>
      </c>
      <c r="P16" s="43">
        <f>1680+2828-SUM(M16:O16)</f>
        <v>1165</v>
      </c>
      <c r="Q16" s="43">
        <f>AVERAGE(M16:P16)</f>
        <v>1127</v>
      </c>
      <c r="R16" s="43">
        <f t="shared" ref="R16:X16" si="12">AVERAGE(N16:Q16)</f>
        <v>1067.5</v>
      </c>
      <c r="S16" s="43">
        <f t="shared" si="12"/>
        <v>947.875</v>
      </c>
      <c r="T16" s="43">
        <f t="shared" si="12"/>
        <v>1076.84375</v>
      </c>
      <c r="U16" s="43">
        <f t="shared" si="12"/>
        <v>1054.8046875</v>
      </c>
      <c r="V16" s="43">
        <f t="shared" si="12"/>
        <v>1036.755859375</v>
      </c>
      <c r="W16" s="43">
        <f t="shared" si="12"/>
        <v>1029.06982421875</v>
      </c>
      <c r="X16" s="47">
        <f t="shared" si="12"/>
        <v>1049.3685302734375</v>
      </c>
      <c r="Y16" s="43">
        <f>SUM(M16:P16)</f>
        <v>4508</v>
      </c>
      <c r="Z16" s="43">
        <f>SUM(Q16:T16)</f>
        <v>4219.21875</v>
      </c>
      <c r="AA16" s="44">
        <f>SUM(U16:X16)</f>
        <v>4169.9989013671875</v>
      </c>
    </row>
    <row r="17" spans="2:27" s="53" customFormat="1" ht="15">
      <c r="B17" s="54"/>
      <c r="C17" s="41" t="s">
        <v>276</v>
      </c>
      <c r="D17" s="55"/>
      <c r="E17" s="55"/>
      <c r="F17" s="55"/>
      <c r="G17" s="55"/>
      <c r="H17" s="55"/>
      <c r="I17" s="55">
        <f>I16/E16-1</f>
        <v>-0.52249134948096887</v>
      </c>
      <c r="J17" s="55">
        <f t="shared" ref="J17:X17" si="13">J16/F16-1</f>
        <v>-0.6507246376811594</v>
      </c>
      <c r="K17" s="55">
        <f t="shared" si="13"/>
        <v>0.47126436781609193</v>
      </c>
      <c r="L17" s="55">
        <f t="shared" si="13"/>
        <v>3.8812260536398471</v>
      </c>
      <c r="M17" s="55">
        <f t="shared" si="13"/>
        <v>3.9456521739130439</v>
      </c>
      <c r="N17" s="55">
        <f t="shared" si="13"/>
        <v>5.4149377593360999</v>
      </c>
      <c r="O17" s="55">
        <f t="shared" si="13"/>
        <v>-0.32499999999999996</v>
      </c>
      <c r="P17" s="55">
        <f t="shared" si="13"/>
        <v>-8.5557299843014079E-2</v>
      </c>
      <c r="Q17" s="55">
        <f t="shared" si="13"/>
        <v>-0.17435897435897441</v>
      </c>
      <c r="R17" s="55">
        <f t="shared" si="13"/>
        <v>-0.30950840879689523</v>
      </c>
      <c r="S17" s="55">
        <f t="shared" si="13"/>
        <v>1.1941550925925926</v>
      </c>
      <c r="T17" s="55">
        <f t="shared" si="13"/>
        <v>-7.5670600858369075E-2</v>
      </c>
      <c r="U17" s="55">
        <f t="shared" si="13"/>
        <v>-6.405972715173025E-2</v>
      </c>
      <c r="V17" s="55">
        <f t="shared" si="13"/>
        <v>-2.8800131733021095E-2</v>
      </c>
      <c r="W17" s="55">
        <f t="shared" si="13"/>
        <v>8.5659843564552363E-2</v>
      </c>
      <c r="X17" s="56">
        <f t="shared" si="13"/>
        <v>-2.5514583454249951E-2</v>
      </c>
      <c r="Y17" s="55"/>
      <c r="Z17" s="55">
        <f>Z16/Y16-1</f>
        <v>-6.405972715173025E-2</v>
      </c>
      <c r="AA17" s="56">
        <f>AA16/Z16-1</f>
        <v>-1.1665630902122026E-2</v>
      </c>
    </row>
    <row r="18" spans="2:27" s="43" customFormat="1" ht="16.8">
      <c r="B18" s="89" t="s">
        <v>274</v>
      </c>
      <c r="E18" s="43">
        <f>511</f>
        <v>511</v>
      </c>
      <c r="F18" s="43">
        <f>1112-E18</f>
        <v>601</v>
      </c>
      <c r="G18" s="43">
        <f>1640-E18-F18</f>
        <v>528</v>
      </c>
      <c r="H18" s="43">
        <f>2152-SUM(E18:G18)</f>
        <v>512</v>
      </c>
      <c r="I18" s="43">
        <f>491</f>
        <v>491</v>
      </c>
      <c r="J18" s="43">
        <f>884-I18</f>
        <v>393</v>
      </c>
      <c r="K18" s="43">
        <f>1286-I18-J18</f>
        <v>402</v>
      </c>
      <c r="L18" s="43">
        <f>1575-SUM(I18:K18)</f>
        <v>289</v>
      </c>
      <c r="M18" s="43">
        <f>292</f>
        <v>292</v>
      </c>
      <c r="N18" s="43">
        <f>556-M18</f>
        <v>264</v>
      </c>
      <c r="O18" s="43">
        <f>792-M18-N18</f>
        <v>236</v>
      </c>
      <c r="P18" s="43">
        <f>1012-SUM(M18:O18)</f>
        <v>220</v>
      </c>
      <c r="Q18" s="43">
        <f>AVERAGE(M18:P18)</f>
        <v>253</v>
      </c>
      <c r="R18" s="43">
        <f t="shared" ref="R18:X18" si="14">AVERAGE(N18:Q18)</f>
        <v>243.25</v>
      </c>
      <c r="S18" s="43">
        <f t="shared" si="14"/>
        <v>238.0625</v>
      </c>
      <c r="T18" s="43">
        <f t="shared" si="14"/>
        <v>238.578125</v>
      </c>
      <c r="U18" s="43">
        <f t="shared" si="14"/>
        <v>243.22265625</v>
      </c>
      <c r="V18" s="43">
        <f t="shared" si="14"/>
        <v>240.7783203125</v>
      </c>
      <c r="W18" s="43">
        <f t="shared" si="14"/>
        <v>240.160400390625</v>
      </c>
      <c r="X18" s="47">
        <f t="shared" si="14"/>
        <v>240.68487548828125</v>
      </c>
      <c r="Y18" s="43">
        <f>SUM(M18:P18)</f>
        <v>1012</v>
      </c>
      <c r="Z18" s="43">
        <f>SUM(Q18:T18)</f>
        <v>972.890625</v>
      </c>
      <c r="AA18" s="47">
        <f>SUM(U18:X18)</f>
        <v>964.84625244140625</v>
      </c>
    </row>
    <row r="19" spans="2:27" s="53" customFormat="1" ht="15">
      <c r="B19" s="57"/>
      <c r="C19" s="42" t="s">
        <v>276</v>
      </c>
      <c r="D19" s="58"/>
      <c r="E19" s="58"/>
      <c r="F19" s="58"/>
      <c r="G19" s="58"/>
      <c r="H19" s="58"/>
      <c r="I19" s="58">
        <f>I18/E18-1</f>
        <v>-3.9138943248532287E-2</v>
      </c>
      <c r="J19" s="58">
        <f t="shared" ref="J19:X19" si="15">J18/F18-1</f>
        <v>-0.34608985024958405</v>
      </c>
      <c r="K19" s="58">
        <f t="shared" si="15"/>
        <v>-0.23863636363636365</v>
      </c>
      <c r="L19" s="58">
        <f t="shared" si="15"/>
        <v>-0.435546875</v>
      </c>
      <c r="M19" s="58">
        <f t="shared" si="15"/>
        <v>-0.40529531568228105</v>
      </c>
      <c r="N19" s="58">
        <f t="shared" si="15"/>
        <v>-0.3282442748091603</v>
      </c>
      <c r="O19" s="58">
        <f t="shared" si="15"/>
        <v>-0.41293532338308458</v>
      </c>
      <c r="P19" s="58">
        <f t="shared" si="15"/>
        <v>-0.23875432525951557</v>
      </c>
      <c r="Q19" s="58">
        <f t="shared" si="15"/>
        <v>-0.13356164383561642</v>
      </c>
      <c r="R19" s="58">
        <f t="shared" si="15"/>
        <v>-7.8598484848484862E-2</v>
      </c>
      <c r="S19" s="58">
        <f t="shared" si="15"/>
        <v>8.7394067796611186E-3</v>
      </c>
      <c r="T19" s="58">
        <f t="shared" si="15"/>
        <v>8.4446022727272751E-2</v>
      </c>
      <c r="U19" s="58">
        <f t="shared" si="15"/>
        <v>-3.8645627470355715E-2</v>
      </c>
      <c r="V19" s="58">
        <f t="shared" si="15"/>
        <v>-1.0161067574511851E-2</v>
      </c>
      <c r="W19" s="58">
        <f t="shared" si="15"/>
        <v>8.8123933447099567E-3</v>
      </c>
      <c r="X19" s="59">
        <f t="shared" si="15"/>
        <v>8.8304428089593934E-3</v>
      </c>
      <c r="Y19" s="58"/>
      <c r="Z19" s="58">
        <f>Z18/Y18-1</f>
        <v>-3.8645627470355715E-2</v>
      </c>
      <c r="AA19" s="59">
        <f>AA18/Z18-1</f>
        <v>-8.2685271621295575E-3</v>
      </c>
    </row>
    <row r="21" spans="2:27">
      <c r="B21" s="157"/>
      <c r="C21" s="157"/>
      <c r="D21" s="157"/>
      <c r="E21" s="157"/>
      <c r="F21" s="157"/>
      <c r="G21" s="157"/>
    </row>
    <row r="22" spans="2:27" hidden="1">
      <c r="B22" s="157"/>
      <c r="C22" s="157" t="s">
        <v>483</v>
      </c>
      <c r="D22" s="157" t="s">
        <v>484</v>
      </c>
      <c r="E22" s="157"/>
      <c r="F22" s="157"/>
      <c r="G22" s="157"/>
    </row>
    <row r="23" spans="2:27" hidden="1">
      <c r="B23" s="157"/>
      <c r="C23" s="157" t="s">
        <v>487</v>
      </c>
      <c r="D23" s="157" t="s">
        <v>482</v>
      </c>
      <c r="E23" s="157" t="s">
        <v>485</v>
      </c>
      <c r="F23" s="157" t="s">
        <v>486</v>
      </c>
      <c r="G23" s="157"/>
    </row>
    <row r="24" spans="2:27" hidden="1">
      <c r="B24" s="157" t="s">
        <v>290</v>
      </c>
      <c r="C24" s="157">
        <f>3265+437</f>
        <v>3702</v>
      </c>
      <c r="D24" s="157">
        <f>6669+700-C24</f>
        <v>3667</v>
      </c>
      <c r="E24" s="157">
        <f>11113+1312-D24-C24</f>
        <v>5056</v>
      </c>
      <c r="F24" s="157">
        <f>15725+2031-SUM(C24:E24)</f>
        <v>5331</v>
      </c>
      <c r="G24" s="157"/>
    </row>
    <row r="25" spans="2:27" hidden="1">
      <c r="B25" s="157" t="s">
        <v>297</v>
      </c>
      <c r="C25" s="157">
        <f>860+186</f>
        <v>1046</v>
      </c>
      <c r="D25" s="157">
        <f>1896+736-C25</f>
        <v>1586</v>
      </c>
      <c r="E25" s="157">
        <f>2480+889-C25-D25</f>
        <v>737</v>
      </c>
      <c r="F25" s="157">
        <f>3636+1255-SUM(C25:E25)</f>
        <v>1522</v>
      </c>
      <c r="G25" s="222">
        <f>F25/E25-1</f>
        <v>1.0651289009497966</v>
      </c>
    </row>
    <row r="26" spans="2:27" hidden="1">
      <c r="B26" s="157"/>
      <c r="C26" s="157">
        <f>SUM(C24:C25)</f>
        <v>4748</v>
      </c>
      <c r="D26" s="157">
        <f t="shared" ref="D26:F26" si="16">SUM(D24:D25)</f>
        <v>5253</v>
      </c>
      <c r="E26" s="157">
        <f t="shared" si="16"/>
        <v>5793</v>
      </c>
      <c r="F26" s="157">
        <f t="shared" si="16"/>
        <v>6853</v>
      </c>
      <c r="G26" s="157"/>
    </row>
    <row r="27" spans="2:27" hidden="1">
      <c r="B27" s="157"/>
      <c r="C27" s="157"/>
      <c r="D27" s="222">
        <f>D26/C26-1</f>
        <v>0.10636057287278855</v>
      </c>
      <c r="E27" s="222"/>
      <c r="F27" s="157"/>
      <c r="G27" s="157"/>
    </row>
    <row r="28" spans="2:27" hidden="1">
      <c r="B28" s="157"/>
      <c r="C28" s="157"/>
      <c r="D28" s="157"/>
      <c r="E28" s="157"/>
      <c r="F28" s="157"/>
      <c r="G28" s="157"/>
    </row>
    <row r="29" spans="2:27" hidden="1">
      <c r="B29" s="157"/>
      <c r="C29" s="157"/>
      <c r="D29" s="222">
        <f>D25/C25-1</f>
        <v>0.51625239005736145</v>
      </c>
      <c r="E29" s="157"/>
      <c r="F29" s="222">
        <f>E25/D25-1</f>
        <v>-0.53530895334174022</v>
      </c>
      <c r="G29" s="157"/>
    </row>
    <row r="30" spans="2:27">
      <c r="B30" s="157"/>
      <c r="C30" s="157"/>
      <c r="D30" s="157"/>
      <c r="E30" s="157"/>
      <c r="F30" s="157"/>
      <c r="G30" s="157"/>
    </row>
    <row r="31" spans="2:27">
      <c r="B31" s="157"/>
      <c r="C31" s="157"/>
      <c r="D31" s="222"/>
      <c r="E31" s="157"/>
      <c r="F31" s="157"/>
      <c r="G31" s="157"/>
    </row>
    <row r="32" spans="2:27">
      <c r="B32" s="157"/>
      <c r="C32" s="157"/>
      <c r="D32" s="157"/>
      <c r="E32" s="157"/>
      <c r="F32" s="157"/>
      <c r="G32" s="157"/>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3F16-D886-4D93-AC2C-14171DAE5AFE}">
  <sheetPr>
    <tabColor rgb="FFD0CECE"/>
  </sheetPr>
  <dimension ref="A1:AW57"/>
  <sheetViews>
    <sheetView showGridLines="0" tabSelected="1" topLeftCell="A30" zoomScale="87" zoomScaleNormal="70" workbookViewId="0">
      <pane xSplit="2" topLeftCell="N1" activePane="topRight" state="frozen"/>
      <selection pane="topRight" activeCell="Z53" sqref="Z53"/>
    </sheetView>
  </sheetViews>
  <sheetFormatPr defaultColWidth="8.8984375" defaultRowHeight="17.399999999999999"/>
  <cols>
    <col min="1" max="1" width="8.8984375" customWidth="1"/>
    <col min="2" max="2" width="14.59765625" customWidth="1"/>
    <col min="8" max="14" width="9" bestFit="1" customWidth="1"/>
    <col min="15" max="18" width="12.5" bestFit="1" customWidth="1"/>
    <col min="20" max="20" width="12.59765625" customWidth="1"/>
  </cols>
  <sheetData>
    <row r="1" spans="1:49" s="27" customFormat="1">
      <c r="A1" s="24" t="s">
        <v>283</v>
      </c>
      <c r="B1" s="96"/>
      <c r="C1" s="25"/>
      <c r="D1" s="25"/>
      <c r="E1" s="26"/>
      <c r="F1" s="26"/>
      <c r="G1" s="26"/>
      <c r="H1" s="26"/>
      <c r="I1" s="26"/>
      <c r="J1" s="26"/>
      <c r="K1" s="26"/>
      <c r="L1" s="26"/>
      <c r="M1" s="26"/>
      <c r="N1" s="26"/>
      <c r="O1" s="26"/>
      <c r="P1" s="26"/>
      <c r="Q1" s="26"/>
      <c r="R1" s="26"/>
      <c r="S1" s="26"/>
      <c r="T1" s="26"/>
      <c r="U1" s="26"/>
      <c r="V1" s="26"/>
      <c r="W1" s="26"/>
      <c r="X1" s="26"/>
      <c r="Y1" s="26"/>
      <c r="Z1" s="97"/>
      <c r="AA1" s="26"/>
      <c r="AB1" s="26"/>
      <c r="AC1" s="26"/>
      <c r="AD1" s="26"/>
      <c r="AE1" s="26"/>
      <c r="AF1" s="26"/>
      <c r="AG1" s="26"/>
      <c r="AH1" s="26"/>
      <c r="AI1" s="26"/>
      <c r="AJ1" s="26"/>
      <c r="AK1" s="26"/>
      <c r="AL1" s="26"/>
      <c r="AM1" s="26"/>
      <c r="AN1" s="26"/>
      <c r="AO1" s="26"/>
      <c r="AP1" s="26"/>
      <c r="AQ1" s="26"/>
      <c r="AR1" s="26"/>
      <c r="AS1" s="26"/>
      <c r="AT1" s="26"/>
      <c r="AU1" s="26"/>
      <c r="AV1" s="26"/>
      <c r="AW1" s="26"/>
    </row>
    <row r="2" spans="1:49" s="27" customFormat="1" ht="19.2">
      <c r="A2" s="28" t="s">
        <v>277</v>
      </c>
      <c r="B2" s="98"/>
      <c r="C2" s="28"/>
      <c r="D2" s="28"/>
      <c r="E2" s="29"/>
      <c r="F2" s="29"/>
      <c r="G2" s="29"/>
      <c r="H2" s="29"/>
      <c r="I2" s="29"/>
      <c r="J2" s="29"/>
      <c r="K2" s="29"/>
      <c r="L2" s="29"/>
      <c r="M2" s="29"/>
      <c r="N2" s="29"/>
      <c r="O2" s="29"/>
      <c r="P2" s="29"/>
      <c r="Q2" s="29"/>
      <c r="R2" s="29"/>
      <c r="S2" s="29"/>
      <c r="T2" s="29"/>
      <c r="U2" s="29"/>
      <c r="V2" s="29"/>
      <c r="W2" s="29"/>
      <c r="X2" s="29"/>
      <c r="Y2" s="29"/>
      <c r="Z2" s="99"/>
      <c r="AA2" s="29"/>
      <c r="AB2" s="29"/>
      <c r="AC2" s="29"/>
      <c r="AD2" s="29"/>
      <c r="AE2" s="29"/>
      <c r="AF2" s="29"/>
      <c r="AG2" s="29"/>
      <c r="AH2" s="29"/>
      <c r="AI2" s="29"/>
      <c r="AJ2" s="29"/>
      <c r="AK2" s="29"/>
      <c r="AL2" s="29"/>
      <c r="AM2" s="29"/>
      <c r="AN2" s="29"/>
      <c r="AO2" s="29"/>
      <c r="AP2" s="29"/>
      <c r="AQ2" s="29"/>
      <c r="AR2" s="29"/>
      <c r="AS2" s="29"/>
      <c r="AT2" s="29"/>
      <c r="AU2" s="29"/>
      <c r="AV2" s="29"/>
      <c r="AW2" s="29"/>
    </row>
    <row r="3" spans="1:49" s="27" customFormat="1" ht="18">
      <c r="A3" s="30" t="s">
        <v>278</v>
      </c>
      <c r="B3" s="100"/>
      <c r="C3" s="30"/>
      <c r="D3" s="30"/>
      <c r="E3" s="31"/>
      <c r="F3" s="31"/>
      <c r="G3" s="31"/>
      <c r="H3" s="31"/>
      <c r="I3" s="31"/>
      <c r="J3" s="31"/>
      <c r="K3" s="31"/>
      <c r="L3" s="31"/>
      <c r="M3" s="31"/>
      <c r="N3" s="31"/>
      <c r="O3" s="31"/>
      <c r="P3" s="31"/>
      <c r="Q3" s="31"/>
      <c r="R3" s="31"/>
      <c r="S3" s="31"/>
      <c r="T3" s="31"/>
      <c r="U3" s="31"/>
      <c r="V3" s="31"/>
      <c r="W3" s="31"/>
      <c r="X3" s="31"/>
      <c r="Y3" s="31"/>
      <c r="Z3" s="101"/>
      <c r="AA3" s="31"/>
      <c r="AB3" s="31"/>
      <c r="AC3" s="31"/>
      <c r="AD3" s="31"/>
      <c r="AE3" s="31"/>
      <c r="AF3" s="31"/>
      <c r="AG3" s="31"/>
      <c r="AH3" s="31"/>
      <c r="AI3" s="31"/>
      <c r="AJ3" s="31"/>
      <c r="AK3" s="31"/>
      <c r="AL3" s="31"/>
      <c r="AM3" s="31"/>
      <c r="AN3" s="31"/>
      <c r="AO3" s="31"/>
      <c r="AP3" s="31"/>
      <c r="AQ3" s="31"/>
      <c r="AR3" s="31"/>
      <c r="AS3" s="31"/>
      <c r="AT3" s="31"/>
      <c r="AU3" s="31"/>
      <c r="AV3" s="31"/>
      <c r="AW3" s="31"/>
    </row>
    <row r="4" spans="1:49" ht="18">
      <c r="B4" s="102"/>
      <c r="T4" s="103"/>
      <c r="U4" s="103"/>
      <c r="V4" s="104"/>
      <c r="W4" s="104">
        <v>2024</v>
      </c>
      <c r="X4" s="104"/>
      <c r="Z4" s="105"/>
    </row>
    <row r="5" spans="1:49">
      <c r="B5" s="137" t="s">
        <v>328</v>
      </c>
      <c r="C5" s="142" t="s">
        <v>329</v>
      </c>
      <c r="D5" s="142" t="s">
        <v>330</v>
      </c>
      <c r="E5" s="142" t="s">
        <v>331</v>
      </c>
      <c r="F5" s="142" t="s">
        <v>325</v>
      </c>
      <c r="G5" s="142" t="s">
        <v>332</v>
      </c>
      <c r="H5" s="142" t="s">
        <v>333</v>
      </c>
      <c r="I5" s="142" t="s">
        <v>334</v>
      </c>
      <c r="J5" s="142" t="s">
        <v>335</v>
      </c>
      <c r="K5" s="142" t="s">
        <v>336</v>
      </c>
      <c r="L5" s="142" t="s">
        <v>337</v>
      </c>
      <c r="M5" s="142" t="s">
        <v>338</v>
      </c>
      <c r="N5" s="142" t="s">
        <v>339</v>
      </c>
      <c r="O5" s="143" t="s">
        <v>29</v>
      </c>
      <c r="P5" s="143" t="s">
        <v>30</v>
      </c>
      <c r="Q5" s="143" t="s">
        <v>31</v>
      </c>
      <c r="R5" s="143" t="s">
        <v>32</v>
      </c>
      <c r="S5" s="106"/>
      <c r="T5" s="104"/>
      <c r="U5" s="104"/>
      <c r="V5" s="104"/>
      <c r="W5" s="104"/>
      <c r="X5" s="104"/>
      <c r="Z5" s="107" t="s">
        <v>340</v>
      </c>
    </row>
    <row r="6" spans="1:49">
      <c r="B6" s="144" t="s">
        <v>26</v>
      </c>
      <c r="C6" s="145">
        <f>'매출액 추정'!C6</f>
        <v>35382</v>
      </c>
      <c r="D6" s="145">
        <f>'매출액 추정'!D6</f>
        <v>32686</v>
      </c>
      <c r="E6" s="145">
        <f>'매출액 추정'!E6</f>
        <v>33268</v>
      </c>
      <c r="F6" s="145">
        <f>'매출액 추정'!F6</f>
        <v>40467</v>
      </c>
      <c r="G6" s="145">
        <f>'매출액 추정'!G6</f>
        <v>38974</v>
      </c>
      <c r="H6" s="145">
        <f>'매출액 추정'!H6</f>
        <v>45897</v>
      </c>
      <c r="I6" s="145">
        <f>'매출액 추정'!I6</f>
        <v>48243</v>
      </c>
      <c r="J6" s="145">
        <f>'매출액 추정'!J6</f>
        <v>47008</v>
      </c>
      <c r="K6" s="145">
        <f>'매출액 추정'!K6</f>
        <v>50349</v>
      </c>
      <c r="L6" s="145">
        <f>'매출액 추정'!L6</f>
        <v>58773</v>
      </c>
      <c r="M6" s="145">
        <f>'매출액 추정'!M6</f>
        <v>59414</v>
      </c>
      <c r="N6" s="145">
        <f>'매출액 추정'!N6</f>
        <v>74403</v>
      </c>
      <c r="O6" s="145">
        <f>'매출액 추정'!O6</f>
        <v>80584.532364571773</v>
      </c>
      <c r="P6" s="145">
        <f>'매출액 추정'!P6</f>
        <v>82456.051933929761</v>
      </c>
      <c r="Q6" s="145">
        <f>'매출액 추정'!Q6</f>
        <v>91470.968012384401</v>
      </c>
      <c r="R6" s="145">
        <f>'매출액 추정'!R6</f>
        <v>100949.82182788232</v>
      </c>
      <c r="S6" s="106"/>
      <c r="T6" s="104"/>
      <c r="U6" s="104"/>
      <c r="V6" s="104"/>
      <c r="W6" s="104"/>
      <c r="X6" s="104"/>
      <c r="Z6" s="108"/>
    </row>
    <row r="7" spans="1:49">
      <c r="B7" s="144" t="s">
        <v>341</v>
      </c>
      <c r="C7" s="145">
        <v>8800</v>
      </c>
      <c r="D7" s="145">
        <v>8277</v>
      </c>
      <c r="E7" s="145">
        <v>7317</v>
      </c>
      <c r="F7" s="145">
        <v>9241</v>
      </c>
      <c r="G7" s="145">
        <v>8764</v>
      </c>
      <c r="H7" s="145">
        <v>9577</v>
      </c>
      <c r="I7" s="145">
        <v>11234</v>
      </c>
      <c r="J7" s="145">
        <v>10099</v>
      </c>
      <c r="K7" s="145">
        <v>10177</v>
      </c>
      <c r="L7" s="145">
        <v>11228</v>
      </c>
      <c r="M7" s="145">
        <v>12814</v>
      </c>
      <c r="N7" s="145">
        <v>17593</v>
      </c>
      <c r="O7" s="223">
        <f>O6*O8</f>
        <v>18118.758371163687</v>
      </c>
      <c r="P7" s="223">
        <f t="shared" ref="P7:R7" si="0">P6*P8</f>
        <v>17581.919222082844</v>
      </c>
      <c r="Q7" s="223">
        <f t="shared" si="0"/>
        <v>18441.816751563707</v>
      </c>
      <c r="R7" s="223">
        <f t="shared" si="0"/>
        <v>19180.46614729764</v>
      </c>
      <c r="S7" s="106"/>
      <c r="T7" s="104"/>
      <c r="U7" s="104"/>
      <c r="V7" s="104"/>
      <c r="W7" s="104"/>
      <c r="X7" s="104"/>
      <c r="Z7" s="105" t="s">
        <v>342</v>
      </c>
    </row>
    <row r="8" spans="1:49">
      <c r="B8" s="146" t="s">
        <v>343</v>
      </c>
      <c r="C8" s="147">
        <f>C7/C6</f>
        <v>0.24871403538522413</v>
      </c>
      <c r="D8" s="147">
        <f t="shared" ref="D8:M8" si="1">D7/D6</f>
        <v>0.25322768157621001</v>
      </c>
      <c r="E8" s="147">
        <f t="shared" si="1"/>
        <v>0.21994108452567032</v>
      </c>
      <c r="F8" s="147">
        <f t="shared" si="1"/>
        <v>0.22835890972891493</v>
      </c>
      <c r="G8" s="147">
        <f t="shared" si="1"/>
        <v>0.22486786062503208</v>
      </c>
      <c r="H8" s="147">
        <f t="shared" si="1"/>
        <v>0.20866287556920932</v>
      </c>
      <c r="I8" s="147">
        <f t="shared" si="1"/>
        <v>0.23286279874800489</v>
      </c>
      <c r="J8" s="147">
        <f t="shared" si="1"/>
        <v>0.2148357726344452</v>
      </c>
      <c r="K8" s="147">
        <f t="shared" si="1"/>
        <v>0.20212913861248485</v>
      </c>
      <c r="L8" s="147">
        <f t="shared" si="1"/>
        <v>0.19104010344886257</v>
      </c>
      <c r="M8" s="147">
        <f t="shared" si="1"/>
        <v>0.21567307368633656</v>
      </c>
      <c r="N8" s="147">
        <v>0.23645551926669622</v>
      </c>
      <c r="O8" s="147">
        <v>0.22484163945002217</v>
      </c>
      <c r="P8" s="147">
        <v>0.21322775963334811</v>
      </c>
      <c r="Q8" s="147">
        <v>0.20161387981667406</v>
      </c>
      <c r="R8" s="147">
        <v>0.19</v>
      </c>
      <c r="S8" s="106"/>
      <c r="T8" s="104"/>
      <c r="U8" s="104"/>
      <c r="V8" s="104"/>
      <c r="W8" s="104"/>
      <c r="X8" s="104"/>
      <c r="Z8" s="108"/>
    </row>
    <row r="9" spans="1:49">
      <c r="B9" s="144" t="s">
        <v>344</v>
      </c>
      <c r="C9" s="145">
        <f>C6-C7</f>
        <v>26582</v>
      </c>
      <c r="D9" s="145">
        <f t="shared" ref="D9:N9" si="2">D6-D7</f>
        <v>24409</v>
      </c>
      <c r="E9" s="145">
        <f t="shared" si="2"/>
        <v>25951</v>
      </c>
      <c r="F9" s="145">
        <f t="shared" si="2"/>
        <v>31226</v>
      </c>
      <c r="G9" s="145">
        <f t="shared" si="2"/>
        <v>30210</v>
      </c>
      <c r="H9" s="145">
        <f t="shared" si="2"/>
        <v>36320</v>
      </c>
      <c r="I9" s="145">
        <f t="shared" si="2"/>
        <v>37009</v>
      </c>
      <c r="J9" s="145">
        <f t="shared" si="2"/>
        <v>36909</v>
      </c>
      <c r="K9" s="145">
        <f t="shared" si="2"/>
        <v>40172</v>
      </c>
      <c r="L9" s="145">
        <f t="shared" si="2"/>
        <v>47545</v>
      </c>
      <c r="M9" s="145">
        <f t="shared" si="2"/>
        <v>46600</v>
      </c>
      <c r="N9" s="145">
        <f t="shared" si="2"/>
        <v>56810</v>
      </c>
      <c r="O9" s="224">
        <f>O6-O7</f>
        <v>62465.773993408089</v>
      </c>
      <c r="P9" s="224">
        <f>P6-P7</f>
        <v>64874.13271184692</v>
      </c>
      <c r="Q9" s="224">
        <f>Q6-Q7</f>
        <v>73029.151260820698</v>
      </c>
      <c r="R9" s="224">
        <f>R6-R7</f>
        <v>81769.355680584675</v>
      </c>
      <c r="S9" s="106"/>
      <c r="T9" s="104"/>
      <c r="U9" s="104"/>
      <c r="V9" s="104"/>
      <c r="W9" s="104"/>
      <c r="X9" s="104"/>
      <c r="Z9" s="108"/>
    </row>
    <row r="10" spans="1:49" ht="18" thickBot="1">
      <c r="B10" s="146" t="s">
        <v>27</v>
      </c>
      <c r="C10" s="147">
        <f>C9/C6</f>
        <v>0.75128596461477593</v>
      </c>
      <c r="D10" s="147">
        <f t="shared" ref="D10:N10" si="3">D9/D6</f>
        <v>0.74677231842378999</v>
      </c>
      <c r="E10" s="147">
        <f t="shared" si="3"/>
        <v>0.78005891547432971</v>
      </c>
      <c r="F10" s="147">
        <f t="shared" si="3"/>
        <v>0.77164109027108507</v>
      </c>
      <c r="G10" s="147">
        <f t="shared" si="3"/>
        <v>0.77513213937496794</v>
      </c>
      <c r="H10" s="147">
        <f t="shared" si="3"/>
        <v>0.79133712443079063</v>
      </c>
      <c r="I10" s="147">
        <f t="shared" si="3"/>
        <v>0.76713720125199514</v>
      </c>
      <c r="J10" s="147">
        <f t="shared" si="3"/>
        <v>0.7851642273655548</v>
      </c>
      <c r="K10" s="147">
        <f t="shared" si="3"/>
        <v>0.79787086138751517</v>
      </c>
      <c r="L10" s="147">
        <f t="shared" si="3"/>
        <v>0.80895989655113743</v>
      </c>
      <c r="M10" s="147">
        <f t="shared" si="3"/>
        <v>0.78432692631366341</v>
      </c>
      <c r="N10" s="147">
        <f t="shared" si="3"/>
        <v>0.76354448073330372</v>
      </c>
      <c r="O10" s="148">
        <f>O9/O6</f>
        <v>0.77515836054997789</v>
      </c>
      <c r="P10" s="148">
        <f t="shared" ref="P10:R10" si="4">P9/P6</f>
        <v>0.78677224036665194</v>
      </c>
      <c r="Q10" s="148">
        <f t="shared" si="4"/>
        <v>0.798386120183326</v>
      </c>
      <c r="R10" s="148">
        <f t="shared" si="4"/>
        <v>0.80999999999999994</v>
      </c>
      <c r="S10" s="106"/>
      <c r="T10" s="104"/>
      <c r="U10" s="104"/>
      <c r="V10" s="104"/>
      <c r="W10" s="104"/>
      <c r="X10" s="104"/>
      <c r="Z10" s="108"/>
    </row>
    <row r="11" spans="1:49">
      <c r="B11" s="144" t="s">
        <v>25</v>
      </c>
      <c r="C11" s="149">
        <v>9876.724000000002</v>
      </c>
      <c r="D11" s="149">
        <v>9144.9521890000015</v>
      </c>
      <c r="E11" s="149">
        <v>8471.9285869999985</v>
      </c>
      <c r="F11" s="149">
        <v>11797.211579999997</v>
      </c>
      <c r="G11" s="149">
        <v>10318.627559000002</v>
      </c>
      <c r="H11" s="149">
        <v>13174.373552999999</v>
      </c>
      <c r="I11" s="149">
        <v>12348.211809999993</v>
      </c>
      <c r="J11" s="149">
        <v>14985.468999999997</v>
      </c>
      <c r="K11" s="149">
        <v>13694.299000000001</v>
      </c>
      <c r="L11" s="149">
        <v>16325.518</v>
      </c>
      <c r="M11" s="149">
        <v>17648.23</v>
      </c>
      <c r="N11" s="149">
        <v>21003.691999999988</v>
      </c>
      <c r="O11" s="149">
        <f>SUM(O12:O43)</f>
        <v>22079.562886096359</v>
      </c>
      <c r="P11" s="149">
        <f t="shared" ref="P11:R11" si="5">SUM(P12:P43)</f>
        <v>22582.111809552182</v>
      </c>
      <c r="Q11" s="149">
        <f t="shared" si="5"/>
        <v>24968.434513172848</v>
      </c>
      <c r="R11" s="149">
        <f t="shared" si="5"/>
        <v>27636.255708682562</v>
      </c>
      <c r="S11" s="106"/>
      <c r="T11" s="122" t="s">
        <v>345</v>
      </c>
      <c r="U11" s="123">
        <v>2022</v>
      </c>
      <c r="V11" s="124">
        <v>2023</v>
      </c>
      <c r="W11" s="124">
        <v>2024</v>
      </c>
      <c r="X11" s="127" t="s">
        <v>286</v>
      </c>
      <c r="Z11" s="108"/>
    </row>
    <row r="12" spans="1:49">
      <c r="B12" s="150" t="s">
        <v>346</v>
      </c>
      <c r="C12" s="109">
        <v>2562.6559999999999</v>
      </c>
      <c r="D12" s="109">
        <f>(2546211-40)/1000</f>
        <v>2546.1709999999998</v>
      </c>
      <c r="E12" s="109">
        <v>2828.20318</v>
      </c>
      <c r="F12" s="109">
        <v>2085.9335980000001</v>
      </c>
      <c r="G12" s="109">
        <v>2200.024531</v>
      </c>
      <c r="H12" s="109">
        <v>2437.2018930000004</v>
      </c>
      <c r="I12" s="109">
        <v>2533.015997</v>
      </c>
      <c r="J12" s="109">
        <v>2500.8490000000002</v>
      </c>
      <c r="K12" s="109">
        <v>2749.2179999999998</v>
      </c>
      <c r="L12" s="109">
        <v>2864.951</v>
      </c>
      <c r="M12" s="109">
        <v>3187.89</v>
      </c>
      <c r="N12" s="109">
        <v>3684.0839999999998</v>
      </c>
      <c r="O12" s="110">
        <f>K12*(1.036)</f>
        <v>2848.189848</v>
      </c>
      <c r="P12" s="110">
        <f>L12*(1.036)</f>
        <v>2968.0892360000003</v>
      </c>
      <c r="Q12" s="110">
        <f t="shared" ref="Q12" si="6">M12*(1.036)</f>
        <v>3302.6540399999999</v>
      </c>
      <c r="R12" s="110">
        <f>N12*(1.036)</f>
        <v>3816.7110239999997</v>
      </c>
      <c r="T12" s="111" t="s">
        <v>347</v>
      </c>
      <c r="U12" s="112">
        <f>SUM(C12:F12)/SUM('매출액 추정'!$C$6:$F$6)</f>
        <v>7.0682311220496036E-2</v>
      </c>
      <c r="V12" s="113">
        <f>SUM(G12:J12)/SUM('매출액 추정'!$G$6:$J$6)</f>
        <v>5.3691894499283827E-2</v>
      </c>
      <c r="W12" s="113">
        <f>SUM(K12:N12)/SUM('매출액 추정'!$K$6:$N$6)</f>
        <v>5.1396206455118366E-2</v>
      </c>
      <c r="X12" s="128">
        <f>SUM(O12:R12)/SUM($O$6:$R$6)</f>
        <v>3.639113864155058E-2</v>
      </c>
      <c r="Z12" s="105" t="s">
        <v>348</v>
      </c>
    </row>
    <row r="13" spans="1:49">
      <c r="B13" s="150" t="s">
        <v>349</v>
      </c>
      <c r="C13" s="109">
        <v>1092.835</v>
      </c>
      <c r="D13" s="109">
        <v>1018.4201669999999</v>
      </c>
      <c r="E13" s="109">
        <v>1003.531417</v>
      </c>
      <c r="F13" s="109">
        <v>1314.9905220000001</v>
      </c>
      <c r="G13" s="109">
        <v>2115.6628559999999</v>
      </c>
      <c r="H13" s="109">
        <v>2282.4003980000002</v>
      </c>
      <c r="I13" s="109">
        <v>2213.2935150000003</v>
      </c>
      <c r="J13" s="109">
        <v>2589.2860000000001</v>
      </c>
      <c r="K13" s="109">
        <v>2799.6509999999998</v>
      </c>
      <c r="L13" s="109">
        <v>2824.2060000000001</v>
      </c>
      <c r="M13" s="109">
        <v>3075.951</v>
      </c>
      <c r="N13" s="109">
        <v>3917.86</v>
      </c>
      <c r="O13" s="110">
        <f t="shared" ref="O13:R14" si="7">N13*(1+(O$6/N$6-1))</f>
        <v>4243.3627134639892</v>
      </c>
      <c r="P13" s="110">
        <f t="shared" si="7"/>
        <v>4341.9118534180889</v>
      </c>
      <c r="Q13" s="110">
        <f t="shared" si="7"/>
        <v>4816.6128615378466</v>
      </c>
      <c r="R13" s="110">
        <f t="shared" si="7"/>
        <v>5315.7435714499024</v>
      </c>
      <c r="T13" s="111" t="s">
        <v>350</v>
      </c>
      <c r="U13" s="112">
        <f>SUM(C13:F13)/SUM('매출액 추정'!$C$6:$F$6)</f>
        <v>3.123895196857612E-2</v>
      </c>
      <c r="V13" s="113">
        <f>SUM(G13:J13)/SUM('매출액 추정'!$G$6:$J$6)</f>
        <v>5.1080061119685556E-2</v>
      </c>
      <c r="W13" s="113">
        <f>SUM(K13:N13)/SUM('매출액 추정'!$K$6:$N$6)</f>
        <v>5.193759750390016E-2</v>
      </c>
      <c r="X13" s="128">
        <f t="shared" ref="X13:X43" si="8">SUM(O13:R13)/SUM($O$6:$R$6)</f>
        <v>5.2657285324516481E-2</v>
      </c>
      <c r="Z13" s="105" t="s">
        <v>351</v>
      </c>
    </row>
    <row r="14" spans="1:49">
      <c r="B14" s="150" t="s">
        <v>352</v>
      </c>
      <c r="C14" s="109">
        <v>1609.318</v>
      </c>
      <c r="D14" s="109">
        <v>2002.1937820000001</v>
      </c>
      <c r="E14" s="109">
        <v>1112.29</v>
      </c>
      <c r="F14" s="109">
        <v>1190.385599</v>
      </c>
      <c r="G14" s="109">
        <v>1318.646467</v>
      </c>
      <c r="H14" s="109">
        <v>3702.8742579999998</v>
      </c>
      <c r="I14" s="109">
        <v>1466.420235</v>
      </c>
      <c r="J14" s="109">
        <v>2541.797</v>
      </c>
      <c r="K14" s="109">
        <v>2227.27</v>
      </c>
      <c r="L14" s="109">
        <v>2516.3539999999998</v>
      </c>
      <c r="M14" s="109">
        <v>4737.6229999999996</v>
      </c>
      <c r="N14" s="109">
        <v>3339.4960000000001</v>
      </c>
      <c r="O14" s="110">
        <f t="shared" si="7"/>
        <v>3616.9472130607364</v>
      </c>
      <c r="P14" s="110">
        <f t="shared" si="7"/>
        <v>3700.948289842489</v>
      </c>
      <c r="Q14" s="110">
        <f t="shared" si="7"/>
        <v>4105.5727832679559</v>
      </c>
      <c r="R14" s="110">
        <f t="shared" si="7"/>
        <v>4531.0206066277669</v>
      </c>
      <c r="T14" s="111" t="s">
        <v>353</v>
      </c>
      <c r="U14" s="112">
        <f>SUM(C14:F14)/SUM('매출액 추정'!$C$6:$F$6)</f>
        <v>4.1707068122677243E-2</v>
      </c>
      <c r="V14" s="113">
        <f>SUM(G14:J14)/SUM('매출액 추정'!$G$6:$J$6)</f>
        <v>5.0131233053152868E-2</v>
      </c>
      <c r="W14" s="113">
        <f>SUM(K14:N14)/SUM('매출액 추정'!$K$6:$N$6)</f>
        <v>5.2773506929723095E-2</v>
      </c>
      <c r="X14" s="128">
        <f t="shared" si="8"/>
        <v>4.4883889090493664E-2</v>
      </c>
      <c r="Z14" s="105" t="s">
        <v>354</v>
      </c>
    </row>
    <row r="15" spans="1:49">
      <c r="B15" s="151" t="s">
        <v>355</v>
      </c>
      <c r="C15" s="109">
        <v>949.16200000000003</v>
      </c>
      <c r="D15" s="109">
        <v>1007.980763</v>
      </c>
      <c r="E15" s="109">
        <v>1128.6549869999999</v>
      </c>
      <c r="F15" s="109">
        <v>3590.6120690000002</v>
      </c>
      <c r="G15" s="109">
        <v>1768.3492180000001</v>
      </c>
      <c r="H15" s="109">
        <v>1043.2570479999999</v>
      </c>
      <c r="I15" s="109">
        <v>1980.7433529999998</v>
      </c>
      <c r="J15" s="109">
        <v>2706.989</v>
      </c>
      <c r="K15" s="109">
        <v>1694.518</v>
      </c>
      <c r="L15" s="109">
        <v>3164.7350000000001</v>
      </c>
      <c r="M15" s="109">
        <v>2169.672</v>
      </c>
      <c r="N15" s="109">
        <v>3366.5320000000002</v>
      </c>
      <c r="O15" s="110">
        <f>O$6*(AVERAGE($U15:$W15))</f>
        <v>3532.489114776798</v>
      </c>
      <c r="P15" s="110">
        <f>P6*(AVERAGE($U15:$W15))</f>
        <v>3614.5287111219072</v>
      </c>
      <c r="Q15" s="110">
        <f>Q6*(AVERAGE($U15:$W15))</f>
        <v>4009.7049562814282</v>
      </c>
      <c r="R15" s="110">
        <f>R6*(AVERAGE($U15:$W15))</f>
        <v>4425.2182929143501</v>
      </c>
      <c r="T15" s="114" t="s">
        <v>356</v>
      </c>
      <c r="U15" s="112">
        <f>SUM(C15:F15)/SUM('매출액 추정'!$C$6:$F$6)</f>
        <v>4.7082288943111221E-2</v>
      </c>
      <c r="V15" s="113">
        <f>SUM(G15:J15)/SUM('매출액 추정'!$G$6:$J$6)</f>
        <v>4.163477320371748E-2</v>
      </c>
      <c r="W15" s="113">
        <f>SUM(K15:N15)/SUM('매출액 추정'!$K$6:$N$6)</f>
        <v>4.2790400059274147E-2</v>
      </c>
      <c r="X15" s="128">
        <f t="shared" si="8"/>
        <v>4.3835820735367612E-2</v>
      </c>
      <c r="Z15" s="105" t="s">
        <v>357</v>
      </c>
    </row>
    <row r="16" spans="1:49">
      <c r="B16" s="151" t="s">
        <v>358</v>
      </c>
      <c r="C16" s="109">
        <v>1687.354</v>
      </c>
      <c r="D16" s="109">
        <v>1004.6254449999998</v>
      </c>
      <c r="E16" s="109">
        <v>487.683335</v>
      </c>
      <c r="F16" s="109">
        <v>646.59671800000001</v>
      </c>
      <c r="G16" s="109">
        <v>578.01816399999996</v>
      </c>
      <c r="H16" s="109">
        <v>748.22561899999994</v>
      </c>
      <c r="I16" s="109">
        <v>1013.457814</v>
      </c>
      <c r="J16" s="109">
        <v>855.827</v>
      </c>
      <c r="K16" s="109">
        <v>800.01700000000005</v>
      </c>
      <c r="L16" s="109">
        <v>1167.424</v>
      </c>
      <c r="M16" s="109">
        <v>841.40700000000004</v>
      </c>
      <c r="N16" s="109">
        <v>614.91800000000001</v>
      </c>
      <c r="O16" s="110">
        <f>O$6*(AVERAGE($U16:$W16))</f>
        <v>1579.9120167551043</v>
      </c>
      <c r="P16" s="110">
        <f t="shared" ref="P16:R17" si="9">P$6*(AVERAGE($U16:$W16))</f>
        <v>1616.6043716085646</v>
      </c>
      <c r="Q16" s="110">
        <f t="shared" si="9"/>
        <v>1793.3476475756406</v>
      </c>
      <c r="R16" s="110">
        <f t="shared" si="9"/>
        <v>1979.1867237449785</v>
      </c>
      <c r="T16" s="114" t="s">
        <v>359</v>
      </c>
      <c r="U16" s="112">
        <f>SUM(C16:F16)/SUM('매출액 추정'!$C$6:$F$6)</f>
        <v>2.6982923478346722E-2</v>
      </c>
      <c r="V16" s="113">
        <f>SUM(G16:J16)/SUM('매출액 추정'!$G$6:$J$6)</f>
        <v>1.7740912253916788E-2</v>
      </c>
      <c r="W16" s="113">
        <f>SUM(K16:N16)/SUM('매출액 추정'!$K$6:$N$6)</f>
        <v>1.4093109792993302E-2</v>
      </c>
      <c r="X16" s="128">
        <f t="shared" si="8"/>
        <v>1.9605648508418935E-2</v>
      </c>
      <c r="Z16" s="105" t="s">
        <v>360</v>
      </c>
    </row>
    <row r="17" spans="2:26">
      <c r="B17" s="151" t="s">
        <v>361</v>
      </c>
      <c r="C17" s="109">
        <v>372.00599999999997</v>
      </c>
      <c r="D17" s="109">
        <v>375.74756200000002</v>
      </c>
      <c r="E17" s="109">
        <v>279.53081099999997</v>
      </c>
      <c r="F17" s="109">
        <v>402.86607600000002</v>
      </c>
      <c r="G17" s="109">
        <v>437.11958600000003</v>
      </c>
      <c r="H17" s="109">
        <v>469.51039000000003</v>
      </c>
      <c r="I17" s="109">
        <v>517.76484499999992</v>
      </c>
      <c r="J17" s="109">
        <v>548.07799999999997</v>
      </c>
      <c r="K17" s="109">
        <v>572.452</v>
      </c>
      <c r="L17" s="109">
        <v>586.39400000000001</v>
      </c>
      <c r="M17" s="109">
        <v>602.23500000000001</v>
      </c>
      <c r="N17" s="109">
        <v>800.57299999999998</v>
      </c>
      <c r="O17" s="110">
        <f>O$6*(AVERAGE($U17:$W17))</f>
        <v>848.30442668029059</v>
      </c>
      <c r="P17" s="110">
        <f t="shared" si="9"/>
        <v>868.00570543342212</v>
      </c>
      <c r="Q17" s="110">
        <f t="shared" si="9"/>
        <v>962.90472626420501</v>
      </c>
      <c r="R17" s="110">
        <f t="shared" si="9"/>
        <v>1062.687568152078</v>
      </c>
      <c r="T17" s="114" t="s">
        <v>23</v>
      </c>
      <c r="U17" s="112">
        <f>SUM(C17:F17)/SUM('매출액 추정'!$C$6:$F$6)</f>
        <v>1.0085473854572893E-2</v>
      </c>
      <c r="V17" s="113">
        <f>SUM(G17:J17)/SUM('매출액 추정'!$G$6:$J$6)</f>
        <v>1.0950760157004696E-2</v>
      </c>
      <c r="W17" s="113">
        <f>SUM(K17:N17)/SUM('매출액 추정'!$K$6:$N$6)</f>
        <v>1.0544432964653679E-2</v>
      </c>
      <c r="X17" s="128">
        <f t="shared" si="8"/>
        <v>1.052688899207709E-2</v>
      </c>
      <c r="Z17" s="105" t="s">
        <v>362</v>
      </c>
    </row>
    <row r="18" spans="2:26">
      <c r="B18" s="151" t="s">
        <v>363</v>
      </c>
      <c r="C18" s="109">
        <v>454.86599999999999</v>
      </c>
      <c r="D18" s="109">
        <v>266.88398600000005</v>
      </c>
      <c r="E18" s="109">
        <v>340.250542</v>
      </c>
      <c r="F18" s="109">
        <v>529.43000500000005</v>
      </c>
      <c r="G18" s="109">
        <v>233.44264999999999</v>
      </c>
      <c r="H18" s="109">
        <v>305.30155600000001</v>
      </c>
      <c r="I18" s="109">
        <v>348.89246100000003</v>
      </c>
      <c r="J18" s="109">
        <v>546.72299999999996</v>
      </c>
      <c r="K18" s="109">
        <v>278.99400000000003</v>
      </c>
      <c r="L18" s="109">
        <v>545.755</v>
      </c>
      <c r="M18" s="109">
        <v>438.02199999999999</v>
      </c>
      <c r="N18" s="109">
        <v>831.26199999999994</v>
      </c>
      <c r="O18" s="110">
        <f>O12*(AVERAGE($C18:$N18)/AVERAGE($C12:$N12))</f>
        <v>453.14290395663301</v>
      </c>
      <c r="P18" s="110">
        <f>P12*(AVERAGE($C18:$N18)/AVERAGE($C12:$N12))</f>
        <v>472.21872395476089</v>
      </c>
      <c r="Q18" s="110">
        <f>Q12*(AVERAGE($C18:$N18)/AVERAGE($C12:$N12))</f>
        <v>525.44750256047746</v>
      </c>
      <c r="R18" s="110">
        <f>R12*(AVERAGE($C18:$N18)/AVERAGE($C12:$N12))</f>
        <v>607.23322856905793</v>
      </c>
      <c r="T18" s="114" t="s">
        <v>364</v>
      </c>
      <c r="U18" s="112">
        <f>SUM(C18:F18)/SUM('매출액 추정'!$C$6:$F$6)</f>
        <v>1.1222826971220639E-2</v>
      </c>
      <c r="V18" s="113">
        <f>SUM(G18:J18)/SUM('매출액 추정'!$G$6:$J$6)</f>
        <v>7.9632674909228193E-3</v>
      </c>
      <c r="W18" s="113">
        <f>SUM(K18:N18)/SUM('매출액 추정'!$K$6:$N$6)</f>
        <v>8.6195835168499085E-3</v>
      </c>
      <c r="X18" s="128">
        <f t="shared" si="8"/>
        <v>5.7897777614438961E-3</v>
      </c>
      <c r="Z18" s="105" t="s">
        <v>365</v>
      </c>
    </row>
    <row r="19" spans="2:26">
      <c r="B19" s="151" t="s">
        <v>366</v>
      </c>
      <c r="C19" s="109">
        <v>203.87299999999999</v>
      </c>
      <c r="D19" s="109">
        <v>232.858046</v>
      </c>
      <c r="E19" s="109">
        <v>281.30319600000001</v>
      </c>
      <c r="F19" s="109">
        <v>441.71843100000001</v>
      </c>
      <c r="G19" s="109">
        <v>64.267548000000005</v>
      </c>
      <c r="H19" s="109">
        <v>318.97146299999997</v>
      </c>
      <c r="I19" s="109">
        <v>294.51956199999995</v>
      </c>
      <c r="J19" s="109">
        <v>368.28699999999998</v>
      </c>
      <c r="K19" s="109">
        <v>132.08099999999999</v>
      </c>
      <c r="L19" s="109">
        <v>332.43</v>
      </c>
      <c r="M19" s="109">
        <v>367.56200000000001</v>
      </c>
      <c r="N19" s="109">
        <v>51.542000000000002</v>
      </c>
      <c r="O19" s="110">
        <f>AVERAGE(C19:N19)</f>
        <v>257.45110383333332</v>
      </c>
      <c r="P19" s="110">
        <f>O19</f>
        <v>257.45110383333332</v>
      </c>
      <c r="Q19" s="110">
        <f>P19</f>
        <v>257.45110383333332</v>
      </c>
      <c r="R19" s="110">
        <f>Q19</f>
        <v>257.45110383333332</v>
      </c>
      <c r="T19" s="114" t="s">
        <v>367</v>
      </c>
      <c r="U19" s="112">
        <f>SUM(C19:F19)/SUM('매출액 추정'!$C$6:$F$6)</f>
        <v>8.178618738672665E-3</v>
      </c>
      <c r="V19" s="113">
        <f>SUM(G19:J19)/SUM('매출액 추정'!$G$6:$J$6)</f>
        <v>5.8074281486992143E-3</v>
      </c>
      <c r="W19" s="113">
        <f>SUM(K19:N19)/SUM('매출액 추정'!$K$6:$N$6)</f>
        <v>3.6371887593181829E-3</v>
      </c>
      <c r="X19" s="128">
        <f t="shared" si="8"/>
        <v>2.8970923151028743E-3</v>
      </c>
      <c r="Z19" s="105" t="s">
        <v>368</v>
      </c>
    </row>
    <row r="20" spans="2:26">
      <c r="B20" s="151" t="s">
        <v>369</v>
      </c>
      <c r="C20" s="109">
        <v>209.56200000000001</v>
      </c>
      <c r="D20" s="109">
        <v>142.01615899999999</v>
      </c>
      <c r="E20" s="109">
        <v>197.85279399999999</v>
      </c>
      <c r="F20" s="109">
        <v>238.08679599999999</v>
      </c>
      <c r="G20" s="109">
        <v>150.03006299999998</v>
      </c>
      <c r="H20" s="109">
        <v>232.56942699999999</v>
      </c>
      <c r="I20" s="109">
        <v>181.35998499999999</v>
      </c>
      <c r="J20" s="109">
        <v>183.42</v>
      </c>
      <c r="K20" s="109">
        <v>246.47300000000001</v>
      </c>
      <c r="L20" s="109">
        <v>202.922</v>
      </c>
      <c r="M20" s="109">
        <v>231.60300000000001</v>
      </c>
      <c r="N20" s="109">
        <v>240.495</v>
      </c>
      <c r="O20" s="110">
        <f>K20*(1.036)</f>
        <v>255.34602800000002</v>
      </c>
      <c r="P20" s="110">
        <f>L20*(1.036)</f>
        <v>210.227192</v>
      </c>
      <c r="Q20" s="110">
        <f>M20*(1.036)</f>
        <v>239.94070800000003</v>
      </c>
      <c r="R20" s="110">
        <f>N20*(1.036)</f>
        <v>249.15282000000002</v>
      </c>
      <c r="T20" s="114" t="s">
        <v>370</v>
      </c>
      <c r="U20" s="112">
        <f>SUM(C20:F20)/SUM('매출액 추정'!$C$6:$F$6)</f>
        <v>5.5536042890488926E-3</v>
      </c>
      <c r="V20" s="113">
        <f>SUM(G20:J20)/SUM('매출액 추정'!$G$6:$J$6)</f>
        <v>4.1492958938941374E-3</v>
      </c>
      <c r="W20" s="113">
        <f>SUM(K20:N20)/SUM('매출액 추정'!$K$6:$N$6)</f>
        <v>3.7931044418557749E-3</v>
      </c>
      <c r="X20" s="128">
        <f t="shared" si="8"/>
        <v>2.6857116341065753E-3</v>
      </c>
      <c r="Z20" s="105" t="s">
        <v>371</v>
      </c>
    </row>
    <row r="21" spans="2:26">
      <c r="B21" s="151" t="s">
        <v>372</v>
      </c>
      <c r="C21" s="109" t="s">
        <v>373</v>
      </c>
      <c r="D21" s="109" t="s">
        <v>373</v>
      </c>
      <c r="E21" s="109" t="s">
        <v>373</v>
      </c>
      <c r="F21" s="109" t="s">
        <v>373</v>
      </c>
      <c r="G21" s="109">
        <v>11.087277</v>
      </c>
      <c r="H21" s="109">
        <v>505.73928699999999</v>
      </c>
      <c r="I21" s="109">
        <v>505.94600500000001</v>
      </c>
      <c r="J21" s="109">
        <v>505.94600000000003</v>
      </c>
      <c r="K21" s="109">
        <v>420.39499999999998</v>
      </c>
      <c r="L21" s="109">
        <v>366.75200000000001</v>
      </c>
      <c r="M21" s="109">
        <v>570.86800000000005</v>
      </c>
      <c r="N21" s="109">
        <v>600.09500000000003</v>
      </c>
      <c r="O21" s="110">
        <f>AVERAGE(G21:N21)</f>
        <v>435.85357112500003</v>
      </c>
      <c r="P21" s="110">
        <f>O21</f>
        <v>435.85357112500003</v>
      </c>
      <c r="Q21" s="110">
        <f>P21</f>
        <v>435.85357112500003</v>
      </c>
      <c r="R21" s="110">
        <f>Q21</f>
        <v>435.85357112500003</v>
      </c>
      <c r="T21" s="114" t="s">
        <v>374</v>
      </c>
      <c r="U21" s="112">
        <f>SUM(C21:F21)/SUM('매출액 추정'!$C$6:$F$6)</f>
        <v>0</v>
      </c>
      <c r="V21" s="113">
        <f>SUM(G21:J21)/SUM('매출액 추정'!$G$6:$J$6)</f>
        <v>8.4871285517593639E-3</v>
      </c>
      <c r="W21" s="113">
        <f>SUM(K21:N21)/SUM('매출액 추정'!$K$6:$N$6)</f>
        <v>8.0600891581837416E-3</v>
      </c>
      <c r="X21" s="128">
        <f t="shared" si="8"/>
        <v>4.9046518450114075E-3</v>
      </c>
      <c r="Z21" s="105" t="s">
        <v>375</v>
      </c>
    </row>
    <row r="22" spans="2:26">
      <c r="B22" s="151" t="s">
        <v>376</v>
      </c>
      <c r="C22" s="109">
        <v>27.038</v>
      </c>
      <c r="D22" s="109">
        <v>83.067340000000002</v>
      </c>
      <c r="E22" s="109">
        <v>21.423727</v>
      </c>
      <c r="F22" s="109">
        <v>181.33514799999998</v>
      </c>
      <c r="G22" s="109">
        <v>297.81257699999998</v>
      </c>
      <c r="H22" s="109">
        <v>205.480391</v>
      </c>
      <c r="I22" s="109">
        <v>329.74875400000002</v>
      </c>
      <c r="J22" s="109">
        <v>178.56</v>
      </c>
      <c r="K22" s="109">
        <v>360.69</v>
      </c>
      <c r="L22" s="109">
        <v>297.80900000000003</v>
      </c>
      <c r="M22" s="109">
        <v>201.619</v>
      </c>
      <c r="N22" s="109">
        <v>371.60500000000002</v>
      </c>
      <c r="O22" s="110">
        <f t="shared" ref="O22:R23" si="10">N22*(1+(O$6/N$6-1))</f>
        <v>402.4785983002929</v>
      </c>
      <c r="P22" s="110">
        <f>O22*(1+(P$6/O$6-1))</f>
        <v>411.82588308143448</v>
      </c>
      <c r="Q22" s="110">
        <f t="shared" si="10"/>
        <v>456.85078650379836</v>
      </c>
      <c r="R22" s="110">
        <f t="shared" si="10"/>
        <v>504.19282206833344</v>
      </c>
      <c r="T22" s="114" t="s">
        <v>377</v>
      </c>
      <c r="U22" s="112">
        <f>SUM(C22:F22)/SUM('매출액 추정'!$C$6:$F$6)</f>
        <v>2.2063300141745941E-3</v>
      </c>
      <c r="V22" s="113">
        <f>SUM(G22:J22)/SUM('매출액 추정'!$G$6:$J$6)</f>
        <v>5.6162030290580825E-3</v>
      </c>
      <c r="W22" s="113">
        <f>SUM(K22:N22)/SUM('매출액 추정'!$K$6:$N$6)</f>
        <v>5.0700916691021197E-3</v>
      </c>
      <c r="X22" s="128">
        <f t="shared" si="8"/>
        <v>4.9944894695106382E-3</v>
      </c>
      <c r="Z22" s="105" t="s">
        <v>378</v>
      </c>
    </row>
    <row r="23" spans="2:26">
      <c r="B23" s="151" t="s">
        <v>379</v>
      </c>
      <c r="C23" s="109">
        <v>0.79100000000000004</v>
      </c>
      <c r="D23" s="109">
        <v>15.033637000000001</v>
      </c>
      <c r="E23" s="109">
        <v>12.58849</v>
      </c>
      <c r="F23" s="109">
        <v>30.456054999999999</v>
      </c>
      <c r="G23" s="109">
        <v>57.180141000000006</v>
      </c>
      <c r="H23" s="109">
        <v>36.38579</v>
      </c>
      <c r="I23" s="109">
        <v>40.064523000000001</v>
      </c>
      <c r="J23" s="109">
        <v>46.426000000000002</v>
      </c>
      <c r="K23" s="109">
        <v>49.115000000000002</v>
      </c>
      <c r="L23" s="109">
        <v>61.862000000000002</v>
      </c>
      <c r="M23" s="109">
        <v>46.462000000000003</v>
      </c>
      <c r="N23" s="109">
        <v>79.42</v>
      </c>
      <c r="O23" s="110">
        <f t="shared" si="10"/>
        <v>86.018353566311717</v>
      </c>
      <c r="P23" s="110">
        <f t="shared" si="10"/>
        <v>88.016069843859825</v>
      </c>
      <c r="Q23" s="110">
        <f t="shared" si="10"/>
        <v>97.638862405327345</v>
      </c>
      <c r="R23" s="110">
        <f t="shared" si="10"/>
        <v>107.7568760610515</v>
      </c>
      <c r="T23" s="114" t="s">
        <v>380</v>
      </c>
      <c r="U23" s="112">
        <f>SUM(C23:F23)/SUM('매출액 추정'!$C$6:$F$6)</f>
        <v>4.1514764849826874E-4</v>
      </c>
      <c r="V23" s="113">
        <f>SUM(G23:J23)/SUM('매출액 추정'!$G$6:$J$6)</f>
        <v>9.9963610219739978E-4</v>
      </c>
      <c r="W23" s="113">
        <f>SUM(K23:N23)/SUM('매출액 추정'!$K$6:$N$6)</f>
        <v>9.7497314140586745E-4</v>
      </c>
      <c r="X23" s="128">
        <f t="shared" si="8"/>
        <v>1.0674300767442174E-3</v>
      </c>
      <c r="Z23" s="105" t="s">
        <v>381</v>
      </c>
    </row>
    <row r="24" spans="2:26">
      <c r="B24" s="151" t="s">
        <v>382</v>
      </c>
      <c r="C24" s="109">
        <v>8.4570000000000007</v>
      </c>
      <c r="D24" s="109">
        <v>7.1775089999999997</v>
      </c>
      <c r="E24" s="109">
        <v>8.8197710000000011</v>
      </c>
      <c r="F24" s="109">
        <v>12.125935</v>
      </c>
      <c r="G24" s="109">
        <v>14.199509000000001</v>
      </c>
      <c r="H24" s="109">
        <v>11.701801</v>
      </c>
      <c r="I24" s="109">
        <v>9.9732070000000004</v>
      </c>
      <c r="J24" s="109">
        <v>19.741</v>
      </c>
      <c r="K24" s="109">
        <v>12.244</v>
      </c>
      <c r="L24" s="109">
        <v>13.321</v>
      </c>
      <c r="M24" s="109">
        <v>12.759</v>
      </c>
      <c r="N24" s="109">
        <v>20.369</v>
      </c>
      <c r="O24" s="110">
        <f t="shared" ref="O24:R26" si="11">O$6*(AVERAGE($U24:$W24))</f>
        <v>21.712870346525246</v>
      </c>
      <c r="P24" s="110">
        <f t="shared" si="11"/>
        <v>22.217136619072608</v>
      </c>
      <c r="Q24" s="110">
        <f t="shared" si="11"/>
        <v>24.646135066451407</v>
      </c>
      <c r="R24" s="110">
        <f t="shared" si="11"/>
        <v>27.200137899134671</v>
      </c>
      <c r="T24" s="114" t="s">
        <v>383</v>
      </c>
      <c r="U24" s="112">
        <f>SUM(C24:F24)/SUM('매출액 추정'!$C$6:$F$6)</f>
        <v>2.5796502894861182E-4</v>
      </c>
      <c r="V24" s="113">
        <f>SUM(G24:J24)/SUM('매출액 추정'!$G$6:$J$6)</f>
        <v>3.0876581983322416E-4</v>
      </c>
      <c r="W24" s="113">
        <f>SUM(K24:N24)/SUM('매출액 추정'!$K$6:$N$6)</f>
        <v>2.4159562688576145E-4</v>
      </c>
      <c r="X24" s="128">
        <f t="shared" si="8"/>
        <v>2.6944215855586576E-4</v>
      </c>
      <c r="Z24" s="105" t="s">
        <v>384</v>
      </c>
    </row>
    <row r="25" spans="2:26">
      <c r="B25" s="151" t="s">
        <v>385</v>
      </c>
      <c r="C25" s="109">
        <v>35.082999999999998</v>
      </c>
      <c r="D25" s="109">
        <v>33.594800000000006</v>
      </c>
      <c r="E25" s="109">
        <v>44.243822000000002</v>
      </c>
      <c r="F25" s="109">
        <v>21.433001000000001</v>
      </c>
      <c r="G25" s="109">
        <v>50.389559999999996</v>
      </c>
      <c r="H25" s="109">
        <v>25.129489000000003</v>
      </c>
      <c r="I25" s="109">
        <v>41.697078999999995</v>
      </c>
      <c r="J25" s="109">
        <v>32.991999999999997</v>
      </c>
      <c r="K25" s="109">
        <v>56.122</v>
      </c>
      <c r="L25" s="109">
        <v>31.164000000000001</v>
      </c>
      <c r="M25" s="109">
        <v>54.83</v>
      </c>
      <c r="N25" s="109">
        <v>40.246000000000002</v>
      </c>
      <c r="O25" s="110">
        <f t="shared" si="11"/>
        <v>68.014621089454053</v>
      </c>
      <c r="P25" s="110">
        <f t="shared" si="11"/>
        <v>69.594213234948029</v>
      </c>
      <c r="Q25" s="110">
        <f t="shared" si="11"/>
        <v>77.202945124777585</v>
      </c>
      <c r="R25" s="110">
        <f t="shared" si="11"/>
        <v>85.203247809500411</v>
      </c>
      <c r="T25" s="114" t="s">
        <v>386</v>
      </c>
      <c r="U25" s="112">
        <f>SUM(C25:F25)/SUM('매출액 추정'!$C$6:$F$6)</f>
        <v>9.4747376994844962E-4</v>
      </c>
      <c r="V25" s="113">
        <f>SUM(G25:J25)/SUM('매출액 추정'!$G$6:$J$6)</f>
        <v>8.3392438458378202E-4</v>
      </c>
      <c r="W25" s="113">
        <f>SUM(K25:N25)/SUM('매출액 추정'!$K$6:$N$6)</f>
        <v>7.5064933995776717E-4</v>
      </c>
      <c r="X25" s="128">
        <f t="shared" si="8"/>
        <v>8.4401583149666627E-4</v>
      </c>
      <c r="Z25" s="105" t="s">
        <v>387</v>
      </c>
    </row>
    <row r="26" spans="2:26">
      <c r="B26" s="151" t="s">
        <v>388</v>
      </c>
      <c r="C26" s="109">
        <v>56.387999999999998</v>
      </c>
      <c r="D26" s="109">
        <v>14.398233999999997</v>
      </c>
      <c r="E26" s="109">
        <v>173.238</v>
      </c>
      <c r="F26" s="109">
        <v>130.98468099999999</v>
      </c>
      <c r="G26" s="109">
        <v>120.27807899999999</v>
      </c>
      <c r="H26" s="109">
        <v>20.276854</v>
      </c>
      <c r="I26" s="109">
        <v>146.90983700000001</v>
      </c>
      <c r="J26" s="109">
        <v>130.55600000000001</v>
      </c>
      <c r="K26" s="109">
        <v>153.55099999999999</v>
      </c>
      <c r="L26" s="109">
        <v>20.03</v>
      </c>
      <c r="M26" s="109">
        <v>196.536</v>
      </c>
      <c r="N26" s="109">
        <v>165.5</v>
      </c>
      <c r="O26" s="110">
        <f t="shared" si="11"/>
        <v>192.59918189644341</v>
      </c>
      <c r="P26" s="110">
        <f t="shared" si="11"/>
        <v>197.07216358889536</v>
      </c>
      <c r="Q26" s="110">
        <f t="shared" si="11"/>
        <v>218.61805348399875</v>
      </c>
      <c r="R26" s="110">
        <f t="shared" si="11"/>
        <v>241.27276694590248</v>
      </c>
      <c r="T26" s="114" t="s">
        <v>389</v>
      </c>
      <c r="U26" s="112">
        <f>SUM(C26:F26)/SUM('매출액 추정'!$C$6:$F$6)</f>
        <v>2.6445767367404074E-3</v>
      </c>
      <c r="V26" s="113">
        <f>SUM(G26:J26)/SUM('매출액 추정'!$G$6:$J$6)</f>
        <v>2.3207646484049702E-3</v>
      </c>
      <c r="W26" s="113">
        <f>SUM(K26:N26)/SUM('매출액 추정'!$K$6:$N$6)</f>
        <v>2.2047386380943364E-3</v>
      </c>
      <c r="X26" s="128">
        <f t="shared" si="8"/>
        <v>2.3900266744132375E-3</v>
      </c>
      <c r="Z26" s="105" t="s">
        <v>390</v>
      </c>
    </row>
    <row r="27" spans="2:26">
      <c r="B27" s="151" t="s">
        <v>391</v>
      </c>
      <c r="C27" s="109">
        <v>1.4219999999999999</v>
      </c>
      <c r="D27" s="109">
        <v>1.4285999999999999</v>
      </c>
      <c r="E27" s="109">
        <v>1.4658</v>
      </c>
      <c r="F27" s="109">
        <v>1.4307000000000001</v>
      </c>
      <c r="G27" s="109">
        <v>3.39635</v>
      </c>
      <c r="H27" s="109">
        <v>5.4056499999999996</v>
      </c>
      <c r="I27" s="109">
        <v>2.7124419999999998</v>
      </c>
      <c r="J27" s="109">
        <v>1.0369999999999999</v>
      </c>
      <c r="K27" s="109">
        <v>3.0880000000000001</v>
      </c>
      <c r="L27" s="109">
        <v>3.4990000000000001</v>
      </c>
      <c r="M27" s="109">
        <v>5.3369999999999997</v>
      </c>
      <c r="N27" s="109">
        <v>21.762</v>
      </c>
      <c r="O27" s="110">
        <f>AVERAGE(C27:M27)</f>
        <v>2.7475038181818179</v>
      </c>
      <c r="P27" s="110">
        <f>O27</f>
        <v>2.7475038181818179</v>
      </c>
      <c r="Q27" s="110">
        <f>P27</f>
        <v>2.7475038181818179</v>
      </c>
      <c r="R27" s="110">
        <f>Q27</f>
        <v>2.7475038181818179</v>
      </c>
      <c r="T27" s="114" t="s">
        <v>392</v>
      </c>
      <c r="U27" s="112">
        <f>SUM(C27:F27)/SUM('매출액 추정'!$C$6:$F$6)</f>
        <v>4.0528761732826523E-5</v>
      </c>
      <c r="V27" s="113">
        <f>SUM(G27:J27)/SUM('매출액 추정'!$G$6:$J$6)</f>
        <v>6.9683003741908249E-5</v>
      </c>
      <c r="W27" s="113">
        <f>SUM(K27:N27)/SUM('매출액 추정'!$K$6:$N$6)</f>
        <v>1.386603221384792E-4</v>
      </c>
      <c r="X27" s="128">
        <f t="shared" si="8"/>
        <v>3.0917607572284037E-5</v>
      </c>
      <c r="Z27" s="105" t="s">
        <v>393</v>
      </c>
    </row>
    <row r="28" spans="2:26">
      <c r="B28" s="151" t="s">
        <v>394</v>
      </c>
      <c r="C28" s="109">
        <v>4.8040000000000003</v>
      </c>
      <c r="D28" s="109">
        <v>4.5720740000000006</v>
      </c>
      <c r="E28" s="109">
        <v>0.40500000000000003</v>
      </c>
      <c r="F28" s="109">
        <v>59.746849000000005</v>
      </c>
      <c r="G28" s="109">
        <v>18.807259999999999</v>
      </c>
      <c r="H28" s="109">
        <v>17.956078000000002</v>
      </c>
      <c r="I28" s="109">
        <v>11.445129000000001</v>
      </c>
      <c r="J28" s="109">
        <v>4.6790000000000003</v>
      </c>
      <c r="K28" s="109">
        <v>4.37</v>
      </c>
      <c r="L28" s="109">
        <v>2.863</v>
      </c>
      <c r="M28" s="109">
        <v>23.274000000000001</v>
      </c>
      <c r="N28" s="109">
        <v>59.780999999999999</v>
      </c>
      <c r="O28" s="110">
        <f>O$6*(AVERAGE($U28:$W28))</f>
        <v>31.040694104569742</v>
      </c>
      <c r="P28" s="110">
        <f>P$6*(AVERAGE($U28:$W28))</f>
        <v>31.761592579234065</v>
      </c>
      <c r="Q28" s="110">
        <f>Q$6*(AVERAGE($U28:$W28))</f>
        <v>35.234085924528976</v>
      </c>
      <c r="R28" s="110">
        <f>R$6*(AVERAGE($U28:$W28))</f>
        <v>38.885285393152564</v>
      </c>
      <c r="T28" s="114" t="s">
        <v>394</v>
      </c>
      <c r="U28" s="112">
        <f>SUM(C28:F28)/SUM('매출액 추정'!$C$6:$F$6)</f>
        <v>4.903134841999111E-4</v>
      </c>
      <c r="V28" s="113">
        <f>SUM(G28:J28)/SUM('매출액 추정'!$G$6:$J$6)</f>
        <v>2.9362025182931573E-4</v>
      </c>
      <c r="W28" s="113">
        <f>SUM(K28:N28)/SUM('매출액 추정'!$K$6:$N$6)</f>
        <v>3.7164885012287035E-4</v>
      </c>
      <c r="X28" s="128">
        <f t="shared" si="8"/>
        <v>3.8519419538403241E-4</v>
      </c>
      <c r="Z28" s="105" t="s">
        <v>395</v>
      </c>
    </row>
    <row r="29" spans="2:26">
      <c r="B29" s="151" t="s">
        <v>396</v>
      </c>
      <c r="C29" s="109">
        <v>9.6389999999999993</v>
      </c>
      <c r="D29" s="109">
        <v>16.886823</v>
      </c>
      <c r="E29" s="109">
        <v>20.170973</v>
      </c>
      <c r="F29" s="109">
        <v>44.28228</v>
      </c>
      <c r="G29" s="109">
        <v>19.556207999999998</v>
      </c>
      <c r="H29" s="109">
        <v>13.572042</v>
      </c>
      <c r="I29" s="109">
        <v>15.336373999999999</v>
      </c>
      <c r="J29" s="109">
        <v>19.056000000000001</v>
      </c>
      <c r="K29" s="109">
        <v>17.312000000000001</v>
      </c>
      <c r="L29" s="109">
        <v>16.167999999999999</v>
      </c>
      <c r="M29" s="109">
        <v>16.893000000000001</v>
      </c>
      <c r="N29" s="109">
        <v>22.998999999999999</v>
      </c>
      <c r="O29" s="110">
        <f>AVERAGE(C29:N29)</f>
        <v>19.322641666666666</v>
      </c>
      <c r="P29" s="110">
        <f t="shared" ref="P29:R30" si="12">O29</f>
        <v>19.322641666666666</v>
      </c>
      <c r="Q29" s="110">
        <f t="shared" si="12"/>
        <v>19.322641666666666</v>
      </c>
      <c r="R29" s="110">
        <f t="shared" si="12"/>
        <v>19.322641666666666</v>
      </c>
      <c r="T29" s="114" t="s">
        <v>397</v>
      </c>
      <c r="U29" s="112">
        <f>SUM(C29:F29)/SUM('매출액 추정'!$C$6:$F$6)</f>
        <v>6.4158780843846742E-4</v>
      </c>
      <c r="V29" s="113">
        <f>SUM(G29:J29)/SUM('매출액 추정'!$G$6:$J$6)</f>
        <v>3.7486050565727671E-4</v>
      </c>
      <c r="W29" s="113">
        <f>SUM(K29:N29)/SUM('매출액 추정'!$K$6:$N$6)</f>
        <v>3.0201820210011565E-4</v>
      </c>
      <c r="X29" s="128">
        <f t="shared" si="8"/>
        <v>2.1743731468413572E-4</v>
      </c>
      <c r="Z29" s="105" t="s">
        <v>398</v>
      </c>
    </row>
    <row r="30" spans="2:26">
      <c r="B30" s="151" t="s">
        <v>399</v>
      </c>
      <c r="C30" s="109">
        <v>44.570999999999998</v>
      </c>
      <c r="D30" s="109">
        <v>53.847982000000002</v>
      </c>
      <c r="E30" s="109">
        <v>44.451177000000001</v>
      </c>
      <c r="F30" s="109">
        <v>51.430019000000001</v>
      </c>
      <c r="G30" s="109">
        <v>44.444368000000004</v>
      </c>
      <c r="H30" s="109">
        <v>50.819050000000004</v>
      </c>
      <c r="I30" s="109">
        <v>53.849182999999996</v>
      </c>
      <c r="J30" s="109">
        <v>56.368000000000002</v>
      </c>
      <c r="K30" s="109">
        <v>55.029000000000003</v>
      </c>
      <c r="L30" s="109">
        <v>64.144000000000005</v>
      </c>
      <c r="M30" s="109">
        <v>58.103000000000002</v>
      </c>
      <c r="N30" s="109">
        <v>78.838999999999999</v>
      </c>
      <c r="O30" s="110">
        <f>AVERAGE(C30:M30)</f>
        <v>52.459707181818175</v>
      </c>
      <c r="P30" s="110">
        <f t="shared" si="12"/>
        <v>52.459707181818175</v>
      </c>
      <c r="Q30" s="110">
        <f t="shared" si="12"/>
        <v>52.459707181818175</v>
      </c>
      <c r="R30" s="110">
        <f t="shared" si="12"/>
        <v>52.459707181818175</v>
      </c>
      <c r="T30" s="114" t="s">
        <v>400</v>
      </c>
      <c r="U30" s="112">
        <f>SUM(C30:F30)/SUM('매출액 추정'!$C$6:$F$6)</f>
        <v>1.3702120406479412E-3</v>
      </c>
      <c r="V30" s="113">
        <f>SUM(G30:J30)/SUM('매출액 추정'!$G$6:$J$6)</f>
        <v>1.1407856952509964E-3</v>
      </c>
      <c r="W30" s="113">
        <f>SUM(K30:N30)/SUM('매출액 추정'!$K$6:$N$6)</f>
        <v>1.0542358369796533E-3</v>
      </c>
      <c r="X30" s="128">
        <f t="shared" si="8"/>
        <v>5.9032807498615551E-4</v>
      </c>
      <c r="Z30" s="105" t="s">
        <v>401</v>
      </c>
    </row>
    <row r="31" spans="2:26">
      <c r="B31" s="151" t="s">
        <v>402</v>
      </c>
      <c r="C31" s="109">
        <v>73.370999999999995</v>
      </c>
      <c r="D31" s="109">
        <v>91.08530300000001</v>
      </c>
      <c r="E31" s="109">
        <v>80.111604999999997</v>
      </c>
      <c r="F31" s="109">
        <v>153.96194699999998</v>
      </c>
      <c r="G31" s="109">
        <v>131.20969699999998</v>
      </c>
      <c r="H31" s="109">
        <v>131.01561100000001</v>
      </c>
      <c r="I31" s="109">
        <v>79.050153000000009</v>
      </c>
      <c r="J31" s="109">
        <v>66.116</v>
      </c>
      <c r="K31" s="109">
        <v>74.62</v>
      </c>
      <c r="L31" s="109">
        <v>77.12</v>
      </c>
      <c r="M31" s="109">
        <v>111.517</v>
      </c>
      <c r="N31" s="109">
        <v>143.761</v>
      </c>
      <c r="O31" s="110">
        <f>N31*(1+(O$6/N$6-1))</f>
        <v>155.70491723805765</v>
      </c>
      <c r="P31" s="110">
        <f>O31*(1+(P$6/O$6-1))</f>
        <v>159.32105536166119</v>
      </c>
      <c r="Q31" s="110">
        <f>P31*(1+(Q$6/P$6-1))</f>
        <v>176.73961846200282</v>
      </c>
      <c r="R31" s="110">
        <f>Q31*(1+(R$6/Q$6-1))</f>
        <v>195.05459908603407</v>
      </c>
      <c r="T31" s="114" t="s">
        <v>403</v>
      </c>
      <c r="U31" s="112">
        <f>SUM(C31:F31)/SUM('매출액 추정'!$C$6:$F$6)</f>
        <v>2.8104472754455125E-3</v>
      </c>
      <c r="V31" s="113">
        <f>SUM(G31:J31)/SUM('매출액 추정'!$G$6:$J$6)</f>
        <v>2.2617529285706354E-3</v>
      </c>
      <c r="W31" s="113">
        <f>SUM(K31:N31)/SUM('매출액 추정'!$K$6:$N$6)</f>
        <v>1.67539176501097E-3</v>
      </c>
      <c r="X31" s="128">
        <f t="shared" si="8"/>
        <v>1.932193594344314E-3</v>
      </c>
      <c r="Z31" s="105" t="s">
        <v>404</v>
      </c>
    </row>
    <row r="32" spans="2:26">
      <c r="B32" s="151" t="s">
        <v>405</v>
      </c>
      <c r="C32" s="109">
        <v>0.94499999999999995</v>
      </c>
      <c r="D32" s="109">
        <v>2.2429950000000001</v>
      </c>
      <c r="E32" s="109">
        <v>0.96899999999999997</v>
      </c>
      <c r="F32" s="109">
        <v>0.51800000000000002</v>
      </c>
      <c r="G32" s="109">
        <v>1.4710000000000001</v>
      </c>
      <c r="H32" s="109">
        <v>4.6500000000000004</v>
      </c>
      <c r="I32" s="109">
        <v>6.1243350000000003</v>
      </c>
      <c r="J32" s="109">
        <v>3.5609999999999999</v>
      </c>
      <c r="K32" s="109">
        <v>7.9550000000000001</v>
      </c>
      <c r="L32" s="109">
        <v>24.12</v>
      </c>
      <c r="M32" s="109">
        <v>1.4410000000000001</v>
      </c>
      <c r="N32" s="109">
        <v>8.4589999999999996</v>
      </c>
      <c r="O32" s="110">
        <f>AVERAGE(C32:K32,M32:N32)</f>
        <v>3.485120909090909</v>
      </c>
      <c r="P32" s="110">
        <f>O32</f>
        <v>3.485120909090909</v>
      </c>
      <c r="Q32" s="110">
        <f>P32</f>
        <v>3.485120909090909</v>
      </c>
      <c r="R32" s="110">
        <f>Q32</f>
        <v>3.485120909090909</v>
      </c>
      <c r="T32" s="114" t="s">
        <v>406</v>
      </c>
      <c r="U32" s="112">
        <f>SUM(C32:F32)/SUM('매출액 추정'!$C$6:$F$6)</f>
        <v>3.2968237625438105E-5</v>
      </c>
      <c r="V32" s="113">
        <f>SUM(G32:J32)/SUM('매출액 추정'!$G$6:$J$6)</f>
        <v>8.7753494853488195E-5</v>
      </c>
      <c r="W32" s="113">
        <f>SUM(K32:N32)/SUM('매출액 추정'!$K$6:$N$6)</f>
        <v>1.7277999827117099E-4</v>
      </c>
      <c r="X32" s="128">
        <f t="shared" si="8"/>
        <v>3.9217998496009359E-5</v>
      </c>
      <c r="Z32" s="105" t="s">
        <v>407</v>
      </c>
    </row>
    <row r="33" spans="2:26">
      <c r="B33" s="151" t="s">
        <v>408</v>
      </c>
      <c r="C33" s="109">
        <v>129.94999999999999</v>
      </c>
      <c r="D33" s="109">
        <v>25.524519999999988</v>
      </c>
      <c r="E33" s="109">
        <v>49.280889000000002</v>
      </c>
      <c r="F33" s="109">
        <v>65.498146000000006</v>
      </c>
      <c r="G33" s="109">
        <v>64.948830000000001</v>
      </c>
      <c r="H33" s="109">
        <v>58.761779000000004</v>
      </c>
      <c r="I33" s="109">
        <v>19.258517999999999</v>
      </c>
      <c r="J33" s="109">
        <v>86.635000000000005</v>
      </c>
      <c r="K33" s="109">
        <v>96.108000000000004</v>
      </c>
      <c r="L33" s="109">
        <v>50.777000000000001</v>
      </c>
      <c r="M33" s="109">
        <v>144.327</v>
      </c>
      <c r="N33" s="109">
        <v>141.71700000000001</v>
      </c>
      <c r="O33" s="110">
        <f>O$6*(AVERAGE($U33:$W33))</f>
        <v>133.30295338779845</v>
      </c>
      <c r="P33" s="110">
        <f>P$6*(AVERAGE($U33:$W33))</f>
        <v>136.3988215227628</v>
      </c>
      <c r="Q33" s="110">
        <f>Q$6*(AVERAGE($U33:$W33))</f>
        <v>151.31129793156649</v>
      </c>
      <c r="R33" s="110">
        <f>R$6*(AVERAGE($U33:$W33))</f>
        <v>166.99122025984428</v>
      </c>
      <c r="T33" s="114" t="s">
        <v>409</v>
      </c>
      <c r="U33" s="112">
        <f>SUM(C33:F33)/SUM('매출액 추정'!$C$6:$F$6)</f>
        <v>1.9058380640748082E-3</v>
      </c>
      <c r="V33" s="113">
        <f>SUM(G33:J33)/SUM('매출액 추정'!$G$6:$J$6)</f>
        <v>1.2747145101653324E-3</v>
      </c>
      <c r="W33" s="113">
        <f>SUM(K33:N33)/SUM('매출액 추정'!$K$6:$N$6)</f>
        <v>1.7820481684702742E-3</v>
      </c>
      <c r="X33" s="128">
        <f t="shared" si="8"/>
        <v>1.6542002475701382E-3</v>
      </c>
      <c r="Z33" s="105" t="s">
        <v>410</v>
      </c>
    </row>
    <row r="34" spans="2:26">
      <c r="B34" s="151" t="s">
        <v>411</v>
      </c>
      <c r="C34" s="109">
        <v>4.5759999999999996</v>
      </c>
      <c r="D34" s="109">
        <v>3.36409</v>
      </c>
      <c r="E34" s="109">
        <v>4.3315659999999996</v>
      </c>
      <c r="F34" s="109">
        <v>10.280646000000001</v>
      </c>
      <c r="G34" s="109">
        <v>5.4849489999999994</v>
      </c>
      <c r="H34" s="109">
        <v>3.4533800000000001</v>
      </c>
      <c r="I34" s="109">
        <v>6.5245360000000003</v>
      </c>
      <c r="J34" s="109">
        <v>3.9359999999999999</v>
      </c>
      <c r="K34" s="109">
        <v>5.0010000000000003</v>
      </c>
      <c r="L34" s="109">
        <v>4.6269999999999998</v>
      </c>
      <c r="M34" s="109">
        <v>4.0720000000000001</v>
      </c>
      <c r="N34" s="109">
        <v>4.9429999999999996</v>
      </c>
      <c r="O34" s="110">
        <f>AVERAGE(C34:N34)</f>
        <v>5.0495139166666663</v>
      </c>
      <c r="P34" s="110">
        <f>O34</f>
        <v>5.0495139166666663</v>
      </c>
      <c r="Q34" s="110">
        <f>P34</f>
        <v>5.0495139166666663</v>
      </c>
      <c r="R34" s="110">
        <f>Q34</f>
        <v>5.0495139166666663</v>
      </c>
      <c r="T34" s="114" t="s">
        <v>412</v>
      </c>
      <c r="U34" s="112">
        <f>SUM(C34:F34)/SUM('매출액 추정'!$C$6:$F$6)</f>
        <v>1.5903966770801746E-4</v>
      </c>
      <c r="V34" s="113">
        <f>SUM(G34:J34)/SUM('매출액 추정'!$G$6:$J$6)</f>
        <v>1.0769847658809029E-4</v>
      </c>
      <c r="W34" s="113">
        <f>SUM(K34:N34)/SUM('매출액 추정'!$K$6:$N$6)</f>
        <v>7.6739428416186788E-5</v>
      </c>
      <c r="X34" s="128">
        <f t="shared" si="8"/>
        <v>5.6822082893264124E-5</v>
      </c>
      <c r="Z34" s="105" t="s">
        <v>413</v>
      </c>
    </row>
    <row r="35" spans="2:26">
      <c r="B35" s="151" t="s">
        <v>414</v>
      </c>
      <c r="C35" s="109">
        <v>44.045000000000002</v>
      </c>
      <c r="D35" s="109">
        <v>37.768633000000001</v>
      </c>
      <c r="E35" s="109">
        <v>37.536000000000001</v>
      </c>
      <c r="F35" s="109">
        <v>25.192686000000002</v>
      </c>
      <c r="G35" s="109">
        <v>15.141788</v>
      </c>
      <c r="H35" s="109">
        <v>66.614672000000013</v>
      </c>
      <c r="I35" s="109">
        <v>26.903271</v>
      </c>
      <c r="J35" s="109">
        <v>29.285</v>
      </c>
      <c r="K35" s="109">
        <v>58.143999999999998</v>
      </c>
      <c r="L35" s="109">
        <v>47.667000000000002</v>
      </c>
      <c r="M35" s="109">
        <v>54.433999999999997</v>
      </c>
      <c r="N35" s="109">
        <v>34.817999999999998</v>
      </c>
      <c r="O35" s="110">
        <f>O$6*(AVERAGE($U35:$W35))</f>
        <v>69.519961239579644</v>
      </c>
      <c r="P35" s="110">
        <f>P$6*(AVERAGE($U35:$W35))</f>
        <v>71.134513860326535</v>
      </c>
      <c r="Q35" s="110">
        <f>Q$6*(AVERAGE($U35:$W35))</f>
        <v>78.91164674132294</v>
      </c>
      <c r="R35" s="110">
        <f>R$6*(AVERAGE($U35:$W35))</f>
        <v>87.089016895533405</v>
      </c>
      <c r="T35" s="114" t="s">
        <v>414</v>
      </c>
      <c r="U35" s="112">
        <f>SUM(C35:F35)/SUM('매출액 추정'!$C$6:$F$6)</f>
        <v>1.0193177788904327E-3</v>
      </c>
      <c r="V35" s="113">
        <f>SUM(G35:J35)/SUM('매출액 추정'!$G$6:$J$6)</f>
        <v>7.6584054696261436E-4</v>
      </c>
      <c r="W35" s="113">
        <f>SUM(K35:N35)/SUM('매출액 추정'!$K$6:$N$6)</f>
        <v>8.0292995360975385E-4</v>
      </c>
      <c r="X35" s="128">
        <f t="shared" si="8"/>
        <v>8.6269609315426678E-4</v>
      </c>
      <c r="Z35" s="105" t="s">
        <v>415</v>
      </c>
    </row>
    <row r="36" spans="2:26">
      <c r="B36" s="151" t="s">
        <v>416</v>
      </c>
      <c r="C36" s="109">
        <v>31.414000000000001</v>
      </c>
      <c r="D36" s="109">
        <v>14.068714999999996</v>
      </c>
      <c r="E36" s="109">
        <v>11.994956</v>
      </c>
      <c r="F36" s="109">
        <v>116.45084</v>
      </c>
      <c r="G36" s="109">
        <v>4.9169999999999998</v>
      </c>
      <c r="H36" s="109">
        <v>6.0999999999999999E-2</v>
      </c>
      <c r="I36" s="109">
        <v>6.7000000000000004E-2</v>
      </c>
      <c r="J36" s="109">
        <v>185.62100000000001</v>
      </c>
      <c r="K36" s="109">
        <v>0.75600000000000001</v>
      </c>
      <c r="L36" s="109">
        <v>2.6040000000000001</v>
      </c>
      <c r="M36" s="109">
        <v>2.181</v>
      </c>
      <c r="N36" s="109">
        <v>16.704999999999998</v>
      </c>
      <c r="O36" s="110">
        <f>AVERAGE(G36:N36)</f>
        <v>26.614000000000004</v>
      </c>
      <c r="P36" s="110">
        <f t="shared" ref="P36:R37" si="13">AVERAGE(H36:O36)</f>
        <v>29.326125000000001</v>
      </c>
      <c r="Q36" s="110">
        <f t="shared" si="13"/>
        <v>32.984265625000006</v>
      </c>
      <c r="R36" s="110">
        <f t="shared" si="13"/>
        <v>37.09892382812501</v>
      </c>
      <c r="T36" s="114" t="s">
        <v>417</v>
      </c>
      <c r="U36" s="112">
        <f>SUM(C36:F36)/SUM('매출액 추정'!$C$6:$F$6)</f>
        <v>1.2265502916017292E-3</v>
      </c>
      <c r="V36" s="113">
        <f>SUM(G36:J36)/SUM('매출액 추정'!$G$6:$J$6)</f>
        <v>1.0585381019531206E-3</v>
      </c>
      <c r="W36" s="113">
        <f>SUM(K36:N36)/SUM('매출액 추정'!$K$6:$N$6)</f>
        <v>9.1570311888992706E-5</v>
      </c>
      <c r="X36" s="128">
        <f t="shared" si="8"/>
        <v>3.5453448284911788E-4</v>
      </c>
      <c r="Z36" s="105" t="s">
        <v>418</v>
      </c>
    </row>
    <row r="37" spans="2:26">
      <c r="B37" s="151" t="s">
        <v>419</v>
      </c>
      <c r="C37" s="109">
        <v>33.86</v>
      </c>
      <c r="D37" s="109">
        <v>-37.278754999999997</v>
      </c>
      <c r="E37" s="109">
        <v>60.164999999999999</v>
      </c>
      <c r="F37" s="109">
        <v>-37.021383</v>
      </c>
      <c r="G37" s="109">
        <v>98.425214999999994</v>
      </c>
      <c r="H37" s="109">
        <v>55.146087000000001</v>
      </c>
      <c r="I37" s="109">
        <v>114.90418099999999</v>
      </c>
      <c r="J37" s="109">
        <v>181.214</v>
      </c>
      <c r="K37" s="109">
        <v>-21.588000000000001</v>
      </c>
      <c r="L37" s="109">
        <v>399.49</v>
      </c>
      <c r="M37" s="109">
        <v>-231.911</v>
      </c>
      <c r="N37" s="109">
        <v>-109.55800000000001</v>
      </c>
      <c r="O37" s="110">
        <f>AVERAGE(G37:N37)</f>
        <v>60.765310374999984</v>
      </c>
      <c r="P37" s="110">
        <f t="shared" si="13"/>
        <v>56.057822296874988</v>
      </c>
      <c r="Q37" s="110">
        <f t="shared" si="13"/>
        <v>56.171789208984364</v>
      </c>
      <c r="R37" s="110">
        <f t="shared" si="13"/>
        <v>48.830240235107411</v>
      </c>
      <c r="T37" s="114" t="s">
        <v>420</v>
      </c>
      <c r="U37" s="112">
        <f>SUM(C37:F37)/SUM('매출액 추정'!$C$6:$F$6)</f>
        <v>1.3910045626679268E-4</v>
      </c>
      <c r="V37" s="113">
        <f>SUM(G37:J37)/SUM('매출액 추정'!$G$6:$J$6)</f>
        <v>2.4965827772287673E-3</v>
      </c>
      <c r="W37" s="113">
        <f>SUM(K37:N37)/SUM('매출액 추정'!$K$6:$N$6)</f>
        <v>1.4996768736184795E-4</v>
      </c>
      <c r="X37" s="128">
        <f t="shared" si="8"/>
        <v>6.2404856970301533E-4</v>
      </c>
      <c r="Z37" s="105" t="s">
        <v>421</v>
      </c>
    </row>
    <row r="38" spans="2:26">
      <c r="B38" s="151" t="s">
        <v>422</v>
      </c>
      <c r="C38" s="109">
        <v>57.457999999999998</v>
      </c>
      <c r="D38" s="109">
        <v>33.599285999999992</v>
      </c>
      <c r="E38" s="109">
        <v>93.052616999999998</v>
      </c>
      <c r="F38" s="109">
        <v>45.360546999999997</v>
      </c>
      <c r="G38" s="109">
        <v>52.9771</v>
      </c>
      <c r="H38" s="109">
        <v>52.276432999999997</v>
      </c>
      <c r="I38" s="109">
        <v>67.488316999999995</v>
      </c>
      <c r="J38" s="109">
        <v>36.130000000000003</v>
      </c>
      <c r="K38" s="109">
        <v>33.728000000000002</v>
      </c>
      <c r="L38" s="109">
        <v>51.594000000000001</v>
      </c>
      <c r="M38" s="109">
        <v>38.889000000000003</v>
      </c>
      <c r="N38" s="109">
        <v>69.262</v>
      </c>
      <c r="O38" s="110">
        <f>N38*(의료기기!O10/의료기기!N10)</f>
        <v>124.47720855236412</v>
      </c>
      <c r="P38" s="110">
        <f>O38*(의료기기!P10/의료기기!O10)</f>
        <v>127.93490878992981</v>
      </c>
      <c r="Q38" s="110">
        <f>P38*(의료기기!Q10/의료기기!P10)</f>
        <v>131.39260902749547</v>
      </c>
      <c r="R38" s="110">
        <f>Q38*(의료기기!R10/의료기기!Q10)</f>
        <v>134.85030926506116</v>
      </c>
      <c r="T38" s="114" t="s">
        <v>423</v>
      </c>
      <c r="U38" s="112">
        <f>SUM(C38:F38)/SUM('매출액 추정'!$C$6:$F$6)</f>
        <v>1.6182340994196171E-3</v>
      </c>
      <c r="V38" s="113">
        <f>SUM(G38:J38)/SUM('매출액 추정'!$G$6:$J$6)</f>
        <v>1.1596132066044125E-3</v>
      </c>
      <c r="W38" s="113">
        <f>SUM(K38:N38)/SUM('매출액 추정'!$K$6:$N$6)</f>
        <v>7.9638510078661726E-4</v>
      </c>
      <c r="X38" s="128">
        <f t="shared" si="8"/>
        <v>1.4591037827709887E-3</v>
      </c>
      <c r="Z38" s="105" t="s">
        <v>424</v>
      </c>
    </row>
    <row r="39" spans="2:26">
      <c r="B39" s="151" t="s">
        <v>425</v>
      </c>
      <c r="C39" s="109">
        <v>35.301000000000002</v>
      </c>
      <c r="D39" s="109">
        <v>37.984362999999995</v>
      </c>
      <c r="E39" s="109">
        <v>42.473999999999997</v>
      </c>
      <c r="F39" s="109">
        <v>47.204267999999999</v>
      </c>
      <c r="G39" s="109">
        <v>55.694633000000003</v>
      </c>
      <c r="H39" s="109">
        <v>60.048096000000001</v>
      </c>
      <c r="I39" s="109">
        <v>62.690650999999995</v>
      </c>
      <c r="J39" s="109">
        <v>73.491</v>
      </c>
      <c r="K39" s="109">
        <v>77.319999999999993</v>
      </c>
      <c r="L39" s="109">
        <v>77.891000000000005</v>
      </c>
      <c r="M39" s="109">
        <v>85.727999999999994</v>
      </c>
      <c r="N39" s="109">
        <v>1925.538</v>
      </c>
      <c r="O39" s="110">
        <f t="shared" ref="O39:R40" si="14">N39*(1+(O$6/N$6-1))</f>
        <v>2085.5150905234036</v>
      </c>
      <c r="P39" s="110">
        <f t="shared" si="14"/>
        <v>2133.9497241879394</v>
      </c>
      <c r="Q39" s="110">
        <f t="shared" si="14"/>
        <v>2367.2543419570538</v>
      </c>
      <c r="R39" s="110">
        <f t="shared" si="14"/>
        <v>2612.5655957799672</v>
      </c>
      <c r="T39" s="114" t="s">
        <v>426</v>
      </c>
      <c r="U39" s="112">
        <f>SUM(C39:F39)/SUM('매출액 추정'!$C$6:$F$6)</f>
        <v>1.1492255523507962E-3</v>
      </c>
      <c r="V39" s="113">
        <f>SUM(G39:J39)/SUM('매출액 추정'!$G$6:$J$6)</f>
        <v>1.3986319272493088E-3</v>
      </c>
      <c r="W39" s="113">
        <f>SUM(K39:N39)/SUM('매출액 추정'!$K$6:$N$6)</f>
        <v>8.9177818300067088E-3</v>
      </c>
      <c r="X39" s="128">
        <f t="shared" si="8"/>
        <v>2.5879843554695376E-2</v>
      </c>
      <c r="Z39" s="105" t="s">
        <v>427</v>
      </c>
    </row>
    <row r="40" spans="2:26">
      <c r="B40" s="151" t="s">
        <v>428</v>
      </c>
      <c r="C40" s="109">
        <v>133.68199999999999</v>
      </c>
      <c r="D40" s="109">
        <v>109.68913000000001</v>
      </c>
      <c r="E40" s="109">
        <v>105.90593200000001</v>
      </c>
      <c r="F40" s="109">
        <v>395.921401</v>
      </c>
      <c r="G40" s="109">
        <v>379.64014199999997</v>
      </c>
      <c r="H40" s="109">
        <v>302.40014600000001</v>
      </c>
      <c r="I40" s="109">
        <v>248.01011799999998</v>
      </c>
      <c r="J40" s="109">
        <v>472.77800000000002</v>
      </c>
      <c r="K40" s="109">
        <v>713.29899999999998</v>
      </c>
      <c r="L40" s="109">
        <v>428.98899999999998</v>
      </c>
      <c r="M40" s="109">
        <v>492.84800000000001</v>
      </c>
      <c r="N40" s="109">
        <v>335.04</v>
      </c>
      <c r="O40" s="110">
        <f t="shared" si="14"/>
        <v>362.87571365974662</v>
      </c>
      <c r="P40" s="110">
        <f t="shared" si="14"/>
        <v>371.30324906178288</v>
      </c>
      <c r="Q40" s="110">
        <f t="shared" si="14"/>
        <v>411.89781491162017</v>
      </c>
      <c r="R40" s="110">
        <f t="shared" si="14"/>
        <v>454.58151291229785</v>
      </c>
      <c r="T40" s="114" t="s">
        <v>429</v>
      </c>
      <c r="U40" s="112">
        <f>SUM(C40:F40)/SUM('매출액 추정'!$C$6:$F$6)</f>
        <v>5.2551671191723723E-3</v>
      </c>
      <c r="V40" s="113">
        <f>SUM(G40:J40)/SUM('매출액 추정'!$G$6:$J$6)</f>
        <v>7.7882124671056277E-3</v>
      </c>
      <c r="W40" s="113">
        <f>SUM(K40:N40)/SUM('매출액 추정'!$K$6:$N$6)</f>
        <v>8.1097559469661112E-3</v>
      </c>
      <c r="X40" s="128">
        <f t="shared" si="8"/>
        <v>4.5030442320874156E-3</v>
      </c>
      <c r="Z40" s="105" t="s">
        <v>430</v>
      </c>
    </row>
    <row r="41" spans="2:26">
      <c r="B41" s="151" t="s">
        <v>431</v>
      </c>
      <c r="C41" s="126" t="s">
        <v>373</v>
      </c>
      <c r="D41" s="126" t="s">
        <v>373</v>
      </c>
      <c r="E41" s="126" t="s">
        <v>373</v>
      </c>
      <c r="F41" s="126" t="s">
        <v>373</v>
      </c>
      <c r="G41" s="109" t="s">
        <v>373</v>
      </c>
      <c r="H41" s="109" t="s">
        <v>373</v>
      </c>
      <c r="I41" s="109" t="s">
        <v>373</v>
      </c>
      <c r="J41" s="109" t="s">
        <v>373</v>
      </c>
      <c r="K41" s="109">
        <v>0</v>
      </c>
      <c r="L41" s="109">
        <v>58.679000000000002</v>
      </c>
      <c r="M41" s="109">
        <v>92.209000000000003</v>
      </c>
      <c r="N41" s="109">
        <v>113.511</v>
      </c>
      <c r="O41" s="110">
        <f>O$6*$W$41</f>
        <v>87.702961536272113</v>
      </c>
      <c r="P41" s="110">
        <f>P$6*$W$41</f>
        <v>89.739801659178212</v>
      </c>
      <c r="Q41" s="110">
        <f>Q$6*$W$41</f>
        <v>99.55104973473351</v>
      </c>
      <c r="R41" s="110">
        <f>R$6*$W$41</f>
        <v>109.86721745569982</v>
      </c>
      <c r="T41" s="114" t="s">
        <v>432</v>
      </c>
      <c r="U41" s="112">
        <f>SUM(C41:F41)/SUM('매출액 추정'!$C$6:$F$6)</f>
        <v>0</v>
      </c>
      <c r="V41" s="113">
        <f>SUM(G41:J41)/SUM('매출액 추정'!$G$6:$J$6)</f>
        <v>0</v>
      </c>
      <c r="W41" s="113">
        <f>SUM(K41:N41)/SUM('매출액 추정'!$K$6:$N$6)</f>
        <v>1.0883349318141591E-3</v>
      </c>
      <c r="X41" s="128">
        <f t="shared" si="8"/>
        <v>1.0883349318141589E-3</v>
      </c>
      <c r="Z41" s="105" t="s">
        <v>433</v>
      </c>
    </row>
    <row r="42" spans="2:26">
      <c r="B42" s="151" t="s">
        <v>434</v>
      </c>
      <c r="C42" s="109">
        <v>2.2970000000000002</v>
      </c>
      <c r="D42" s="109" t="s">
        <v>373</v>
      </c>
      <c r="E42" s="109" t="s">
        <v>373</v>
      </c>
      <c r="F42" s="109" t="s">
        <v>373</v>
      </c>
      <c r="G42" s="109">
        <v>1.76</v>
      </c>
      <c r="H42" s="109">
        <v>0</v>
      </c>
      <c r="I42" s="109">
        <v>0</v>
      </c>
      <c r="J42" s="109">
        <v>0</v>
      </c>
      <c r="K42" s="109">
        <v>0</v>
      </c>
      <c r="L42" s="109">
        <v>0.6</v>
      </c>
      <c r="M42" s="109">
        <v>0</v>
      </c>
      <c r="N42" s="109">
        <v>0</v>
      </c>
      <c r="O42" s="110">
        <v>0</v>
      </c>
      <c r="P42" s="110">
        <v>0</v>
      </c>
      <c r="Q42" s="110">
        <v>0</v>
      </c>
      <c r="R42" s="110">
        <v>0</v>
      </c>
      <c r="T42" s="114" t="s">
        <v>434</v>
      </c>
      <c r="U42" s="112">
        <f>SUM(C42:F42)/SUM('매출액 추정'!$C$6:$F$6)</f>
        <v>1.619852894508579E-5</v>
      </c>
      <c r="V42" s="113">
        <f>SUM(G42:J42)/SUM('매출액 추정'!$G$6:$J$6)</f>
        <v>9.7711551059837227E-6</v>
      </c>
      <c r="W42" s="113">
        <f>SUM(K42:N42)/SUM('매출액 추정'!$K$6:$N$6)</f>
        <v>2.4697557823157251E-6</v>
      </c>
      <c r="X42" s="128">
        <f t="shared" si="8"/>
        <v>0</v>
      </c>
      <c r="Z42" s="105" t="s">
        <v>435</v>
      </c>
    </row>
    <row r="43" spans="2:26">
      <c r="B43" s="151" t="s">
        <v>436</v>
      </c>
      <c r="C43" s="109" t="s">
        <v>373</v>
      </c>
      <c r="D43" s="109" t="s">
        <v>373</v>
      </c>
      <c r="E43" s="109" t="s">
        <v>373</v>
      </c>
      <c r="F43" s="109" t="s">
        <v>373</v>
      </c>
      <c r="G43" s="109">
        <v>4.2447929999999996</v>
      </c>
      <c r="H43" s="109">
        <v>7.1678649999999999</v>
      </c>
      <c r="I43" s="109">
        <v>10.040430000000001</v>
      </c>
      <c r="J43" s="109">
        <v>10.085000000000001</v>
      </c>
      <c r="K43" s="109">
        <v>16.366</v>
      </c>
      <c r="L43" s="109">
        <v>18.577000000000002</v>
      </c>
      <c r="M43" s="109">
        <v>13.849</v>
      </c>
      <c r="N43" s="109">
        <v>12.118</v>
      </c>
      <c r="O43" s="110">
        <f>O6*(AVERAGE($V$43:$W$43))</f>
        <v>17.157023136230471</v>
      </c>
      <c r="P43" s="110">
        <f>P6*(AVERAGE($V$43:$W$43))</f>
        <v>17.555483034292742</v>
      </c>
      <c r="Q43" s="110">
        <f>Q6*(AVERAGE($V$43:$W$43))</f>
        <v>19.474823125881102</v>
      </c>
      <c r="R43" s="110">
        <f>R6*(AVERAGE($V$43:$W$43))</f>
        <v>21.492938878935249</v>
      </c>
      <c r="T43" s="114" t="s">
        <v>437</v>
      </c>
      <c r="U43" s="112">
        <f>SUM(C43:F43)/SUM('매출액 추정'!$C$6:$F$6)</f>
        <v>0</v>
      </c>
      <c r="V43" s="113">
        <f>SUM(G43:J43)/SUM('매출액 추정'!$G$6:$J$6)</f>
        <v>1.7509292590577499E-4</v>
      </c>
      <c r="W43" s="113">
        <f>SUM(K43:N43)/SUM('매출액 추정'!$K$6:$N$6)</f>
        <v>2.5072137450141808E-4</v>
      </c>
      <c r="X43" s="128">
        <f t="shared" si="8"/>
        <v>2.1290715020359652E-4</v>
      </c>
      <c r="Z43" s="105" t="s">
        <v>438</v>
      </c>
    </row>
    <row r="44" spans="2:26" ht="18" thickBot="1">
      <c r="B44" s="152" t="s">
        <v>439</v>
      </c>
      <c r="C44" s="153">
        <f>C9-C11</f>
        <v>16705.275999999998</v>
      </c>
      <c r="D44" s="153">
        <f t="shared" ref="D44:N44" si="15">D9-D11</f>
        <v>15264.047810999999</v>
      </c>
      <c r="E44" s="153">
        <f t="shared" si="15"/>
        <v>17479.071413000001</v>
      </c>
      <c r="F44" s="153">
        <f t="shared" si="15"/>
        <v>19428.788420000004</v>
      </c>
      <c r="G44" s="153">
        <f t="shared" si="15"/>
        <v>19891.372441</v>
      </c>
      <c r="H44" s="153">
        <f t="shared" si="15"/>
        <v>23145.626447000002</v>
      </c>
      <c r="I44" s="153">
        <f t="shared" si="15"/>
        <v>24660.788190000007</v>
      </c>
      <c r="J44" s="153">
        <f t="shared" si="15"/>
        <v>21923.531000000003</v>
      </c>
      <c r="K44" s="153">
        <f t="shared" si="15"/>
        <v>26477.701000000001</v>
      </c>
      <c r="L44" s="153">
        <f t="shared" si="15"/>
        <v>31219.482</v>
      </c>
      <c r="M44" s="153">
        <f t="shared" si="15"/>
        <v>28951.77</v>
      </c>
      <c r="N44" s="153">
        <f t="shared" si="15"/>
        <v>35806.308000000012</v>
      </c>
      <c r="O44" s="154">
        <f>O9-O11</f>
        <v>40386.211107311727</v>
      </c>
      <c r="P44" s="154">
        <f t="shared" ref="P44:R44" si="16">P9-P11</f>
        <v>42292.020902294738</v>
      </c>
      <c r="Q44" s="154">
        <f t="shared" si="16"/>
        <v>48060.71674764785</v>
      </c>
      <c r="R44" s="154">
        <f t="shared" si="16"/>
        <v>54133.099971902113</v>
      </c>
      <c r="T44" s="115" t="s">
        <v>440</v>
      </c>
      <c r="U44" s="116">
        <f>SUM(U12:U43)</f>
        <v>0.27708028995155259</v>
      </c>
      <c r="V44" s="117">
        <f>SUM(V12:V43)</f>
        <v>0.28217920033088684</v>
      </c>
      <c r="W44" s="125">
        <f>SUM(W12:W43)</f>
        <v>0.28267070746154388</v>
      </c>
      <c r="X44" s="129">
        <f>SUM(X12:X43)</f>
        <v>0.27363413297201805</v>
      </c>
      <c r="Z44" s="105"/>
    </row>
    <row r="45" spans="2:26">
      <c r="B45" s="155" t="s">
        <v>28</v>
      </c>
      <c r="C45" s="147">
        <f>C44/C6</f>
        <v>0.47214052342999258</v>
      </c>
      <c r="D45" s="147">
        <f t="shared" ref="D45:R45" si="17">D44/D6</f>
        <v>0.46699038765832462</v>
      </c>
      <c r="E45" s="147">
        <f t="shared" si="17"/>
        <v>0.52540193017313941</v>
      </c>
      <c r="F45" s="147">
        <f t="shared" si="17"/>
        <v>0.48011437516989164</v>
      </c>
      <c r="G45" s="147">
        <f t="shared" si="17"/>
        <v>0.51037544108893107</v>
      </c>
      <c r="H45" s="147">
        <f t="shared" si="17"/>
        <v>0.50429497455171368</v>
      </c>
      <c r="I45" s="147">
        <f t="shared" si="17"/>
        <v>0.51117857906846598</v>
      </c>
      <c r="J45" s="147">
        <f t="shared" si="17"/>
        <v>0.46637872277059228</v>
      </c>
      <c r="K45" s="147">
        <f t="shared" si="17"/>
        <v>0.52588335418776944</v>
      </c>
      <c r="L45" s="147">
        <f t="shared" si="17"/>
        <v>0.5311874840487979</v>
      </c>
      <c r="M45" s="147">
        <f t="shared" si="17"/>
        <v>0.48728868616824317</v>
      </c>
      <c r="N45" s="147">
        <f>N44/N6</f>
        <v>0.48124817547679544</v>
      </c>
      <c r="O45" s="147">
        <f t="shared" si="17"/>
        <v>0.50116579351234336</v>
      </c>
      <c r="P45" s="147">
        <f t="shared" si="17"/>
        <v>0.51290378220124355</v>
      </c>
      <c r="Q45" s="147">
        <f t="shared" si="17"/>
        <v>0.52542044532797372</v>
      </c>
      <c r="R45" s="147">
        <f t="shared" si="17"/>
        <v>0.53623769702335977</v>
      </c>
      <c r="T45" s="118"/>
      <c r="U45" s="119"/>
      <c r="V45" s="120"/>
      <c r="W45" s="121"/>
      <c r="X45" s="121"/>
      <c r="Z45" s="105"/>
    </row>
    <row r="46" spans="2:26">
      <c r="B46" s="150" t="s">
        <v>441</v>
      </c>
      <c r="C46" s="162">
        <v>0</v>
      </c>
      <c r="D46" s="162">
        <v>0</v>
      </c>
      <c r="E46" s="162">
        <v>0</v>
      </c>
      <c r="F46" s="162">
        <v>0</v>
      </c>
      <c r="G46" s="163">
        <v>0</v>
      </c>
      <c r="H46" s="162">
        <v>0</v>
      </c>
      <c r="I46" s="162">
        <v>0</v>
      </c>
      <c r="J46" s="162">
        <v>0</v>
      </c>
      <c r="K46" s="110">
        <v>0</v>
      </c>
      <c r="L46" s="110">
        <v>267</v>
      </c>
      <c r="M46" s="110">
        <v>-822.65554599999996</v>
      </c>
      <c r="N46" s="110">
        <v>-511</v>
      </c>
      <c r="O46" s="140">
        <v>-511</v>
      </c>
      <c r="P46" s="140">
        <v>-511</v>
      </c>
      <c r="Q46" s="140">
        <v>-511</v>
      </c>
      <c r="R46" s="140">
        <v>-511</v>
      </c>
      <c r="Z46" s="105" t="s">
        <v>442</v>
      </c>
    </row>
    <row r="47" spans="2:26">
      <c r="B47" s="150" t="s">
        <v>443</v>
      </c>
      <c r="C47" s="110">
        <v>704</v>
      </c>
      <c r="D47" s="110">
        <v>2974</v>
      </c>
      <c r="E47" s="110">
        <v>5432</v>
      </c>
      <c r="F47" s="110">
        <v>-6526</v>
      </c>
      <c r="G47" s="110">
        <v>4394</v>
      </c>
      <c r="H47" s="110">
        <v>2027.0000000000002</v>
      </c>
      <c r="I47" s="110">
        <v>4088</v>
      </c>
      <c r="J47" s="110">
        <v>-1850</v>
      </c>
      <c r="K47" s="110">
        <v>6480</v>
      </c>
      <c r="L47" s="110">
        <v>4854</v>
      </c>
      <c r="M47" s="110">
        <v>-3060</v>
      </c>
      <c r="N47" s="110">
        <v>15933</v>
      </c>
      <c r="O47" s="110">
        <f>AVERAGE(G47:M47)</f>
        <v>2419</v>
      </c>
      <c r="P47" s="110">
        <f t="shared" ref="P47:R48" si="18">O47</f>
        <v>2419</v>
      </c>
      <c r="Q47" s="110">
        <f t="shared" si="18"/>
        <v>2419</v>
      </c>
      <c r="R47" s="110">
        <f t="shared" si="18"/>
        <v>2419</v>
      </c>
      <c r="Z47" s="105" t="s">
        <v>444</v>
      </c>
    </row>
    <row r="48" spans="2:26">
      <c r="B48" s="150" t="s">
        <v>445</v>
      </c>
      <c r="C48" s="110">
        <v>-792</v>
      </c>
      <c r="D48" s="110">
        <v>-731</v>
      </c>
      <c r="E48" s="110">
        <v>-770</v>
      </c>
      <c r="F48" s="110">
        <v>-2380</v>
      </c>
      <c r="G48" s="110">
        <v>-1145</v>
      </c>
      <c r="H48" s="110">
        <v>-489</v>
      </c>
      <c r="I48" s="110">
        <v>-564</v>
      </c>
      <c r="J48" s="110">
        <v>-1395</v>
      </c>
      <c r="K48" s="110">
        <v>-556</v>
      </c>
      <c r="L48" s="110">
        <v>-536</v>
      </c>
      <c r="M48" s="110">
        <v>-2674.6856170000001</v>
      </c>
      <c r="N48" s="110">
        <v>-144</v>
      </c>
      <c r="O48" s="110">
        <f>AVERAGE(G48:N48)</f>
        <v>-937.96070212500001</v>
      </c>
      <c r="P48" s="110">
        <f t="shared" si="18"/>
        <v>-937.96070212500001</v>
      </c>
      <c r="Q48" s="110">
        <f t="shared" si="18"/>
        <v>-937.96070212500001</v>
      </c>
      <c r="R48" s="110">
        <f t="shared" si="18"/>
        <v>-937.96070212500001</v>
      </c>
      <c r="Z48" s="105" t="s">
        <v>446</v>
      </c>
    </row>
    <row r="49" spans="2:26">
      <c r="B49" s="150" t="s">
        <v>447</v>
      </c>
      <c r="C49" s="110">
        <v>2</v>
      </c>
      <c r="D49" s="110">
        <v>27</v>
      </c>
      <c r="E49" s="110">
        <v>5</v>
      </c>
      <c r="F49" s="110">
        <v>30338</v>
      </c>
      <c r="G49" s="110">
        <v>1</v>
      </c>
      <c r="H49" s="110">
        <v>15</v>
      </c>
      <c r="I49" s="110">
        <v>15</v>
      </c>
      <c r="J49" s="110">
        <v>17.429601999999999</v>
      </c>
      <c r="K49" s="110">
        <v>0.4</v>
      </c>
      <c r="L49" s="110">
        <v>10</v>
      </c>
      <c r="M49" s="110">
        <v>1.375159</v>
      </c>
      <c r="N49" s="110">
        <v>17.402787999999997</v>
      </c>
      <c r="O49" s="110">
        <v>0</v>
      </c>
      <c r="P49" s="110">
        <v>0</v>
      </c>
      <c r="Q49" s="110">
        <v>0</v>
      </c>
      <c r="R49" s="110">
        <v>0</v>
      </c>
      <c r="Z49" s="105" t="s">
        <v>448</v>
      </c>
    </row>
    <row r="50" spans="2:26">
      <c r="B50" s="150" t="s">
        <v>449</v>
      </c>
      <c r="C50" s="110">
        <v>-2E-3</v>
      </c>
      <c r="D50" s="110">
        <v>-0.2</v>
      </c>
      <c r="E50" s="110">
        <v>-6.0000000000000005E-2</v>
      </c>
      <c r="F50" s="110">
        <v>-400</v>
      </c>
      <c r="G50" s="110">
        <v>-11</v>
      </c>
      <c r="H50" s="110">
        <v>-51</v>
      </c>
      <c r="I50" s="110">
        <v>-434</v>
      </c>
      <c r="J50" s="110">
        <v>-398</v>
      </c>
      <c r="K50" s="110">
        <v>-346</v>
      </c>
      <c r="L50" s="110">
        <v>-1241</v>
      </c>
      <c r="M50" s="110">
        <v>-2.0697079999999999</v>
      </c>
      <c r="N50" s="110">
        <v>-12190</v>
      </c>
      <c r="O50" s="110">
        <v>0</v>
      </c>
      <c r="P50" s="110">
        <v>0</v>
      </c>
      <c r="Q50" s="110">
        <v>0</v>
      </c>
      <c r="R50" s="110">
        <v>0</v>
      </c>
      <c r="Z50" s="105"/>
    </row>
    <row r="51" spans="2:26">
      <c r="B51" s="156" t="s">
        <v>33</v>
      </c>
      <c r="C51" s="141">
        <f>SUM(C44,SUM(C47:C50))</f>
        <v>16619.273999999998</v>
      </c>
      <c r="D51" s="141">
        <f t="shared" ref="D51:J51" si="19">SUM(D44,SUM(D47:D50))</f>
        <v>17533.847811</v>
      </c>
      <c r="E51" s="141">
        <f t="shared" si="19"/>
        <v>22146.011413</v>
      </c>
      <c r="F51" s="141">
        <f t="shared" si="19"/>
        <v>40460.788420000004</v>
      </c>
      <c r="G51" s="141">
        <f t="shared" si="19"/>
        <v>23130.372441</v>
      </c>
      <c r="H51" s="141">
        <f t="shared" si="19"/>
        <v>24647.626447000002</v>
      </c>
      <c r="I51" s="141">
        <f t="shared" si="19"/>
        <v>27765.788190000007</v>
      </c>
      <c r="J51" s="141">
        <f t="shared" si="19"/>
        <v>18297.960602000003</v>
      </c>
      <c r="K51" s="141">
        <f>SUM(K44,SUM(K47:K50))</f>
        <v>32056.101000000002</v>
      </c>
      <c r="L51" s="141">
        <f>SUM(L44,SUM(L46:L50))</f>
        <v>34573.482000000004</v>
      </c>
      <c r="M51" s="141">
        <f t="shared" ref="M51:N51" si="20">SUM(M44,SUM(M46:M50))</f>
        <v>22393.734288</v>
      </c>
      <c r="N51" s="141">
        <f t="shared" si="20"/>
        <v>38911.710788000011</v>
      </c>
      <c r="O51" s="141">
        <f>SUM(O44:O50)</f>
        <v>41356.751570980239</v>
      </c>
      <c r="P51" s="141">
        <f>SUM(P44:P50)</f>
        <v>43262.573103951945</v>
      </c>
      <c r="Q51" s="141">
        <f>SUM(Q44:Q50)</f>
        <v>49031.281465968183</v>
      </c>
      <c r="R51" s="141">
        <f>SUM(R44:R50)</f>
        <v>55103.675507474138</v>
      </c>
      <c r="Z51" s="105"/>
    </row>
    <row r="52" spans="2:26">
      <c r="B52" s="157" t="s">
        <v>450</v>
      </c>
      <c r="C52" s="110">
        <v>-3801.9999999999977</v>
      </c>
      <c r="D52" s="110">
        <v>-3724.9999999999995</v>
      </c>
      <c r="E52" s="110">
        <v>-3429.9999999999995</v>
      </c>
      <c r="F52" s="110">
        <v>-10424</v>
      </c>
      <c r="G52" s="110">
        <v>-4355</v>
      </c>
      <c r="H52" s="110">
        <v>-6088.9999999999982</v>
      </c>
      <c r="I52" s="110">
        <v>-6574.9999999999991</v>
      </c>
      <c r="J52" s="110">
        <v>-2597.000000000005</v>
      </c>
      <c r="K52" s="110">
        <v>-6002.4000000000096</v>
      </c>
      <c r="L52" s="110">
        <v>-7960.9999999999945</v>
      </c>
      <c r="M52" s="110">
        <v>-5908.5837840000004</v>
      </c>
      <c r="N52" s="110">
        <v>-10514</v>
      </c>
      <c r="O52" s="110">
        <f>-O51*O53</f>
        <v>-9027.2983292851804</v>
      </c>
      <c r="P52" s="110">
        <f t="shared" ref="P52:R52" si="21">-P51*P53</f>
        <v>-9405.4733533529707</v>
      </c>
      <c r="Q52" s="110">
        <f t="shared" si="21"/>
        <v>-10679.874597888267</v>
      </c>
      <c r="R52" s="110">
        <f t="shared" si="21"/>
        <v>-12291.550995145448</v>
      </c>
      <c r="Z52" s="105"/>
    </row>
    <row r="53" spans="2:26">
      <c r="B53" s="146" t="s">
        <v>451</v>
      </c>
      <c r="C53" s="158">
        <f>-C52/C51</f>
        <v>0.22877052270755019</v>
      </c>
      <c r="D53" s="158">
        <f t="shared" ref="D53:N53" si="22">-D52/D51</f>
        <v>0.21244623770847898</v>
      </c>
      <c r="E53" s="158">
        <f t="shared" si="22"/>
        <v>0.15488116284391257</v>
      </c>
      <c r="F53" s="158">
        <f t="shared" si="22"/>
        <v>0.25763215219126467</v>
      </c>
      <c r="G53" s="158">
        <f t="shared" si="22"/>
        <v>0.18828058264554773</v>
      </c>
      <c r="H53" s="158">
        <f t="shared" si="22"/>
        <v>0.24704204330154167</v>
      </c>
      <c r="I53" s="158">
        <f t="shared" si="22"/>
        <v>0.23680220979168962</v>
      </c>
      <c r="J53" s="158">
        <f t="shared" si="22"/>
        <v>0.1419283851620135</v>
      </c>
      <c r="K53" s="158">
        <f t="shared" si="22"/>
        <v>0.18724672722986521</v>
      </c>
      <c r="L53" s="158">
        <f t="shared" si="22"/>
        <v>0.23026318263228429</v>
      </c>
      <c r="M53" s="158">
        <f t="shared" si="22"/>
        <v>0.26384986568167862</v>
      </c>
      <c r="N53" s="158">
        <f t="shared" si="22"/>
        <v>0.27020143260425378</v>
      </c>
      <c r="O53" s="159">
        <f>AVERAGE(C53:N53)</f>
        <v>0.21827870870834007</v>
      </c>
      <c r="P53" s="159">
        <f t="shared" ref="P53:R53" si="23">AVERAGE(D53:O53)</f>
        <v>0.21740439087507257</v>
      </c>
      <c r="Q53" s="159">
        <f t="shared" si="23"/>
        <v>0.21781757030562202</v>
      </c>
      <c r="R53" s="159">
        <f t="shared" si="23"/>
        <v>0.22306227092743114</v>
      </c>
      <c r="Z53" s="105" t="s">
        <v>453</v>
      </c>
    </row>
    <row r="54" spans="2:26" ht="17.25" customHeight="1">
      <c r="B54" s="160" t="s">
        <v>452</v>
      </c>
      <c r="C54" s="161">
        <f>C51+C52</f>
        <v>12817.273999999999</v>
      </c>
      <c r="D54" s="161">
        <f t="shared" ref="D54:M54" si="24">D51+D52</f>
        <v>13808.847811</v>
      </c>
      <c r="E54" s="161">
        <f t="shared" si="24"/>
        <v>18716.011413</v>
      </c>
      <c r="F54" s="161">
        <f t="shared" si="24"/>
        <v>30036.788420000004</v>
      </c>
      <c r="G54" s="161">
        <f t="shared" si="24"/>
        <v>18775.372441</v>
      </c>
      <c r="H54" s="161">
        <f t="shared" si="24"/>
        <v>18558.626447000002</v>
      </c>
      <c r="I54" s="161">
        <f t="shared" si="24"/>
        <v>21190.788190000007</v>
      </c>
      <c r="J54" s="161">
        <f t="shared" si="24"/>
        <v>15700.960601999997</v>
      </c>
      <c r="K54" s="161">
        <f t="shared" si="24"/>
        <v>26053.700999999994</v>
      </c>
      <c r="L54" s="161">
        <f t="shared" si="24"/>
        <v>26612.482000000011</v>
      </c>
      <c r="M54" s="161">
        <f t="shared" si="24"/>
        <v>16485.150503999997</v>
      </c>
      <c r="N54" s="161">
        <f>N51+N52</f>
        <v>28397.710788000011</v>
      </c>
      <c r="O54" s="154">
        <f>O51+O52</f>
        <v>32329.453241695061</v>
      </c>
      <c r="P54" s="154">
        <f>P51+P52</f>
        <v>33857.099750598973</v>
      </c>
      <c r="Q54" s="154">
        <f t="shared" ref="Q54:R54" si="25">Q51+Q52</f>
        <v>38351.406868079917</v>
      </c>
      <c r="R54" s="154">
        <f t="shared" si="25"/>
        <v>42812.124512328694</v>
      </c>
      <c r="S54" s="225"/>
      <c r="Z54" s="105"/>
    </row>
    <row r="57" spans="2:26">
      <c r="P57" s="225"/>
    </row>
  </sheetData>
  <phoneticPr fontId="2" type="noConversion"/>
  <conditionalFormatting sqref="G46">
    <cfRule type="cellIs" dxfId="7" priority="1" operator="lessThan">
      <formula>0</formula>
    </cfRule>
    <cfRule type="cellIs" dxfId="6" priority="2"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9381-68FB-824B-B8C0-0A225FC10367}">
  <dimension ref="B1:Z53"/>
  <sheetViews>
    <sheetView showGridLines="0" topLeftCell="A26" zoomScale="72" zoomScaleNormal="72" workbookViewId="0">
      <selection activeCell="I29" sqref="I29:L50"/>
    </sheetView>
  </sheetViews>
  <sheetFormatPr defaultColWidth="8.8984375" defaultRowHeight="17.55" customHeight="1"/>
  <cols>
    <col min="1" max="1" width="2.5" style="238" customWidth="1"/>
    <col min="2" max="2" width="18.59765625" style="238" customWidth="1"/>
    <col min="3" max="5" width="9" style="238" bestFit="1" customWidth="1"/>
    <col min="6" max="6" width="10" style="238" bestFit="1" customWidth="1"/>
    <col min="7" max="7" width="4.3984375" style="238" customWidth="1"/>
    <col min="8" max="8" width="18.59765625" style="238" customWidth="1"/>
    <col min="9" max="9" width="9.5" style="238" bestFit="1" customWidth="1"/>
    <col min="10" max="11" width="9.09765625" style="238" bestFit="1" customWidth="1"/>
    <col min="12" max="12" width="9.09765625" style="238" customWidth="1"/>
    <col min="13" max="13" width="7.5" style="238" hidden="1" customWidth="1"/>
    <col min="14" max="14" width="6" style="238" hidden="1" customWidth="1"/>
    <col min="15" max="15" width="8.8984375" style="238"/>
    <col min="16" max="16" width="5.09765625" style="238" hidden="1" customWidth="1"/>
    <col min="17" max="17" width="16.59765625" style="238" hidden="1" customWidth="1"/>
    <col min="18" max="19" width="9.09765625" style="238" hidden="1" customWidth="1"/>
    <col min="20" max="20" width="9.8984375" style="238" hidden="1" customWidth="1"/>
    <col min="21" max="21" width="9.59765625" style="238" hidden="1" customWidth="1"/>
    <col min="22" max="22" width="0" style="238" hidden="1" customWidth="1"/>
    <col min="23" max="23" width="12.8984375" style="238" hidden="1" customWidth="1"/>
    <col min="24" max="28" width="0" style="238" hidden="1" customWidth="1"/>
    <col min="29" max="16384" width="8.8984375" style="238"/>
  </cols>
  <sheetData>
    <row r="1" spans="2:26" ht="17.55" customHeight="1">
      <c r="B1" s="238" t="s">
        <v>643</v>
      </c>
      <c r="H1" s="238" t="s">
        <v>642</v>
      </c>
    </row>
    <row r="2" spans="2:26" ht="17.55" customHeight="1" thickBot="1">
      <c r="B2" s="301" t="s">
        <v>641</v>
      </c>
      <c r="C2" s="300">
        <v>2022</v>
      </c>
      <c r="D2" s="300">
        <v>2023</v>
      </c>
      <c r="E2" s="300">
        <v>2024</v>
      </c>
      <c r="F2" s="300" t="s">
        <v>565</v>
      </c>
      <c r="G2" s="240"/>
      <c r="H2" s="301" t="s">
        <v>640</v>
      </c>
      <c r="I2" s="300">
        <v>2022</v>
      </c>
      <c r="J2" s="300">
        <v>2023</v>
      </c>
      <c r="K2" s="300" t="s">
        <v>566</v>
      </c>
      <c r="L2" s="300" t="s">
        <v>565</v>
      </c>
      <c r="M2" s="242"/>
      <c r="P2" s="370"/>
      <c r="Q2" s="369"/>
      <c r="R2" s="493" t="s">
        <v>639</v>
      </c>
      <c r="S2" s="494"/>
      <c r="T2" s="495" t="s">
        <v>638</v>
      </c>
      <c r="U2" s="496"/>
      <c r="W2" s="368" t="s">
        <v>637</v>
      </c>
      <c r="Z2" s="238" t="s">
        <v>636</v>
      </c>
    </row>
    <row r="3" spans="2:26" ht="17.55" customHeight="1" thickBot="1">
      <c r="B3" s="244" t="s">
        <v>635</v>
      </c>
      <c r="C3" s="349">
        <v>141.80000000000001</v>
      </c>
      <c r="D3" s="349">
        <v>180.1</v>
      </c>
      <c r="E3" s="349">
        <v>242.9</v>
      </c>
      <c r="F3" s="349">
        <f>355.5</f>
        <v>355.5</v>
      </c>
      <c r="G3" s="240"/>
      <c r="H3" s="248" t="s">
        <v>634</v>
      </c>
      <c r="I3" s="251">
        <v>147.80000000000001</v>
      </c>
      <c r="J3" s="251">
        <v>185.7</v>
      </c>
      <c r="K3" s="306">
        <v>234.2</v>
      </c>
      <c r="L3" s="306">
        <f>SUM(L4:L7)</f>
        <v>364.19448141304281</v>
      </c>
      <c r="M3" s="242"/>
      <c r="P3" s="367" t="s">
        <v>633</v>
      </c>
      <c r="Q3" s="366"/>
      <c r="R3" s="365">
        <v>2022</v>
      </c>
      <c r="S3" s="364">
        <v>2023</v>
      </c>
      <c r="T3" s="363">
        <v>2024</v>
      </c>
      <c r="U3" s="362">
        <v>2025</v>
      </c>
    </row>
    <row r="4" spans="2:26" ht="17.55" customHeight="1">
      <c r="B4" s="248" t="s">
        <v>12</v>
      </c>
      <c r="C4" s="250">
        <f>33.6</f>
        <v>33.6</v>
      </c>
      <c r="D4" s="250">
        <v>39.700000000000003</v>
      </c>
      <c r="E4" s="250">
        <f>E3-E5</f>
        <v>51.800000000000011</v>
      </c>
      <c r="F4" s="250">
        <f>F3-F5</f>
        <v>73.399999999999977</v>
      </c>
      <c r="G4" s="240"/>
      <c r="H4" s="309" t="s">
        <v>632</v>
      </c>
      <c r="I4" s="249">
        <v>26</v>
      </c>
      <c r="J4" s="249">
        <v>18.3</v>
      </c>
      <c r="K4" s="247">
        <f>E50</f>
        <v>21.099999999999998</v>
      </c>
      <c r="L4" s="247">
        <f>F50</f>
        <v>54.914260230793943</v>
      </c>
      <c r="M4" s="242"/>
      <c r="P4" s="344" t="s">
        <v>631</v>
      </c>
      <c r="Q4" s="348"/>
      <c r="R4" s="361">
        <f>C8</f>
        <v>68.900000000000006</v>
      </c>
      <c r="S4" s="360">
        <f>D8</f>
        <v>89.6</v>
      </c>
      <c r="T4" s="360">
        <f>E8</f>
        <v>122.4</v>
      </c>
      <c r="U4" s="359">
        <f>F8</f>
        <v>185.4</v>
      </c>
      <c r="W4" s="238" t="s">
        <v>630</v>
      </c>
    </row>
    <row r="5" spans="2:26" ht="17.55" customHeight="1">
      <c r="B5" s="248" t="s">
        <v>14</v>
      </c>
      <c r="C5" s="250">
        <v>108.1</v>
      </c>
      <c r="D5" s="250">
        <v>140.4</v>
      </c>
      <c r="E5" s="250">
        <v>191.1</v>
      </c>
      <c r="F5" s="250">
        <v>282.10000000000002</v>
      </c>
      <c r="G5" s="240"/>
      <c r="H5" s="309" t="s">
        <v>629</v>
      </c>
      <c r="I5" s="249">
        <v>8.4</v>
      </c>
      <c r="J5" s="249">
        <v>18.2</v>
      </c>
      <c r="K5" s="247">
        <f>T17</f>
        <v>19.0992602739726</v>
      </c>
      <c r="L5" s="247">
        <f>U17</f>
        <v>25.90603705065735</v>
      </c>
      <c r="M5" s="242"/>
      <c r="P5" s="358"/>
      <c r="Q5" s="392" t="s">
        <v>628</v>
      </c>
      <c r="R5" s="393">
        <f>-R6/R4</f>
        <v>3.0478955007256892E-2</v>
      </c>
      <c r="S5" s="357">
        <f t="shared" ref="S5:U5" si="0">-S6/S4</f>
        <v>2.2321428571428572E-2</v>
      </c>
      <c r="T5" s="357">
        <f t="shared" si="0"/>
        <v>2.4509803921568627E-2</v>
      </c>
      <c r="U5" s="356">
        <f t="shared" si="0"/>
        <v>2.2653721682847898E-2</v>
      </c>
      <c r="W5" s="238" t="s">
        <v>627</v>
      </c>
    </row>
    <row r="6" spans="2:26" ht="17.55" customHeight="1" thickBot="1">
      <c r="B6" s="244" t="s">
        <v>626</v>
      </c>
      <c r="C6" s="349">
        <v>9.9</v>
      </c>
      <c r="D6" s="349">
        <v>14.3</v>
      </c>
      <c r="E6" s="349">
        <f>E5-E7</f>
        <v>68.699999999999989</v>
      </c>
      <c r="F6" s="349">
        <f>F5-F7</f>
        <v>96.700000000000017</v>
      </c>
      <c r="G6" s="240"/>
      <c r="H6" s="309" t="s">
        <v>625</v>
      </c>
      <c r="I6" s="249">
        <v>23.9</v>
      </c>
      <c r="J6" s="249">
        <v>19.399999999999999</v>
      </c>
      <c r="K6" s="247">
        <f>T18</f>
        <v>4.8819726027397268</v>
      </c>
      <c r="L6" s="247">
        <f>U18</f>
        <v>7.8278969341161089</v>
      </c>
      <c r="M6" s="242"/>
      <c r="P6" s="355" t="s">
        <v>624</v>
      </c>
      <c r="Q6" s="354" t="s">
        <v>623</v>
      </c>
      <c r="R6" s="353">
        <f>C13</f>
        <v>-2.1</v>
      </c>
      <c r="S6" s="352">
        <f>D13</f>
        <v>-2</v>
      </c>
      <c r="T6" s="352">
        <f>E13</f>
        <v>-3</v>
      </c>
      <c r="U6" s="351">
        <f>F13</f>
        <v>-4.2</v>
      </c>
      <c r="W6" s="238" t="s">
        <v>622</v>
      </c>
    </row>
    <row r="7" spans="2:26" ht="17.55" customHeight="1">
      <c r="B7" s="248" t="s">
        <v>621</v>
      </c>
      <c r="C7" s="250">
        <f>C8</f>
        <v>68.900000000000006</v>
      </c>
      <c r="D7" s="250">
        <f>D8</f>
        <v>89.6</v>
      </c>
      <c r="E7" s="250">
        <f>E8</f>
        <v>122.4</v>
      </c>
      <c r="F7" s="250">
        <f>F8</f>
        <v>185.4</v>
      </c>
      <c r="G7" s="240"/>
      <c r="H7" s="309" t="s">
        <v>620</v>
      </c>
      <c r="I7" s="249">
        <f>I3-SUM(I4:I6)</f>
        <v>89.500000000000014</v>
      </c>
      <c r="J7" s="249">
        <f>J3-SUM(J4:J6)</f>
        <v>129.79999999999998</v>
      </c>
      <c r="K7" s="247">
        <f>K3-SUM(K4:K6)</f>
        <v>189.11876712328765</v>
      </c>
      <c r="L7" s="247">
        <f>K7*(1+K7/J7-1)</f>
        <v>275.54628719747541</v>
      </c>
      <c r="M7" s="242"/>
      <c r="P7" s="339"/>
      <c r="Q7" s="350" t="s">
        <v>619</v>
      </c>
      <c r="R7" s="337"/>
      <c r="S7" s="336"/>
      <c r="T7" s="336"/>
      <c r="U7" s="335"/>
    </row>
    <row r="8" spans="2:26" ht="17.55" customHeight="1" thickBot="1">
      <c r="B8" s="244" t="s">
        <v>15</v>
      </c>
      <c r="C8" s="349">
        <v>68.900000000000006</v>
      </c>
      <c r="D8" s="349">
        <v>89.6</v>
      </c>
      <c r="E8" s="349">
        <v>122.4</v>
      </c>
      <c r="F8" s="349">
        <v>185.4</v>
      </c>
      <c r="G8" s="240"/>
      <c r="H8" s="248" t="s">
        <v>618</v>
      </c>
      <c r="I8" s="251">
        <f>SUM(I9:I11)</f>
        <v>183.60000000000002</v>
      </c>
      <c r="J8" s="251">
        <f>SUM(J9:J11)</f>
        <v>189.70000000000002</v>
      </c>
      <c r="K8" s="306">
        <f>SUM(K9:K11)</f>
        <v>374.2</v>
      </c>
      <c r="L8" s="306">
        <f>SUM(L9:L11)</f>
        <v>285.60000000000002</v>
      </c>
      <c r="M8" s="242"/>
      <c r="P8" s="344" t="s">
        <v>617</v>
      </c>
      <c r="Q8" s="348"/>
      <c r="R8" s="347">
        <v>53.7</v>
      </c>
      <c r="S8" s="346">
        <v>70.900000000000006</v>
      </c>
      <c r="T8" s="346">
        <f>93.4</f>
        <v>93.4</v>
      </c>
      <c r="U8" s="345">
        <v>185</v>
      </c>
    </row>
    <row r="9" spans="2:26" ht="17.55" customHeight="1">
      <c r="B9" s="248" t="s">
        <v>616</v>
      </c>
      <c r="C9" s="250">
        <v>0</v>
      </c>
      <c r="D9" s="250">
        <v>0</v>
      </c>
      <c r="E9" s="250">
        <f>E8-E10-E12</f>
        <v>-7.9000000000000057</v>
      </c>
      <c r="F9" s="250">
        <f>F8-F10-F12</f>
        <v>-13.5</v>
      </c>
      <c r="G9" s="240"/>
      <c r="H9" s="309" t="s">
        <v>615</v>
      </c>
      <c r="I9" s="249">
        <v>77.900000000000006</v>
      </c>
      <c r="J9" s="249">
        <v>47.9</v>
      </c>
      <c r="K9" s="247">
        <v>40.1</v>
      </c>
      <c r="L9" s="247">
        <f>AVERAGE(J9:K9)</f>
        <v>44</v>
      </c>
      <c r="M9" s="242"/>
      <c r="P9" s="344"/>
      <c r="Q9" s="343" t="s">
        <v>614</v>
      </c>
      <c r="R9" s="342"/>
      <c r="S9" s="341">
        <f>S8/R8-1</f>
        <v>0.32029795158286789</v>
      </c>
      <c r="T9" s="341">
        <f>T8/S8-1</f>
        <v>0.31734837799717908</v>
      </c>
      <c r="U9" s="340">
        <f>U8/T8-1</f>
        <v>0.98072805139186281</v>
      </c>
    </row>
    <row r="10" spans="2:26" ht="17.55" customHeight="1">
      <c r="B10" s="248" t="s">
        <v>613</v>
      </c>
      <c r="C10" s="272">
        <v>0.3</v>
      </c>
      <c r="D10" s="272">
        <v>0.9</v>
      </c>
      <c r="E10" s="272">
        <v>2.4</v>
      </c>
      <c r="F10" s="272">
        <v>9.6</v>
      </c>
      <c r="G10" s="240"/>
      <c r="H10" s="309" t="s">
        <v>612</v>
      </c>
      <c r="I10" s="249">
        <v>104.2</v>
      </c>
      <c r="J10" s="249">
        <v>139</v>
      </c>
      <c r="K10" s="247">
        <v>193.2</v>
      </c>
      <c r="L10" s="247">
        <f>K10</f>
        <v>193.2</v>
      </c>
      <c r="M10" s="242"/>
      <c r="P10" s="339"/>
      <c r="Q10" s="338" t="s">
        <v>611</v>
      </c>
      <c r="R10" s="337">
        <f>R23</f>
        <v>8.3000000000000007</v>
      </c>
      <c r="S10" s="336">
        <f>S23</f>
        <v>5.1000000000000014</v>
      </c>
      <c r="T10" s="336">
        <f>T23</f>
        <v>-28.51876712328767</v>
      </c>
      <c r="U10" s="335">
        <f>U23</f>
        <v>24.042641847529506</v>
      </c>
    </row>
    <row r="11" spans="2:26" ht="17.55" customHeight="1" thickBot="1">
      <c r="B11" s="244" t="s">
        <v>610</v>
      </c>
      <c r="C11" s="245">
        <v>0</v>
      </c>
      <c r="D11" s="245">
        <v>0</v>
      </c>
      <c r="E11" s="245">
        <v>0</v>
      </c>
      <c r="F11" s="245">
        <v>0</v>
      </c>
      <c r="G11" s="240"/>
      <c r="H11" s="309" t="s">
        <v>609</v>
      </c>
      <c r="I11" s="249">
        <v>1.5</v>
      </c>
      <c r="J11" s="249">
        <v>2.8</v>
      </c>
      <c r="K11" s="249">
        <v>140.9</v>
      </c>
      <c r="L11" s="249">
        <f>AVERAGE(I11:K11)</f>
        <v>48.400000000000006</v>
      </c>
      <c r="M11" s="242"/>
      <c r="P11" s="339"/>
      <c r="Q11" s="338" t="s">
        <v>608</v>
      </c>
      <c r="R11" s="337">
        <f>R36</f>
        <v>30.2</v>
      </c>
      <c r="S11" s="336">
        <f>S36</f>
        <v>7.7</v>
      </c>
      <c r="T11" s="336">
        <f>T36</f>
        <v>9.5</v>
      </c>
      <c r="U11" s="335">
        <f>U36</f>
        <v>14.551462992633205</v>
      </c>
    </row>
    <row r="12" spans="2:26" ht="17.55" customHeight="1" thickBot="1">
      <c r="B12" s="248" t="s">
        <v>607</v>
      </c>
      <c r="C12" s="272">
        <v>96.7</v>
      </c>
      <c r="D12" s="272">
        <v>93.8</v>
      </c>
      <c r="E12" s="272">
        <v>127.9</v>
      </c>
      <c r="F12" s="272">
        <v>189.3</v>
      </c>
      <c r="G12" s="240"/>
      <c r="H12" s="244" t="s">
        <v>606</v>
      </c>
      <c r="I12" s="304">
        <f>I8+I3</f>
        <v>331.40000000000003</v>
      </c>
      <c r="J12" s="304">
        <f>J8+J3</f>
        <v>375.4</v>
      </c>
      <c r="K12" s="303">
        <f>K8+K3</f>
        <v>608.4</v>
      </c>
      <c r="L12" s="303">
        <f>L8+L3</f>
        <v>649.79448141304283</v>
      </c>
      <c r="M12" s="334">
        <f>K20+K26</f>
        <v>609.70000000000005</v>
      </c>
      <c r="N12" s="334">
        <f>L20+L26</f>
        <v>692.92681029990092</v>
      </c>
      <c r="O12" s="334"/>
      <c r="P12" s="333" t="s">
        <v>605</v>
      </c>
      <c r="Q12" s="332"/>
      <c r="R12" s="331">
        <f>R10+R11</f>
        <v>38.5</v>
      </c>
      <c r="S12" s="329">
        <f>S10+S11</f>
        <v>12.8</v>
      </c>
      <c r="T12" s="329">
        <f>T10+T11</f>
        <v>-19.01876712328767</v>
      </c>
      <c r="U12" s="328">
        <f>U10+U11</f>
        <v>38.594104840162714</v>
      </c>
    </row>
    <row r="13" spans="2:26" ht="17.55" customHeight="1">
      <c r="B13" s="248" t="s">
        <v>604</v>
      </c>
      <c r="C13" s="272">
        <v>-2.1</v>
      </c>
      <c r="D13" s="272">
        <v>-2</v>
      </c>
      <c r="E13" s="272">
        <v>-3</v>
      </c>
      <c r="F13" s="272">
        <v>-4.2</v>
      </c>
      <c r="G13" s="240"/>
      <c r="H13" s="248" t="s">
        <v>603</v>
      </c>
      <c r="I13" s="251">
        <v>36.200000000000003</v>
      </c>
      <c r="J13" s="251">
        <v>29.2</v>
      </c>
      <c r="K13" s="306">
        <v>128.9</v>
      </c>
      <c r="L13" s="306">
        <f>SUM(L14:L16)</f>
        <v>45.810059260531624</v>
      </c>
      <c r="M13" s="242"/>
      <c r="P13" s="333" t="s">
        <v>602</v>
      </c>
      <c r="Q13" s="332"/>
      <c r="R13" s="331">
        <f>R8-R12</f>
        <v>15.200000000000003</v>
      </c>
      <c r="S13" s="329">
        <f>S8-S12</f>
        <v>58.100000000000009</v>
      </c>
      <c r="T13" s="329">
        <f>T8-T12</f>
        <v>112.41876712328768</v>
      </c>
      <c r="U13" s="328">
        <f>U8-U12</f>
        <v>146.40589515983729</v>
      </c>
    </row>
    <row r="14" spans="2:26" ht="17.55" customHeight="1">
      <c r="B14" s="248" t="s">
        <v>601</v>
      </c>
      <c r="C14" s="272">
        <v>75.400000000000006</v>
      </c>
      <c r="D14" s="272">
        <v>74.2</v>
      </c>
      <c r="E14" s="272">
        <f>'Expected IS'!T22/1000</f>
        <v>97.547380504000003</v>
      </c>
      <c r="F14" s="272">
        <f>'Expected IS'!U22/1000</f>
        <v>147.35008437270264</v>
      </c>
      <c r="G14" s="240"/>
      <c r="H14" s="309" t="s">
        <v>600</v>
      </c>
      <c r="I14" s="249">
        <v>2.1</v>
      </c>
      <c r="J14" s="249">
        <v>2.2999999999999998</v>
      </c>
      <c r="K14" s="247">
        <v>17.2</v>
      </c>
      <c r="L14" s="247">
        <f>U20</f>
        <v>2.9100592605316264</v>
      </c>
      <c r="M14" s="242"/>
      <c r="P14" s="333" t="s">
        <v>599</v>
      </c>
      <c r="Q14" s="332"/>
      <c r="R14" s="331">
        <f>C23</f>
        <v>27</v>
      </c>
      <c r="S14" s="330">
        <f>D23</f>
        <v>60</v>
      </c>
      <c r="T14" s="329">
        <f>T13-T7*(1-T5)</f>
        <v>112.41876712328768</v>
      </c>
      <c r="U14" s="328">
        <f>U13-U7*(1-U5)</f>
        <v>146.40589515983729</v>
      </c>
    </row>
    <row r="15" spans="2:26" ht="17.55" customHeight="1" thickBot="1">
      <c r="B15" s="244" t="s">
        <v>598</v>
      </c>
      <c r="C15" s="245">
        <v>0</v>
      </c>
      <c r="D15" s="245">
        <v>0</v>
      </c>
      <c r="E15" s="245">
        <v>0</v>
      </c>
      <c r="F15" s="245">
        <v>0</v>
      </c>
      <c r="G15" s="240"/>
      <c r="H15" s="309" t="s">
        <v>655</v>
      </c>
      <c r="I15" s="249">
        <v>2.4</v>
      </c>
      <c r="J15" s="249">
        <v>2.4</v>
      </c>
      <c r="K15" s="247">
        <v>72.8</v>
      </c>
      <c r="L15" s="247">
        <f>AVERAGE(J15:K15)</f>
        <v>37.6</v>
      </c>
      <c r="M15" s="242"/>
      <c r="V15" s="327"/>
    </row>
    <row r="16" spans="2:26" ht="17.55" customHeight="1">
      <c r="B16" s="248" t="s">
        <v>22</v>
      </c>
      <c r="C16" s="250">
        <v>75.400000000000006</v>
      </c>
      <c r="D16" s="250">
        <v>74.2</v>
      </c>
      <c r="E16" s="250">
        <f>E14</f>
        <v>97.547380504000003</v>
      </c>
      <c r="F16" s="250">
        <f>F14</f>
        <v>147.35008437270264</v>
      </c>
      <c r="G16" s="240"/>
      <c r="H16" s="309" t="s">
        <v>597</v>
      </c>
      <c r="I16" s="249">
        <v>5.3</v>
      </c>
      <c r="J16" s="249">
        <v>4.5999999999999996</v>
      </c>
      <c r="K16" s="247">
        <v>5.3</v>
      </c>
      <c r="L16" s="247">
        <f>K16</f>
        <v>5.3</v>
      </c>
      <c r="M16" s="242"/>
      <c r="P16" s="326" t="s">
        <v>596</v>
      </c>
      <c r="Q16" s="325"/>
      <c r="R16" s="324">
        <v>2022</v>
      </c>
      <c r="S16" s="324">
        <v>2023</v>
      </c>
      <c r="T16" s="323">
        <v>2024</v>
      </c>
      <c r="U16" s="322">
        <v>2025</v>
      </c>
    </row>
    <row r="17" spans="2:23" ht="17.55" customHeight="1">
      <c r="B17" s="248" t="s">
        <v>588</v>
      </c>
      <c r="C17" s="272">
        <f>C16</f>
        <v>75.400000000000006</v>
      </c>
      <c r="D17" s="272">
        <f>D16</f>
        <v>74.2</v>
      </c>
      <c r="E17" s="272">
        <f>E16</f>
        <v>97.547380504000003</v>
      </c>
      <c r="F17" s="272">
        <f>F16</f>
        <v>147.35008437270264</v>
      </c>
      <c r="G17" s="240"/>
      <c r="H17" s="248" t="s">
        <v>595</v>
      </c>
      <c r="I17" s="251">
        <f>SUM(I18:I19)</f>
        <v>65.600000000000009</v>
      </c>
      <c r="J17" s="251">
        <f>SUM(J18:J19)</f>
        <v>62.7</v>
      </c>
      <c r="K17" s="306">
        <f>SUM(K18:K19)</f>
        <v>26.8</v>
      </c>
      <c r="L17" s="306">
        <f>SUM(L18:L19)</f>
        <v>53.966666666666669</v>
      </c>
      <c r="M17" s="242"/>
      <c r="P17" s="321"/>
      <c r="Q17" s="320" t="s">
        <v>594</v>
      </c>
      <c r="R17" s="319">
        <f>I5</f>
        <v>8.4</v>
      </c>
      <c r="S17" s="319">
        <f>J5</f>
        <v>18.2</v>
      </c>
      <c r="T17" s="318">
        <f>T26*E3/365</f>
        <v>19.0992602739726</v>
      </c>
      <c r="U17" s="317">
        <f>U26*F3/365</f>
        <v>25.90603705065735</v>
      </c>
    </row>
    <row r="18" spans="2:23" ht="17.55" customHeight="1" thickBot="1">
      <c r="B18" s="244" t="s">
        <v>585</v>
      </c>
      <c r="C18" s="245">
        <v>0</v>
      </c>
      <c r="D18" s="245">
        <v>0</v>
      </c>
      <c r="E18" s="245">
        <v>0</v>
      </c>
      <c r="F18" s="245">
        <v>0</v>
      </c>
      <c r="G18" s="240"/>
      <c r="H18" s="309" t="s">
        <v>593</v>
      </c>
      <c r="I18" s="249">
        <v>64.400000000000006</v>
      </c>
      <c r="J18" s="249">
        <v>62</v>
      </c>
      <c r="K18" s="247">
        <v>11.5</v>
      </c>
      <c r="L18" s="247">
        <f>AVERAGE(I18:K18)</f>
        <v>45.966666666666669</v>
      </c>
      <c r="M18" s="242"/>
      <c r="P18" s="259"/>
      <c r="Q18" s="280" t="s">
        <v>592</v>
      </c>
      <c r="R18" s="283">
        <f>I6</f>
        <v>23.9</v>
      </c>
      <c r="S18" s="283">
        <f>J6</f>
        <v>19.399999999999999</v>
      </c>
      <c r="T18" s="282">
        <f>T27*E4/365</f>
        <v>4.8819726027397268</v>
      </c>
      <c r="U18" s="281">
        <f>U27*F4/365</f>
        <v>7.8278969341161089</v>
      </c>
    </row>
    <row r="19" spans="2:23" ht="17.55" customHeight="1">
      <c r="B19" s="248" t="s">
        <v>591</v>
      </c>
      <c r="C19" s="250">
        <v>75.400000000000006</v>
      </c>
      <c r="D19" s="250">
        <v>74.3</v>
      </c>
      <c r="E19" s="250">
        <f>E16</f>
        <v>97.547380504000003</v>
      </c>
      <c r="F19" s="250">
        <f>F16</f>
        <v>147.35008437270264</v>
      </c>
      <c r="G19" s="240"/>
      <c r="H19" s="309" t="s">
        <v>590</v>
      </c>
      <c r="I19" s="249">
        <v>1.2</v>
      </c>
      <c r="J19" s="249">
        <v>0.7</v>
      </c>
      <c r="K19" s="249">
        <v>15.3</v>
      </c>
      <c r="L19" s="249">
        <f>AVERAGE(J19:K19)</f>
        <v>8</v>
      </c>
      <c r="M19" s="242"/>
      <c r="P19" s="287"/>
      <c r="Q19" s="313" t="s">
        <v>589</v>
      </c>
      <c r="R19" s="311">
        <f>SUM(R17:R18)</f>
        <v>32.299999999999997</v>
      </c>
      <c r="S19" s="311">
        <f>SUM(S17:S18)</f>
        <v>37.599999999999994</v>
      </c>
      <c r="T19" s="311">
        <f>SUM(T17:T18)</f>
        <v>23.981232876712326</v>
      </c>
      <c r="U19" s="310">
        <f>SUM(U17:U18)</f>
        <v>33.733933984773458</v>
      </c>
    </row>
    <row r="20" spans="2:23" ht="17.55" customHeight="1" thickBot="1">
      <c r="B20" s="248" t="s">
        <v>588</v>
      </c>
      <c r="C20" s="272">
        <f>C19</f>
        <v>75.400000000000006</v>
      </c>
      <c r="D20" s="272">
        <f>D19</f>
        <v>74.3</v>
      </c>
      <c r="E20" s="272">
        <f>E19</f>
        <v>97.547380504000003</v>
      </c>
      <c r="F20" s="272">
        <f>F19</f>
        <v>147.35008437270264</v>
      </c>
      <c r="G20" s="240"/>
      <c r="H20" s="244" t="s">
        <v>587</v>
      </c>
      <c r="I20" s="304">
        <f>SUM(I17,I13)</f>
        <v>101.80000000000001</v>
      </c>
      <c r="J20" s="304">
        <f>SUM(J17,J13)</f>
        <v>91.9</v>
      </c>
      <c r="K20" s="303">
        <f>SUM(K17,K13)</f>
        <v>155.70000000000002</v>
      </c>
      <c r="L20" s="303">
        <f>SUM(L17,L13)</f>
        <v>99.776725927198299</v>
      </c>
      <c r="M20" s="242"/>
      <c r="P20" s="259"/>
      <c r="Q20" s="280" t="s">
        <v>586</v>
      </c>
      <c r="R20" s="283">
        <f>I14</f>
        <v>2.1</v>
      </c>
      <c r="S20" s="283">
        <f>J14</f>
        <v>2.2999999999999998</v>
      </c>
      <c r="T20" s="282">
        <f>K14</f>
        <v>17.2</v>
      </c>
      <c r="U20" s="281">
        <f>U28*F4/365</f>
        <v>2.9100592605316264</v>
      </c>
    </row>
    <row r="21" spans="2:23" ht="17.55" customHeight="1">
      <c r="B21" s="248" t="s">
        <v>585</v>
      </c>
      <c r="C21" s="272">
        <v>0</v>
      </c>
      <c r="D21" s="272">
        <v>0</v>
      </c>
      <c r="E21" s="272">
        <v>0</v>
      </c>
      <c r="F21" s="272">
        <v>0</v>
      </c>
      <c r="G21" s="240"/>
      <c r="H21" s="248" t="s">
        <v>584</v>
      </c>
      <c r="I21" s="251">
        <v>229.6</v>
      </c>
      <c r="J21" s="251">
        <v>283.5</v>
      </c>
      <c r="K21" s="306">
        <v>454</v>
      </c>
      <c r="L21" s="306">
        <f>K21+(L24-K24)</f>
        <v>593.15008437270262</v>
      </c>
      <c r="M21" s="242"/>
      <c r="P21" s="316"/>
      <c r="Q21" s="315" t="s">
        <v>583</v>
      </c>
      <c r="R21" s="312">
        <f>SUM(R20)</f>
        <v>2.1</v>
      </c>
      <c r="S21" s="312">
        <f>SUM(S20)</f>
        <v>2.2999999999999998</v>
      </c>
      <c r="T21" s="312">
        <f>SUM(T20)</f>
        <v>17.2</v>
      </c>
      <c r="U21" s="314">
        <f>SUM(U20)</f>
        <v>2.9100592605316264</v>
      </c>
    </row>
    <row r="22" spans="2:23" ht="17.55" customHeight="1">
      <c r="B22" s="248" t="s">
        <v>24</v>
      </c>
      <c r="C22" s="272">
        <v>72.8</v>
      </c>
      <c r="D22" s="272">
        <v>93.9</v>
      </c>
      <c r="E22" s="272">
        <f>E8+E31</f>
        <v>127.2</v>
      </c>
      <c r="F22" s="272">
        <f>F8+F31</f>
        <v>192.56427787362082</v>
      </c>
      <c r="G22" s="240"/>
      <c r="H22" s="309" t="s">
        <v>582</v>
      </c>
      <c r="I22" s="249">
        <v>6.5</v>
      </c>
      <c r="J22" s="249">
        <v>6.5</v>
      </c>
      <c r="K22" s="247">
        <v>6.7</v>
      </c>
      <c r="L22" s="247">
        <f>K22</f>
        <v>6.7</v>
      </c>
      <c r="M22" s="242"/>
      <c r="P22" s="259" t="s">
        <v>581</v>
      </c>
      <c r="Q22" s="280"/>
      <c r="R22" s="282">
        <f>R19-R21</f>
        <v>30.199999999999996</v>
      </c>
      <c r="S22" s="282">
        <f>S19-S21</f>
        <v>35.299999999999997</v>
      </c>
      <c r="T22" s="282">
        <f>T19-T21</f>
        <v>6.7812328767123269</v>
      </c>
      <c r="U22" s="281">
        <f>U19-U21</f>
        <v>30.823874724241833</v>
      </c>
    </row>
    <row r="23" spans="2:23" ht="17.55" customHeight="1">
      <c r="B23" s="248" t="s">
        <v>580</v>
      </c>
      <c r="C23" s="272">
        <v>27</v>
      </c>
      <c r="D23" s="272">
        <v>60</v>
      </c>
      <c r="E23" s="272">
        <f>T14</f>
        <v>112.41876712328768</v>
      </c>
      <c r="F23" s="272">
        <f>U14</f>
        <v>146.40589515983729</v>
      </c>
      <c r="G23" s="240"/>
      <c r="H23" s="309" t="s">
        <v>579</v>
      </c>
      <c r="I23" s="249">
        <v>24.2</v>
      </c>
      <c r="J23" s="249">
        <v>24.2</v>
      </c>
      <c r="K23" s="247">
        <v>106.3</v>
      </c>
      <c r="L23" s="247">
        <f>AVERAGE(I23:K23)</f>
        <v>51.566666666666663</v>
      </c>
      <c r="M23" s="242"/>
      <c r="P23" s="287" t="s">
        <v>578</v>
      </c>
      <c r="Q23" s="313"/>
      <c r="R23" s="311">
        <f>8.3</f>
        <v>8.3000000000000007</v>
      </c>
      <c r="S23" s="312">
        <f>S22-R22</f>
        <v>5.1000000000000014</v>
      </c>
      <c r="T23" s="311">
        <f>T22-S22</f>
        <v>-28.51876712328767</v>
      </c>
      <c r="U23" s="310">
        <f>U22-T22</f>
        <v>24.042641847529506</v>
      </c>
    </row>
    <row r="24" spans="2:23" ht="17.55" customHeight="1">
      <c r="B24" s="248" t="s">
        <v>577</v>
      </c>
      <c r="C24" s="272">
        <f>C22/C3*100</f>
        <v>51.339915373765862</v>
      </c>
      <c r="D24" s="272">
        <f>D22/D3*100</f>
        <v>52.137701277068302</v>
      </c>
      <c r="E24" s="272">
        <f>E22/E3*100</f>
        <v>52.367229312474272</v>
      </c>
      <c r="F24" s="272">
        <f>F22/F3*100</f>
        <v>54.167166771763945</v>
      </c>
      <c r="G24" s="240"/>
      <c r="H24" s="309" t="s">
        <v>576</v>
      </c>
      <c r="I24" s="249">
        <v>204.2</v>
      </c>
      <c r="J24" s="249">
        <v>271</v>
      </c>
      <c r="K24" s="247">
        <v>336</v>
      </c>
      <c r="L24" s="247">
        <f>K24+(F16+F46)</f>
        <v>475.15008437270262</v>
      </c>
      <c r="M24" s="242"/>
      <c r="P24" s="266" t="s">
        <v>540</v>
      </c>
      <c r="Q24" s="265"/>
      <c r="R24" s="308"/>
      <c r="S24" s="308"/>
      <c r="T24" s="308"/>
      <c r="U24" s="307"/>
    </row>
    <row r="25" spans="2:23" ht="17.55" customHeight="1">
      <c r="B25" s="248" t="s">
        <v>575</v>
      </c>
      <c r="C25" s="272">
        <f>C8/C3*100</f>
        <v>48.589562764456986</v>
      </c>
      <c r="D25" s="272">
        <f>D8/D3*100</f>
        <v>49.750138811771237</v>
      </c>
      <c r="E25" s="272">
        <f>E8/E3*100</f>
        <v>50.391107451626183</v>
      </c>
      <c r="F25" s="272">
        <f>F8/F3*100</f>
        <v>52.151898734177216</v>
      </c>
      <c r="G25" s="240"/>
      <c r="H25" s="248" t="s">
        <v>574</v>
      </c>
      <c r="I25" s="251">
        <v>0</v>
      </c>
      <c r="J25" s="251">
        <v>0</v>
      </c>
      <c r="K25" s="306">
        <v>0</v>
      </c>
      <c r="L25" s="306">
        <v>0</v>
      </c>
      <c r="M25" s="242"/>
      <c r="P25" s="287" t="s">
        <v>573</v>
      </c>
      <c r="Q25" s="280"/>
      <c r="R25" s="280"/>
      <c r="S25" s="280"/>
      <c r="T25" s="280"/>
      <c r="U25" s="305"/>
    </row>
    <row r="26" spans="2:23" ht="17.55" customHeight="1" thickBot="1">
      <c r="B26" s="244" t="s">
        <v>572</v>
      </c>
      <c r="C26" s="245">
        <f>C16/C3*100</f>
        <v>53.173483779971789</v>
      </c>
      <c r="D26" s="245">
        <f>D16/D3*100</f>
        <v>41.199333703498056</v>
      </c>
      <c r="E26" s="245">
        <f>E16/E3*100</f>
        <v>40.159481475504322</v>
      </c>
      <c r="F26" s="245">
        <f>F16/F3*100</f>
        <v>41.448687587258128</v>
      </c>
      <c r="G26" s="240"/>
      <c r="H26" s="244" t="s">
        <v>571</v>
      </c>
      <c r="I26" s="304">
        <f>SUM(I25,I21)</f>
        <v>229.6</v>
      </c>
      <c r="J26" s="304">
        <f>SUM(J25,J21)</f>
        <v>283.5</v>
      </c>
      <c r="K26" s="303">
        <f>SUM(K25,K21)</f>
        <v>454</v>
      </c>
      <c r="L26" s="303">
        <f>SUM(L25,L21)</f>
        <v>593.15008437270262</v>
      </c>
      <c r="M26" s="242"/>
      <c r="P26" s="259"/>
      <c r="Q26" s="280" t="s">
        <v>570</v>
      </c>
      <c r="R26" s="299">
        <f t="shared" ref="R26:S28" si="1">I41</f>
        <v>13.619402985074627</v>
      </c>
      <c r="S26" s="299">
        <f>J41</f>
        <v>24.496644295302012</v>
      </c>
      <c r="T26" s="298">
        <v>28.7</v>
      </c>
      <c r="U26" s="297">
        <f>AVERAGE(S26:T26)</f>
        <v>26.598322147651004</v>
      </c>
      <c r="W26" s="238">
        <f>1-S26/R26</f>
        <v>-0.79865771812080522</v>
      </c>
    </row>
    <row r="27" spans="2:23" ht="17.55" customHeight="1">
      <c r="B27" s="302"/>
      <c r="C27" s="302"/>
      <c r="D27" s="302"/>
      <c r="E27" s="302"/>
      <c r="F27" s="302"/>
      <c r="G27" s="240"/>
      <c r="H27" s="302"/>
      <c r="I27" s="302"/>
      <c r="J27" s="302"/>
      <c r="K27" s="302"/>
      <c r="L27" s="302"/>
      <c r="M27" s="242"/>
      <c r="P27" s="259"/>
      <c r="Q27" s="280" t="s">
        <v>569</v>
      </c>
      <c r="R27" s="299">
        <f t="shared" si="1"/>
        <v>51.408450704225352</v>
      </c>
      <c r="S27" s="299">
        <f t="shared" si="1"/>
        <v>43.452380952380949</v>
      </c>
      <c r="T27" s="298">
        <v>34.4</v>
      </c>
      <c r="U27" s="297">
        <f>AVERAGE(S27:T27)</f>
        <v>38.92619047619047</v>
      </c>
    </row>
    <row r="28" spans="2:23" ht="17.55" customHeight="1" thickBot="1">
      <c r="B28" s="301" t="s">
        <v>568</v>
      </c>
      <c r="C28" s="300">
        <v>2022</v>
      </c>
      <c r="D28" s="300">
        <v>2023</v>
      </c>
      <c r="E28" s="300" t="s">
        <v>566</v>
      </c>
      <c r="F28" s="300" t="s">
        <v>565</v>
      </c>
      <c r="G28" s="240"/>
      <c r="H28" s="301" t="s">
        <v>567</v>
      </c>
      <c r="I28" s="300">
        <v>2022</v>
      </c>
      <c r="J28" s="300">
        <v>2023</v>
      </c>
      <c r="K28" s="300" t="s">
        <v>566</v>
      </c>
      <c r="L28" s="300" t="s">
        <v>565</v>
      </c>
      <c r="M28" s="242"/>
      <c r="P28" s="259"/>
      <c r="Q28" s="280" t="s">
        <v>564</v>
      </c>
      <c r="R28" s="299">
        <f t="shared" si="1"/>
        <v>6.25</v>
      </c>
      <c r="S28" s="299">
        <f t="shared" si="1"/>
        <v>11.442006269592477</v>
      </c>
      <c r="T28" s="298">
        <v>17.5</v>
      </c>
      <c r="U28" s="297">
        <f>AVERAGE(S28:T28)</f>
        <v>14.471003134796238</v>
      </c>
    </row>
    <row r="29" spans="2:23" ht="17.55" customHeight="1">
      <c r="B29" s="248" t="s">
        <v>563</v>
      </c>
      <c r="C29" s="460">
        <f>54.7</f>
        <v>54.7</v>
      </c>
      <c r="D29" s="460">
        <v>64.7</v>
      </c>
      <c r="E29" s="460">
        <v>102.7</v>
      </c>
      <c r="F29" s="460">
        <f>SUM(F30:F37)</f>
        <v>118.68926023079393</v>
      </c>
      <c r="G29" s="240"/>
      <c r="H29" s="248" t="s">
        <v>562</v>
      </c>
      <c r="I29" s="249">
        <v>15.81</v>
      </c>
      <c r="J29" s="249">
        <v>32.94</v>
      </c>
      <c r="K29" s="247">
        <v>31.41</v>
      </c>
      <c r="L29" s="247">
        <f>$W$44/L32</f>
        <v>25.828819875484637</v>
      </c>
      <c r="M29" s="242"/>
      <c r="P29" s="255"/>
      <c r="Q29" s="296" t="s">
        <v>561</v>
      </c>
      <c r="R29" s="295">
        <f>SUM(R26:R27)-R28</f>
        <v>58.777853689299974</v>
      </c>
      <c r="S29" s="295">
        <f>SUM(S26:S27)-S28</f>
        <v>56.507018978090478</v>
      </c>
      <c r="T29" s="295">
        <f>SUM(T26:T27)-T28</f>
        <v>45.599999999999994</v>
      </c>
      <c r="U29" s="294">
        <f>SUM(U26:U27)-U28</f>
        <v>51.05350948904524</v>
      </c>
    </row>
    <row r="30" spans="2:23" ht="17.55" customHeight="1">
      <c r="B30" s="248" t="s">
        <v>22</v>
      </c>
      <c r="C30" s="461">
        <f>C16</f>
        <v>75.400000000000006</v>
      </c>
      <c r="D30" s="461">
        <f>D16</f>
        <v>74.2</v>
      </c>
      <c r="E30" s="461">
        <f>E16</f>
        <v>97.547380504000003</v>
      </c>
      <c r="F30" s="461">
        <f>F16</f>
        <v>147.35008437270264</v>
      </c>
      <c r="G30" s="240"/>
      <c r="H30" s="248" t="s">
        <v>560</v>
      </c>
      <c r="I30" s="249">
        <v>5.16</v>
      </c>
      <c r="J30" s="249">
        <v>8.52</v>
      </c>
      <c r="K30" s="247">
        <v>6.88</v>
      </c>
      <c r="L30" s="247">
        <f>$W$44/L33</f>
        <v>6.4163841297013064</v>
      </c>
      <c r="M30" s="242"/>
      <c r="P30" s="280"/>
      <c r="Q30" s="280"/>
      <c r="R30" s="280"/>
      <c r="S30" s="280"/>
      <c r="T30" s="293"/>
      <c r="U30" s="280"/>
    </row>
    <row r="31" spans="2:23" ht="17.55" customHeight="1" thickBot="1">
      <c r="B31" s="248" t="s">
        <v>559</v>
      </c>
      <c r="C31" s="461">
        <v>3.2</v>
      </c>
      <c r="D31" s="461">
        <v>3.7</v>
      </c>
      <c r="E31" s="461">
        <v>4.8</v>
      </c>
      <c r="F31" s="461">
        <f>U34</f>
        <v>7.1642778736208257</v>
      </c>
      <c r="G31" s="240"/>
      <c r="H31" s="244" t="s">
        <v>558</v>
      </c>
      <c r="I31" s="246">
        <v>15.78</v>
      </c>
      <c r="J31" s="246">
        <v>25.28</v>
      </c>
      <c r="K31" s="394">
        <v>23.56</v>
      </c>
      <c r="L31" s="394">
        <f>W38/F22</f>
        <v>18.778145354525027</v>
      </c>
      <c r="M31" s="242"/>
      <c r="P31" s="292" t="s">
        <v>543</v>
      </c>
      <c r="Q31" s="291"/>
      <c r="R31" s="290">
        <v>2022</v>
      </c>
      <c r="S31" s="290">
        <v>2023</v>
      </c>
      <c r="T31" s="289">
        <v>2024</v>
      </c>
      <c r="U31" s="288">
        <v>2025</v>
      </c>
    </row>
    <row r="32" spans="2:23" ht="17.55" customHeight="1">
      <c r="B32" s="248" t="s">
        <v>557</v>
      </c>
      <c r="C32" s="461">
        <v>-0.8</v>
      </c>
      <c r="D32" s="461">
        <v>-2.2000000000000002</v>
      </c>
      <c r="E32" s="461">
        <v>-12.8</v>
      </c>
      <c r="F32" s="461">
        <f>AVERAGE(C32:E32)</f>
        <v>-5.2666666666666666</v>
      </c>
      <c r="G32" s="240"/>
      <c r="H32" s="248" t="s">
        <v>556</v>
      </c>
      <c r="I32" s="249">
        <v>1164</v>
      </c>
      <c r="J32" s="249">
        <v>1146</v>
      </c>
      <c r="K32" s="395">
        <v>1517</v>
      </c>
      <c r="L32" s="395">
        <f>F16*1000000000/W35</f>
        <v>2249.4252652691066</v>
      </c>
      <c r="M32" s="242"/>
      <c r="P32" s="287"/>
      <c r="Q32" s="390" t="s">
        <v>654</v>
      </c>
      <c r="R32" s="286">
        <f>R34+R35-R33</f>
        <v>80.400000000000006</v>
      </c>
      <c r="S32" s="286">
        <f>R35</f>
        <v>104.2</v>
      </c>
      <c r="T32" s="285">
        <f>S35</f>
        <v>139</v>
      </c>
      <c r="U32" s="284">
        <f>T35</f>
        <v>138.89999999999998</v>
      </c>
    </row>
    <row r="33" spans="2:23" ht="17.55" customHeight="1">
      <c r="B33" s="248" t="s">
        <v>555</v>
      </c>
      <c r="C33" s="461">
        <v>-30</v>
      </c>
      <c r="D33" s="461">
        <v>-16</v>
      </c>
      <c r="E33" s="461">
        <v>-11</v>
      </c>
      <c r="F33" s="461">
        <f>AVERAGE(C33:E33)</f>
        <v>-19</v>
      </c>
      <c r="G33" s="240"/>
      <c r="H33" s="248" t="s">
        <v>554</v>
      </c>
      <c r="I33" s="249">
        <v>3564</v>
      </c>
      <c r="J33" s="249">
        <v>4430</v>
      </c>
      <c r="K33" s="395">
        <v>6930</v>
      </c>
      <c r="L33" s="395">
        <f>L26*1000000000/W35</f>
        <v>9054.9441594458676</v>
      </c>
      <c r="M33" s="242"/>
      <c r="P33" s="259"/>
      <c r="Q33" s="280" t="s">
        <v>553</v>
      </c>
      <c r="R33" s="283">
        <v>27</v>
      </c>
      <c r="S33" s="283">
        <v>4</v>
      </c>
      <c r="T33" s="282">
        <v>4.7</v>
      </c>
      <c r="U33" s="281">
        <f>U39*F3</f>
        <v>7.3871851190123783</v>
      </c>
    </row>
    <row r="34" spans="2:23" ht="17.55" customHeight="1" thickBot="1">
      <c r="B34" s="248" t="s">
        <v>552</v>
      </c>
      <c r="C34" s="461">
        <v>0</v>
      </c>
      <c r="D34" s="461">
        <v>0</v>
      </c>
      <c r="E34" s="461">
        <v>1.1000000000000001</v>
      </c>
      <c r="F34" s="461">
        <v>0</v>
      </c>
      <c r="G34" s="240"/>
      <c r="H34" s="244" t="s">
        <v>551</v>
      </c>
      <c r="I34" s="246">
        <v>116</v>
      </c>
      <c r="J34" s="246">
        <v>200</v>
      </c>
      <c r="K34" s="246">
        <v>257</v>
      </c>
      <c r="L34" s="246">
        <v>550</v>
      </c>
      <c r="M34" s="242"/>
      <c r="P34" s="259"/>
      <c r="Q34" s="280" t="s">
        <v>550</v>
      </c>
      <c r="R34" s="279">
        <v>3.2</v>
      </c>
      <c r="S34" s="279">
        <v>3.7</v>
      </c>
      <c r="T34" s="278">
        <v>4.8</v>
      </c>
      <c r="U34" s="277">
        <f>F$3*U40</f>
        <v>7.1642778736208257</v>
      </c>
      <c r="W34" s="238" t="s">
        <v>549</v>
      </c>
    </row>
    <row r="35" spans="2:23" ht="17.55" customHeight="1">
      <c r="B35" s="248" t="s">
        <v>548</v>
      </c>
      <c r="C35" s="461">
        <v>-8</v>
      </c>
      <c r="D35" s="461">
        <v>-5</v>
      </c>
      <c r="E35" s="461">
        <v>29</v>
      </c>
      <c r="F35" s="461">
        <f>-U23</f>
        <v>-24.042641847529506</v>
      </c>
      <c r="G35" s="240"/>
      <c r="H35" s="248" t="s">
        <v>547</v>
      </c>
      <c r="I35" s="249">
        <v>9.91</v>
      </c>
      <c r="J35" s="249">
        <v>17.239999999999998</v>
      </c>
      <c r="K35" s="247">
        <v>17.2</v>
      </c>
      <c r="L35" s="247">
        <f>-F46/F16*100</f>
        <v>5.5649781504428466</v>
      </c>
      <c r="M35" s="242"/>
      <c r="P35" s="255"/>
      <c r="Q35" s="276" t="s">
        <v>546</v>
      </c>
      <c r="R35" s="275">
        <f>I10</f>
        <v>104.2</v>
      </c>
      <c r="S35" s="275">
        <f>J10</f>
        <v>139</v>
      </c>
      <c r="T35" s="274">
        <f>T32+T33-T34</f>
        <v>138.89999999999998</v>
      </c>
      <c r="U35" s="273">
        <f>T32</f>
        <v>139</v>
      </c>
      <c r="W35" s="238">
        <v>65505659</v>
      </c>
    </row>
    <row r="36" spans="2:23" ht="17.55" customHeight="1">
      <c r="B36" s="248" t="s">
        <v>545</v>
      </c>
      <c r="C36" s="461">
        <v>-1</v>
      </c>
      <c r="D36" s="461">
        <v>-2.8</v>
      </c>
      <c r="E36" s="461">
        <v>-2.1</v>
      </c>
      <c r="F36" s="461">
        <f>-F13</f>
        <v>4.2</v>
      </c>
      <c r="G36" s="240"/>
      <c r="H36" s="248" t="s">
        <v>544</v>
      </c>
      <c r="I36" s="249">
        <v>0.5</v>
      </c>
      <c r="J36" s="249">
        <v>0.5</v>
      </c>
      <c r="K36" s="247">
        <v>0.5</v>
      </c>
      <c r="L36" s="247">
        <f>-F46/W42*100</f>
        <v>0.21511017838405042</v>
      </c>
      <c r="M36" s="242"/>
      <c r="P36" s="271" t="s">
        <v>543</v>
      </c>
      <c r="Q36" s="270"/>
      <c r="R36" s="269">
        <f>R33+R34</f>
        <v>30.2</v>
      </c>
      <c r="S36" s="269">
        <f>S33+S34</f>
        <v>7.7</v>
      </c>
      <c r="T36" s="269">
        <f>T33+T34</f>
        <v>9.5</v>
      </c>
      <c r="U36" s="268">
        <f>U33+U34</f>
        <v>14.551462992633205</v>
      </c>
    </row>
    <row r="37" spans="2:23" ht="17.55" customHeight="1">
      <c r="B37" s="267" t="s">
        <v>542</v>
      </c>
      <c r="C37" s="462">
        <f>C29-SUM(C30:C36)</f>
        <v>15.899999999999991</v>
      </c>
      <c r="D37" s="462">
        <f>D29-SUM(D30:D36)</f>
        <v>12.799999999999997</v>
      </c>
      <c r="E37" s="462">
        <f>E29-SUM(E30:E36)</f>
        <v>-3.8473805040000002</v>
      </c>
      <c r="F37" s="462">
        <f>AVERAGE(C37:E37)</f>
        <v>8.2842064986666628</v>
      </c>
      <c r="G37" s="240"/>
      <c r="H37" s="248" t="s">
        <v>541</v>
      </c>
      <c r="I37" s="396">
        <f>(1418/1006-1)*100</f>
        <v>40.954274353876727</v>
      </c>
      <c r="J37" s="395">
        <f>(D3/C3-1)*100</f>
        <v>27.009873060648793</v>
      </c>
      <c r="K37" s="391">
        <f>(E3/D3-1)*100</f>
        <v>34.869516935036103</v>
      </c>
      <c r="L37" s="391">
        <f>(F3/E3-1)*100</f>
        <v>46.356525319061333</v>
      </c>
      <c r="M37" s="242"/>
      <c r="P37" s="266" t="s">
        <v>540</v>
      </c>
      <c r="Q37" s="265"/>
      <c r="R37" s="264"/>
      <c r="S37" s="264"/>
      <c r="T37" s="264"/>
      <c r="U37" s="263"/>
      <c r="W37" s="238" t="s">
        <v>539</v>
      </c>
    </row>
    <row r="38" spans="2:23" ht="17.55" customHeight="1">
      <c r="B38" s="248" t="s">
        <v>538</v>
      </c>
      <c r="C38" s="460">
        <v>-92</v>
      </c>
      <c r="D38" s="460">
        <v>-48.2</v>
      </c>
      <c r="E38" s="460">
        <v>-82.5</v>
      </c>
      <c r="F38" s="460">
        <f>SUM(F39:F42)</f>
        <v>-66.324999999999989</v>
      </c>
      <c r="G38" s="240"/>
      <c r="H38" s="248" t="s">
        <v>537</v>
      </c>
      <c r="I38" s="249">
        <v>34.200000000000003</v>
      </c>
      <c r="J38" s="249">
        <v>29</v>
      </c>
      <c r="K38" s="391">
        <f>(E22/D22-1)*100</f>
        <v>35.4632587859425</v>
      </c>
      <c r="L38" s="391">
        <f>(F22/E22-1)*100</f>
        <v>51.387010906934606</v>
      </c>
      <c r="M38" s="242"/>
      <c r="P38" s="260"/>
      <c r="Q38" s="258" t="s">
        <v>536</v>
      </c>
      <c r="R38" s="257">
        <f>R36/C3</f>
        <v>0.21297602256699574</v>
      </c>
      <c r="S38" s="257">
        <f>S36/D3</f>
        <v>4.2754025541365911E-2</v>
      </c>
      <c r="T38" s="257">
        <f>T36/E3</f>
        <v>3.9110745162618359E-2</v>
      </c>
      <c r="U38" s="262">
        <f>U36/F3</f>
        <v>4.0932385351992139E-2</v>
      </c>
      <c r="W38" s="261">
        <f>W42-J4-J9-J7</f>
        <v>3615.9999999999995</v>
      </c>
    </row>
    <row r="39" spans="2:23" ht="17.55" customHeight="1">
      <c r="B39" s="248" t="s">
        <v>535</v>
      </c>
      <c r="C39" s="461">
        <v>-27.5</v>
      </c>
      <c r="D39" s="461">
        <v>-4.5</v>
      </c>
      <c r="E39" s="461">
        <v>-4.0999999999999996</v>
      </c>
      <c r="F39" s="461">
        <f>AVERAGE(D39:E39)</f>
        <v>-4.3</v>
      </c>
      <c r="G39" s="240"/>
      <c r="H39" s="248" t="s">
        <v>534</v>
      </c>
      <c r="I39" s="249">
        <v>33.200000000000003</v>
      </c>
      <c r="J39" s="249">
        <v>30</v>
      </c>
      <c r="K39" s="391">
        <f>(E8/D8-1)*100</f>
        <v>36.607142857142883</v>
      </c>
      <c r="L39" s="391">
        <f>(F8/E8-1)*100</f>
        <v>51.470588235294116</v>
      </c>
      <c r="M39" s="242"/>
      <c r="P39" s="260"/>
      <c r="Q39" s="258" t="s">
        <v>533</v>
      </c>
      <c r="R39" s="257">
        <f>R33/C3</f>
        <v>0.19040902679830746</v>
      </c>
      <c r="S39" s="257">
        <f>S33/D3</f>
        <v>2.2209883398112161E-2</v>
      </c>
      <c r="T39" s="257">
        <f>T33/E3</f>
        <v>1.9349526554137506E-2</v>
      </c>
      <c r="U39" s="256">
        <f>AVERAGE(S39:T39)</f>
        <v>2.0779704976124833E-2</v>
      </c>
    </row>
    <row r="40" spans="2:23" ht="17.55" customHeight="1" thickBot="1">
      <c r="B40" s="248" t="s">
        <v>532</v>
      </c>
      <c r="C40" s="461">
        <v>-5.2</v>
      </c>
      <c r="D40" s="461">
        <v>-16.399999999999999</v>
      </c>
      <c r="E40" s="461">
        <v>-67.099999999999994</v>
      </c>
      <c r="F40" s="461">
        <f>AVERAGE(C40:E40)</f>
        <v>-29.566666666666663</v>
      </c>
      <c r="G40" s="240"/>
      <c r="H40" s="244" t="s">
        <v>531</v>
      </c>
      <c r="I40" s="246">
        <v>71.900000000000006</v>
      </c>
      <c r="J40" s="246">
        <v>-1.5</v>
      </c>
      <c r="K40" s="243">
        <f>(E16/D16-1)*100</f>
        <v>31.465472377358484</v>
      </c>
      <c r="L40" s="243">
        <f>(F16/E16-1)*100</f>
        <v>51.054885955302964</v>
      </c>
      <c r="M40" s="242"/>
      <c r="P40" s="259"/>
      <c r="Q40" s="258" t="s">
        <v>530</v>
      </c>
      <c r="R40" s="257">
        <f>R34/C3</f>
        <v>2.2566995768688293E-2</v>
      </c>
      <c r="S40" s="257">
        <f>S34/D3</f>
        <v>2.054414214325375E-2</v>
      </c>
      <c r="T40" s="257">
        <f>T34/E3</f>
        <v>1.9761218608480857E-2</v>
      </c>
      <c r="U40" s="256">
        <f>AVERAGE(S40:T40)</f>
        <v>2.0152680375867302E-2</v>
      </c>
    </row>
    <row r="41" spans="2:23" ht="17.55" customHeight="1">
      <c r="B41" s="248" t="s">
        <v>529</v>
      </c>
      <c r="C41" s="461">
        <v>0.4</v>
      </c>
      <c r="D41" s="461">
        <v>1.1000000000000001</v>
      </c>
      <c r="E41" s="461">
        <f>AVERAGE(C41:D41)</f>
        <v>0.75</v>
      </c>
      <c r="F41" s="461">
        <f>AVERAGE(D41:E41)</f>
        <v>0.92500000000000004</v>
      </c>
      <c r="G41" s="240"/>
      <c r="H41" s="248" t="s">
        <v>528</v>
      </c>
      <c r="I41" s="247">
        <f>365/26.8</f>
        <v>13.619402985074627</v>
      </c>
      <c r="J41" s="247">
        <f>365/14.9</f>
        <v>24.496644295302012</v>
      </c>
      <c r="K41" s="397">
        <f>365/12.7</f>
        <v>28.740157480314963</v>
      </c>
      <c r="L41" s="397">
        <f>U26</f>
        <v>26.598322147651004</v>
      </c>
      <c r="M41" s="242"/>
      <c r="P41" s="255"/>
      <c r="Q41" s="254" t="s">
        <v>527</v>
      </c>
      <c r="R41" s="253">
        <f>R34/R35</f>
        <v>3.0710172744721691E-2</v>
      </c>
      <c r="S41" s="253">
        <f>S34/S35</f>
        <v>2.6618705035971225E-2</v>
      </c>
      <c r="T41" s="253">
        <f>T34/T35</f>
        <v>3.4557235421166309E-2</v>
      </c>
      <c r="U41" s="252">
        <f>U34/U35</f>
        <v>5.1541567436121045E-2</v>
      </c>
      <c r="W41" s="238" t="s">
        <v>526</v>
      </c>
    </row>
    <row r="42" spans="2:23" ht="17.55" customHeight="1" thickBot="1">
      <c r="B42" s="244" t="s">
        <v>525</v>
      </c>
      <c r="C42" s="463">
        <f>C38-SUM(C39:C41)</f>
        <v>-59.699999999999996</v>
      </c>
      <c r="D42" s="463">
        <f>D38-SUM(D39:D41)</f>
        <v>-28.400000000000006</v>
      </c>
      <c r="E42" s="463">
        <f>E38-SUM(E39:E41)</f>
        <v>-12.050000000000011</v>
      </c>
      <c r="F42" s="463">
        <f>AVERAGE(C42:E42)</f>
        <v>-33.383333333333333</v>
      </c>
      <c r="G42" s="240"/>
      <c r="H42" s="248" t="s">
        <v>524</v>
      </c>
      <c r="I42" s="247">
        <f>365/7.1</f>
        <v>51.408450704225352</v>
      </c>
      <c r="J42" s="247">
        <f>365/8.4</f>
        <v>43.452380952380949</v>
      </c>
      <c r="K42" s="397">
        <f>365/10.6</f>
        <v>34.433962264150942</v>
      </c>
      <c r="L42" s="397">
        <f>U27</f>
        <v>38.92619047619047</v>
      </c>
      <c r="M42" s="242"/>
      <c r="W42" s="238">
        <v>3812</v>
      </c>
    </row>
    <row r="43" spans="2:23" ht="17.55" customHeight="1" thickBot="1">
      <c r="B43" s="248" t="s">
        <v>523</v>
      </c>
      <c r="C43" s="460">
        <v>21.1</v>
      </c>
      <c r="D43" s="460">
        <v>-25.6</v>
      </c>
      <c r="E43" s="460">
        <v>-16.7</v>
      </c>
      <c r="F43" s="460">
        <f>SUM(F44:F47)</f>
        <v>-18.55</v>
      </c>
      <c r="G43" s="240"/>
      <c r="H43" s="244" t="s">
        <v>522</v>
      </c>
      <c r="I43" s="243">
        <f>365/58.4</f>
        <v>6.25</v>
      </c>
      <c r="J43" s="243">
        <f>365/31.9</f>
        <v>11.442006269592477</v>
      </c>
      <c r="K43" s="243">
        <f>365/20.9</f>
        <v>17.464114832535888</v>
      </c>
      <c r="L43" s="243">
        <f>U28</f>
        <v>14.471003134796238</v>
      </c>
      <c r="M43" s="242"/>
      <c r="W43" s="238" t="s">
        <v>521</v>
      </c>
    </row>
    <row r="44" spans="2:23" ht="17.55" customHeight="1">
      <c r="B44" s="248" t="s">
        <v>658</v>
      </c>
      <c r="C44" s="461">
        <v>69</v>
      </c>
      <c r="D44" s="461">
        <v>0</v>
      </c>
      <c r="E44" s="461">
        <v>0</v>
      </c>
      <c r="F44" s="461">
        <v>0</v>
      </c>
      <c r="G44" s="240"/>
      <c r="H44" s="248" t="s">
        <v>520</v>
      </c>
      <c r="I44" s="247">
        <f>C16/I12*100</f>
        <v>22.751961375980688</v>
      </c>
      <c r="J44" s="247">
        <f>D16/J12*100</f>
        <v>19.765583377730422</v>
      </c>
      <c r="K44" s="247">
        <f>E16/K12*100</f>
        <v>16.03342874819198</v>
      </c>
      <c r="L44" s="247">
        <f>F16/L12*100</f>
        <v>22.676413633473032</v>
      </c>
      <c r="M44" s="242"/>
      <c r="W44" s="238">
        <v>58100</v>
      </c>
    </row>
    <row r="45" spans="2:23" ht="17.55" customHeight="1">
      <c r="B45" s="248" t="s">
        <v>657</v>
      </c>
      <c r="C45" s="461">
        <v>-37.200000000000003</v>
      </c>
      <c r="D45" s="461">
        <v>-2.4</v>
      </c>
      <c r="E45" s="461">
        <v>-2.9</v>
      </c>
      <c r="F45" s="461">
        <f>AVERAGE(D45:E45)</f>
        <v>-2.65</v>
      </c>
      <c r="G45" s="240"/>
      <c r="H45" s="248" t="s">
        <v>519</v>
      </c>
      <c r="I45" s="247">
        <f>C16/I26*100</f>
        <v>32.839721254355403</v>
      </c>
      <c r="J45" s="247">
        <f>D16/J26*100</f>
        <v>26.172839506172842</v>
      </c>
      <c r="K45" s="247">
        <f>E16/K26*100</f>
        <v>21.486207159471366</v>
      </c>
      <c r="L45" s="247">
        <f>F16/L26*100</f>
        <v>24.841956235837948</v>
      </c>
      <c r="M45" s="242"/>
    </row>
    <row r="46" spans="2:23" ht="17.55" customHeight="1" thickBot="1">
      <c r="B46" s="248" t="s">
        <v>518</v>
      </c>
      <c r="C46" s="461">
        <v>-4.3</v>
      </c>
      <c r="D46" s="461">
        <v>-7.5</v>
      </c>
      <c r="E46" s="461">
        <v>-12.8</v>
      </c>
      <c r="F46" s="461">
        <f>AVERAGE(C46:E46)</f>
        <v>-8.2000000000000011</v>
      </c>
      <c r="G46" s="240"/>
      <c r="H46" s="244" t="s">
        <v>517</v>
      </c>
      <c r="I46" s="246">
        <v>31.4</v>
      </c>
      <c r="J46" s="246">
        <v>33.299999999999997</v>
      </c>
      <c r="K46" s="243">
        <f>T8/(K5+K6+K10)*100</f>
        <v>43.005557507365545</v>
      </c>
      <c r="L46" s="243">
        <f>U8/(L5+L6+L10)*100</f>
        <v>81.521523357724419</v>
      </c>
      <c r="M46" s="242"/>
    </row>
    <row r="47" spans="2:23" ht="17.55" customHeight="1" thickBot="1">
      <c r="B47" s="244" t="s">
        <v>516</v>
      </c>
      <c r="C47" s="463">
        <f>C43-SUM(C44:C46)</f>
        <v>-6.399999999999995</v>
      </c>
      <c r="D47" s="463">
        <f>D43-SUM(D44:D46)</f>
        <v>-15.700000000000001</v>
      </c>
      <c r="E47" s="463">
        <f>E43-SUM(E44:E46)</f>
        <v>-0.99999999999999822</v>
      </c>
      <c r="F47" s="463">
        <f>AVERAGE(C47:E47)</f>
        <v>-7.6999999999999984</v>
      </c>
      <c r="G47" s="240"/>
      <c r="H47" s="248" t="s">
        <v>515</v>
      </c>
      <c r="I47" s="247">
        <f>I20/I12*100</f>
        <v>30.718165359082679</v>
      </c>
      <c r="J47" s="247">
        <f>J20/J12*100</f>
        <v>24.480554075652641</v>
      </c>
      <c r="K47" s="247">
        <f>K20/K12*100</f>
        <v>25.591715976331365</v>
      </c>
      <c r="L47" s="247">
        <f>L20/L12*100</f>
        <v>15.355120546764859</v>
      </c>
      <c r="M47" s="242"/>
    </row>
    <row r="48" spans="2:23" ht="17.55" customHeight="1">
      <c r="B48" s="248" t="s">
        <v>514</v>
      </c>
      <c r="C48" s="460">
        <v>-16.2</v>
      </c>
      <c r="D48" s="460">
        <v>-9.1</v>
      </c>
      <c r="E48" s="460">
        <v>3.4</v>
      </c>
      <c r="F48" s="460">
        <f>SUM(F43,F38,F29)</f>
        <v>33.814260230793948</v>
      </c>
      <c r="G48" s="240"/>
      <c r="H48" s="248" t="s">
        <v>513</v>
      </c>
      <c r="I48" s="395">
        <f>I3/I13*100</f>
        <v>408.2872928176796</v>
      </c>
      <c r="J48" s="395">
        <f>J3/J13*100</f>
        <v>635.95890410958896</v>
      </c>
      <c r="K48" s="395">
        <f>K3/K13*100</f>
        <v>181.69123351435218</v>
      </c>
      <c r="L48" s="395">
        <f>L3/L13*100</f>
        <v>795.00984563628424</v>
      </c>
      <c r="M48" s="242"/>
    </row>
    <row r="49" spans="2:13" ht="17.55" customHeight="1">
      <c r="B49" s="248" t="s">
        <v>512</v>
      </c>
      <c r="C49" s="461">
        <v>42.2</v>
      </c>
      <c r="D49" s="461">
        <v>25.4</v>
      </c>
      <c r="E49" s="461">
        <v>17.7</v>
      </c>
      <c r="F49" s="461">
        <f>E50</f>
        <v>21.099999999999998</v>
      </c>
      <c r="G49" s="240"/>
      <c r="H49" s="248" t="s">
        <v>656</v>
      </c>
      <c r="I49" s="247">
        <v>26.4</v>
      </c>
      <c r="J49" s="247">
        <v>45.8</v>
      </c>
      <c r="K49" s="247">
        <v>37</v>
      </c>
      <c r="L49" s="247">
        <v>31.3</v>
      </c>
      <c r="M49" s="242"/>
    </row>
    <row r="50" spans="2:13" ht="17.55" customHeight="1" thickBot="1">
      <c r="B50" s="244" t="s">
        <v>511</v>
      </c>
      <c r="C50" s="463">
        <v>25.4</v>
      </c>
      <c r="D50" s="463">
        <v>17.7</v>
      </c>
      <c r="E50" s="463">
        <f>E49+E48</f>
        <v>21.099999999999998</v>
      </c>
      <c r="F50" s="463">
        <f>F49+F48</f>
        <v>54.914260230793943</v>
      </c>
      <c r="G50" s="240"/>
      <c r="H50" s="244" t="s">
        <v>510</v>
      </c>
      <c r="I50" s="243">
        <f>I26/I12*100</f>
        <v>69.28183464091731</v>
      </c>
      <c r="J50" s="243">
        <f>J26/J12*100</f>
        <v>75.519445924347366</v>
      </c>
      <c r="K50" s="243">
        <f>K26/K12*100</f>
        <v>74.621959237343859</v>
      </c>
      <c r="L50" s="243">
        <f>L26/L12*100</f>
        <v>91.282721127892415</v>
      </c>
      <c r="M50" s="242"/>
    </row>
    <row r="51" spans="2:13" ht="17.55" customHeight="1" thickBot="1">
      <c r="G51" s="240"/>
      <c r="H51" s="239"/>
      <c r="I51" s="239"/>
      <c r="J51" s="239"/>
      <c r="K51" s="239"/>
      <c r="L51" s="239"/>
      <c r="M51" s="241"/>
    </row>
    <row r="52" spans="2:13" ht="17.55" customHeight="1">
      <c r="B52" s="239"/>
      <c r="C52" s="239"/>
      <c r="D52" s="239"/>
      <c r="E52" s="239"/>
      <c r="F52" s="239"/>
      <c r="G52" s="240"/>
      <c r="M52" s="239"/>
    </row>
    <row r="53" spans="2:13" ht="17.55" customHeight="1">
      <c r="G53" s="239"/>
    </row>
  </sheetData>
  <mergeCells count="2">
    <mergeCell ref="R2:S2"/>
    <mergeCell ref="T2:U2"/>
  </mergeCells>
  <phoneticPr fontId="2" type="noConversion"/>
  <hyperlinks>
    <hyperlink ref="W2" r:id="rId1" display="https://brunch.co.kr/@heong-seok/29" xr:uid="{BF840F2A-5378-0343-9602-F3E7C5ED8B42}"/>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91CC-9AA0-4CF9-B51F-9856E9CEE6B2}">
  <sheetPr>
    <tabColor rgb="FF203864"/>
  </sheetPr>
  <dimension ref="A1:C22"/>
  <sheetViews>
    <sheetView showGridLines="0" zoomScaleNormal="100" workbookViewId="0"/>
  </sheetViews>
  <sheetFormatPr defaultColWidth="8" defaultRowHeight="18"/>
  <cols>
    <col min="1" max="16384" width="8" style="424"/>
  </cols>
  <sheetData>
    <row r="1" spans="1:3" s="423" customFormat="1" ht="13.8"/>
    <row r="2" spans="1:3" s="422" customFormat="1" ht="24.6"/>
    <row r="3" spans="1:3" s="419" customFormat="1" ht="36">
      <c r="A3" s="421" t="s">
        <v>667</v>
      </c>
      <c r="B3" s="420"/>
    </row>
    <row r="4" spans="1:3" s="418" customFormat="1" ht="13.2"/>
    <row r="5" spans="1:3" s="416" customFormat="1" ht="22.8">
      <c r="A5" s="417" t="s">
        <v>668</v>
      </c>
    </row>
    <row r="6" spans="1:3" s="415" customFormat="1" ht="17.399999999999999"/>
    <row r="7" spans="1:3" s="415" customFormat="1" ht="19.8">
      <c r="C7" s="427" t="s">
        <v>666</v>
      </c>
    </row>
    <row r="8" spans="1:3" s="415" customFormat="1" ht="76.8">
      <c r="C8" s="428" t="s">
        <v>665</v>
      </c>
    </row>
    <row r="9" spans="1:3" s="415" customFormat="1" ht="76.8">
      <c r="C9" s="428" t="s">
        <v>664</v>
      </c>
    </row>
    <row r="10" spans="1:3" s="415" customFormat="1">
      <c r="C10" s="429"/>
    </row>
    <row r="11" spans="1:3" s="415" customFormat="1">
      <c r="C11" s="429"/>
    </row>
    <row r="12" spans="1:3" s="415" customFormat="1">
      <c r="C12" s="429"/>
    </row>
    <row r="13" spans="1:3" s="415" customFormat="1">
      <c r="C13" s="429"/>
    </row>
    <row r="14" spans="1:3" s="415" customFormat="1">
      <c r="C14" s="429"/>
    </row>
    <row r="15" spans="1:3" s="415" customFormat="1">
      <c r="C15" s="429"/>
    </row>
    <row r="16" spans="1:3" s="415" customFormat="1">
      <c r="C16" s="429"/>
    </row>
    <row r="17" spans="3:3" s="415" customFormat="1" ht="17.399999999999999"/>
    <row r="18" spans="3:3" s="415" customFormat="1" ht="17.399999999999999"/>
    <row r="19" spans="3:3" s="415" customFormat="1" ht="17.399999999999999">
      <c r="C19" s="425" t="s">
        <v>663</v>
      </c>
    </row>
    <row r="20" spans="3:3" s="415" customFormat="1" ht="17.399999999999999">
      <c r="C20" s="426" t="s">
        <v>662</v>
      </c>
    </row>
    <row r="21" spans="3:3" s="415" customFormat="1" ht="17.399999999999999">
      <c r="C21" s="426" t="s">
        <v>661</v>
      </c>
    </row>
    <row r="22" spans="3:3" s="415" customFormat="1" ht="17.399999999999999"/>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4AA6-51D6-4FCC-B444-9CE6FF9E45A3}">
  <sheetPr codeName="Sheet1"/>
  <dimension ref="A1:N108"/>
  <sheetViews>
    <sheetView showGridLines="0" workbookViewId="0"/>
  </sheetViews>
  <sheetFormatPr defaultColWidth="8.8984375" defaultRowHeight="17.399999999999999"/>
  <cols>
    <col min="1" max="1" width="9.5" bestFit="1" customWidth="1"/>
    <col min="2" max="2" width="45.8984375" bestFit="1" customWidth="1"/>
    <col min="3" max="3" width="7" bestFit="1" customWidth="1"/>
    <col min="4" max="14" width="9.09765625" bestFit="1" customWidth="1"/>
  </cols>
  <sheetData>
    <row r="1" spans="1:14">
      <c r="B1" s="3" t="s">
        <v>226</v>
      </c>
    </row>
    <row r="2" spans="1:14">
      <c r="A2" s="4" t="s">
        <v>132</v>
      </c>
      <c r="B2" s="4"/>
      <c r="C2" s="4"/>
      <c r="D2" s="4"/>
      <c r="E2" s="4"/>
      <c r="F2" s="4"/>
      <c r="G2" s="4"/>
      <c r="H2" s="4"/>
      <c r="I2" s="4"/>
      <c r="J2" s="4"/>
      <c r="K2" s="4"/>
      <c r="L2" s="4"/>
      <c r="M2" s="4"/>
      <c r="N2" s="4"/>
    </row>
    <row r="3" spans="1:14">
      <c r="A3" s="5" t="s">
        <v>36</v>
      </c>
      <c r="B3" s="5" t="s">
        <v>219</v>
      </c>
      <c r="C3" s="5"/>
      <c r="D3" s="5"/>
      <c r="E3" s="5"/>
      <c r="F3" s="5"/>
      <c r="G3" s="5"/>
      <c r="H3" s="5"/>
      <c r="I3" s="5"/>
      <c r="J3" s="5"/>
      <c r="K3" s="5"/>
      <c r="L3" s="5"/>
      <c r="M3" s="5"/>
      <c r="N3" s="5"/>
    </row>
    <row r="4" spans="1:14">
      <c r="A4" s="5" t="s">
        <v>37</v>
      </c>
      <c r="B4" s="9" t="s">
        <v>224</v>
      </c>
      <c r="C4" s="5" t="s">
        <v>133</v>
      </c>
      <c r="D4" s="5" t="s">
        <v>223</v>
      </c>
      <c r="E4" s="5"/>
      <c r="F4" s="5"/>
      <c r="G4" s="5"/>
      <c r="H4" s="5"/>
      <c r="I4" s="5"/>
      <c r="J4" s="5"/>
      <c r="K4" s="5"/>
      <c r="L4" s="5"/>
      <c r="M4" s="5"/>
      <c r="N4" s="5"/>
    </row>
    <row r="5" spans="1:14">
      <c r="A5" s="5" t="s">
        <v>38</v>
      </c>
      <c r="B5" s="12" t="s">
        <v>221</v>
      </c>
      <c r="C5" s="5" t="s">
        <v>134</v>
      </c>
      <c r="D5" s="5"/>
      <c r="E5" s="5"/>
      <c r="F5" s="5"/>
      <c r="G5" s="5"/>
      <c r="H5" s="5"/>
      <c r="I5" s="5"/>
      <c r="J5" s="5"/>
      <c r="K5" s="5"/>
      <c r="L5" s="5"/>
      <c r="M5" s="5"/>
      <c r="N5" s="5"/>
    </row>
    <row r="6" spans="1:14">
      <c r="A6" s="5" t="s">
        <v>39</v>
      </c>
      <c r="B6" s="10" t="s">
        <v>127</v>
      </c>
      <c r="C6" s="5"/>
      <c r="D6" s="5"/>
      <c r="E6" s="5"/>
      <c r="F6" s="5"/>
      <c r="G6" s="5"/>
      <c r="H6" s="5"/>
      <c r="I6" s="5"/>
      <c r="J6" s="5"/>
      <c r="K6" s="5"/>
      <c r="L6" s="5"/>
      <c r="M6" s="5"/>
      <c r="N6" s="5"/>
    </row>
    <row r="7" spans="1:14">
      <c r="A7" s="5" t="s">
        <v>40</v>
      </c>
      <c r="B7" s="13" t="s">
        <v>222</v>
      </c>
      <c r="C7" s="10" t="s">
        <v>228</v>
      </c>
      <c r="D7" s="5"/>
      <c r="E7" s="5"/>
      <c r="F7" s="5"/>
      <c r="G7" s="5"/>
      <c r="H7" s="5"/>
      <c r="I7" s="5"/>
      <c r="J7" s="5"/>
      <c r="K7" s="5"/>
      <c r="L7" s="5"/>
      <c r="M7" s="5"/>
      <c r="N7" s="5"/>
    </row>
    <row r="8" spans="1:14">
      <c r="A8" s="18" t="s">
        <v>123</v>
      </c>
      <c r="B8" s="11">
        <v>2022</v>
      </c>
      <c r="C8" s="9" t="s">
        <v>225</v>
      </c>
      <c r="D8" s="18"/>
      <c r="E8" s="18"/>
      <c r="F8" s="18"/>
      <c r="G8" s="18"/>
      <c r="H8" s="18"/>
      <c r="I8" s="18"/>
      <c r="J8" s="18"/>
      <c r="K8" s="18"/>
      <c r="L8" s="18"/>
      <c r="M8" s="18"/>
      <c r="N8" s="18"/>
    </row>
    <row r="9" spans="1:14">
      <c r="A9" s="19" t="s">
        <v>41</v>
      </c>
      <c r="B9" s="14" t="s">
        <v>42</v>
      </c>
      <c r="C9" s="14" t="s">
        <v>43</v>
      </c>
      <c r="D9" s="19" t="s">
        <v>44</v>
      </c>
      <c r="E9" s="19" t="s">
        <v>45</v>
      </c>
      <c r="F9" s="19" t="s">
        <v>46</v>
      </c>
      <c r="G9" s="19" t="s">
        <v>47</v>
      </c>
      <c r="H9" s="19" t="s">
        <v>48</v>
      </c>
      <c r="I9" s="19" t="s">
        <v>49</v>
      </c>
      <c r="J9" s="19" t="s">
        <v>50</v>
      </c>
      <c r="K9" s="19" t="s">
        <v>51</v>
      </c>
      <c r="L9" s="19" t="s">
        <v>52</v>
      </c>
      <c r="M9" s="19" t="s">
        <v>53</v>
      </c>
      <c r="N9" s="19" t="s">
        <v>54</v>
      </c>
    </row>
    <row r="10" spans="1:14">
      <c r="A10" s="8"/>
      <c r="B10" s="8"/>
      <c r="C10" s="8"/>
      <c r="D10" s="8" t="s">
        <v>55</v>
      </c>
      <c r="E10" s="8" t="s">
        <v>55</v>
      </c>
      <c r="F10" s="8" t="s">
        <v>55</v>
      </c>
      <c r="G10" s="8" t="s">
        <v>55</v>
      </c>
      <c r="H10" s="8" t="s">
        <v>55</v>
      </c>
      <c r="I10" s="8" t="s">
        <v>55</v>
      </c>
      <c r="J10" s="8" t="s">
        <v>55</v>
      </c>
      <c r="K10" s="8" t="s">
        <v>55</v>
      </c>
      <c r="L10" s="8" t="s">
        <v>55</v>
      </c>
      <c r="M10" s="8" t="s">
        <v>55</v>
      </c>
      <c r="N10" s="8" t="s">
        <v>55</v>
      </c>
    </row>
    <row r="11" spans="1:14">
      <c r="A11" s="15">
        <v>4001210000</v>
      </c>
      <c r="B11" s="15" t="s">
        <v>135</v>
      </c>
      <c r="C11" s="15" t="s">
        <v>227</v>
      </c>
      <c r="D11" s="16">
        <v>35381.923750000002</v>
      </c>
      <c r="E11" s="16">
        <v>32684.579300000001</v>
      </c>
      <c r="F11" s="16">
        <v>33268.981200000002</v>
      </c>
      <c r="G11" s="16">
        <v>40467.758150000001</v>
      </c>
      <c r="H11" s="16">
        <v>38974.115960000003</v>
      </c>
      <c r="I11" s="16">
        <v>45897.817210000001</v>
      </c>
      <c r="J11" s="16">
        <v>48246.060899999997</v>
      </c>
      <c r="K11" s="16">
        <v>47004.803939999998</v>
      </c>
      <c r="L11" s="16">
        <v>50379.744700000003</v>
      </c>
      <c r="M11" s="16">
        <v>58742.15958</v>
      </c>
      <c r="N11" s="16">
        <v>59413.22885</v>
      </c>
    </row>
    <row r="12" spans="1:14">
      <c r="A12" s="15">
        <v>4001210010</v>
      </c>
      <c r="B12" s="15" t="s">
        <v>136</v>
      </c>
      <c r="C12" s="15" t="s">
        <v>227</v>
      </c>
      <c r="D12" s="16"/>
      <c r="E12" s="16"/>
      <c r="F12" s="16"/>
      <c r="G12" s="16"/>
      <c r="H12" s="16"/>
      <c r="I12" s="16"/>
      <c r="J12" s="16"/>
      <c r="K12" s="16">
        <v>117063.149</v>
      </c>
      <c r="L12" s="16">
        <v>33649.947</v>
      </c>
      <c r="M12" s="16">
        <v>40319.800000000003</v>
      </c>
      <c r="N12" s="16">
        <v>40225.008000000002</v>
      </c>
    </row>
    <row r="13" spans="1:14">
      <c r="A13" s="15">
        <v>4001210020</v>
      </c>
      <c r="B13" s="15" t="s">
        <v>137</v>
      </c>
      <c r="C13" s="15" t="s">
        <v>227</v>
      </c>
      <c r="D13" s="16"/>
      <c r="E13" s="16"/>
      <c r="F13" s="16"/>
      <c r="G13" s="16"/>
      <c r="H13" s="16"/>
      <c r="I13" s="16"/>
      <c r="J13" s="16"/>
      <c r="K13" s="16">
        <v>63059.648999999998</v>
      </c>
      <c r="L13" s="16">
        <v>16729.798999999999</v>
      </c>
      <c r="M13" s="16">
        <v>18422.358</v>
      </c>
      <c r="N13" s="16">
        <v>19188.222000000002</v>
      </c>
    </row>
    <row r="14" spans="1:14">
      <c r="A14" s="15">
        <v>4001210320</v>
      </c>
      <c r="B14" s="15" t="s">
        <v>138</v>
      </c>
      <c r="C14" s="15" t="s">
        <v>227</v>
      </c>
      <c r="D14" s="16">
        <v>8800.3211900000006</v>
      </c>
      <c r="E14" s="16">
        <v>8277.4646599999996</v>
      </c>
      <c r="F14" s="16">
        <v>7317.0073899999998</v>
      </c>
      <c r="G14" s="16">
        <v>9241.4253000000008</v>
      </c>
      <c r="H14" s="16">
        <v>8763.6301500000009</v>
      </c>
      <c r="I14" s="16">
        <v>9577.5274800000007</v>
      </c>
      <c r="J14" s="16">
        <v>11233.8608</v>
      </c>
      <c r="K14" s="16">
        <v>10098.71523</v>
      </c>
      <c r="L14" s="16">
        <v>10176.86771</v>
      </c>
      <c r="M14" s="16">
        <v>11227.80573</v>
      </c>
      <c r="N14" s="16">
        <v>12814.13283</v>
      </c>
    </row>
    <row r="15" spans="1:14">
      <c r="A15" s="15">
        <v>4001210780</v>
      </c>
      <c r="B15" s="15" t="s">
        <v>139</v>
      </c>
      <c r="C15" s="15" t="s">
        <v>227</v>
      </c>
      <c r="D15" s="16">
        <v>26581.602559999999</v>
      </c>
      <c r="E15" s="16">
        <v>24407.11464</v>
      </c>
      <c r="F15" s="16">
        <v>25951.97381</v>
      </c>
      <c r="G15" s="16">
        <v>31226.332839999999</v>
      </c>
      <c r="H15" s="16">
        <v>30210.485820000002</v>
      </c>
      <c r="I15" s="16">
        <v>36320.289729999997</v>
      </c>
      <c r="J15" s="16">
        <v>37012.200100000002</v>
      </c>
      <c r="K15" s="16">
        <v>36906.088689999997</v>
      </c>
      <c r="L15" s="16">
        <v>40202.876989999997</v>
      </c>
      <c r="M15" s="16">
        <v>47514.35385</v>
      </c>
      <c r="N15" s="16">
        <v>46599.096010000001</v>
      </c>
    </row>
    <row r="16" spans="1:14">
      <c r="A16" s="15">
        <v>4001290000</v>
      </c>
      <c r="B16" s="15" t="s">
        <v>140</v>
      </c>
      <c r="C16" s="15" t="s">
        <v>227</v>
      </c>
      <c r="D16" s="16">
        <v>9876.7233899999992</v>
      </c>
      <c r="E16" s="16">
        <v>9144.9525900000008</v>
      </c>
      <c r="F16" s="16">
        <v>8471.9288400000005</v>
      </c>
      <c r="G16" s="16">
        <v>11797.211569999999</v>
      </c>
      <c r="H16" s="16">
        <v>10318.627560000001</v>
      </c>
      <c r="I16" s="16">
        <v>13174.37355</v>
      </c>
      <c r="J16" s="16">
        <v>12348.211810000001</v>
      </c>
      <c r="K16" s="16">
        <v>14985.469359999999</v>
      </c>
      <c r="L16" s="16">
        <v>13694.299279999999</v>
      </c>
      <c r="M16" s="16">
        <v>16325.51828</v>
      </c>
      <c r="N16" s="16">
        <v>17648.229960000001</v>
      </c>
    </row>
    <row r="17" spans="1:14">
      <c r="A17" s="15">
        <v>4001290010</v>
      </c>
      <c r="B17" s="15" t="s">
        <v>141</v>
      </c>
      <c r="C17" s="15" t="s">
        <v>227</v>
      </c>
      <c r="D17" s="16">
        <v>3229.38</v>
      </c>
      <c r="E17" s="16">
        <v>2955.0720000000001</v>
      </c>
      <c r="F17" s="16">
        <v>3366.3069999999998</v>
      </c>
      <c r="G17" s="16">
        <v>2853.451</v>
      </c>
      <c r="H17" s="16">
        <v>2596.3449999999998</v>
      </c>
      <c r="I17" s="16">
        <v>3480.8119999999999</v>
      </c>
      <c r="J17" s="16">
        <v>3569.2139999999999</v>
      </c>
      <c r="K17" s="16">
        <v>3736.9380000000001</v>
      </c>
      <c r="L17" s="16">
        <v>3695.08</v>
      </c>
      <c r="M17" s="16">
        <v>3980.98</v>
      </c>
      <c r="N17" s="16">
        <v>4428.3829999999998</v>
      </c>
    </row>
    <row r="18" spans="1:14">
      <c r="A18" s="15">
        <v>4001290020</v>
      </c>
      <c r="B18" s="15" t="s">
        <v>142</v>
      </c>
      <c r="C18" s="15" t="s">
        <v>227</v>
      </c>
      <c r="D18" s="16">
        <v>407.30700000000002</v>
      </c>
      <c r="E18" s="16">
        <v>413.73200000000003</v>
      </c>
      <c r="F18" s="16">
        <v>322.005</v>
      </c>
      <c r="G18" s="16">
        <v>450.06900000000002</v>
      </c>
      <c r="H18" s="16">
        <v>492.815</v>
      </c>
      <c r="I18" s="16">
        <v>529.55799999999999</v>
      </c>
      <c r="J18" s="16">
        <v>580.45600000000002</v>
      </c>
      <c r="K18" s="16">
        <v>621.56799999999998</v>
      </c>
      <c r="L18" s="16">
        <v>649.77200000000005</v>
      </c>
      <c r="M18" s="16">
        <v>664.28499999999997</v>
      </c>
      <c r="N18" s="16">
        <v>687.96299999999997</v>
      </c>
    </row>
    <row r="19" spans="1:14">
      <c r="A19" s="15">
        <v>4001211300</v>
      </c>
      <c r="B19" s="15" t="s">
        <v>143</v>
      </c>
      <c r="C19" s="15" t="s">
        <v>227</v>
      </c>
      <c r="D19" s="16">
        <v>1092.835</v>
      </c>
      <c r="E19" s="16">
        <v>1018.42</v>
      </c>
      <c r="F19" s="16">
        <v>1003.5309999999999</v>
      </c>
      <c r="G19" s="16">
        <v>1314.991</v>
      </c>
      <c r="H19" s="16">
        <v>2115.663</v>
      </c>
      <c r="I19" s="16">
        <v>2282.4</v>
      </c>
      <c r="J19" s="16">
        <v>2213.2939999999999</v>
      </c>
      <c r="K19" s="16">
        <v>2589.2860000000001</v>
      </c>
      <c r="L19" s="16">
        <v>2799.6509999999998</v>
      </c>
      <c r="M19" s="16">
        <v>2824.2060000000001</v>
      </c>
      <c r="N19" s="16">
        <v>3075.951</v>
      </c>
    </row>
    <row r="20" spans="1:14">
      <c r="A20" s="15">
        <v>4001211060</v>
      </c>
      <c r="B20" s="15" t="s">
        <v>144</v>
      </c>
      <c r="C20" s="15" t="s">
        <v>227</v>
      </c>
      <c r="D20" s="16">
        <v>1609.318</v>
      </c>
      <c r="E20" s="16">
        <v>2002.194</v>
      </c>
      <c r="F20" s="16">
        <v>1112.29</v>
      </c>
      <c r="G20" s="16">
        <v>1190.385</v>
      </c>
      <c r="H20" s="16">
        <v>1318.646</v>
      </c>
      <c r="I20" s="16">
        <v>3702.8739999999998</v>
      </c>
      <c r="J20" s="16">
        <v>1466.42</v>
      </c>
      <c r="K20" s="16">
        <v>2541.7979999999998</v>
      </c>
      <c r="L20" s="16">
        <v>2227.27</v>
      </c>
      <c r="M20" s="16">
        <v>2516.3539999999998</v>
      </c>
      <c r="N20" s="16">
        <v>4737.6229999999996</v>
      </c>
    </row>
    <row r="21" spans="1:14">
      <c r="A21" s="15">
        <v>4001290040</v>
      </c>
      <c r="B21" s="15" t="s">
        <v>145</v>
      </c>
      <c r="C21" s="15" t="s">
        <v>227</v>
      </c>
      <c r="D21" s="16">
        <v>2221.0120000000002</v>
      </c>
      <c r="E21" s="16">
        <v>1448.646</v>
      </c>
      <c r="F21" s="16">
        <v>1120.2170000000001</v>
      </c>
      <c r="G21" s="16">
        <v>1762.989</v>
      </c>
      <c r="H21" s="16">
        <v>1309.4549999999999</v>
      </c>
      <c r="I21" s="16">
        <v>1608.096</v>
      </c>
      <c r="J21" s="16">
        <v>1817.4970000000001</v>
      </c>
      <c r="K21" s="16">
        <v>2165.973</v>
      </c>
      <c r="L21" s="16">
        <v>1732.913</v>
      </c>
      <c r="M21" s="16">
        <v>2459.6509999999998</v>
      </c>
      <c r="N21" s="16">
        <v>1622.4929999999999</v>
      </c>
    </row>
    <row r="22" spans="1:14">
      <c r="A22" s="15">
        <v>4001290090</v>
      </c>
      <c r="B22" s="15" t="s">
        <v>146</v>
      </c>
      <c r="C22" s="15" t="s">
        <v>227</v>
      </c>
      <c r="D22" s="16">
        <v>1316.8710000000001</v>
      </c>
      <c r="E22" s="16">
        <v>1306.8889999999999</v>
      </c>
      <c r="F22" s="16">
        <v>1547.579</v>
      </c>
      <c r="G22" s="16">
        <v>4225.326</v>
      </c>
      <c r="H22" s="16">
        <v>2481.4589999999998</v>
      </c>
      <c r="I22" s="16">
        <v>1563.4659999999999</v>
      </c>
      <c r="J22" s="16">
        <v>2691.2910000000002</v>
      </c>
      <c r="K22" s="16">
        <v>3319.82</v>
      </c>
      <c r="L22" s="16">
        <v>2573.2469999999998</v>
      </c>
      <c r="M22" s="16">
        <v>3861.4650000000001</v>
      </c>
      <c r="N22" s="16">
        <v>3081.9679999999998</v>
      </c>
    </row>
    <row r="23" spans="1:14">
      <c r="A23" s="15">
        <v>4001290110</v>
      </c>
      <c r="B23" s="15" t="s">
        <v>147</v>
      </c>
      <c r="C23" s="15" t="s">
        <v>227</v>
      </c>
      <c r="D23" s="16"/>
      <c r="E23" s="16"/>
      <c r="F23" s="16"/>
      <c r="G23" s="16"/>
      <c r="H23" s="16"/>
      <c r="I23" s="16"/>
      <c r="J23" s="16"/>
      <c r="K23" s="16"/>
      <c r="L23" s="16"/>
      <c r="M23" s="16"/>
      <c r="N23" s="16"/>
    </row>
    <row r="24" spans="1:14">
      <c r="A24" s="15">
        <v>4001211420</v>
      </c>
      <c r="B24" s="15" t="s">
        <v>148</v>
      </c>
      <c r="C24" s="15" t="s">
        <v>227</v>
      </c>
      <c r="D24" s="16"/>
      <c r="E24" s="16"/>
      <c r="F24" s="16"/>
      <c r="G24" s="16"/>
      <c r="H24" s="16">
        <v>4.2450000000000001</v>
      </c>
      <c r="I24" s="16">
        <v>7.1680000000000001</v>
      </c>
      <c r="J24" s="16">
        <v>10.039999999999999</v>
      </c>
      <c r="K24" s="16">
        <v>10.085000000000001</v>
      </c>
      <c r="L24" s="16">
        <v>16.366</v>
      </c>
      <c r="M24" s="16">
        <v>18.577000000000002</v>
      </c>
      <c r="N24" s="16">
        <v>13.849</v>
      </c>
    </row>
    <row r="25" spans="1:14">
      <c r="A25" s="15">
        <v>4001211430</v>
      </c>
      <c r="B25" s="15" t="s">
        <v>149</v>
      </c>
      <c r="C25" s="15" t="s">
        <v>227</v>
      </c>
      <c r="D25" s="16">
        <v>16704.87917</v>
      </c>
      <c r="E25" s="16">
        <v>15262.162060000001</v>
      </c>
      <c r="F25" s="16">
        <v>17480.044969999999</v>
      </c>
      <c r="G25" s="16">
        <v>19429.12126</v>
      </c>
      <c r="H25" s="16">
        <v>19891.858260000001</v>
      </c>
      <c r="I25" s="16">
        <v>23145.91617</v>
      </c>
      <c r="J25" s="16">
        <v>24663.988290000001</v>
      </c>
      <c r="K25" s="16">
        <v>21920.619340000001</v>
      </c>
      <c r="L25" s="16">
        <v>26508.577710000001</v>
      </c>
      <c r="M25" s="16">
        <v>31188.835569999999</v>
      </c>
      <c r="N25" s="16">
        <v>28950.86606</v>
      </c>
    </row>
    <row r="26" spans="1:14">
      <c r="A26" s="15">
        <v>4001290120</v>
      </c>
      <c r="B26" s="15" t="s">
        <v>150</v>
      </c>
      <c r="C26" s="15" t="s">
        <v>227</v>
      </c>
      <c r="D26" s="16">
        <v>704.01</v>
      </c>
      <c r="E26" s="16">
        <v>2974.9520000000002</v>
      </c>
      <c r="F26" s="16">
        <v>5432.0169999999998</v>
      </c>
      <c r="G26" s="16">
        <v>-6526.8590000000004</v>
      </c>
      <c r="H26" s="16">
        <v>4394.451</v>
      </c>
      <c r="I26" s="16">
        <v>2027.6759999999999</v>
      </c>
      <c r="J26" s="16">
        <v>4088.3130000000001</v>
      </c>
      <c r="K26" s="16">
        <v>-1850.126</v>
      </c>
      <c r="L26" s="16">
        <v>6484.52</v>
      </c>
      <c r="M26" s="16">
        <v>4854.4639999999999</v>
      </c>
      <c r="N26" s="16">
        <v>-3059.7220000000002</v>
      </c>
    </row>
    <row r="27" spans="1:14">
      <c r="A27" s="15">
        <v>4001290750</v>
      </c>
      <c r="B27" s="15" t="s">
        <v>151</v>
      </c>
      <c r="C27" s="15" t="s">
        <v>227</v>
      </c>
      <c r="D27" s="16">
        <v>9.9540000000000006</v>
      </c>
      <c r="E27" s="16">
        <v>18.440999999999999</v>
      </c>
      <c r="F27" s="16">
        <v>79.262</v>
      </c>
      <c r="G27" s="16">
        <v>664.45799999999997</v>
      </c>
      <c r="H27" s="16">
        <v>934.55499999999995</v>
      </c>
      <c r="I27" s="16">
        <v>1139.498</v>
      </c>
      <c r="J27" s="16">
        <v>1277.2439999999999</v>
      </c>
      <c r="K27" s="16">
        <v>1276.569</v>
      </c>
      <c r="L27" s="16">
        <v>1340.1990000000001</v>
      </c>
      <c r="M27" s="16">
        <v>1151.098</v>
      </c>
      <c r="N27" s="16">
        <v>1161.075</v>
      </c>
    </row>
    <row r="28" spans="1:14">
      <c r="A28" s="15">
        <v>4001290760</v>
      </c>
      <c r="B28" s="15" t="s">
        <v>152</v>
      </c>
      <c r="C28" s="15" t="s">
        <v>227</v>
      </c>
      <c r="D28" s="16"/>
      <c r="E28" s="16"/>
      <c r="F28" s="16"/>
      <c r="G28" s="16"/>
      <c r="H28" s="16"/>
      <c r="I28" s="16"/>
      <c r="J28" s="16"/>
      <c r="K28" s="16"/>
      <c r="L28" s="16"/>
      <c r="M28" s="16"/>
      <c r="N28" s="16"/>
    </row>
    <row r="29" spans="1:14">
      <c r="A29" s="15">
        <v>4001211480</v>
      </c>
      <c r="B29" s="15" t="s">
        <v>153</v>
      </c>
      <c r="C29" s="15" t="s">
        <v>227</v>
      </c>
      <c r="D29" s="16">
        <v>694.05600000000004</v>
      </c>
      <c r="E29" s="16">
        <v>2956.511</v>
      </c>
      <c r="F29" s="16">
        <v>5352.7550000000001</v>
      </c>
      <c r="G29" s="16">
        <v>-7389.9520000000002</v>
      </c>
      <c r="H29" s="16">
        <v>3264.2109999999998</v>
      </c>
      <c r="I29" s="16">
        <v>678.85599999999999</v>
      </c>
      <c r="J29" s="16">
        <v>2579.9209999999998</v>
      </c>
      <c r="K29" s="16">
        <v>-3616.6120000000001</v>
      </c>
      <c r="L29" s="16">
        <v>4829.8090000000002</v>
      </c>
      <c r="M29" s="16">
        <v>3414.3670000000002</v>
      </c>
      <c r="N29" s="16">
        <v>-4510.7910000000002</v>
      </c>
    </row>
    <row r="30" spans="1:14">
      <c r="A30" s="15">
        <v>4001211520</v>
      </c>
      <c r="B30" s="15" t="s">
        <v>154</v>
      </c>
      <c r="C30" s="15" t="s">
        <v>227</v>
      </c>
      <c r="D30" s="16"/>
      <c r="E30" s="16"/>
      <c r="F30" s="16"/>
      <c r="G30" s="16"/>
      <c r="H30" s="16"/>
      <c r="I30" s="16"/>
      <c r="J30" s="16"/>
      <c r="K30" s="16"/>
      <c r="L30" s="16"/>
      <c r="M30" s="16"/>
      <c r="N30" s="16"/>
    </row>
    <row r="31" spans="1:14">
      <c r="A31" s="15">
        <v>4001211600</v>
      </c>
      <c r="B31" s="15" t="s">
        <v>155</v>
      </c>
      <c r="C31" s="15" t="s">
        <v>227</v>
      </c>
      <c r="D31" s="16"/>
      <c r="E31" s="16"/>
      <c r="F31" s="16"/>
      <c r="G31" s="16"/>
      <c r="H31" s="16"/>
      <c r="I31" s="16"/>
      <c r="J31" s="16"/>
      <c r="K31" s="16"/>
      <c r="L31" s="16"/>
      <c r="M31" s="16"/>
      <c r="N31" s="16"/>
    </row>
    <row r="32" spans="1:14">
      <c r="A32" s="15">
        <v>4001211605</v>
      </c>
      <c r="B32" s="15" t="s">
        <v>156</v>
      </c>
      <c r="C32" s="15" t="s">
        <v>227</v>
      </c>
      <c r="D32" s="16"/>
      <c r="E32" s="16"/>
      <c r="F32" s="16"/>
      <c r="G32" s="16"/>
      <c r="H32" s="16"/>
      <c r="I32" s="16"/>
      <c r="J32" s="16"/>
      <c r="K32" s="16"/>
      <c r="L32" s="16"/>
      <c r="M32" s="16"/>
      <c r="N32" s="16"/>
    </row>
    <row r="33" spans="1:14">
      <c r="A33" s="15">
        <v>4001290130</v>
      </c>
      <c r="B33" s="15" t="s">
        <v>157</v>
      </c>
      <c r="C33" s="15" t="s">
        <v>227</v>
      </c>
      <c r="D33" s="16"/>
      <c r="E33" s="16"/>
      <c r="F33" s="16"/>
      <c r="G33" s="16"/>
      <c r="H33" s="16"/>
      <c r="I33" s="16"/>
      <c r="J33" s="16"/>
      <c r="K33" s="16"/>
      <c r="L33" s="16"/>
      <c r="M33" s="16"/>
      <c r="N33" s="16"/>
    </row>
    <row r="34" spans="1:14">
      <c r="A34" s="15">
        <v>4001290150</v>
      </c>
      <c r="B34" s="15" t="s">
        <v>158</v>
      </c>
      <c r="C34" s="15" t="s">
        <v>227</v>
      </c>
      <c r="D34" s="16"/>
      <c r="E34" s="16"/>
      <c r="F34" s="16"/>
      <c r="G34" s="16">
        <v>198.63499999999999</v>
      </c>
      <c r="H34" s="16">
        <v>195.685</v>
      </c>
      <c r="I34" s="16">
        <v>209.322</v>
      </c>
      <c r="J34" s="16">
        <v>231.148</v>
      </c>
      <c r="K34" s="16">
        <v>489.91699999999997</v>
      </c>
      <c r="L34" s="16">
        <v>314.512</v>
      </c>
      <c r="M34" s="16">
        <v>288.99900000000002</v>
      </c>
      <c r="N34" s="16">
        <v>289.99400000000003</v>
      </c>
    </row>
    <row r="35" spans="1:14">
      <c r="A35" s="15">
        <v>4001211720</v>
      </c>
      <c r="B35" s="15" t="s">
        <v>159</v>
      </c>
      <c r="C35" s="15" t="s">
        <v>227</v>
      </c>
      <c r="D35" s="16"/>
      <c r="E35" s="16"/>
      <c r="F35" s="16"/>
      <c r="G35" s="16"/>
      <c r="H35" s="16"/>
      <c r="I35" s="16"/>
      <c r="J35" s="16"/>
      <c r="K35" s="16"/>
      <c r="L35" s="16"/>
      <c r="M35" s="16"/>
      <c r="N35" s="16"/>
    </row>
    <row r="36" spans="1:14">
      <c r="A36" s="15">
        <v>4001211680</v>
      </c>
      <c r="B36" s="15" t="s">
        <v>160</v>
      </c>
      <c r="C36" s="15" t="s">
        <v>227</v>
      </c>
      <c r="D36" s="16"/>
      <c r="E36" s="16"/>
      <c r="F36" s="16"/>
      <c r="G36" s="16"/>
      <c r="H36" s="16"/>
      <c r="I36" s="16"/>
      <c r="J36" s="16"/>
      <c r="K36" s="16"/>
      <c r="L36" s="16"/>
      <c r="M36" s="16"/>
      <c r="N36" s="16"/>
    </row>
    <row r="37" spans="1:14">
      <c r="A37" s="15">
        <v>4001290170</v>
      </c>
      <c r="B37" s="15" t="s">
        <v>161</v>
      </c>
      <c r="C37" s="15" t="s">
        <v>227</v>
      </c>
      <c r="D37" s="16"/>
      <c r="E37" s="16"/>
      <c r="F37" s="16"/>
      <c r="G37" s="16"/>
      <c r="H37" s="16"/>
      <c r="I37" s="16"/>
      <c r="J37" s="16"/>
      <c r="K37" s="16"/>
      <c r="L37" s="16"/>
      <c r="M37" s="16"/>
      <c r="N37" s="16"/>
    </row>
    <row r="38" spans="1:14">
      <c r="A38" s="15">
        <v>4001290180</v>
      </c>
      <c r="B38" s="15" t="s">
        <v>162</v>
      </c>
      <c r="C38" s="15" t="s">
        <v>227</v>
      </c>
      <c r="D38" s="16">
        <v>792.76900000000001</v>
      </c>
      <c r="E38" s="16">
        <v>731.87699999999995</v>
      </c>
      <c r="F38" s="16">
        <v>770.95399999999995</v>
      </c>
      <c r="G38" s="16">
        <v>2380.1060000000002</v>
      </c>
      <c r="H38" s="16">
        <v>1145.4749999999999</v>
      </c>
      <c r="I38" s="16">
        <v>489.86599999999999</v>
      </c>
      <c r="J38" s="16">
        <v>999.44500000000005</v>
      </c>
      <c r="K38" s="16">
        <v>959.971</v>
      </c>
      <c r="L38" s="16">
        <v>556.17200000000003</v>
      </c>
      <c r="M38" s="16">
        <v>536.15099999999995</v>
      </c>
      <c r="N38" s="16">
        <v>2674.6849999999999</v>
      </c>
    </row>
    <row r="39" spans="1:14">
      <c r="A39" s="15">
        <v>4001290770</v>
      </c>
      <c r="B39" s="15" t="s">
        <v>163</v>
      </c>
      <c r="C39" s="15" t="s">
        <v>227</v>
      </c>
      <c r="D39" s="16">
        <v>567.60799999999995</v>
      </c>
      <c r="E39" s="16">
        <v>750.54399999999998</v>
      </c>
      <c r="F39" s="16">
        <v>769.18399999999997</v>
      </c>
      <c r="G39" s="16">
        <v>522.51199999999994</v>
      </c>
      <c r="H39" s="16">
        <v>503.85199999999998</v>
      </c>
      <c r="I39" s="16">
        <v>491.464</v>
      </c>
      <c r="J39" s="16">
        <v>465.67200000000003</v>
      </c>
      <c r="K39" s="16">
        <v>497.69600000000003</v>
      </c>
      <c r="L39" s="16">
        <v>475.78300000000002</v>
      </c>
      <c r="M39" s="16">
        <v>470.45499999999998</v>
      </c>
      <c r="N39" s="16">
        <v>470.76799999999997</v>
      </c>
    </row>
    <row r="40" spans="1:14">
      <c r="A40" s="15">
        <v>4001211820</v>
      </c>
      <c r="B40" s="15" t="s">
        <v>164</v>
      </c>
      <c r="C40" s="15" t="s">
        <v>227</v>
      </c>
      <c r="D40" s="16">
        <v>176.375</v>
      </c>
      <c r="E40" s="16">
        <v>-18.667000000000002</v>
      </c>
      <c r="F40" s="16">
        <v>1.77</v>
      </c>
      <c r="G40" s="16">
        <v>1857.5940000000001</v>
      </c>
      <c r="H40" s="16">
        <v>641.62300000000005</v>
      </c>
      <c r="I40" s="16">
        <v>-1.5980000000000001</v>
      </c>
      <c r="J40" s="16">
        <v>99.203999999999994</v>
      </c>
      <c r="K40" s="16">
        <v>896.84400000000005</v>
      </c>
      <c r="L40" s="16">
        <v>80.388999999999996</v>
      </c>
      <c r="M40" s="16">
        <v>65.695999999999998</v>
      </c>
      <c r="N40" s="16">
        <v>1339.2550000000001</v>
      </c>
    </row>
    <row r="41" spans="1:14">
      <c r="A41" s="15">
        <v>4001211860</v>
      </c>
      <c r="B41" s="15" t="s">
        <v>165</v>
      </c>
      <c r="C41" s="15" t="s">
        <v>227</v>
      </c>
      <c r="D41" s="16"/>
      <c r="E41" s="16"/>
      <c r="F41" s="16"/>
      <c r="G41" s="16"/>
      <c r="H41" s="16"/>
      <c r="I41" s="16"/>
      <c r="J41" s="16"/>
      <c r="K41" s="16"/>
      <c r="L41" s="16"/>
      <c r="M41" s="16"/>
      <c r="N41" s="16"/>
    </row>
    <row r="42" spans="1:14">
      <c r="A42" s="15">
        <v>4001211865</v>
      </c>
      <c r="B42" s="15" t="s">
        <v>166</v>
      </c>
      <c r="C42" s="15" t="s">
        <v>227</v>
      </c>
      <c r="D42" s="16"/>
      <c r="E42" s="16"/>
      <c r="F42" s="16"/>
      <c r="G42" s="16"/>
      <c r="H42" s="16"/>
      <c r="I42" s="16"/>
      <c r="J42" s="16"/>
      <c r="K42" s="16"/>
      <c r="L42" s="16"/>
      <c r="M42" s="16"/>
      <c r="N42" s="16"/>
    </row>
    <row r="43" spans="1:14">
      <c r="A43" s="15">
        <v>4001211940</v>
      </c>
      <c r="B43" s="15" t="s">
        <v>167</v>
      </c>
      <c r="C43" s="15" t="s">
        <v>227</v>
      </c>
      <c r="D43" s="16"/>
      <c r="E43" s="16"/>
      <c r="F43" s="16"/>
      <c r="G43" s="16"/>
      <c r="H43" s="16"/>
      <c r="I43" s="16"/>
      <c r="J43" s="16">
        <v>434.56900000000002</v>
      </c>
      <c r="K43" s="16">
        <v>-434.56900000000002</v>
      </c>
      <c r="L43" s="16"/>
      <c r="M43" s="16"/>
      <c r="N43" s="16">
        <v>219.66200000000001</v>
      </c>
    </row>
    <row r="44" spans="1:14">
      <c r="A44" s="15">
        <v>4001290190</v>
      </c>
      <c r="B44" s="15" t="s">
        <v>168</v>
      </c>
      <c r="C44" s="15" t="s">
        <v>227</v>
      </c>
      <c r="D44" s="16"/>
      <c r="E44" s="16"/>
      <c r="F44" s="16"/>
      <c r="G44" s="16"/>
      <c r="H44" s="16"/>
      <c r="I44" s="16"/>
      <c r="J44" s="16"/>
      <c r="K44" s="16"/>
      <c r="L44" s="16"/>
      <c r="M44" s="16"/>
      <c r="N44" s="16"/>
    </row>
    <row r="45" spans="1:14">
      <c r="A45" s="15">
        <v>4001290210</v>
      </c>
      <c r="B45" s="15" t="s">
        <v>169</v>
      </c>
      <c r="C45" s="15" t="s">
        <v>227</v>
      </c>
      <c r="D45" s="16">
        <v>48.786000000000001</v>
      </c>
      <c r="E45" s="16"/>
      <c r="F45" s="16"/>
      <c r="G45" s="16"/>
      <c r="H45" s="16"/>
      <c r="I45" s="16"/>
      <c r="J45" s="16"/>
      <c r="K45" s="16"/>
      <c r="L45" s="16"/>
      <c r="M45" s="16"/>
      <c r="N45" s="16"/>
    </row>
    <row r="46" spans="1:14">
      <c r="A46" s="15">
        <v>4001212060</v>
      </c>
      <c r="B46" s="15" t="s">
        <v>170</v>
      </c>
      <c r="C46" s="15" t="s">
        <v>227</v>
      </c>
      <c r="D46" s="16"/>
      <c r="E46" s="16"/>
      <c r="F46" s="16"/>
      <c r="G46" s="16"/>
      <c r="H46" s="16"/>
      <c r="I46" s="16"/>
      <c r="J46" s="16"/>
      <c r="K46" s="16"/>
      <c r="L46" s="16"/>
      <c r="M46" s="16"/>
      <c r="N46" s="16"/>
    </row>
    <row r="47" spans="1:14">
      <c r="A47" s="15">
        <v>4001212020</v>
      </c>
      <c r="B47" s="15" t="s">
        <v>171</v>
      </c>
      <c r="C47" s="15" t="s">
        <v>227</v>
      </c>
      <c r="D47" s="16"/>
      <c r="E47" s="16"/>
      <c r="F47" s="16"/>
      <c r="G47" s="16"/>
      <c r="H47" s="16"/>
      <c r="I47" s="16"/>
      <c r="J47" s="16"/>
      <c r="K47" s="16"/>
      <c r="L47" s="16"/>
      <c r="M47" s="16"/>
      <c r="N47" s="16">
        <v>645</v>
      </c>
    </row>
    <row r="48" spans="1:14">
      <c r="A48" s="15">
        <v>4001290230</v>
      </c>
      <c r="B48" s="15" t="s">
        <v>172</v>
      </c>
      <c r="C48" s="15" t="s">
        <v>227</v>
      </c>
      <c r="D48" s="16"/>
      <c r="E48" s="16"/>
      <c r="F48" s="16"/>
      <c r="G48" s="16"/>
      <c r="H48" s="16"/>
      <c r="I48" s="16"/>
      <c r="J48" s="16"/>
      <c r="K48" s="16"/>
      <c r="L48" s="16"/>
      <c r="M48" s="16"/>
      <c r="N48" s="16"/>
    </row>
    <row r="49" spans="1:14">
      <c r="A49" s="15">
        <v>4001290240</v>
      </c>
      <c r="B49" s="15" t="s">
        <v>173</v>
      </c>
      <c r="C49" s="15" t="s">
        <v>227</v>
      </c>
      <c r="D49" s="16">
        <v>2.7040000000000002</v>
      </c>
      <c r="E49" s="16">
        <v>27.242000000000001</v>
      </c>
      <c r="F49" s="16">
        <v>5.43</v>
      </c>
      <c r="G49" s="16">
        <v>30338.773000000001</v>
      </c>
      <c r="H49" s="16">
        <v>1.254</v>
      </c>
      <c r="I49" s="16">
        <v>15.486000000000001</v>
      </c>
      <c r="J49" s="16">
        <v>15.52</v>
      </c>
      <c r="K49" s="16">
        <v>17.428999999999998</v>
      </c>
      <c r="L49" s="16">
        <v>0.36399999999999999</v>
      </c>
      <c r="M49" s="16">
        <v>9.5449999999999999</v>
      </c>
      <c r="N49" s="16">
        <v>1.375</v>
      </c>
    </row>
    <row r="50" spans="1:14">
      <c r="A50" s="15">
        <v>4001280000</v>
      </c>
      <c r="B50" s="15" t="s">
        <v>151</v>
      </c>
      <c r="C50" s="15" t="s">
        <v>227</v>
      </c>
      <c r="D50" s="16"/>
      <c r="E50" s="16"/>
      <c r="F50" s="16"/>
      <c r="G50" s="16"/>
      <c r="H50" s="16"/>
      <c r="I50" s="16"/>
      <c r="J50" s="16"/>
      <c r="K50" s="16"/>
      <c r="L50" s="16"/>
      <c r="M50" s="16"/>
      <c r="N50" s="16"/>
    </row>
    <row r="51" spans="1:14">
      <c r="A51" s="15">
        <v>4001280010</v>
      </c>
      <c r="B51" s="15" t="s">
        <v>152</v>
      </c>
      <c r="C51" s="15" t="s">
        <v>227</v>
      </c>
      <c r="D51" s="16"/>
      <c r="E51" s="16"/>
      <c r="F51" s="16"/>
      <c r="G51" s="16"/>
      <c r="H51" s="16"/>
      <c r="I51" s="16"/>
      <c r="J51" s="16"/>
      <c r="K51" s="16"/>
      <c r="L51" s="16"/>
      <c r="M51" s="16"/>
      <c r="N51" s="16"/>
    </row>
    <row r="52" spans="1:14">
      <c r="A52" s="15">
        <v>4001290250</v>
      </c>
      <c r="B52" s="15" t="s">
        <v>153</v>
      </c>
      <c r="C52" s="15" t="s">
        <v>227</v>
      </c>
      <c r="D52" s="16"/>
      <c r="E52" s="16"/>
      <c r="F52" s="16"/>
      <c r="G52" s="16"/>
      <c r="H52" s="16"/>
      <c r="I52" s="16"/>
      <c r="J52" s="16"/>
      <c r="K52" s="16"/>
      <c r="L52" s="16"/>
      <c r="M52" s="16"/>
      <c r="N52" s="16"/>
    </row>
    <row r="53" spans="1:14">
      <c r="A53" s="15">
        <v>4001280050</v>
      </c>
      <c r="B53" s="15" t="s">
        <v>174</v>
      </c>
      <c r="C53" s="15" t="s">
        <v>227</v>
      </c>
      <c r="D53" s="16"/>
      <c r="E53" s="16"/>
      <c r="F53" s="16"/>
      <c r="G53" s="16"/>
      <c r="H53" s="16"/>
      <c r="I53" s="16"/>
      <c r="J53" s="16"/>
      <c r="K53" s="16"/>
      <c r="L53" s="16"/>
      <c r="M53" s="16"/>
      <c r="N53" s="16"/>
    </row>
    <row r="54" spans="1:14">
      <c r="A54" s="15">
        <v>4001280060</v>
      </c>
      <c r="B54" s="15" t="s">
        <v>175</v>
      </c>
      <c r="C54" s="15" t="s">
        <v>227</v>
      </c>
      <c r="D54" s="16"/>
      <c r="E54" s="16"/>
      <c r="F54" s="16"/>
      <c r="G54" s="16"/>
      <c r="H54" s="16"/>
      <c r="I54" s="16"/>
      <c r="J54" s="16"/>
      <c r="K54" s="16"/>
      <c r="L54" s="16"/>
      <c r="M54" s="16"/>
      <c r="N54" s="16"/>
    </row>
    <row r="55" spans="1:14">
      <c r="A55" s="15">
        <v>4001280065</v>
      </c>
      <c r="B55" s="15" t="s">
        <v>176</v>
      </c>
      <c r="C55" s="15" t="s">
        <v>227</v>
      </c>
      <c r="D55" s="16"/>
      <c r="E55" s="16"/>
      <c r="F55" s="16"/>
      <c r="G55" s="16"/>
      <c r="H55" s="16"/>
      <c r="I55" s="16"/>
      <c r="J55" s="16"/>
      <c r="K55" s="16"/>
      <c r="L55" s="16"/>
      <c r="M55" s="16"/>
      <c r="N55" s="16"/>
    </row>
    <row r="56" spans="1:14">
      <c r="A56" s="15">
        <v>4001290260</v>
      </c>
      <c r="B56" s="15" t="s">
        <v>177</v>
      </c>
      <c r="C56" s="15" t="s">
        <v>227</v>
      </c>
      <c r="D56" s="16"/>
      <c r="E56" s="16"/>
      <c r="F56" s="16">
        <v>4.7249999999999996</v>
      </c>
      <c r="G56" s="16">
        <v>30333.899000000001</v>
      </c>
      <c r="H56" s="16"/>
      <c r="I56" s="16">
        <v>12.999000000000001</v>
      </c>
      <c r="J56" s="16">
        <v>3.2789999999999999</v>
      </c>
      <c r="K56" s="16">
        <v>0.32400000000000001</v>
      </c>
      <c r="L56" s="16"/>
      <c r="M56" s="16">
        <v>9.5419999999999998</v>
      </c>
      <c r="N56" s="16">
        <v>1.363</v>
      </c>
    </row>
    <row r="57" spans="1:14">
      <c r="A57" s="15">
        <v>4001280140</v>
      </c>
      <c r="B57" s="15" t="s">
        <v>178</v>
      </c>
      <c r="C57" s="15" t="s">
        <v>227</v>
      </c>
      <c r="D57" s="16"/>
      <c r="E57" s="16"/>
      <c r="F57" s="16"/>
      <c r="G57" s="16"/>
      <c r="H57" s="16"/>
      <c r="I57" s="16"/>
      <c r="J57" s="16"/>
      <c r="K57" s="16"/>
      <c r="L57" s="16"/>
      <c r="M57" s="16"/>
      <c r="N57" s="16"/>
    </row>
    <row r="58" spans="1:14">
      <c r="A58" s="15">
        <v>4001290280</v>
      </c>
      <c r="B58" s="15" t="s">
        <v>179</v>
      </c>
      <c r="C58" s="15" t="s">
        <v>227</v>
      </c>
      <c r="D58" s="16"/>
      <c r="E58" s="16"/>
      <c r="F58" s="16"/>
      <c r="G58" s="16"/>
      <c r="H58" s="16"/>
      <c r="I58" s="16"/>
      <c r="J58" s="16"/>
      <c r="K58" s="16"/>
      <c r="L58" s="16"/>
      <c r="M58" s="16"/>
      <c r="N58" s="16"/>
    </row>
    <row r="59" spans="1:14">
      <c r="A59" s="15">
        <v>4001290300</v>
      </c>
      <c r="B59" s="15" t="s">
        <v>160</v>
      </c>
      <c r="C59" s="15" t="s">
        <v>227</v>
      </c>
      <c r="D59" s="16"/>
      <c r="E59" s="16"/>
      <c r="F59" s="16"/>
      <c r="G59" s="16"/>
      <c r="H59" s="16"/>
      <c r="I59" s="16"/>
      <c r="J59" s="16"/>
      <c r="K59" s="16"/>
      <c r="L59" s="16"/>
      <c r="M59" s="16"/>
      <c r="N59" s="16"/>
    </row>
    <row r="60" spans="1:14">
      <c r="A60" s="15">
        <v>4001280240</v>
      </c>
      <c r="B60" s="15" t="s">
        <v>180</v>
      </c>
      <c r="C60" s="15" t="s">
        <v>227</v>
      </c>
      <c r="D60" s="16"/>
      <c r="E60" s="16"/>
      <c r="F60" s="16"/>
      <c r="G60" s="16"/>
      <c r="H60" s="16"/>
      <c r="I60" s="16"/>
      <c r="J60" s="16"/>
      <c r="K60" s="16"/>
      <c r="L60" s="16"/>
      <c r="M60" s="16"/>
      <c r="N60" s="16"/>
    </row>
    <row r="61" spans="1:14">
      <c r="A61" s="15">
        <v>4001280250</v>
      </c>
      <c r="B61" s="15" t="s">
        <v>181</v>
      </c>
      <c r="C61" s="15" t="s">
        <v>227</v>
      </c>
      <c r="D61" s="16"/>
      <c r="E61" s="16"/>
      <c r="F61" s="16"/>
      <c r="G61" s="16"/>
      <c r="H61" s="16"/>
      <c r="I61" s="16"/>
      <c r="J61" s="16"/>
      <c r="K61" s="16"/>
      <c r="L61" s="16"/>
      <c r="M61" s="16"/>
      <c r="N61" s="16"/>
    </row>
    <row r="62" spans="1:14">
      <c r="A62" s="15">
        <v>4001280260</v>
      </c>
      <c r="B62" s="15" t="s">
        <v>182</v>
      </c>
      <c r="C62" s="15" t="s">
        <v>227</v>
      </c>
      <c r="D62" s="16"/>
      <c r="E62" s="16"/>
      <c r="F62" s="16"/>
      <c r="G62" s="16"/>
      <c r="H62" s="16"/>
      <c r="I62" s="16"/>
      <c r="J62" s="16"/>
      <c r="K62" s="16"/>
      <c r="L62" s="16"/>
      <c r="M62" s="16"/>
      <c r="N62" s="16"/>
    </row>
    <row r="63" spans="1:14">
      <c r="A63" s="15">
        <v>4001280270</v>
      </c>
      <c r="B63" s="15" t="s">
        <v>183</v>
      </c>
      <c r="C63" s="15" t="s">
        <v>227</v>
      </c>
      <c r="D63" s="16"/>
      <c r="E63" s="16"/>
      <c r="F63" s="16"/>
      <c r="G63" s="16"/>
      <c r="H63" s="16"/>
      <c r="I63" s="16"/>
      <c r="J63" s="16"/>
      <c r="K63" s="16"/>
      <c r="L63" s="16"/>
      <c r="M63" s="16"/>
      <c r="N63" s="16"/>
    </row>
    <row r="64" spans="1:14">
      <c r="A64" s="15">
        <v>4001280280</v>
      </c>
      <c r="B64" s="15" t="s">
        <v>184</v>
      </c>
      <c r="C64" s="15" t="s">
        <v>227</v>
      </c>
      <c r="D64" s="16"/>
      <c r="E64" s="16"/>
      <c r="F64" s="16"/>
      <c r="G64" s="16"/>
      <c r="H64" s="16"/>
      <c r="I64" s="16"/>
      <c r="J64" s="16"/>
      <c r="K64" s="16"/>
      <c r="L64" s="16"/>
      <c r="M64" s="16"/>
      <c r="N64" s="16"/>
    </row>
    <row r="65" spans="1:14">
      <c r="A65" s="15">
        <v>4001290310</v>
      </c>
      <c r="B65" s="15" t="s">
        <v>185</v>
      </c>
      <c r="C65" s="15" t="s">
        <v>227</v>
      </c>
      <c r="D65" s="16">
        <v>2.7040000000000002</v>
      </c>
      <c r="E65" s="16">
        <v>27.242000000000001</v>
      </c>
      <c r="F65" s="16">
        <v>0.70499999999999996</v>
      </c>
      <c r="G65" s="16">
        <v>4.8739999999999997</v>
      </c>
      <c r="H65" s="16">
        <v>1.254</v>
      </c>
      <c r="I65" s="16">
        <v>2.4870000000000001</v>
      </c>
      <c r="J65" s="16">
        <v>12.241</v>
      </c>
      <c r="K65" s="16">
        <v>17.105</v>
      </c>
      <c r="L65" s="16">
        <v>0.36399999999999999</v>
      </c>
      <c r="M65" s="16">
        <v>3.0000000000000001E-3</v>
      </c>
      <c r="N65" s="16">
        <v>1.2E-2</v>
      </c>
    </row>
    <row r="66" spans="1:14">
      <c r="A66" s="15">
        <v>4001290320</v>
      </c>
      <c r="B66" s="15" t="s">
        <v>186</v>
      </c>
      <c r="C66" s="15" t="s">
        <v>227</v>
      </c>
      <c r="D66" s="16">
        <v>2E-3</v>
      </c>
      <c r="E66" s="16">
        <v>0.24</v>
      </c>
      <c r="F66" s="16">
        <v>6.0999999999999999E-2</v>
      </c>
      <c r="G66" s="16">
        <v>400.03100000000001</v>
      </c>
      <c r="H66" s="16">
        <v>11.722</v>
      </c>
      <c r="I66" s="16">
        <v>51.323999999999998</v>
      </c>
      <c r="J66" s="16"/>
      <c r="K66" s="16">
        <v>832.73800000000006</v>
      </c>
      <c r="L66" s="16">
        <v>345.90100000000001</v>
      </c>
      <c r="M66" s="16">
        <v>1241.2280000000001</v>
      </c>
      <c r="N66" s="16">
        <v>-2.0699999999999998</v>
      </c>
    </row>
    <row r="67" spans="1:14">
      <c r="A67" s="15">
        <v>4001280400</v>
      </c>
      <c r="B67" s="15" t="s">
        <v>163</v>
      </c>
      <c r="C67" s="15" t="s">
        <v>227</v>
      </c>
      <c r="D67" s="16"/>
      <c r="E67" s="16"/>
      <c r="F67" s="16"/>
      <c r="G67" s="16"/>
      <c r="H67" s="16"/>
      <c r="I67" s="16"/>
      <c r="J67" s="16"/>
      <c r="K67" s="16"/>
      <c r="L67" s="16"/>
      <c r="M67" s="16"/>
      <c r="N67" s="16"/>
    </row>
    <row r="68" spans="1:14">
      <c r="A68" s="15">
        <v>4001290330</v>
      </c>
      <c r="B68" s="15" t="s">
        <v>164</v>
      </c>
      <c r="C68" s="15" t="s">
        <v>227</v>
      </c>
      <c r="D68" s="16"/>
      <c r="E68" s="16"/>
      <c r="F68" s="16"/>
      <c r="G68" s="16"/>
      <c r="H68" s="16"/>
      <c r="I68" s="16"/>
      <c r="J68" s="16"/>
      <c r="K68" s="16"/>
      <c r="L68" s="16"/>
      <c r="M68" s="16"/>
      <c r="N68" s="16"/>
    </row>
    <row r="69" spans="1:14">
      <c r="A69" s="15">
        <v>4001280440</v>
      </c>
      <c r="B69" s="15" t="s">
        <v>187</v>
      </c>
      <c r="C69" s="15" t="s">
        <v>227</v>
      </c>
      <c r="D69" s="16"/>
      <c r="E69" s="16"/>
      <c r="F69" s="16"/>
      <c r="G69" s="16"/>
      <c r="H69" s="16"/>
      <c r="I69" s="16"/>
      <c r="J69" s="16"/>
      <c r="K69" s="16"/>
      <c r="L69" s="16"/>
      <c r="M69" s="16"/>
      <c r="N69" s="16"/>
    </row>
    <row r="70" spans="1:14">
      <c r="A70" s="15">
        <v>4001280450</v>
      </c>
      <c r="B70" s="15" t="s">
        <v>188</v>
      </c>
      <c r="C70" s="15" t="s">
        <v>227</v>
      </c>
      <c r="D70" s="16"/>
      <c r="E70" s="16"/>
      <c r="F70" s="16"/>
      <c r="G70" s="16"/>
      <c r="H70" s="16"/>
      <c r="I70" s="16"/>
      <c r="J70" s="16"/>
      <c r="K70" s="16"/>
      <c r="L70" s="16"/>
      <c r="M70" s="16"/>
      <c r="N70" s="16"/>
    </row>
    <row r="71" spans="1:14">
      <c r="A71" s="15">
        <v>4001280455</v>
      </c>
      <c r="B71" s="15" t="s">
        <v>189</v>
      </c>
      <c r="C71" s="15" t="s">
        <v>227</v>
      </c>
      <c r="D71" s="16"/>
      <c r="E71" s="16"/>
      <c r="F71" s="16"/>
      <c r="G71" s="16"/>
      <c r="H71" s="16"/>
      <c r="I71" s="16"/>
      <c r="J71" s="16"/>
      <c r="K71" s="16"/>
      <c r="L71" s="16"/>
      <c r="M71" s="16"/>
      <c r="N71" s="16"/>
    </row>
    <row r="72" spans="1:14">
      <c r="A72" s="15">
        <v>4001290340</v>
      </c>
      <c r="B72" s="15" t="s">
        <v>190</v>
      </c>
      <c r="C72" s="15" t="s">
        <v>227</v>
      </c>
      <c r="D72" s="16">
        <v>2E-3</v>
      </c>
      <c r="E72" s="16">
        <v>0.23699999999999999</v>
      </c>
      <c r="F72" s="16">
        <v>2E-3</v>
      </c>
      <c r="G72" s="16">
        <v>51.085999999999999</v>
      </c>
      <c r="H72" s="16">
        <v>6.6429999999999998</v>
      </c>
      <c r="I72" s="16"/>
      <c r="J72" s="16"/>
      <c r="K72" s="16">
        <v>775.78099999999995</v>
      </c>
      <c r="L72" s="16">
        <v>330.399</v>
      </c>
      <c r="M72" s="16">
        <v>249.22800000000001</v>
      </c>
      <c r="N72" s="16"/>
    </row>
    <row r="73" spans="1:14">
      <c r="A73" s="15">
        <v>4001280540</v>
      </c>
      <c r="B73" s="15" t="s">
        <v>191</v>
      </c>
      <c r="C73" s="15" t="s">
        <v>227</v>
      </c>
      <c r="D73" s="16"/>
      <c r="E73" s="16"/>
      <c r="F73" s="16"/>
      <c r="G73" s="16"/>
      <c r="H73" s="16"/>
      <c r="I73" s="16"/>
      <c r="J73" s="16"/>
      <c r="K73" s="16"/>
      <c r="L73" s="16"/>
      <c r="M73" s="16"/>
      <c r="N73" s="16"/>
    </row>
    <row r="74" spans="1:14">
      <c r="A74" s="15">
        <v>4001290360</v>
      </c>
      <c r="B74" s="15" t="s">
        <v>192</v>
      </c>
      <c r="C74" s="15" t="s">
        <v>227</v>
      </c>
      <c r="D74" s="16"/>
      <c r="E74" s="16"/>
      <c r="F74" s="16"/>
      <c r="G74" s="16"/>
      <c r="H74" s="16"/>
      <c r="I74" s="16"/>
      <c r="J74" s="16"/>
      <c r="K74" s="16"/>
      <c r="L74" s="16"/>
      <c r="M74" s="16"/>
      <c r="N74" s="16"/>
    </row>
    <row r="75" spans="1:14">
      <c r="A75" s="15">
        <v>4001290380</v>
      </c>
      <c r="B75" s="15" t="s">
        <v>171</v>
      </c>
      <c r="C75" s="15" t="s">
        <v>227</v>
      </c>
      <c r="D75" s="16"/>
      <c r="E75" s="16"/>
      <c r="F75" s="16"/>
      <c r="G75" s="16"/>
      <c r="H75" s="16"/>
      <c r="I75" s="16"/>
      <c r="J75" s="16"/>
      <c r="K75" s="16"/>
      <c r="L75" s="16"/>
      <c r="M75" s="16">
        <v>992</v>
      </c>
      <c r="N75" s="16"/>
    </row>
    <row r="76" spans="1:14">
      <c r="A76" s="15">
        <v>4001280650</v>
      </c>
      <c r="B76" s="15" t="s">
        <v>193</v>
      </c>
      <c r="C76" s="15" t="s">
        <v>227</v>
      </c>
      <c r="D76" s="16"/>
      <c r="E76" s="16"/>
      <c r="F76" s="16"/>
      <c r="G76" s="16"/>
      <c r="H76" s="16"/>
      <c r="I76" s="16"/>
      <c r="J76" s="16"/>
      <c r="K76" s="16"/>
      <c r="L76" s="16"/>
      <c r="M76" s="16"/>
      <c r="N76" s="16"/>
    </row>
    <row r="77" spans="1:14">
      <c r="A77" s="15">
        <v>4001280660</v>
      </c>
      <c r="B77" s="15" t="s">
        <v>194</v>
      </c>
      <c r="C77" s="15" t="s">
        <v>227</v>
      </c>
      <c r="D77" s="16"/>
      <c r="E77" s="16"/>
      <c r="F77" s="16"/>
      <c r="G77" s="16"/>
      <c r="H77" s="16"/>
      <c r="I77" s="16"/>
      <c r="J77" s="16"/>
      <c r="K77" s="16"/>
      <c r="L77" s="16"/>
      <c r="M77" s="16"/>
      <c r="N77" s="16"/>
    </row>
    <row r="78" spans="1:14">
      <c r="A78" s="15">
        <v>4001290390</v>
      </c>
      <c r="B78" s="15" t="s">
        <v>185</v>
      </c>
      <c r="C78" s="15" t="s">
        <v>227</v>
      </c>
      <c r="D78" s="16"/>
      <c r="E78" s="16">
        <v>3.0000000000000001E-3</v>
      </c>
      <c r="F78" s="16">
        <v>5.8999999999999997E-2</v>
      </c>
      <c r="G78" s="16">
        <v>348.94499999999999</v>
      </c>
      <c r="H78" s="16">
        <v>5.0789999999999997</v>
      </c>
      <c r="I78" s="16">
        <v>51.323999999999998</v>
      </c>
      <c r="J78" s="16"/>
      <c r="K78" s="16">
        <v>56.957000000000001</v>
      </c>
      <c r="L78" s="16">
        <v>15.502000000000001</v>
      </c>
      <c r="M78" s="16"/>
      <c r="N78" s="16">
        <v>-2.0699999999999998</v>
      </c>
    </row>
    <row r="79" spans="1:14">
      <c r="A79" s="15">
        <v>4001290640</v>
      </c>
      <c r="B79" s="15" t="s">
        <v>195</v>
      </c>
      <c r="C79" s="15" t="s">
        <v>227</v>
      </c>
      <c r="D79" s="16"/>
      <c r="E79" s="16"/>
      <c r="F79" s="16"/>
      <c r="G79" s="16"/>
      <c r="H79" s="16"/>
      <c r="I79" s="16"/>
      <c r="J79" s="16"/>
      <c r="K79" s="16"/>
      <c r="L79" s="16"/>
      <c r="M79" s="16">
        <v>267.11147</v>
      </c>
      <c r="N79" s="16">
        <v>-822.65554999999995</v>
      </c>
    </row>
    <row r="80" spans="1:14">
      <c r="A80" s="15">
        <v>4001290650</v>
      </c>
      <c r="B80" s="15" t="s">
        <v>196</v>
      </c>
      <c r="C80" s="15" t="s">
        <v>227</v>
      </c>
      <c r="D80" s="16"/>
      <c r="E80" s="16"/>
      <c r="F80" s="16"/>
      <c r="G80" s="16"/>
      <c r="H80" s="16"/>
      <c r="I80" s="16"/>
      <c r="J80" s="16"/>
      <c r="K80" s="16"/>
      <c r="L80" s="16"/>
      <c r="M80" s="16"/>
      <c r="N80" s="16">
        <v>-822.65554999999995</v>
      </c>
    </row>
    <row r="81" spans="1:14">
      <c r="A81" s="15">
        <v>4001290680</v>
      </c>
      <c r="B81" s="15" t="s">
        <v>197</v>
      </c>
      <c r="C81" s="15" t="s">
        <v>227</v>
      </c>
      <c r="D81" s="16"/>
      <c r="E81" s="16"/>
      <c r="F81" s="16"/>
      <c r="G81" s="16"/>
      <c r="H81" s="16"/>
      <c r="I81" s="16"/>
      <c r="J81" s="16"/>
      <c r="K81" s="16"/>
      <c r="L81" s="16"/>
      <c r="M81" s="16"/>
      <c r="N81" s="16"/>
    </row>
    <row r="82" spans="1:14">
      <c r="A82" s="15">
        <v>4001290710</v>
      </c>
      <c r="B82" s="15" t="s">
        <v>198</v>
      </c>
      <c r="C82" s="15" t="s">
        <v>227</v>
      </c>
      <c r="D82" s="16"/>
      <c r="E82" s="16"/>
      <c r="F82" s="16"/>
      <c r="G82" s="16"/>
      <c r="H82" s="16"/>
      <c r="I82" s="16"/>
      <c r="J82" s="16"/>
      <c r="K82" s="16"/>
      <c r="L82" s="16"/>
      <c r="M82" s="16"/>
      <c r="N82" s="16"/>
    </row>
    <row r="83" spans="1:14">
      <c r="A83" s="15">
        <v>4001290740</v>
      </c>
      <c r="B83" s="15" t="s">
        <v>185</v>
      </c>
      <c r="C83" s="15" t="s">
        <v>227</v>
      </c>
      <c r="D83" s="16"/>
      <c r="E83" s="16"/>
      <c r="F83" s="16"/>
      <c r="G83" s="16"/>
      <c r="H83" s="16"/>
      <c r="I83" s="16"/>
      <c r="J83" s="16"/>
      <c r="K83" s="16"/>
      <c r="L83" s="16"/>
      <c r="M83" s="16">
        <v>267.11147</v>
      </c>
      <c r="N83" s="16"/>
    </row>
    <row r="84" spans="1:14">
      <c r="A84" s="15">
        <v>4001212380</v>
      </c>
      <c r="B84" s="15" t="s">
        <v>199</v>
      </c>
      <c r="C84" s="15" t="s">
        <v>227</v>
      </c>
      <c r="D84" s="16">
        <v>16618.821830000001</v>
      </c>
      <c r="E84" s="16">
        <v>17532.23976</v>
      </c>
      <c r="F84" s="16">
        <v>22146.4764</v>
      </c>
      <c r="G84" s="16">
        <v>40460.898679999998</v>
      </c>
      <c r="H84" s="16">
        <v>23130.365539999999</v>
      </c>
      <c r="I84" s="16">
        <v>24647.888439999999</v>
      </c>
      <c r="J84" s="16">
        <v>27768.375899999999</v>
      </c>
      <c r="K84" s="16">
        <v>18295.214499999998</v>
      </c>
      <c r="L84" s="16">
        <v>32091.388930000001</v>
      </c>
      <c r="M84" s="16">
        <v>34542.577219999999</v>
      </c>
      <c r="N84" s="16">
        <v>22397.247439999999</v>
      </c>
    </row>
    <row r="85" spans="1:14">
      <c r="A85" s="15">
        <v>4001212390</v>
      </c>
      <c r="B85" s="15" t="s">
        <v>21</v>
      </c>
      <c r="C85" s="15" t="s">
        <v>227</v>
      </c>
      <c r="D85" s="16">
        <v>3802.25828</v>
      </c>
      <c r="E85" s="16">
        <v>3724.2453300000002</v>
      </c>
      <c r="F85" s="16">
        <v>3430.2591000000002</v>
      </c>
      <c r="G85" s="16">
        <v>10423.02671</v>
      </c>
      <c r="H85" s="16">
        <v>4355.1869800000004</v>
      </c>
      <c r="I85" s="16">
        <v>6089.3658500000001</v>
      </c>
      <c r="J85" s="16">
        <v>6574.9536399999997</v>
      </c>
      <c r="K85" s="16">
        <v>2597.13472</v>
      </c>
      <c r="L85" s="16">
        <v>6001.4700300000004</v>
      </c>
      <c r="M85" s="16">
        <v>7961.8779599999998</v>
      </c>
      <c r="N85" s="16">
        <v>5908.5837799999999</v>
      </c>
    </row>
    <row r="86" spans="1:14">
      <c r="A86" s="15">
        <v>4001212400</v>
      </c>
      <c r="B86" s="15" t="s">
        <v>200</v>
      </c>
      <c r="C86" s="15" t="s">
        <v>227</v>
      </c>
      <c r="D86" s="16"/>
      <c r="E86" s="16"/>
      <c r="F86" s="16"/>
      <c r="G86" s="16"/>
      <c r="H86" s="16"/>
      <c r="I86" s="16"/>
      <c r="J86" s="16"/>
      <c r="K86" s="16"/>
      <c r="L86" s="16"/>
      <c r="M86" s="16"/>
      <c r="N86" s="16"/>
    </row>
    <row r="87" spans="1:14">
      <c r="A87" s="15">
        <v>4001212410</v>
      </c>
      <c r="B87" s="15" t="s">
        <v>201</v>
      </c>
      <c r="C87" s="15" t="s">
        <v>227</v>
      </c>
      <c r="D87" s="16"/>
      <c r="E87" s="16"/>
      <c r="F87" s="16"/>
      <c r="G87" s="16"/>
      <c r="H87" s="16"/>
      <c r="I87" s="16"/>
      <c r="J87" s="16"/>
      <c r="K87" s="16"/>
      <c r="L87" s="16"/>
      <c r="M87" s="16"/>
      <c r="N87" s="16"/>
    </row>
    <row r="88" spans="1:14">
      <c r="A88" s="15">
        <v>4001212420</v>
      </c>
      <c r="B88" s="15" t="s">
        <v>202</v>
      </c>
      <c r="C88" s="15" t="s">
        <v>227</v>
      </c>
      <c r="D88" s="16">
        <v>12816.563550000001</v>
      </c>
      <c r="E88" s="16">
        <v>13807.994420000001</v>
      </c>
      <c r="F88" s="16">
        <v>18716.2173</v>
      </c>
      <c r="G88" s="16">
        <v>30037.87197</v>
      </c>
      <c r="H88" s="16">
        <v>18775.17856</v>
      </c>
      <c r="I88" s="16">
        <v>18558.52259</v>
      </c>
      <c r="J88" s="16">
        <v>21193.422259999999</v>
      </c>
      <c r="K88" s="16">
        <v>15698.07978</v>
      </c>
      <c r="L88" s="16">
        <v>26089.918900000001</v>
      </c>
      <c r="M88" s="16">
        <v>26580.699260000001</v>
      </c>
      <c r="N88" s="16">
        <v>16488.663649999999</v>
      </c>
    </row>
    <row r="89" spans="1:14">
      <c r="A89" s="15">
        <v>4001212430</v>
      </c>
      <c r="B89" s="15" t="s">
        <v>203</v>
      </c>
      <c r="C89" s="15" t="s">
        <v>227</v>
      </c>
      <c r="D89" s="16"/>
      <c r="E89" s="16"/>
      <c r="F89" s="16"/>
      <c r="G89" s="16"/>
      <c r="H89" s="16"/>
      <c r="I89" s="16"/>
      <c r="J89" s="16"/>
      <c r="K89" s="16"/>
      <c r="L89" s="16"/>
      <c r="M89" s="16"/>
      <c r="N89" s="16"/>
    </row>
    <row r="90" spans="1:14">
      <c r="A90" s="15">
        <v>4001212450</v>
      </c>
      <c r="B90" s="15" t="s">
        <v>204</v>
      </c>
      <c r="C90" s="15" t="s">
        <v>227</v>
      </c>
      <c r="D90" s="16">
        <v>12816.563550000001</v>
      </c>
      <c r="E90" s="16">
        <v>13807.994420000001</v>
      </c>
      <c r="F90" s="16">
        <v>18716.2173</v>
      </c>
      <c r="G90" s="16">
        <v>30037.87197</v>
      </c>
      <c r="H90" s="16">
        <v>18775.17856</v>
      </c>
      <c r="I90" s="16">
        <v>18558.52259</v>
      </c>
      <c r="J90" s="16">
        <v>21193.422259999999</v>
      </c>
      <c r="K90" s="16">
        <v>15698.07978</v>
      </c>
      <c r="L90" s="16">
        <v>26089.918900000001</v>
      </c>
      <c r="M90" s="16">
        <v>26580.699260000001</v>
      </c>
      <c r="N90" s="16">
        <v>16488.663649999999</v>
      </c>
    </row>
    <row r="91" spans="1:14">
      <c r="A91" s="15">
        <v>4001220000</v>
      </c>
      <c r="B91" s="15" t="s">
        <v>205</v>
      </c>
      <c r="C91" s="15" t="s">
        <v>227</v>
      </c>
      <c r="D91" s="16">
        <v>17.896740000000001</v>
      </c>
      <c r="E91" s="16">
        <v>21.094760000000001</v>
      </c>
      <c r="F91" s="16">
        <v>39.490540000000003</v>
      </c>
      <c r="G91" s="16">
        <v>-63.259680000000003</v>
      </c>
      <c r="H91" s="16">
        <v>38.231749999999998</v>
      </c>
      <c r="I91" s="16">
        <v>-14.30068</v>
      </c>
      <c r="J91" s="16">
        <v>15.34422</v>
      </c>
      <c r="K91" s="16">
        <v>-14.47489</v>
      </c>
      <c r="L91" s="16">
        <v>24.252220000000001</v>
      </c>
      <c r="M91" s="16">
        <v>21.625689999999999</v>
      </c>
      <c r="N91" s="16">
        <v>-15.584770000000001</v>
      </c>
    </row>
    <row r="92" spans="1:14">
      <c r="A92" s="15">
        <v>4001220120</v>
      </c>
      <c r="B92" s="15" t="s">
        <v>206</v>
      </c>
      <c r="C92" s="15" t="s">
        <v>227</v>
      </c>
      <c r="D92" s="16">
        <v>12834.460290000001</v>
      </c>
      <c r="E92" s="16">
        <v>13829.089180000001</v>
      </c>
      <c r="F92" s="16">
        <v>18755.707839999999</v>
      </c>
      <c r="G92" s="16">
        <v>29974.612300000001</v>
      </c>
      <c r="H92" s="16">
        <v>18813.410309999999</v>
      </c>
      <c r="I92" s="16">
        <v>18544.22191</v>
      </c>
      <c r="J92" s="16">
        <v>21208.766479999998</v>
      </c>
      <c r="K92" s="16">
        <v>15683.6049</v>
      </c>
      <c r="L92" s="16">
        <v>26114.171119999999</v>
      </c>
      <c r="M92" s="16">
        <v>26602.324949999998</v>
      </c>
      <c r="N92" s="16">
        <v>16473.078880000001</v>
      </c>
    </row>
    <row r="93" spans="1:14">
      <c r="A93" s="15">
        <v>4001230000</v>
      </c>
      <c r="B93" s="15" t="s">
        <v>207</v>
      </c>
      <c r="C93" s="15" t="s">
        <v>227</v>
      </c>
      <c r="D93" s="16">
        <v>12816.563550000001</v>
      </c>
      <c r="E93" s="16">
        <v>13807.994420000001</v>
      </c>
      <c r="F93" s="16">
        <v>18716.2173</v>
      </c>
      <c r="G93" s="16">
        <v>30037.87197</v>
      </c>
      <c r="H93" s="16">
        <v>18775.17856</v>
      </c>
      <c r="I93" s="16">
        <v>18558.52259</v>
      </c>
      <c r="J93" s="16">
        <v>21193.422259999999</v>
      </c>
      <c r="K93" s="16">
        <v>15698.07978</v>
      </c>
      <c r="L93" s="16">
        <v>26089.918900000001</v>
      </c>
      <c r="M93" s="16">
        <v>26580.699260000001</v>
      </c>
      <c r="N93" s="16">
        <v>16488.663649999999</v>
      </c>
    </row>
    <row r="94" spans="1:14">
      <c r="A94" s="15">
        <v>4001230030</v>
      </c>
      <c r="B94" s="15" t="s">
        <v>208</v>
      </c>
      <c r="C94" s="15" t="s">
        <v>227</v>
      </c>
      <c r="D94" s="16"/>
      <c r="E94" s="16"/>
      <c r="F94" s="16"/>
      <c r="G94" s="16"/>
      <c r="H94" s="16"/>
      <c r="I94" s="16"/>
      <c r="J94" s="16"/>
      <c r="K94" s="16"/>
      <c r="L94" s="16"/>
      <c r="M94" s="16"/>
      <c r="N94" s="16"/>
    </row>
    <row r="95" spans="1:14">
      <c r="A95" s="15">
        <v>4001230060</v>
      </c>
      <c r="B95" s="15" t="s">
        <v>209</v>
      </c>
      <c r="C95" s="15" t="s">
        <v>227</v>
      </c>
      <c r="D95" s="16">
        <v>12834.460290000001</v>
      </c>
      <c r="E95" s="16">
        <v>13829.089180000001</v>
      </c>
      <c r="F95" s="16">
        <v>18755.707839999999</v>
      </c>
      <c r="G95" s="16">
        <v>29974.612300000001</v>
      </c>
      <c r="H95" s="16">
        <v>18813.410309999999</v>
      </c>
      <c r="I95" s="16">
        <v>18544.22191</v>
      </c>
      <c r="J95" s="16">
        <v>21208.766479999998</v>
      </c>
      <c r="K95" s="16">
        <v>15683.6049</v>
      </c>
      <c r="L95" s="16">
        <v>26114.171119999999</v>
      </c>
      <c r="M95" s="16">
        <v>26602.324949999998</v>
      </c>
      <c r="N95" s="16">
        <v>16473.078880000001</v>
      </c>
    </row>
    <row r="96" spans="1:14">
      <c r="A96" s="15">
        <v>4001230070</v>
      </c>
      <c r="B96" s="15" t="s">
        <v>210</v>
      </c>
      <c r="C96" s="15" t="s">
        <v>227</v>
      </c>
      <c r="D96" s="16"/>
      <c r="E96" s="16"/>
      <c r="F96" s="16"/>
      <c r="G96" s="16"/>
      <c r="H96" s="16"/>
      <c r="I96" s="16"/>
      <c r="J96" s="16"/>
      <c r="K96" s="16"/>
      <c r="L96" s="16"/>
      <c r="M96" s="16"/>
      <c r="N96" s="16"/>
    </row>
    <row r="97" spans="1:14">
      <c r="A97" s="15">
        <v>4001230080</v>
      </c>
      <c r="B97" s="15" t="s">
        <v>211</v>
      </c>
      <c r="C97" s="15" t="s">
        <v>111</v>
      </c>
      <c r="D97" s="16">
        <v>198</v>
      </c>
      <c r="E97" s="16">
        <v>213</v>
      </c>
      <c r="F97" s="16">
        <v>289</v>
      </c>
      <c r="G97" s="16">
        <v>465</v>
      </c>
      <c r="H97" s="16">
        <v>292</v>
      </c>
      <c r="I97" s="16">
        <v>288</v>
      </c>
      <c r="J97" s="16">
        <v>329</v>
      </c>
      <c r="K97" s="16">
        <v>246</v>
      </c>
      <c r="L97" s="16">
        <v>408</v>
      </c>
      <c r="M97" s="16">
        <v>415</v>
      </c>
      <c r="N97" s="16">
        <v>258</v>
      </c>
    </row>
    <row r="98" spans="1:14">
      <c r="A98" s="15">
        <v>4001230090</v>
      </c>
      <c r="B98" s="15" t="s">
        <v>212</v>
      </c>
      <c r="C98" s="15" t="s">
        <v>111</v>
      </c>
      <c r="D98" s="16">
        <v>198</v>
      </c>
      <c r="E98" s="16">
        <v>213</v>
      </c>
      <c r="F98" s="16">
        <v>289</v>
      </c>
      <c r="G98" s="16">
        <v>465</v>
      </c>
      <c r="H98" s="16">
        <v>292</v>
      </c>
      <c r="I98" s="16">
        <v>288</v>
      </c>
      <c r="J98" s="16">
        <v>329</v>
      </c>
      <c r="K98" s="16">
        <v>246</v>
      </c>
      <c r="L98" s="16">
        <v>408</v>
      </c>
      <c r="M98" s="16">
        <v>415</v>
      </c>
      <c r="N98" s="16">
        <v>258</v>
      </c>
    </row>
    <row r="99" spans="1:14">
      <c r="A99" s="15">
        <v>4001230100</v>
      </c>
      <c r="B99" s="15" t="s">
        <v>213</v>
      </c>
      <c r="C99" s="15" t="s">
        <v>111</v>
      </c>
      <c r="D99" s="16"/>
      <c r="E99" s="16"/>
      <c r="F99" s="16"/>
      <c r="G99" s="16"/>
      <c r="H99" s="16"/>
      <c r="I99" s="16"/>
      <c r="J99" s="16">
        <v>328</v>
      </c>
      <c r="K99" s="16">
        <v>824</v>
      </c>
      <c r="L99" s="16">
        <v>406</v>
      </c>
      <c r="M99" s="16">
        <v>413</v>
      </c>
      <c r="N99" s="16">
        <v>257</v>
      </c>
    </row>
    <row r="100" spans="1:14">
      <c r="A100" s="15">
        <v>4001230110</v>
      </c>
      <c r="B100" s="15" t="s">
        <v>214</v>
      </c>
      <c r="C100" s="15" t="s">
        <v>111</v>
      </c>
      <c r="D100" s="16"/>
      <c r="E100" s="16"/>
      <c r="F100" s="16"/>
      <c r="G100" s="16"/>
      <c r="H100" s="16"/>
      <c r="I100" s="16"/>
      <c r="J100" s="16">
        <v>328</v>
      </c>
      <c r="K100" s="16">
        <v>824</v>
      </c>
      <c r="L100" s="16">
        <v>406</v>
      </c>
      <c r="M100" s="16">
        <v>413</v>
      </c>
      <c r="N100" s="16">
        <v>257</v>
      </c>
    </row>
    <row r="101" spans="1:14">
      <c r="A101" s="15">
        <v>4001230120</v>
      </c>
      <c r="B101" s="15" t="s">
        <v>215</v>
      </c>
      <c r="C101" s="15" t="s">
        <v>111</v>
      </c>
      <c r="D101" s="16">
        <v>198</v>
      </c>
      <c r="E101" s="16">
        <v>213</v>
      </c>
      <c r="F101" s="16">
        <v>289</v>
      </c>
      <c r="G101" s="16">
        <v>465</v>
      </c>
      <c r="H101" s="16">
        <v>292</v>
      </c>
      <c r="I101" s="16">
        <v>288</v>
      </c>
      <c r="J101" s="16">
        <v>329</v>
      </c>
      <c r="K101" s="16">
        <v>246</v>
      </c>
      <c r="L101" s="16">
        <v>408</v>
      </c>
      <c r="M101" s="16">
        <v>415</v>
      </c>
      <c r="N101" s="16">
        <v>258</v>
      </c>
    </row>
    <row r="102" spans="1:14">
      <c r="A102" s="15">
        <v>4001230130</v>
      </c>
      <c r="B102" s="15" t="s">
        <v>216</v>
      </c>
      <c r="C102" s="15" t="s">
        <v>111</v>
      </c>
      <c r="D102" s="16">
        <v>198</v>
      </c>
      <c r="E102" s="16">
        <v>213</v>
      </c>
      <c r="F102" s="16">
        <v>289</v>
      </c>
      <c r="G102" s="16">
        <v>465</v>
      </c>
      <c r="H102" s="16">
        <v>292</v>
      </c>
      <c r="I102" s="16">
        <v>288</v>
      </c>
      <c r="J102" s="16">
        <v>329</v>
      </c>
      <c r="K102" s="16">
        <v>246</v>
      </c>
      <c r="L102" s="16">
        <v>408</v>
      </c>
      <c r="M102" s="16">
        <v>415</v>
      </c>
      <c r="N102" s="16">
        <v>258</v>
      </c>
    </row>
    <row r="103" spans="1:14">
      <c r="A103" s="15">
        <v>4001230140</v>
      </c>
      <c r="B103" s="15" t="s">
        <v>217</v>
      </c>
      <c r="C103" s="15" t="s">
        <v>111</v>
      </c>
      <c r="D103" s="16"/>
      <c r="E103" s="16"/>
      <c r="F103" s="16"/>
      <c r="G103" s="16"/>
      <c r="H103" s="16"/>
      <c r="I103" s="16"/>
      <c r="J103" s="16">
        <v>328</v>
      </c>
      <c r="K103" s="16">
        <v>824</v>
      </c>
      <c r="L103" s="16">
        <v>406</v>
      </c>
      <c r="M103" s="16">
        <v>413</v>
      </c>
      <c r="N103" s="16">
        <v>257</v>
      </c>
    </row>
    <row r="104" spans="1:14">
      <c r="A104" s="15">
        <v>4001230150</v>
      </c>
      <c r="B104" s="15" t="s">
        <v>218</v>
      </c>
      <c r="C104" s="15" t="s">
        <v>111</v>
      </c>
      <c r="D104" s="16"/>
      <c r="E104" s="16"/>
      <c r="F104" s="16"/>
      <c r="G104" s="16"/>
      <c r="H104" s="16"/>
      <c r="I104" s="16"/>
      <c r="J104" s="16">
        <v>328</v>
      </c>
      <c r="K104" s="16">
        <v>824</v>
      </c>
      <c r="L104" s="16">
        <v>406</v>
      </c>
      <c r="M104" s="16">
        <v>413</v>
      </c>
      <c r="N104" s="16">
        <v>257</v>
      </c>
    </row>
    <row r="105" spans="1:14">
      <c r="A105" s="2"/>
      <c r="B105" s="2"/>
      <c r="C105" s="2"/>
      <c r="D105" s="16"/>
      <c r="E105" s="16"/>
      <c r="F105" s="16"/>
      <c r="G105" s="16"/>
      <c r="H105" s="16"/>
      <c r="I105" s="16"/>
      <c r="J105" s="16"/>
      <c r="K105" s="16"/>
      <c r="L105" s="16"/>
      <c r="M105" s="16"/>
      <c r="N105" s="16"/>
    </row>
    <row r="106" spans="1:14">
      <c r="D106" s="17"/>
      <c r="E106" s="17"/>
      <c r="F106" s="17"/>
      <c r="G106" s="17"/>
      <c r="H106" s="17"/>
      <c r="I106" s="17"/>
      <c r="J106" s="17"/>
      <c r="K106" s="17"/>
      <c r="L106" s="17"/>
      <c r="M106" s="17"/>
      <c r="N106" s="17"/>
    </row>
    <row r="107" spans="1:14">
      <c r="D107" s="17"/>
      <c r="E107" s="17"/>
      <c r="F107" s="17"/>
      <c r="G107" s="17"/>
      <c r="H107" s="17"/>
      <c r="I107" s="17"/>
      <c r="J107" s="17"/>
      <c r="K107" s="17"/>
      <c r="L107" s="17"/>
      <c r="M107" s="17"/>
      <c r="N107" s="17"/>
    </row>
    <row r="108" spans="1:14">
      <c r="D108" s="17"/>
      <c r="E108" s="17"/>
      <c r="F108" s="17"/>
      <c r="G108" s="17"/>
      <c r="H108" s="17"/>
      <c r="I108" s="17"/>
      <c r="J108" s="17"/>
      <c r="K108" s="17"/>
      <c r="L108" s="17"/>
      <c r="M108" s="17"/>
      <c r="N108" s="17"/>
    </row>
  </sheetData>
  <phoneticPr fontId="2" type="noConversion"/>
  <conditionalFormatting sqref="B1">
    <cfRule type="expression" dxfId="5" priority="1" stopIfTrue="1">
      <formula>MID($B$1, 15, 10)-TODAY() &lt; 0</formula>
    </cfRule>
  </conditionalFormatting>
  <dataValidations count="7">
    <dataValidation type="list" allowBlank="1" showInputMessage="1" sqref="B5" xr:uid="{8ED04983-6A8D-46A9-B73A-52054AA4A729}">
      <formula1>"전체,재무상태표,손익계산서,현금흐름표,자본금변동표"</formula1>
    </dataValidation>
    <dataValidation type="list" allowBlank="1" showInputMessage="1" sqref="B6" xr:uid="{E24B00DF-0DD4-452F-98A6-1B7F4BBBAAC3}">
      <formula1>"상세(총액),상세(순액),요약,약식"</formula1>
    </dataValidation>
    <dataValidation type="list" allowBlank="1" showInputMessage="1" sqref="B7" xr:uid="{9AA4E615-C88A-4722-8ACA-E35F22E19247}">
      <formula1>"결산,누적분기,당분기"</formula1>
    </dataValidation>
    <dataValidation type="list" allowBlank="1" showInputMessage="1" sqref="C7" xr:uid="{481D7FAF-77C3-46E9-806A-4DC240FD12A8}">
      <formula1>"천원,백만원,억원,십억원"</formula1>
    </dataValidation>
    <dataValidation type="list" allowBlank="1" showInputMessage="1" sqref="B4" xr:uid="{E647C672-DA9A-45C4-A847-5569E94DD2D6}">
      <formula1>"별도,연결"</formula1>
    </dataValidation>
    <dataValidation type="list" allowBlank="1" showInputMessage="1" sqref="B8" xr:uid="{2D0D6837-4E5F-4C38-B701-AD0560700EEA}">
      <formula1>"1983,1984,1985,1986,1987,1988,1989,1990,1991,1992,1993,1994,1995,1996,1997,1998,1999,2000,2001,2002,2003,2004,2005,2006,2007,2008,2009,2010,2011,2012,2013,2014,2015,2016,2017,2018,2019,2020,2021,2022,2023,2024,2025"</formula1>
    </dataValidation>
    <dataValidation type="list" allowBlank="1" showInputMessage="1" sqref="C8" xr:uid="{40909BF5-4E02-4323-ABD8-675BF842C399}">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BADF-482B-4123-B68D-5E97D56F33D0}">
  <sheetPr codeName="Sheet2"/>
  <dimension ref="A1:N85"/>
  <sheetViews>
    <sheetView showGridLines="0" workbookViewId="0"/>
  </sheetViews>
  <sheetFormatPr defaultColWidth="8.8984375" defaultRowHeight="17.399999999999999"/>
  <cols>
    <col min="1" max="1" width="9.5" bestFit="1" customWidth="1"/>
    <col min="2" max="2" width="45.8984375" bestFit="1" customWidth="1"/>
    <col min="3" max="3" width="7" bestFit="1" customWidth="1"/>
    <col min="4" max="14" width="10" bestFit="1" customWidth="1"/>
  </cols>
  <sheetData>
    <row r="1" spans="1:14">
      <c r="B1" s="3" t="s">
        <v>229</v>
      </c>
    </row>
    <row r="2" spans="1:14">
      <c r="A2" s="4" t="s">
        <v>34</v>
      </c>
      <c r="B2" s="4"/>
      <c r="C2" s="4"/>
      <c r="D2" s="4"/>
      <c r="E2" s="4"/>
      <c r="F2" s="4"/>
      <c r="G2" s="4"/>
      <c r="H2" s="4"/>
      <c r="I2" s="4"/>
      <c r="J2" s="4"/>
      <c r="K2" s="4"/>
      <c r="L2" s="4"/>
      <c r="M2" s="4"/>
      <c r="N2" s="4"/>
    </row>
    <row r="3" spans="1:14">
      <c r="A3" s="5" t="s">
        <v>36</v>
      </c>
      <c r="B3" s="5" t="s">
        <v>124</v>
      </c>
      <c r="C3" s="5"/>
      <c r="D3" s="5"/>
      <c r="E3" s="5"/>
      <c r="F3" s="5"/>
      <c r="G3" s="5"/>
      <c r="H3" s="5"/>
      <c r="I3" s="5"/>
      <c r="J3" s="5"/>
      <c r="K3" s="5"/>
      <c r="L3" s="5"/>
      <c r="M3" s="5"/>
      <c r="N3" s="5"/>
    </row>
    <row r="4" spans="1:14">
      <c r="A4" s="5" t="s">
        <v>37</v>
      </c>
      <c r="B4" s="9" t="s">
        <v>130</v>
      </c>
      <c r="C4" s="5" t="s">
        <v>125</v>
      </c>
      <c r="D4" s="5" t="s">
        <v>129</v>
      </c>
      <c r="E4" s="5"/>
      <c r="F4" s="5"/>
      <c r="G4" s="5"/>
      <c r="H4" s="5"/>
      <c r="I4" s="5"/>
      <c r="J4" s="5"/>
      <c r="K4" s="5"/>
      <c r="L4" s="5"/>
      <c r="M4" s="5"/>
      <c r="N4" s="5"/>
    </row>
    <row r="5" spans="1:14">
      <c r="A5" s="5" t="s">
        <v>38</v>
      </c>
      <c r="B5" s="12" t="s">
        <v>126</v>
      </c>
      <c r="C5" s="5" t="s">
        <v>35</v>
      </c>
      <c r="D5" s="5"/>
      <c r="E5" s="5"/>
      <c r="F5" s="5"/>
      <c r="G5" s="5"/>
      <c r="H5" s="5"/>
      <c r="I5" s="5"/>
      <c r="J5" s="5"/>
      <c r="K5" s="5"/>
      <c r="L5" s="5"/>
      <c r="M5" s="5"/>
      <c r="N5" s="5"/>
    </row>
    <row r="6" spans="1:14">
      <c r="A6" s="5" t="s">
        <v>39</v>
      </c>
      <c r="B6" s="10" t="s">
        <v>127</v>
      </c>
      <c r="C6" s="5"/>
      <c r="D6" s="5"/>
      <c r="E6" s="5"/>
      <c r="F6" s="5"/>
      <c r="G6" s="5"/>
      <c r="H6" s="5"/>
      <c r="I6" s="5"/>
      <c r="J6" s="5"/>
      <c r="K6" s="5"/>
      <c r="L6" s="5"/>
      <c r="M6" s="5"/>
      <c r="N6" s="5"/>
    </row>
    <row r="7" spans="1:14">
      <c r="A7" s="5" t="s">
        <v>40</v>
      </c>
      <c r="B7" s="13" t="s">
        <v>128</v>
      </c>
      <c r="C7" s="10" t="s">
        <v>227</v>
      </c>
      <c r="D7" s="5"/>
      <c r="E7" s="5"/>
      <c r="F7" s="5"/>
      <c r="G7" s="5"/>
      <c r="H7" s="5"/>
      <c r="I7" s="5"/>
      <c r="J7" s="5"/>
      <c r="K7" s="5"/>
      <c r="L7" s="5"/>
      <c r="M7" s="5"/>
      <c r="N7" s="5"/>
    </row>
    <row r="8" spans="1:14">
      <c r="A8" s="6" t="s">
        <v>123</v>
      </c>
      <c r="B8" s="11">
        <v>2022</v>
      </c>
      <c r="C8" s="9" t="s">
        <v>131</v>
      </c>
      <c r="D8" s="6"/>
      <c r="E8" s="6"/>
      <c r="F8" s="6"/>
      <c r="G8" s="6"/>
      <c r="H8" s="6"/>
      <c r="I8" s="6"/>
      <c r="J8" s="6"/>
      <c r="K8" s="6"/>
      <c r="L8" s="6"/>
      <c r="M8" s="6"/>
      <c r="N8" s="6"/>
    </row>
    <row r="9" spans="1:14">
      <c r="A9" s="7" t="s">
        <v>41</v>
      </c>
      <c r="B9" s="14" t="s">
        <v>42</v>
      </c>
      <c r="C9" s="14" t="s">
        <v>43</v>
      </c>
      <c r="D9" s="7" t="s">
        <v>44</v>
      </c>
      <c r="E9" s="7" t="s">
        <v>45</v>
      </c>
      <c r="F9" s="7" t="s">
        <v>46</v>
      </c>
      <c r="G9" s="7" t="s">
        <v>47</v>
      </c>
      <c r="H9" s="7" t="s">
        <v>48</v>
      </c>
      <c r="I9" s="7" t="s">
        <v>49</v>
      </c>
      <c r="J9" s="7" t="s">
        <v>50</v>
      </c>
      <c r="K9" s="7" t="s">
        <v>51</v>
      </c>
      <c r="L9" s="7" t="s">
        <v>52</v>
      </c>
      <c r="M9" s="7" t="s">
        <v>53</v>
      </c>
      <c r="N9" s="7" t="s">
        <v>54</v>
      </c>
    </row>
    <row r="10" spans="1:14">
      <c r="A10" s="8"/>
      <c r="B10" s="8"/>
      <c r="C10" s="8"/>
      <c r="D10" s="8" t="s">
        <v>55</v>
      </c>
      <c r="E10" s="8" t="s">
        <v>55</v>
      </c>
      <c r="F10" s="8" t="s">
        <v>55</v>
      </c>
      <c r="G10" s="8" t="s">
        <v>55</v>
      </c>
      <c r="H10" s="8" t="s">
        <v>55</v>
      </c>
      <c r="I10" s="8" t="s">
        <v>55</v>
      </c>
      <c r="J10" s="8" t="s">
        <v>55</v>
      </c>
      <c r="K10" s="8" t="s">
        <v>55</v>
      </c>
      <c r="L10" s="8" t="s">
        <v>55</v>
      </c>
      <c r="M10" s="8" t="s">
        <v>55</v>
      </c>
      <c r="N10" s="8" t="s">
        <v>55</v>
      </c>
    </row>
    <row r="11" spans="1:14">
      <c r="A11" s="15">
        <v>4001190010</v>
      </c>
      <c r="B11" s="15" t="s">
        <v>56</v>
      </c>
      <c r="C11" s="15" t="s">
        <v>227</v>
      </c>
      <c r="D11" s="16">
        <v>304075.81478999997</v>
      </c>
      <c r="E11" s="16">
        <v>312182.54966999998</v>
      </c>
      <c r="F11" s="16">
        <v>334294.15941999998</v>
      </c>
      <c r="G11" s="16">
        <v>331411.10829</v>
      </c>
      <c r="H11" s="16">
        <v>352378.25724000001</v>
      </c>
      <c r="I11" s="16">
        <v>359536.76952999999</v>
      </c>
      <c r="J11" s="16">
        <v>363110.04924999998</v>
      </c>
      <c r="K11" s="16">
        <v>375443.02175000001</v>
      </c>
      <c r="L11" s="16">
        <v>402862.55731</v>
      </c>
      <c r="M11" s="16">
        <v>418525.08781</v>
      </c>
      <c r="N11" s="16">
        <v>433669.19069000002</v>
      </c>
    </row>
    <row r="12" spans="1:14">
      <c r="A12" s="15">
        <v>4001190240</v>
      </c>
      <c r="B12" s="15" t="s">
        <v>57</v>
      </c>
      <c r="C12" s="15" t="s">
        <v>227</v>
      </c>
      <c r="D12" s="16">
        <v>92715.110839999994</v>
      </c>
      <c r="E12" s="16">
        <v>101291.63825</v>
      </c>
      <c r="F12" s="16">
        <v>123516.09409</v>
      </c>
      <c r="G12" s="16">
        <v>147788.69072000001</v>
      </c>
      <c r="H12" s="16">
        <v>168588.54498999999</v>
      </c>
      <c r="I12" s="16">
        <v>171307.52317</v>
      </c>
      <c r="J12" s="16">
        <v>174594.21909</v>
      </c>
      <c r="K12" s="16">
        <v>185737.48306999999</v>
      </c>
      <c r="L12" s="16">
        <v>212555.72931</v>
      </c>
      <c r="M12" s="16">
        <v>187148.80069</v>
      </c>
      <c r="N12" s="16">
        <v>202195.67086000001</v>
      </c>
    </row>
    <row r="13" spans="1:14">
      <c r="A13" s="15">
        <v>4001190250</v>
      </c>
      <c r="B13" s="15" t="s">
        <v>58</v>
      </c>
      <c r="C13" s="15" t="s">
        <v>227</v>
      </c>
      <c r="D13" s="16">
        <v>18897.35426</v>
      </c>
      <c r="E13" s="16">
        <v>22425.612140000001</v>
      </c>
      <c r="F13" s="16">
        <v>25110.388920000001</v>
      </c>
      <c r="G13" s="16">
        <v>23397.666980000002</v>
      </c>
      <c r="H13" s="16">
        <v>22444.79866</v>
      </c>
      <c r="I13" s="16">
        <v>22393.907859999999</v>
      </c>
      <c r="J13" s="16">
        <v>21607.03225</v>
      </c>
      <c r="K13" s="16">
        <v>19434.327929999999</v>
      </c>
      <c r="L13" s="16">
        <v>19355.875769999999</v>
      </c>
      <c r="M13" s="16">
        <v>17860.255969999998</v>
      </c>
      <c r="N13" s="16">
        <v>16736.942159999999</v>
      </c>
    </row>
    <row r="14" spans="1:14">
      <c r="A14" s="15">
        <v>4001190260</v>
      </c>
      <c r="B14" s="15" t="s">
        <v>59</v>
      </c>
      <c r="C14" s="15" t="s">
        <v>227</v>
      </c>
      <c r="D14" s="16"/>
      <c r="E14" s="16"/>
      <c r="F14" s="16"/>
      <c r="G14" s="16"/>
      <c r="H14" s="16"/>
      <c r="I14" s="16"/>
      <c r="J14" s="16"/>
      <c r="K14" s="16"/>
      <c r="L14" s="16"/>
      <c r="M14" s="16"/>
      <c r="N14" s="16"/>
    </row>
    <row r="15" spans="1:14">
      <c r="A15" s="15">
        <v>4001190270</v>
      </c>
      <c r="B15" s="15" t="s">
        <v>60</v>
      </c>
      <c r="C15" s="15" t="s">
        <v>227</v>
      </c>
      <c r="D15" s="16">
        <v>1781</v>
      </c>
      <c r="E15" s="16">
        <v>21881</v>
      </c>
      <c r="F15" s="16">
        <v>19796.285199999998</v>
      </c>
      <c r="G15" s="16">
        <v>87219.081139999995</v>
      </c>
      <c r="H15" s="16">
        <v>117358.36581</v>
      </c>
      <c r="I15" s="16">
        <v>121282.68799999999</v>
      </c>
      <c r="J15" s="16">
        <v>116870.06023</v>
      </c>
      <c r="K15" s="16">
        <v>119501.65962999999</v>
      </c>
      <c r="L15" s="16">
        <v>108304.48850000001</v>
      </c>
      <c r="M15" s="16">
        <v>111047.02589</v>
      </c>
      <c r="N15" s="16">
        <v>145489.15145999999</v>
      </c>
    </row>
    <row r="16" spans="1:14">
      <c r="A16" s="15">
        <v>4001190300</v>
      </c>
      <c r="B16" s="15" t="s">
        <v>61</v>
      </c>
      <c r="C16" s="15" t="s">
        <v>227</v>
      </c>
      <c r="D16" s="16">
        <v>5994.4780000000001</v>
      </c>
      <c r="E16" s="16">
        <v>5349.6292299999996</v>
      </c>
      <c r="F16" s="16">
        <v>8579.1319999999996</v>
      </c>
      <c r="G16" s="16">
        <v>8437.6219999999994</v>
      </c>
      <c r="H16" s="16">
        <v>11746.179</v>
      </c>
      <c r="I16" s="16">
        <v>14297.198</v>
      </c>
      <c r="J16" s="16">
        <v>18206.947</v>
      </c>
      <c r="K16" s="16">
        <v>18162.509999999998</v>
      </c>
      <c r="L16" s="16">
        <v>24382.317999999999</v>
      </c>
      <c r="M16" s="16">
        <v>32243.455000000002</v>
      </c>
      <c r="N16" s="16">
        <v>33227.050999999999</v>
      </c>
    </row>
    <row r="17" spans="1:14">
      <c r="A17" s="15">
        <v>4001113900</v>
      </c>
      <c r="B17" s="15" t="s">
        <v>62</v>
      </c>
      <c r="C17" s="15" t="s">
        <v>227</v>
      </c>
      <c r="D17" s="16">
        <v>24.958220000000001</v>
      </c>
      <c r="E17" s="16">
        <v>26.650549999999999</v>
      </c>
      <c r="F17" s="16">
        <v>29.575530000000001</v>
      </c>
      <c r="G17" s="16">
        <v>24.52732</v>
      </c>
      <c r="H17" s="16">
        <v>25.233750000000001</v>
      </c>
      <c r="I17" s="16">
        <v>26.89875</v>
      </c>
      <c r="J17" s="16">
        <v>203.45596</v>
      </c>
      <c r="K17" s="16">
        <v>25.52638</v>
      </c>
      <c r="L17" s="16">
        <v>26.640599999999999</v>
      </c>
      <c r="M17" s="16">
        <v>27.46969</v>
      </c>
      <c r="N17" s="16">
        <v>26.158080000000002</v>
      </c>
    </row>
    <row r="18" spans="1:14">
      <c r="A18" s="15">
        <v>4001180995</v>
      </c>
      <c r="B18" s="15" t="s">
        <v>63</v>
      </c>
      <c r="C18" s="15" t="s">
        <v>227</v>
      </c>
      <c r="D18" s="16"/>
      <c r="E18" s="16"/>
      <c r="F18" s="16"/>
      <c r="G18" s="16"/>
      <c r="H18" s="16"/>
      <c r="I18" s="16"/>
      <c r="J18" s="16"/>
      <c r="K18" s="16"/>
      <c r="L18" s="16"/>
      <c r="M18" s="16"/>
      <c r="N18" s="16"/>
    </row>
    <row r="19" spans="1:14">
      <c r="A19" s="15">
        <v>4001113903</v>
      </c>
      <c r="B19" s="15" t="s">
        <v>64</v>
      </c>
      <c r="C19" s="15" t="s">
        <v>227</v>
      </c>
      <c r="D19" s="16"/>
      <c r="E19" s="16"/>
      <c r="F19" s="16"/>
      <c r="G19" s="16"/>
      <c r="H19" s="16"/>
      <c r="I19" s="16"/>
      <c r="J19" s="16"/>
      <c r="K19" s="16"/>
      <c r="L19" s="16"/>
      <c r="M19" s="16"/>
      <c r="N19" s="16"/>
    </row>
    <row r="20" spans="1:14">
      <c r="A20" s="15">
        <v>4001113904</v>
      </c>
      <c r="B20" s="15" t="s">
        <v>65</v>
      </c>
      <c r="C20" s="15" t="s">
        <v>227</v>
      </c>
      <c r="D20" s="16"/>
      <c r="E20" s="16"/>
      <c r="F20" s="16"/>
      <c r="G20" s="16"/>
      <c r="H20" s="16"/>
      <c r="I20" s="16"/>
      <c r="J20" s="16"/>
      <c r="K20" s="16"/>
      <c r="L20" s="16"/>
      <c r="M20" s="16"/>
      <c r="N20" s="16"/>
    </row>
    <row r="21" spans="1:14">
      <c r="A21" s="15">
        <v>4001190340</v>
      </c>
      <c r="B21" s="15" t="s">
        <v>66</v>
      </c>
      <c r="C21" s="15" t="s">
        <v>227</v>
      </c>
      <c r="D21" s="16">
        <v>8540.7059000000008</v>
      </c>
      <c r="E21" s="16">
        <v>3564.5272</v>
      </c>
      <c r="F21" s="16">
        <v>3332.3225000000002</v>
      </c>
      <c r="G21" s="16">
        <v>2705.3074799999999</v>
      </c>
      <c r="H21" s="16">
        <v>3831.1789199999998</v>
      </c>
      <c r="I21" s="16">
        <v>3222.8782999999999</v>
      </c>
      <c r="J21" s="16">
        <v>10766.05877</v>
      </c>
      <c r="K21" s="16">
        <v>10277.253769999999</v>
      </c>
      <c r="L21" s="16">
        <v>9879.9717000000001</v>
      </c>
      <c r="M21" s="16">
        <v>1697.3776600000001</v>
      </c>
      <c r="N21" s="16">
        <v>3526.2995000000001</v>
      </c>
    </row>
    <row r="22" spans="1:14">
      <c r="A22" s="15">
        <v>4001190370</v>
      </c>
      <c r="B22" s="15" t="s">
        <v>67</v>
      </c>
      <c r="C22" s="15" t="s">
        <v>227</v>
      </c>
      <c r="D22" s="16">
        <v>57476.614000000001</v>
      </c>
      <c r="E22" s="16">
        <v>48044.218999999997</v>
      </c>
      <c r="F22" s="16">
        <v>66668.39</v>
      </c>
      <c r="G22" s="16">
        <v>26004.485000000001</v>
      </c>
      <c r="H22" s="16">
        <v>13182.789000000001</v>
      </c>
      <c r="I22" s="16">
        <v>10083.953</v>
      </c>
      <c r="J22" s="16">
        <v>6940.6660000000002</v>
      </c>
      <c r="K22" s="16">
        <v>18336.205000000002</v>
      </c>
      <c r="L22" s="16">
        <v>50606.434999999998</v>
      </c>
      <c r="M22" s="16">
        <v>24273.217000000001</v>
      </c>
      <c r="N22" s="16">
        <v>3190.069</v>
      </c>
    </row>
    <row r="23" spans="1:14">
      <c r="A23" s="15">
        <v>4001114130</v>
      </c>
      <c r="B23" s="15" t="s">
        <v>68</v>
      </c>
      <c r="C23" s="15" t="s">
        <v>227</v>
      </c>
      <c r="D23" s="16"/>
      <c r="E23" s="16"/>
      <c r="F23" s="16"/>
      <c r="G23" s="16"/>
      <c r="H23" s="16"/>
      <c r="I23" s="16"/>
      <c r="J23" s="16"/>
      <c r="K23" s="16"/>
      <c r="L23" s="16"/>
      <c r="M23" s="16"/>
      <c r="N23" s="16"/>
    </row>
    <row r="24" spans="1:14">
      <c r="A24" s="15">
        <v>4001190020</v>
      </c>
      <c r="B24" s="15" t="s">
        <v>69</v>
      </c>
      <c r="C24" s="15" t="s">
        <v>227</v>
      </c>
      <c r="D24" s="16">
        <v>211360.70395</v>
      </c>
      <c r="E24" s="16">
        <v>210890.91141999999</v>
      </c>
      <c r="F24" s="16">
        <v>210778.06533000001</v>
      </c>
      <c r="G24" s="16">
        <v>183622.41756999999</v>
      </c>
      <c r="H24" s="16">
        <v>183789.71223999999</v>
      </c>
      <c r="I24" s="16">
        <v>188229.24635999999</v>
      </c>
      <c r="J24" s="16">
        <v>188515.83014999999</v>
      </c>
      <c r="K24" s="16">
        <v>189705.53868</v>
      </c>
      <c r="L24" s="16">
        <v>190306.82801</v>
      </c>
      <c r="M24" s="16">
        <v>231376.28711999999</v>
      </c>
      <c r="N24" s="16">
        <v>231473.51983</v>
      </c>
    </row>
    <row r="25" spans="1:14">
      <c r="A25" s="15">
        <v>4001190030</v>
      </c>
      <c r="B25" s="15" t="s">
        <v>70</v>
      </c>
      <c r="C25" s="15" t="s">
        <v>227</v>
      </c>
      <c r="D25" s="16">
        <v>104563.79813</v>
      </c>
      <c r="E25" s="16">
        <v>132475.06567000001</v>
      </c>
      <c r="F25" s="16">
        <v>131988.20246</v>
      </c>
      <c r="G25" s="16">
        <v>104241.59458999999</v>
      </c>
      <c r="H25" s="16">
        <v>121179.00108</v>
      </c>
      <c r="I25" s="16">
        <v>121940.52068</v>
      </c>
      <c r="J25" s="16">
        <v>125210.86791</v>
      </c>
      <c r="K25" s="16">
        <v>138988.71488000001</v>
      </c>
      <c r="L25" s="16">
        <v>143523.97523000001</v>
      </c>
      <c r="M25" s="16">
        <v>143385.57732000001</v>
      </c>
      <c r="N25" s="16">
        <v>150171.22852</v>
      </c>
    </row>
    <row r="26" spans="1:14">
      <c r="A26" s="15">
        <v>4001190070</v>
      </c>
      <c r="B26" s="15" t="s">
        <v>71</v>
      </c>
      <c r="C26" s="15" t="s">
        <v>227</v>
      </c>
      <c r="D26" s="16">
        <v>1214.577</v>
      </c>
      <c r="E26" s="16">
        <v>1368.981</v>
      </c>
      <c r="F26" s="16">
        <v>1456.9949999999999</v>
      </c>
      <c r="G26" s="16">
        <v>1478.37</v>
      </c>
      <c r="H26" s="16">
        <v>1644.9480000000001</v>
      </c>
      <c r="I26" s="16">
        <v>1945.8689999999999</v>
      </c>
      <c r="J26" s="16">
        <v>2336.7939999999999</v>
      </c>
      <c r="K26" s="16">
        <v>2822.297</v>
      </c>
      <c r="L26" s="16">
        <v>4575.2380000000003</v>
      </c>
      <c r="M26" s="16">
        <v>6514.2830000000004</v>
      </c>
      <c r="N26" s="16">
        <v>7605.3810000000003</v>
      </c>
    </row>
    <row r="27" spans="1:14">
      <c r="A27" s="15">
        <v>4001190110</v>
      </c>
      <c r="B27" s="15" t="s">
        <v>72</v>
      </c>
      <c r="C27" s="15" t="s">
        <v>227</v>
      </c>
      <c r="D27" s="16"/>
      <c r="E27" s="16"/>
      <c r="F27" s="16"/>
      <c r="G27" s="16"/>
      <c r="H27" s="16"/>
      <c r="I27" s="16"/>
      <c r="J27" s="16"/>
      <c r="K27" s="16"/>
      <c r="L27" s="16"/>
      <c r="M27" s="16"/>
      <c r="N27" s="16"/>
    </row>
    <row r="28" spans="1:14">
      <c r="A28" s="15">
        <v>4001190120</v>
      </c>
      <c r="B28" s="15" t="s">
        <v>73</v>
      </c>
      <c r="C28" s="15" t="s">
        <v>227</v>
      </c>
      <c r="D28" s="16">
        <v>103467.47566</v>
      </c>
      <c r="E28" s="16">
        <v>74917.254629999996</v>
      </c>
      <c r="F28" s="16">
        <v>74762.03009</v>
      </c>
      <c r="G28" s="16">
        <v>74654.142439999996</v>
      </c>
      <c r="H28" s="16">
        <v>57707.046390000003</v>
      </c>
      <c r="I28" s="16">
        <v>57623.529419999999</v>
      </c>
      <c r="J28" s="16">
        <v>54579.83455</v>
      </c>
      <c r="K28" s="16">
        <v>41087.737050000003</v>
      </c>
      <c r="L28" s="16">
        <v>36270.455329999997</v>
      </c>
      <c r="M28" s="16">
        <v>36217.656990000003</v>
      </c>
      <c r="N28" s="16">
        <v>29487.6649</v>
      </c>
    </row>
    <row r="29" spans="1:14">
      <c r="A29" s="15">
        <v>4001190130</v>
      </c>
      <c r="B29" s="15" t="s">
        <v>74</v>
      </c>
      <c r="C29" s="15" t="s">
        <v>227</v>
      </c>
      <c r="D29" s="16">
        <v>1447.6804099999999</v>
      </c>
      <c r="E29" s="16">
        <v>1385.35601</v>
      </c>
      <c r="F29" s="16">
        <v>1584.0398600000001</v>
      </c>
      <c r="G29" s="16">
        <v>1369.6593</v>
      </c>
      <c r="H29" s="16">
        <v>1355.51</v>
      </c>
      <c r="I29" s="16">
        <v>5026.7075699999996</v>
      </c>
      <c r="J29" s="16">
        <v>4753.4535699999997</v>
      </c>
      <c r="K29" s="16">
        <v>4207.6555600000002</v>
      </c>
      <c r="L29" s="16">
        <v>3536.3855699999999</v>
      </c>
      <c r="M29" s="16">
        <v>4082.6755699999999</v>
      </c>
      <c r="N29" s="16">
        <v>3711.1355699999999</v>
      </c>
    </row>
    <row r="30" spans="1:14">
      <c r="A30" s="15">
        <v>4001111660</v>
      </c>
      <c r="B30" s="15" t="s">
        <v>75</v>
      </c>
      <c r="C30" s="15" t="s">
        <v>227</v>
      </c>
      <c r="D30" s="16"/>
      <c r="E30" s="16"/>
      <c r="F30" s="16"/>
      <c r="G30" s="16"/>
      <c r="H30" s="16"/>
      <c r="I30" s="16"/>
      <c r="J30" s="16"/>
      <c r="K30" s="16"/>
      <c r="L30" s="16"/>
      <c r="M30" s="16">
        <v>39124.212630000002</v>
      </c>
      <c r="N30" s="16">
        <v>38303.347139999998</v>
      </c>
    </row>
    <row r="31" spans="1:14">
      <c r="A31" s="15">
        <v>4001190160</v>
      </c>
      <c r="B31" s="15" t="s">
        <v>76</v>
      </c>
      <c r="C31" s="15" t="s">
        <v>227</v>
      </c>
      <c r="D31" s="16"/>
      <c r="E31" s="16"/>
      <c r="F31" s="16"/>
      <c r="G31" s="16"/>
      <c r="H31" s="16"/>
      <c r="I31" s="16"/>
      <c r="J31" s="16"/>
      <c r="K31" s="16"/>
      <c r="L31" s="16"/>
      <c r="M31" s="16"/>
      <c r="N31" s="16"/>
    </row>
    <row r="32" spans="1:14">
      <c r="A32" s="15">
        <v>4001112490</v>
      </c>
      <c r="B32" s="15" t="s">
        <v>77</v>
      </c>
      <c r="C32" s="15" t="s">
        <v>227</v>
      </c>
      <c r="D32" s="16"/>
      <c r="E32" s="16"/>
      <c r="F32" s="16"/>
      <c r="G32" s="16">
        <v>788.00773000000004</v>
      </c>
      <c r="H32" s="16">
        <v>797.83570999999995</v>
      </c>
      <c r="I32" s="16">
        <v>217.46075999999999</v>
      </c>
      <c r="J32" s="16">
        <v>217.46075999999999</v>
      </c>
      <c r="K32" s="16">
        <v>1381.83068</v>
      </c>
      <c r="L32" s="16">
        <v>1381.83068</v>
      </c>
      <c r="M32" s="16">
        <v>1169.6126300000001</v>
      </c>
      <c r="N32" s="16">
        <v>1359.2325599999999</v>
      </c>
    </row>
    <row r="33" spans="1:14">
      <c r="A33" s="15">
        <v>4001112500</v>
      </c>
      <c r="B33" s="15" t="s">
        <v>78</v>
      </c>
      <c r="C33" s="15" t="s">
        <v>227</v>
      </c>
      <c r="D33" s="16"/>
      <c r="E33" s="16"/>
      <c r="F33" s="16"/>
      <c r="G33" s="16"/>
      <c r="H33" s="16"/>
      <c r="I33" s="16"/>
      <c r="J33" s="16"/>
      <c r="K33" s="16"/>
      <c r="L33" s="16"/>
      <c r="M33" s="16"/>
      <c r="N33" s="16"/>
    </row>
    <row r="34" spans="1:14">
      <c r="A34" s="15">
        <v>4001180575</v>
      </c>
      <c r="B34" s="15" t="s">
        <v>63</v>
      </c>
      <c r="C34" s="15" t="s">
        <v>227</v>
      </c>
      <c r="D34" s="16"/>
      <c r="E34" s="16"/>
      <c r="F34" s="16"/>
      <c r="G34" s="16"/>
      <c r="H34" s="16"/>
      <c r="I34" s="16"/>
      <c r="J34" s="16"/>
      <c r="K34" s="16"/>
      <c r="L34" s="16"/>
      <c r="M34" s="16"/>
      <c r="N34" s="16"/>
    </row>
    <row r="35" spans="1:14">
      <c r="A35" s="15">
        <v>4001112503</v>
      </c>
      <c r="B35" s="15" t="s">
        <v>64</v>
      </c>
      <c r="C35" s="15" t="s">
        <v>227</v>
      </c>
      <c r="D35" s="16"/>
      <c r="E35" s="16"/>
      <c r="F35" s="16"/>
      <c r="G35" s="16"/>
      <c r="H35" s="16"/>
      <c r="I35" s="16"/>
      <c r="J35" s="16"/>
      <c r="K35" s="16"/>
      <c r="L35" s="16"/>
      <c r="M35" s="16"/>
      <c r="N35" s="16"/>
    </row>
    <row r="36" spans="1:14">
      <c r="A36" s="15">
        <v>4001112504</v>
      </c>
      <c r="B36" s="15" t="s">
        <v>65</v>
      </c>
      <c r="C36" s="15" t="s">
        <v>227</v>
      </c>
      <c r="D36" s="16"/>
      <c r="E36" s="16"/>
      <c r="F36" s="16"/>
      <c r="G36" s="16"/>
      <c r="H36" s="16"/>
      <c r="I36" s="16"/>
      <c r="J36" s="16"/>
      <c r="K36" s="16"/>
      <c r="L36" s="16"/>
      <c r="M36" s="16"/>
      <c r="N36" s="16"/>
    </row>
    <row r="37" spans="1:14">
      <c r="A37" s="15">
        <v>4001190200</v>
      </c>
      <c r="B37" s="15" t="s">
        <v>79</v>
      </c>
      <c r="C37" s="15" t="s">
        <v>227</v>
      </c>
      <c r="D37" s="16">
        <v>667.17363999999998</v>
      </c>
      <c r="E37" s="16">
        <v>744.25419999999997</v>
      </c>
      <c r="F37" s="16">
        <v>986.79746999999998</v>
      </c>
      <c r="G37" s="16">
        <v>1090.64408</v>
      </c>
      <c r="H37" s="16">
        <v>1105.3705399999999</v>
      </c>
      <c r="I37" s="16">
        <v>1475.15879</v>
      </c>
      <c r="J37" s="16">
        <v>1417.4187899999999</v>
      </c>
      <c r="K37" s="16">
        <v>1217.30376</v>
      </c>
      <c r="L37" s="16">
        <v>1018.94357</v>
      </c>
      <c r="M37" s="16">
        <v>882.26792999999998</v>
      </c>
      <c r="N37" s="16">
        <v>835.52928999999995</v>
      </c>
    </row>
    <row r="38" spans="1:14">
      <c r="A38" s="15">
        <v>4001112880</v>
      </c>
      <c r="B38" s="15" t="s">
        <v>80</v>
      </c>
      <c r="C38" s="15" t="s">
        <v>227</v>
      </c>
      <c r="D38" s="16"/>
      <c r="E38" s="16"/>
      <c r="F38" s="16"/>
      <c r="G38" s="16"/>
      <c r="H38" s="16"/>
      <c r="I38" s="16"/>
      <c r="J38" s="16"/>
      <c r="K38" s="16"/>
      <c r="L38" s="16"/>
      <c r="M38" s="16"/>
      <c r="N38" s="16"/>
    </row>
    <row r="39" spans="1:14">
      <c r="A39" s="15">
        <v>4001190440</v>
      </c>
      <c r="B39" s="15" t="s">
        <v>81</v>
      </c>
      <c r="C39" s="15" t="s">
        <v>227</v>
      </c>
      <c r="D39" s="16">
        <v>131659.39085</v>
      </c>
      <c r="E39" s="16">
        <v>125937.03655</v>
      </c>
      <c r="F39" s="16">
        <v>132548.07626</v>
      </c>
      <c r="G39" s="16">
        <v>101857.25113</v>
      </c>
      <c r="H39" s="16">
        <v>111471.35415</v>
      </c>
      <c r="I39" s="16">
        <v>99556.2647</v>
      </c>
      <c r="J39" s="16">
        <v>91940.687739999994</v>
      </c>
      <c r="K39" s="16">
        <v>91942.522089999999</v>
      </c>
      <c r="L39" s="16">
        <v>105627.39581</v>
      </c>
      <c r="M39" s="16">
        <v>93593.965890000007</v>
      </c>
      <c r="N39" s="16">
        <v>91694.121570000003</v>
      </c>
    </row>
    <row r="40" spans="1:14">
      <c r="A40" s="15">
        <v>4001190610</v>
      </c>
      <c r="B40" s="15" t="s">
        <v>82</v>
      </c>
      <c r="C40" s="15" t="s">
        <v>227</v>
      </c>
      <c r="D40" s="16">
        <v>28639.06684</v>
      </c>
      <c r="E40" s="16">
        <v>23830.713970000001</v>
      </c>
      <c r="F40" s="16">
        <v>30950.188409999999</v>
      </c>
      <c r="G40" s="16">
        <v>36225.225299999998</v>
      </c>
      <c r="H40" s="16">
        <v>46341.958489999997</v>
      </c>
      <c r="I40" s="16">
        <v>34842.197820000001</v>
      </c>
      <c r="J40" s="16">
        <v>28294.889490000001</v>
      </c>
      <c r="K40" s="16">
        <v>29246.386630000001</v>
      </c>
      <c r="L40" s="16">
        <v>105042.69977000001</v>
      </c>
      <c r="M40" s="16">
        <v>93051.08253</v>
      </c>
      <c r="N40" s="16">
        <v>91165.170490000004</v>
      </c>
    </row>
    <row r="41" spans="1:14">
      <c r="A41" s="15">
        <v>4001181470</v>
      </c>
      <c r="B41" s="15" t="s">
        <v>83</v>
      </c>
      <c r="C41" s="15" t="s">
        <v>227</v>
      </c>
      <c r="D41" s="16"/>
      <c r="E41" s="16"/>
      <c r="F41" s="16"/>
      <c r="G41" s="16"/>
      <c r="H41" s="16"/>
      <c r="I41" s="16"/>
      <c r="J41" s="16"/>
      <c r="K41" s="16"/>
      <c r="L41" s="16"/>
      <c r="M41" s="16"/>
      <c r="N41" s="16"/>
    </row>
    <row r="42" spans="1:14">
      <c r="A42" s="15">
        <v>4001121700</v>
      </c>
      <c r="B42" s="15" t="s">
        <v>84</v>
      </c>
      <c r="C42" s="15" t="s">
        <v>227</v>
      </c>
      <c r="D42" s="16"/>
      <c r="E42" s="16">
        <v>2400</v>
      </c>
      <c r="F42" s="16"/>
      <c r="G42" s="16"/>
      <c r="H42" s="16"/>
      <c r="I42" s="16"/>
      <c r="J42" s="16"/>
      <c r="K42" s="16"/>
      <c r="L42" s="16"/>
      <c r="M42" s="16"/>
      <c r="N42" s="16"/>
    </row>
    <row r="43" spans="1:14">
      <c r="A43" s="15">
        <v>4001190620</v>
      </c>
      <c r="B43" s="15" t="s">
        <v>85</v>
      </c>
      <c r="C43" s="15" t="s">
        <v>227</v>
      </c>
      <c r="D43" s="16">
        <v>2400</v>
      </c>
      <c r="E43" s="16"/>
      <c r="F43" s="16">
        <v>2400</v>
      </c>
      <c r="G43" s="16">
        <v>2400</v>
      </c>
      <c r="H43" s="16">
        <v>2400</v>
      </c>
      <c r="I43" s="16">
        <v>2400</v>
      </c>
      <c r="J43" s="16">
        <v>2600</v>
      </c>
      <c r="K43" s="16">
        <v>2400</v>
      </c>
      <c r="L43" s="16">
        <v>63800</v>
      </c>
      <c r="M43" s="16">
        <v>63200</v>
      </c>
      <c r="N43" s="16">
        <v>62600</v>
      </c>
    </row>
    <row r="44" spans="1:14">
      <c r="A44" s="15">
        <v>4001190630</v>
      </c>
      <c r="B44" s="15" t="s">
        <v>86</v>
      </c>
      <c r="C44" s="15" t="s">
        <v>227</v>
      </c>
      <c r="D44" s="16">
        <v>481.78480999999999</v>
      </c>
      <c r="E44" s="16">
        <v>479.70976000000002</v>
      </c>
      <c r="F44" s="16">
        <v>536.50387999999998</v>
      </c>
      <c r="G44" s="16">
        <v>557.30323999999996</v>
      </c>
      <c r="H44" s="16">
        <v>561.09968000000003</v>
      </c>
      <c r="I44" s="16">
        <v>776.72406000000001</v>
      </c>
      <c r="J44" s="16">
        <v>804.78165999999999</v>
      </c>
      <c r="K44" s="16">
        <v>739.36937999999998</v>
      </c>
      <c r="L44" s="16">
        <v>677.20357999999999</v>
      </c>
      <c r="M44" s="16">
        <v>580.89418999999998</v>
      </c>
      <c r="N44" s="16">
        <v>553.40616999999997</v>
      </c>
    </row>
    <row r="45" spans="1:14">
      <c r="A45" s="15">
        <v>4001190660</v>
      </c>
      <c r="B45" s="15" t="s">
        <v>87</v>
      </c>
      <c r="C45" s="15" t="s">
        <v>227</v>
      </c>
      <c r="D45" s="16">
        <v>11311.295</v>
      </c>
      <c r="E45" s="16">
        <v>5969.2820000000002</v>
      </c>
      <c r="F45" s="16">
        <v>7965.9449999999997</v>
      </c>
      <c r="G45" s="16">
        <v>8570.1010000000006</v>
      </c>
      <c r="H45" s="16">
        <v>15379.224</v>
      </c>
      <c r="I45" s="16">
        <v>8397.2520000000004</v>
      </c>
      <c r="J45" s="16">
        <v>11243.933999999999</v>
      </c>
      <c r="K45" s="16">
        <v>9607.7109999999993</v>
      </c>
      <c r="L45" s="16">
        <v>21606.478999999999</v>
      </c>
      <c r="M45" s="16">
        <v>11798.183000000001</v>
      </c>
      <c r="N45" s="16">
        <v>12514.356</v>
      </c>
    </row>
    <row r="46" spans="1:14">
      <c r="A46" s="15">
        <v>4001190680</v>
      </c>
      <c r="B46" s="15" t="s">
        <v>88</v>
      </c>
      <c r="C46" s="15" t="s">
        <v>227</v>
      </c>
      <c r="D46" s="16"/>
      <c r="E46" s="16"/>
      <c r="F46" s="16"/>
      <c r="G46" s="16"/>
      <c r="H46" s="16"/>
      <c r="I46" s="16"/>
      <c r="J46" s="16"/>
      <c r="K46" s="16"/>
      <c r="L46" s="16"/>
      <c r="M46" s="16"/>
      <c r="N46" s="16"/>
    </row>
    <row r="47" spans="1:14">
      <c r="A47" s="15">
        <v>4001122460</v>
      </c>
      <c r="B47" s="15" t="s">
        <v>89</v>
      </c>
      <c r="C47" s="15" t="s">
        <v>227</v>
      </c>
      <c r="D47" s="16">
        <v>903.98603000000003</v>
      </c>
      <c r="E47" s="16">
        <v>947.98933</v>
      </c>
      <c r="F47" s="16">
        <v>1080.83222</v>
      </c>
      <c r="G47" s="16">
        <v>1225.95012</v>
      </c>
      <c r="H47" s="16">
        <v>1102.3743999999999</v>
      </c>
      <c r="I47" s="16">
        <v>1214.7489499999999</v>
      </c>
      <c r="J47" s="16">
        <v>1319.069</v>
      </c>
      <c r="K47" s="16">
        <v>1382.82053</v>
      </c>
      <c r="L47" s="16">
        <v>1328.66697</v>
      </c>
      <c r="M47" s="16">
        <v>1429.2829999999999</v>
      </c>
      <c r="N47" s="16">
        <v>1534.84683</v>
      </c>
    </row>
    <row r="48" spans="1:14">
      <c r="A48" s="15">
        <v>4001122560</v>
      </c>
      <c r="B48" s="15" t="s">
        <v>90</v>
      </c>
      <c r="C48" s="15" t="s">
        <v>227</v>
      </c>
      <c r="D48" s="16">
        <v>7204.8422899999996</v>
      </c>
      <c r="E48" s="16">
        <v>7508.6095400000004</v>
      </c>
      <c r="F48" s="16">
        <v>6609.55422</v>
      </c>
      <c r="G48" s="16">
        <v>18158.545450000001</v>
      </c>
      <c r="H48" s="16">
        <v>22372.973310000001</v>
      </c>
      <c r="I48" s="16">
        <v>17544.982520000001</v>
      </c>
      <c r="J48" s="16">
        <v>7499.4958500000002</v>
      </c>
      <c r="K48" s="16">
        <v>10482.475130000001</v>
      </c>
      <c r="L48" s="16">
        <v>11927.342049999999</v>
      </c>
      <c r="M48" s="16">
        <v>12515.59168</v>
      </c>
      <c r="N48" s="16">
        <v>9333.4811699999991</v>
      </c>
    </row>
    <row r="49" spans="1:14">
      <c r="A49" s="15">
        <v>4001122561</v>
      </c>
      <c r="B49" s="15" t="s">
        <v>91</v>
      </c>
      <c r="C49" s="15" t="s">
        <v>227</v>
      </c>
      <c r="D49" s="16"/>
      <c r="E49" s="16"/>
      <c r="F49" s="16"/>
      <c r="G49" s="16"/>
      <c r="H49" s="16"/>
      <c r="I49" s="16"/>
      <c r="J49" s="16"/>
      <c r="K49" s="16"/>
      <c r="L49" s="16"/>
      <c r="M49" s="16"/>
      <c r="N49" s="16"/>
    </row>
    <row r="50" spans="1:14">
      <c r="A50" s="15">
        <v>4001122562</v>
      </c>
      <c r="B50" s="15" t="s">
        <v>92</v>
      </c>
      <c r="C50" s="15" t="s">
        <v>227</v>
      </c>
      <c r="D50" s="16"/>
      <c r="E50" s="16"/>
      <c r="F50" s="16"/>
      <c r="G50" s="16"/>
      <c r="H50" s="16"/>
      <c r="I50" s="16"/>
      <c r="J50" s="16"/>
      <c r="K50" s="16"/>
      <c r="L50" s="16"/>
      <c r="M50" s="16"/>
      <c r="N50" s="16"/>
    </row>
    <row r="51" spans="1:14">
      <c r="A51" s="15">
        <v>4001122563</v>
      </c>
      <c r="B51" s="15" t="s">
        <v>93</v>
      </c>
      <c r="C51" s="15" t="s">
        <v>227</v>
      </c>
      <c r="D51" s="16"/>
      <c r="E51" s="16"/>
      <c r="F51" s="16"/>
      <c r="G51" s="16"/>
      <c r="H51" s="16"/>
      <c r="I51" s="16"/>
      <c r="J51" s="16"/>
      <c r="K51" s="16"/>
      <c r="L51" s="16"/>
      <c r="M51" s="16"/>
      <c r="N51" s="16"/>
    </row>
    <row r="52" spans="1:14">
      <c r="A52" s="15">
        <v>4001190690</v>
      </c>
      <c r="B52" s="15" t="s">
        <v>94</v>
      </c>
      <c r="C52" s="15" t="s">
        <v>227</v>
      </c>
      <c r="D52" s="16">
        <v>6337.1589999999997</v>
      </c>
      <c r="E52" s="16">
        <v>6525.1229999999996</v>
      </c>
      <c r="F52" s="16">
        <v>12357.352000000001</v>
      </c>
      <c r="G52" s="16">
        <v>5313.326</v>
      </c>
      <c r="H52" s="16">
        <v>4526.2870000000003</v>
      </c>
      <c r="I52" s="16">
        <v>4508.491</v>
      </c>
      <c r="J52" s="16">
        <v>4827.6090000000004</v>
      </c>
      <c r="K52" s="16">
        <v>4634.01</v>
      </c>
      <c r="L52" s="16">
        <v>5703.0079999999998</v>
      </c>
      <c r="M52" s="16">
        <v>3527.13</v>
      </c>
      <c r="N52" s="16">
        <v>4629.08</v>
      </c>
    </row>
    <row r="53" spans="1:14">
      <c r="A53" s="15">
        <v>4001122680</v>
      </c>
      <c r="B53" s="15" t="s">
        <v>95</v>
      </c>
      <c r="C53" s="15" t="s">
        <v>227</v>
      </c>
      <c r="D53" s="16"/>
      <c r="E53" s="16"/>
      <c r="F53" s="16"/>
      <c r="G53" s="16"/>
      <c r="H53" s="16"/>
      <c r="I53" s="16"/>
      <c r="J53" s="16"/>
      <c r="K53" s="16"/>
      <c r="L53" s="16"/>
      <c r="M53" s="16"/>
      <c r="N53" s="16"/>
    </row>
    <row r="54" spans="1:14">
      <c r="A54" s="15">
        <v>4001190450</v>
      </c>
      <c r="B54" s="15" t="s">
        <v>96</v>
      </c>
      <c r="C54" s="15" t="s">
        <v>227</v>
      </c>
      <c r="D54" s="16">
        <v>103020.32401</v>
      </c>
      <c r="E54" s="16">
        <v>102106.32257999999</v>
      </c>
      <c r="F54" s="16">
        <v>101597.88785</v>
      </c>
      <c r="G54" s="16">
        <v>65632.025829999999</v>
      </c>
      <c r="H54" s="16">
        <v>65129.395660000002</v>
      </c>
      <c r="I54" s="16">
        <v>64714.066879999998</v>
      </c>
      <c r="J54" s="16">
        <v>63645.79825</v>
      </c>
      <c r="K54" s="16">
        <v>62696.135450000002</v>
      </c>
      <c r="L54" s="16">
        <v>584.69604000000004</v>
      </c>
      <c r="M54" s="16">
        <v>542.88337000000001</v>
      </c>
      <c r="N54" s="16">
        <v>528.95109000000002</v>
      </c>
    </row>
    <row r="55" spans="1:14">
      <c r="A55" s="15">
        <v>4001190460</v>
      </c>
      <c r="B55" s="15" t="s">
        <v>97</v>
      </c>
      <c r="C55" s="15" t="s">
        <v>227</v>
      </c>
      <c r="D55" s="16"/>
      <c r="E55" s="16"/>
      <c r="F55" s="16"/>
      <c r="G55" s="16"/>
      <c r="H55" s="16"/>
      <c r="I55" s="16"/>
      <c r="J55" s="16"/>
      <c r="K55" s="16"/>
      <c r="L55" s="16"/>
      <c r="M55" s="16"/>
      <c r="N55" s="16"/>
    </row>
    <row r="56" spans="1:14">
      <c r="A56" s="15">
        <v>4001190470</v>
      </c>
      <c r="B56" s="15" t="s">
        <v>98</v>
      </c>
      <c r="C56" s="15" t="s">
        <v>227</v>
      </c>
      <c r="D56" s="16">
        <v>101200</v>
      </c>
      <c r="E56" s="16">
        <v>100600</v>
      </c>
      <c r="F56" s="16">
        <v>100000</v>
      </c>
      <c r="G56" s="16">
        <v>64400</v>
      </c>
      <c r="H56" s="16">
        <v>63800</v>
      </c>
      <c r="I56" s="16">
        <v>63200</v>
      </c>
      <c r="J56" s="16">
        <v>62600</v>
      </c>
      <c r="K56" s="16">
        <v>62000</v>
      </c>
      <c r="L56" s="16"/>
      <c r="M56" s="16"/>
      <c r="N56" s="16"/>
    </row>
    <row r="57" spans="1:14">
      <c r="A57" s="15">
        <v>4001190480</v>
      </c>
      <c r="B57" s="15" t="s">
        <v>99</v>
      </c>
      <c r="C57" s="15" t="s">
        <v>227</v>
      </c>
      <c r="D57" s="16">
        <v>191.29386</v>
      </c>
      <c r="E57" s="16">
        <v>270.78498999999999</v>
      </c>
      <c r="F57" s="16">
        <v>457.16446000000002</v>
      </c>
      <c r="G57" s="16">
        <v>541.31383000000005</v>
      </c>
      <c r="H57" s="16">
        <v>553.68366000000003</v>
      </c>
      <c r="I57" s="16">
        <v>708.35487999999998</v>
      </c>
      <c r="J57" s="16">
        <v>623.37625000000003</v>
      </c>
      <c r="K57" s="16">
        <v>488.71345000000002</v>
      </c>
      <c r="L57" s="16">
        <v>352.27404000000001</v>
      </c>
      <c r="M57" s="16">
        <v>310.46136999999999</v>
      </c>
      <c r="N57" s="16">
        <v>296.52909</v>
      </c>
    </row>
    <row r="58" spans="1:14">
      <c r="A58" s="15">
        <v>4001190500</v>
      </c>
      <c r="B58" s="15" t="s">
        <v>100</v>
      </c>
      <c r="C58" s="15" t="s">
        <v>227</v>
      </c>
      <c r="D58" s="16">
        <v>1253.3610000000001</v>
      </c>
      <c r="E58" s="16">
        <v>853.13400000000001</v>
      </c>
      <c r="F58" s="16">
        <v>745.71199999999999</v>
      </c>
      <c r="G58" s="16">
        <v>690.71199999999999</v>
      </c>
      <c r="H58" s="16">
        <v>775.71199999999999</v>
      </c>
      <c r="I58" s="16">
        <v>805.71199999999999</v>
      </c>
      <c r="J58" s="16">
        <v>422.42200000000003</v>
      </c>
      <c r="K58" s="16">
        <v>207.422</v>
      </c>
      <c r="L58" s="16">
        <v>232.422</v>
      </c>
      <c r="M58" s="16">
        <v>232.422</v>
      </c>
      <c r="N58" s="16">
        <v>232.422</v>
      </c>
    </row>
    <row r="59" spans="1:14">
      <c r="A59" s="15">
        <v>4001190570</v>
      </c>
      <c r="B59" s="15" t="s">
        <v>101</v>
      </c>
      <c r="C59" s="15" t="s">
        <v>227</v>
      </c>
      <c r="D59" s="16"/>
      <c r="E59" s="16"/>
      <c r="F59" s="16"/>
      <c r="G59" s="16"/>
      <c r="H59" s="16"/>
      <c r="I59" s="16"/>
      <c r="J59" s="16"/>
      <c r="K59" s="16"/>
      <c r="L59" s="16"/>
      <c r="M59" s="16"/>
      <c r="N59" s="16"/>
    </row>
    <row r="60" spans="1:14">
      <c r="A60" s="15">
        <v>4001121280</v>
      </c>
      <c r="B60" s="15" t="s">
        <v>102</v>
      </c>
      <c r="C60" s="15" t="s">
        <v>227</v>
      </c>
      <c r="D60" s="16"/>
      <c r="E60" s="16"/>
      <c r="F60" s="16"/>
      <c r="G60" s="16"/>
      <c r="H60" s="16"/>
      <c r="I60" s="16"/>
      <c r="J60" s="16"/>
      <c r="K60" s="16"/>
      <c r="L60" s="16"/>
      <c r="M60" s="16"/>
      <c r="N60" s="16"/>
    </row>
    <row r="61" spans="1:14">
      <c r="A61" s="15">
        <v>4001121380</v>
      </c>
      <c r="B61" s="15" t="s">
        <v>103</v>
      </c>
      <c r="C61" s="15" t="s">
        <v>227</v>
      </c>
      <c r="D61" s="16">
        <v>375.66885000000002</v>
      </c>
      <c r="E61" s="16">
        <v>382.40359000000001</v>
      </c>
      <c r="F61" s="16">
        <v>395.01139000000001</v>
      </c>
      <c r="G61" s="16"/>
      <c r="H61" s="16"/>
      <c r="I61" s="16"/>
      <c r="J61" s="16"/>
      <c r="K61" s="16"/>
      <c r="L61" s="16"/>
      <c r="M61" s="16"/>
      <c r="N61" s="16"/>
    </row>
    <row r="62" spans="1:14">
      <c r="A62" s="15">
        <v>4001181370</v>
      </c>
      <c r="B62" s="15" t="s">
        <v>104</v>
      </c>
      <c r="C62" s="15" t="s">
        <v>227</v>
      </c>
      <c r="D62" s="16"/>
      <c r="E62" s="16"/>
      <c r="F62" s="16"/>
      <c r="G62" s="16"/>
      <c r="H62" s="16"/>
      <c r="I62" s="16"/>
      <c r="J62" s="16"/>
      <c r="K62" s="16"/>
      <c r="L62" s="16"/>
      <c r="M62" s="16"/>
      <c r="N62" s="16"/>
    </row>
    <row r="63" spans="1:14">
      <c r="A63" s="15">
        <v>4001121401</v>
      </c>
      <c r="B63" s="15" t="s">
        <v>91</v>
      </c>
      <c r="C63" s="15" t="s">
        <v>227</v>
      </c>
      <c r="D63" s="16"/>
      <c r="E63" s="16"/>
      <c r="F63" s="16"/>
      <c r="G63" s="16"/>
      <c r="H63" s="16"/>
      <c r="I63" s="16"/>
      <c r="J63" s="16"/>
      <c r="K63" s="16"/>
      <c r="L63" s="16"/>
      <c r="M63" s="16"/>
      <c r="N63" s="16"/>
    </row>
    <row r="64" spans="1:14">
      <c r="A64" s="15">
        <v>4001121402</v>
      </c>
      <c r="B64" s="15" t="s">
        <v>92</v>
      </c>
      <c r="C64" s="15" t="s">
        <v>227</v>
      </c>
      <c r="D64" s="16"/>
      <c r="E64" s="16"/>
      <c r="F64" s="16"/>
      <c r="G64" s="16"/>
      <c r="H64" s="16"/>
      <c r="I64" s="16"/>
      <c r="J64" s="16"/>
      <c r="K64" s="16"/>
      <c r="L64" s="16"/>
      <c r="M64" s="16"/>
      <c r="N64" s="16"/>
    </row>
    <row r="65" spans="1:14">
      <c r="A65" s="15">
        <v>4001121403</v>
      </c>
      <c r="B65" s="15" t="s">
        <v>93</v>
      </c>
      <c r="C65" s="15" t="s">
        <v>227</v>
      </c>
      <c r="D65" s="16"/>
      <c r="E65" s="16"/>
      <c r="F65" s="16"/>
      <c r="G65" s="16"/>
      <c r="H65" s="16"/>
      <c r="I65" s="16"/>
      <c r="J65" s="16"/>
      <c r="K65" s="16"/>
      <c r="L65" s="16"/>
      <c r="M65" s="16"/>
      <c r="N65" s="16"/>
    </row>
    <row r="66" spans="1:14">
      <c r="A66" s="15">
        <v>4001190580</v>
      </c>
      <c r="B66" s="15" t="s">
        <v>105</v>
      </c>
      <c r="C66" s="15" t="s">
        <v>227</v>
      </c>
      <c r="D66" s="16"/>
      <c r="E66" s="16"/>
      <c r="F66" s="16"/>
      <c r="G66" s="16"/>
      <c r="H66" s="16"/>
      <c r="I66" s="16"/>
      <c r="J66" s="16"/>
      <c r="K66" s="16"/>
      <c r="L66" s="16"/>
      <c r="M66" s="16"/>
      <c r="N66" s="16"/>
    </row>
    <row r="67" spans="1:14">
      <c r="A67" s="15">
        <v>4001121620</v>
      </c>
      <c r="B67" s="15" t="s">
        <v>106</v>
      </c>
      <c r="C67" s="15" t="s">
        <v>227</v>
      </c>
      <c r="D67" s="16"/>
      <c r="E67" s="16"/>
      <c r="F67" s="16"/>
      <c r="G67" s="16"/>
      <c r="H67" s="16"/>
      <c r="I67" s="16"/>
      <c r="J67" s="16"/>
      <c r="K67" s="16"/>
      <c r="L67" s="16"/>
      <c r="M67" s="16"/>
      <c r="N67" s="16"/>
    </row>
    <row r="68" spans="1:14">
      <c r="A68" s="15">
        <v>4001190380</v>
      </c>
      <c r="B68" s="15" t="s">
        <v>107</v>
      </c>
      <c r="C68" s="15" t="s">
        <v>227</v>
      </c>
      <c r="D68" s="16">
        <v>172416.42394000001</v>
      </c>
      <c r="E68" s="16">
        <v>186245.51311999999</v>
      </c>
      <c r="F68" s="16">
        <v>201746.08316000001</v>
      </c>
      <c r="G68" s="16">
        <v>229553.85716000001</v>
      </c>
      <c r="H68" s="16">
        <v>240906.90309000001</v>
      </c>
      <c r="I68" s="16">
        <v>259980.50482999999</v>
      </c>
      <c r="J68" s="16">
        <v>271169.36151000002</v>
      </c>
      <c r="K68" s="16">
        <v>283500.49965999997</v>
      </c>
      <c r="L68" s="16">
        <v>297235.16151000001</v>
      </c>
      <c r="M68" s="16">
        <v>324931.12192000001</v>
      </c>
      <c r="N68" s="16">
        <v>341975.06912</v>
      </c>
    </row>
    <row r="69" spans="1:14">
      <c r="A69" s="15">
        <v>4001130010</v>
      </c>
      <c r="B69" s="15" t="s">
        <v>108</v>
      </c>
      <c r="C69" s="15" t="s">
        <v>109</v>
      </c>
      <c r="D69" s="16">
        <v>100000000</v>
      </c>
      <c r="E69" s="16">
        <v>100000000</v>
      </c>
      <c r="F69" s="16">
        <v>100000000</v>
      </c>
      <c r="G69" s="16">
        <v>100000000</v>
      </c>
      <c r="H69" s="16">
        <v>100000000</v>
      </c>
      <c r="I69" s="16">
        <v>100000000</v>
      </c>
      <c r="J69" s="16">
        <v>100000000</v>
      </c>
      <c r="K69" s="16">
        <v>100000000</v>
      </c>
      <c r="L69" s="16">
        <v>100000000</v>
      </c>
      <c r="M69" s="16">
        <v>100000000</v>
      </c>
      <c r="N69" s="16">
        <v>100000000</v>
      </c>
    </row>
    <row r="70" spans="1:14">
      <c r="A70" s="15">
        <v>4001130020</v>
      </c>
      <c r="B70" s="15" t="s">
        <v>110</v>
      </c>
      <c r="C70" s="15" t="s">
        <v>111</v>
      </c>
      <c r="D70" s="16">
        <v>100</v>
      </c>
      <c r="E70" s="16">
        <v>100</v>
      </c>
      <c r="F70" s="16">
        <v>100</v>
      </c>
      <c r="G70" s="16">
        <v>100</v>
      </c>
      <c r="H70" s="16">
        <v>100</v>
      </c>
      <c r="I70" s="16">
        <v>100</v>
      </c>
      <c r="J70" s="16">
        <v>100</v>
      </c>
      <c r="K70" s="16">
        <v>100</v>
      </c>
      <c r="L70" s="16">
        <v>100</v>
      </c>
      <c r="M70" s="16">
        <v>100</v>
      </c>
      <c r="N70" s="16">
        <v>100</v>
      </c>
    </row>
    <row r="71" spans="1:14">
      <c r="A71" s="15">
        <v>4001130030</v>
      </c>
      <c r="B71" s="15" t="s">
        <v>112</v>
      </c>
      <c r="C71" s="15" t="s">
        <v>109</v>
      </c>
      <c r="D71" s="16">
        <v>64776702</v>
      </c>
      <c r="E71" s="16">
        <v>64776702</v>
      </c>
      <c r="F71" s="16">
        <v>64776702</v>
      </c>
      <c r="G71" s="16">
        <v>64776702</v>
      </c>
      <c r="H71" s="16">
        <v>64776702</v>
      </c>
      <c r="I71" s="16">
        <v>64776702</v>
      </c>
      <c r="J71" s="16">
        <v>64776702</v>
      </c>
      <c r="K71" s="16">
        <v>64776702</v>
      </c>
      <c r="L71" s="16">
        <v>63999519</v>
      </c>
      <c r="M71" s="16">
        <v>63999519</v>
      </c>
      <c r="N71" s="16">
        <v>63999519</v>
      </c>
    </row>
    <row r="72" spans="1:14">
      <c r="A72" s="15">
        <v>4001130040</v>
      </c>
      <c r="B72" s="15" t="s">
        <v>113</v>
      </c>
      <c r="C72" s="15" t="s">
        <v>109</v>
      </c>
      <c r="D72" s="16">
        <v>64776702</v>
      </c>
      <c r="E72" s="16">
        <v>64776702</v>
      </c>
      <c r="F72" s="16">
        <v>64776702</v>
      </c>
      <c r="G72" s="16">
        <v>64776702</v>
      </c>
      <c r="H72" s="16">
        <v>64776702</v>
      </c>
      <c r="I72" s="16">
        <v>64776702</v>
      </c>
      <c r="J72" s="16">
        <v>64776702</v>
      </c>
      <c r="K72" s="16">
        <v>64776702</v>
      </c>
      <c r="L72" s="16">
        <v>63999519</v>
      </c>
      <c r="M72" s="16">
        <v>63999519</v>
      </c>
      <c r="N72" s="16">
        <v>63999519</v>
      </c>
    </row>
    <row r="73" spans="1:14">
      <c r="A73" s="15">
        <v>4001130050</v>
      </c>
      <c r="B73" s="15" t="s">
        <v>114</v>
      </c>
      <c r="C73" s="15" t="s">
        <v>109</v>
      </c>
      <c r="D73" s="16"/>
      <c r="E73" s="16"/>
      <c r="F73" s="16"/>
      <c r="G73" s="16"/>
      <c r="H73" s="16"/>
      <c r="I73" s="16"/>
      <c r="J73" s="16"/>
      <c r="K73" s="16"/>
      <c r="L73" s="16"/>
      <c r="M73" s="16"/>
      <c r="N73" s="16"/>
    </row>
    <row r="74" spans="1:14">
      <c r="A74" s="15">
        <v>4001190390</v>
      </c>
      <c r="B74" s="15" t="s">
        <v>115</v>
      </c>
      <c r="C74" s="15" t="s">
        <v>227</v>
      </c>
      <c r="D74" s="16">
        <v>172416.42394000001</v>
      </c>
      <c r="E74" s="16">
        <v>186245.51311999999</v>
      </c>
      <c r="F74" s="16">
        <v>201746.08316000001</v>
      </c>
      <c r="G74" s="16">
        <v>229553.85716000001</v>
      </c>
      <c r="H74" s="16">
        <v>240906.90309000001</v>
      </c>
      <c r="I74" s="16">
        <v>259980.50482999999</v>
      </c>
      <c r="J74" s="16">
        <v>271169.36151000002</v>
      </c>
      <c r="K74" s="16">
        <v>283500.49965999997</v>
      </c>
      <c r="L74" s="16">
        <v>297235.16151000001</v>
      </c>
      <c r="M74" s="16">
        <v>324931.12192000001</v>
      </c>
      <c r="N74" s="16">
        <v>341975.06912</v>
      </c>
    </row>
    <row r="75" spans="1:14">
      <c r="A75" s="15">
        <v>4001130070</v>
      </c>
      <c r="B75" s="15" t="s">
        <v>116</v>
      </c>
      <c r="C75" s="15" t="s">
        <v>227</v>
      </c>
      <c r="D75" s="16">
        <v>6477.6701999999996</v>
      </c>
      <c r="E75" s="16">
        <v>6477.6701999999996</v>
      </c>
      <c r="F75" s="16">
        <v>6477.6701999999996</v>
      </c>
      <c r="G75" s="16">
        <v>6477.6701999999996</v>
      </c>
      <c r="H75" s="16">
        <v>6477.6701999999996</v>
      </c>
      <c r="I75" s="16">
        <v>6477.6701999999996</v>
      </c>
      <c r="J75" s="16">
        <v>6477.6701999999996</v>
      </c>
      <c r="K75" s="16">
        <v>6477.6701999999996</v>
      </c>
      <c r="L75" s="16">
        <v>6477.6701999999996</v>
      </c>
      <c r="M75" s="16">
        <v>6477.6701999999996</v>
      </c>
      <c r="N75" s="16">
        <v>6477.6701999999996</v>
      </c>
    </row>
    <row r="76" spans="1:14">
      <c r="A76" s="15">
        <v>4001130670</v>
      </c>
      <c r="B76" s="15" t="s">
        <v>117</v>
      </c>
      <c r="C76" s="15" t="s">
        <v>227</v>
      </c>
      <c r="D76" s="16"/>
      <c r="E76" s="16"/>
      <c r="F76" s="16"/>
      <c r="G76" s="16"/>
      <c r="H76" s="16"/>
      <c r="I76" s="16"/>
      <c r="J76" s="16"/>
      <c r="K76" s="16"/>
      <c r="L76" s="16"/>
      <c r="M76" s="16"/>
      <c r="N76" s="16"/>
    </row>
    <row r="77" spans="1:14">
      <c r="A77" s="15">
        <v>4001190400</v>
      </c>
      <c r="B77" s="15" t="s">
        <v>118</v>
      </c>
      <c r="C77" s="15" t="s">
        <v>227</v>
      </c>
      <c r="D77" s="16">
        <v>24229.75503</v>
      </c>
      <c r="E77" s="16">
        <v>24229.75503</v>
      </c>
      <c r="F77" s="16">
        <v>24229.75503</v>
      </c>
      <c r="G77" s="16">
        <v>24229.755020000001</v>
      </c>
      <c r="H77" s="16">
        <v>24229.75503</v>
      </c>
      <c r="I77" s="16">
        <v>24229.75503</v>
      </c>
      <c r="J77" s="16">
        <v>24229.75503</v>
      </c>
      <c r="K77" s="16">
        <v>24229.755020000001</v>
      </c>
      <c r="L77" s="16">
        <v>24229.75503</v>
      </c>
      <c r="M77" s="16">
        <v>24229.75503</v>
      </c>
      <c r="N77" s="16">
        <v>24229.75503</v>
      </c>
    </row>
    <row r="78" spans="1:14">
      <c r="A78" s="15">
        <v>4001190420</v>
      </c>
      <c r="B78" s="15" t="s">
        <v>119</v>
      </c>
      <c r="C78" s="15" t="s">
        <v>227</v>
      </c>
      <c r="D78" s="16"/>
      <c r="E78" s="16"/>
      <c r="F78" s="16">
        <v>-3255.1378</v>
      </c>
      <c r="G78" s="16">
        <v>-5421.9760999999999</v>
      </c>
      <c r="H78" s="16">
        <v>-5410.8888200000001</v>
      </c>
      <c r="I78" s="16">
        <v>-4888.8070399999997</v>
      </c>
      <c r="J78" s="16">
        <v>-14908.716829999999</v>
      </c>
      <c r="K78" s="16">
        <v>-18253.885539999999</v>
      </c>
      <c r="L78" s="16">
        <v>2166.4939300000001</v>
      </c>
      <c r="M78" s="16">
        <v>3260.1293999999998</v>
      </c>
      <c r="N78" s="16">
        <v>3830.9977199999998</v>
      </c>
    </row>
    <row r="79" spans="1:14">
      <c r="A79" s="15">
        <v>4001130360</v>
      </c>
      <c r="B79" s="15" t="s">
        <v>120</v>
      </c>
      <c r="C79" s="15" t="s">
        <v>227</v>
      </c>
      <c r="D79" s="16">
        <v>40.75591</v>
      </c>
      <c r="E79" s="16">
        <v>61.850670000000001</v>
      </c>
      <c r="F79" s="16">
        <v>101.34121</v>
      </c>
      <c r="G79" s="16">
        <v>38.081530000000001</v>
      </c>
      <c r="H79" s="16">
        <v>76.313289999999995</v>
      </c>
      <c r="I79" s="16">
        <v>69.310649999999995</v>
      </c>
      <c r="J79" s="16">
        <v>84.654870000000003</v>
      </c>
      <c r="K79" s="16">
        <v>62.88194</v>
      </c>
      <c r="L79" s="16">
        <v>87.134159999999994</v>
      </c>
      <c r="M79" s="16">
        <v>108.76</v>
      </c>
      <c r="N79" s="16">
        <v>93.175079999999994</v>
      </c>
    </row>
    <row r="80" spans="1:14">
      <c r="A80" s="15">
        <v>4001130470</v>
      </c>
      <c r="B80" s="15" t="s">
        <v>121</v>
      </c>
      <c r="C80" s="15" t="s">
        <v>227</v>
      </c>
      <c r="D80" s="16">
        <v>141668.24280000001</v>
      </c>
      <c r="E80" s="16">
        <v>155476.23722000001</v>
      </c>
      <c r="F80" s="16">
        <v>174192.45452</v>
      </c>
      <c r="G80" s="16">
        <v>204230.32649000001</v>
      </c>
      <c r="H80" s="16">
        <v>215534.0534</v>
      </c>
      <c r="I80" s="16">
        <v>234092.57597999999</v>
      </c>
      <c r="J80" s="16">
        <v>255285.99823999999</v>
      </c>
      <c r="K80" s="16">
        <v>270984.07802999998</v>
      </c>
      <c r="L80" s="16">
        <v>264274.10817999998</v>
      </c>
      <c r="M80" s="16">
        <v>290854.80745000002</v>
      </c>
      <c r="N80" s="16">
        <v>307343.47110000002</v>
      </c>
    </row>
    <row r="81" spans="1:14">
      <c r="A81" s="15">
        <v>4001130640</v>
      </c>
      <c r="B81" s="15" t="s">
        <v>122</v>
      </c>
      <c r="C81" s="15" t="s">
        <v>227</v>
      </c>
      <c r="D81" s="16"/>
      <c r="E81" s="16"/>
      <c r="F81" s="16"/>
      <c r="G81" s="16"/>
      <c r="H81" s="16"/>
      <c r="I81" s="16"/>
      <c r="J81" s="16"/>
      <c r="K81" s="16"/>
      <c r="L81" s="16"/>
      <c r="M81" s="16"/>
      <c r="N81" s="16"/>
    </row>
    <row r="82" spans="1:14">
      <c r="A82" s="2"/>
      <c r="B82" s="2"/>
      <c r="C82" s="2"/>
      <c r="D82" s="16"/>
      <c r="E82" s="16"/>
      <c r="F82" s="16"/>
      <c r="G82" s="16"/>
      <c r="H82" s="16"/>
      <c r="I82" s="16"/>
      <c r="J82" s="16"/>
      <c r="K82" s="16"/>
      <c r="L82" s="16"/>
      <c r="M82" s="16"/>
      <c r="N82" s="16"/>
    </row>
    <row r="83" spans="1:14">
      <c r="D83" s="17"/>
      <c r="E83" s="17"/>
      <c r="F83" s="17"/>
      <c r="G83" s="17"/>
      <c r="H83" s="17"/>
      <c r="I83" s="17"/>
      <c r="J83" s="17"/>
      <c r="K83" s="17"/>
      <c r="L83" s="17"/>
      <c r="M83" s="17"/>
      <c r="N83" s="17"/>
    </row>
    <row r="84" spans="1:14">
      <c r="D84" s="17"/>
      <c r="E84" s="17"/>
      <c r="F84" s="17"/>
      <c r="G84" s="17"/>
      <c r="H84" s="17"/>
      <c r="I84" s="17"/>
      <c r="J84" s="17"/>
      <c r="K84" s="17"/>
      <c r="L84" s="17"/>
      <c r="M84" s="17"/>
      <c r="N84" s="17"/>
    </row>
    <row r="85" spans="1:14">
      <c r="D85" s="17"/>
      <c r="E85" s="17"/>
      <c r="F85" s="17"/>
      <c r="G85" s="17"/>
      <c r="H85" s="17"/>
      <c r="I85" s="17"/>
      <c r="J85" s="17"/>
      <c r="K85" s="17"/>
      <c r="L85" s="17"/>
      <c r="M85" s="17"/>
      <c r="N85" s="17"/>
    </row>
  </sheetData>
  <phoneticPr fontId="2" type="noConversion"/>
  <conditionalFormatting sqref="B1">
    <cfRule type="expression" dxfId="4" priority="1" stopIfTrue="1">
      <formula>MID($B$1, 15, 10)-TODAY() &lt; 0</formula>
    </cfRule>
  </conditionalFormatting>
  <dataValidations count="7">
    <dataValidation type="list" allowBlank="1" showInputMessage="1" sqref="B5" xr:uid="{42B470BB-CD49-4FE5-B62A-BEBE69F7C7BE}">
      <formula1>"전체,재무상태표,손익계산서,현금흐름표,자본금변동표"</formula1>
    </dataValidation>
    <dataValidation type="list" allowBlank="1" showInputMessage="1" sqref="B6" xr:uid="{CCE354D3-9172-4AB5-8BC3-A432AA913025}">
      <formula1>"상세(총액),상세(순액),요약,약식"</formula1>
    </dataValidation>
    <dataValidation type="list" allowBlank="1" showInputMessage="1" sqref="B7" xr:uid="{65500295-450E-4680-AA77-A31A9ADD6F1F}">
      <formula1>"결산,누적분기,당분기"</formula1>
    </dataValidation>
    <dataValidation type="list" allowBlank="1" showInputMessage="1" sqref="C7" xr:uid="{7672C78E-772A-494B-8FFC-6A2F2A38FC02}">
      <formula1>"천원,백만원,억원,십억원"</formula1>
    </dataValidation>
    <dataValidation type="list" allowBlank="1" showInputMessage="1" sqref="B4" xr:uid="{A99772C6-2F72-4E15-9006-202577C7800E}">
      <formula1>"별도,연결"</formula1>
    </dataValidation>
    <dataValidation type="list" allowBlank="1" showInputMessage="1" sqref="B8" xr:uid="{18F01FA1-CC10-4A3F-BE8E-F3E17FA86768}">
      <formula1>"1983,1984,1985,1986,1987,1988,1989,1990,1991,1992,1993,1994,1995,1996,1997,1998,1999,2000,2001,2002,2003,2004,2005,2006,2007,2008,2009,2010,2011,2012,2013,2014,2015,2016,2017,2018,2019,2020,2021,2022,2023,2024,2025"</formula1>
    </dataValidation>
    <dataValidation type="list" allowBlank="1" showInputMessage="1" sqref="C8" xr:uid="{D82A2084-E5BE-4870-8C9E-2CA2AA275331}">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2431-A61B-42EF-9660-004DF57FD3B1}">
  <sheetPr codeName="Sheet3"/>
  <dimension ref="A1:N60"/>
  <sheetViews>
    <sheetView showGridLines="0" workbookViewId="0"/>
  </sheetViews>
  <sheetFormatPr defaultColWidth="8.8984375" defaultRowHeight="17.399999999999999"/>
  <cols>
    <col min="1" max="1" width="9.5" bestFit="1" customWidth="1"/>
    <col min="2" max="2" width="45.8984375" bestFit="1" customWidth="1"/>
    <col min="3" max="3" width="7" bestFit="1" customWidth="1"/>
  </cols>
  <sheetData>
    <row r="1" spans="1:14">
      <c r="B1" s="3" t="s">
        <v>230</v>
      </c>
    </row>
    <row r="2" spans="1:14">
      <c r="A2" s="4" t="s">
        <v>34</v>
      </c>
      <c r="B2" s="4"/>
      <c r="C2" s="4"/>
      <c r="D2" s="4"/>
      <c r="E2" s="4"/>
      <c r="F2" s="4"/>
      <c r="G2" s="4"/>
      <c r="H2" s="4"/>
      <c r="I2" s="4"/>
      <c r="J2" s="4"/>
      <c r="K2" s="4"/>
      <c r="L2" s="4"/>
      <c r="M2" s="4"/>
      <c r="N2" s="4"/>
    </row>
    <row r="3" spans="1:14">
      <c r="A3" s="5" t="s">
        <v>36</v>
      </c>
      <c r="B3" s="5" t="s">
        <v>124</v>
      </c>
      <c r="C3" s="5"/>
      <c r="D3" s="5"/>
      <c r="E3" s="5"/>
      <c r="F3" s="5"/>
      <c r="G3" s="5"/>
      <c r="H3" s="5"/>
      <c r="I3" s="5"/>
      <c r="J3" s="5"/>
      <c r="K3" s="5"/>
      <c r="L3" s="5"/>
      <c r="M3" s="5"/>
      <c r="N3" s="5"/>
    </row>
    <row r="4" spans="1:14">
      <c r="A4" s="5" t="s">
        <v>37</v>
      </c>
      <c r="B4" s="9" t="s">
        <v>130</v>
      </c>
      <c r="C4" s="5" t="s">
        <v>125</v>
      </c>
      <c r="D4" s="5" t="s">
        <v>129</v>
      </c>
      <c r="E4" s="5"/>
      <c r="F4" s="5"/>
      <c r="G4" s="5"/>
      <c r="H4" s="5"/>
      <c r="I4" s="5"/>
      <c r="J4" s="5"/>
      <c r="K4" s="5"/>
      <c r="L4" s="5"/>
      <c r="M4" s="5"/>
      <c r="N4" s="5"/>
    </row>
    <row r="5" spans="1:14">
      <c r="A5" s="5" t="s">
        <v>38</v>
      </c>
      <c r="B5" s="12" t="s">
        <v>263</v>
      </c>
      <c r="C5" s="5" t="s">
        <v>35</v>
      </c>
      <c r="D5" s="5"/>
      <c r="E5" s="5"/>
      <c r="F5" s="5"/>
      <c r="G5" s="5"/>
      <c r="H5" s="5"/>
      <c r="I5" s="5"/>
      <c r="J5" s="5"/>
      <c r="K5" s="5"/>
      <c r="L5" s="5"/>
      <c r="M5" s="5"/>
      <c r="N5" s="5"/>
    </row>
    <row r="6" spans="1:14">
      <c r="A6" s="5" t="s">
        <v>39</v>
      </c>
      <c r="B6" s="10" t="s">
        <v>127</v>
      </c>
      <c r="C6" s="5"/>
      <c r="D6" s="5"/>
      <c r="E6" s="5"/>
      <c r="F6" s="5"/>
      <c r="G6" s="5"/>
      <c r="H6" s="5"/>
      <c r="I6" s="5"/>
      <c r="J6" s="5"/>
      <c r="K6" s="5"/>
      <c r="L6" s="5"/>
      <c r="M6" s="5"/>
      <c r="N6" s="5"/>
    </row>
    <row r="7" spans="1:14">
      <c r="A7" s="5" t="s">
        <v>40</v>
      </c>
      <c r="B7" s="13" t="s">
        <v>128</v>
      </c>
      <c r="C7" s="10" t="s">
        <v>227</v>
      </c>
      <c r="D7" s="5"/>
      <c r="E7" s="5"/>
      <c r="F7" s="5"/>
      <c r="G7" s="5"/>
      <c r="H7" s="5"/>
      <c r="I7" s="5"/>
      <c r="J7" s="5"/>
      <c r="K7" s="5"/>
      <c r="L7" s="5"/>
      <c r="M7" s="5"/>
      <c r="N7" s="5"/>
    </row>
    <row r="8" spans="1:14">
      <c r="A8" s="6" t="s">
        <v>123</v>
      </c>
      <c r="B8" s="11">
        <v>2022</v>
      </c>
      <c r="C8" s="9" t="s">
        <v>131</v>
      </c>
      <c r="D8" s="6"/>
      <c r="E8" s="6"/>
      <c r="F8" s="6"/>
      <c r="G8" s="6"/>
      <c r="H8" s="6"/>
      <c r="I8" s="6"/>
      <c r="J8" s="6"/>
      <c r="K8" s="6"/>
      <c r="L8" s="6"/>
      <c r="M8" s="6"/>
      <c r="N8" s="6"/>
    </row>
    <row r="9" spans="1:14">
      <c r="A9" s="7" t="s">
        <v>41</v>
      </c>
      <c r="B9" s="14" t="s">
        <v>42</v>
      </c>
      <c r="C9" s="14" t="s">
        <v>43</v>
      </c>
      <c r="D9" s="7" t="s">
        <v>44</v>
      </c>
      <c r="E9" s="7" t="s">
        <v>45</v>
      </c>
      <c r="F9" s="7" t="s">
        <v>46</v>
      </c>
      <c r="G9" s="7" t="s">
        <v>47</v>
      </c>
      <c r="H9" s="7" t="s">
        <v>48</v>
      </c>
      <c r="I9" s="7" t="s">
        <v>49</v>
      </c>
      <c r="J9" s="7" t="s">
        <v>50</v>
      </c>
      <c r="K9" s="7" t="s">
        <v>51</v>
      </c>
      <c r="L9" s="7" t="s">
        <v>52</v>
      </c>
      <c r="M9" s="7" t="s">
        <v>53</v>
      </c>
      <c r="N9" s="7" t="s">
        <v>54</v>
      </c>
    </row>
    <row r="10" spans="1:14">
      <c r="A10" s="8"/>
      <c r="B10" s="8"/>
      <c r="C10" s="8"/>
      <c r="D10" s="8" t="s">
        <v>55</v>
      </c>
      <c r="E10" s="8" t="s">
        <v>55</v>
      </c>
      <c r="F10" s="8" t="s">
        <v>55</v>
      </c>
      <c r="G10" s="8" t="s">
        <v>55</v>
      </c>
      <c r="H10" s="8" t="s">
        <v>55</v>
      </c>
      <c r="I10" s="8" t="s">
        <v>55</v>
      </c>
      <c r="J10" s="8" t="s">
        <v>55</v>
      </c>
      <c r="K10" s="8" t="s">
        <v>55</v>
      </c>
      <c r="L10" s="8" t="s">
        <v>55</v>
      </c>
      <c r="M10" s="8" t="s">
        <v>55</v>
      </c>
      <c r="N10" s="8" t="s">
        <v>55</v>
      </c>
    </row>
    <row r="11" spans="1:14">
      <c r="A11" s="15">
        <v>4001390000</v>
      </c>
      <c r="B11" s="15" t="s">
        <v>231</v>
      </c>
      <c r="C11" s="15" t="s">
        <v>227</v>
      </c>
      <c r="D11" s="16">
        <v>9083.9006599999993</v>
      </c>
      <c r="E11" s="16">
        <v>13723.00534</v>
      </c>
      <c r="F11" s="16">
        <v>16093.878280000001</v>
      </c>
      <c r="G11" s="16">
        <v>15853.721079999999</v>
      </c>
      <c r="H11" s="16">
        <v>16486.392540000001</v>
      </c>
      <c r="I11" s="16">
        <v>13631.964980000001</v>
      </c>
      <c r="J11" s="16">
        <v>2575.7078700000002</v>
      </c>
      <c r="K11" s="16">
        <v>31937.90652</v>
      </c>
      <c r="L11" s="16">
        <v>19373.269840000001</v>
      </c>
      <c r="M11" s="16">
        <v>30645.529829999999</v>
      </c>
      <c r="N11" s="16">
        <v>13148.508620000001</v>
      </c>
    </row>
    <row r="12" spans="1:14">
      <c r="A12" s="15">
        <v>4001310010</v>
      </c>
      <c r="B12" s="15" t="s">
        <v>232</v>
      </c>
      <c r="C12" s="15" t="s">
        <v>227</v>
      </c>
      <c r="D12" s="16"/>
      <c r="E12" s="16"/>
      <c r="F12" s="16"/>
      <c r="G12" s="16"/>
      <c r="H12" s="16"/>
      <c r="I12" s="16"/>
      <c r="J12" s="16"/>
      <c r="K12" s="16"/>
      <c r="L12" s="16"/>
      <c r="M12" s="16"/>
      <c r="N12" s="16"/>
    </row>
    <row r="13" spans="1:14">
      <c r="A13" s="15">
        <v>4001310100</v>
      </c>
      <c r="B13" s="15" t="s">
        <v>233</v>
      </c>
      <c r="C13" s="15" t="s">
        <v>227</v>
      </c>
      <c r="D13" s="16"/>
      <c r="E13" s="16"/>
      <c r="F13" s="16"/>
      <c r="G13" s="16"/>
      <c r="H13" s="16"/>
      <c r="I13" s="16"/>
      <c r="J13" s="16"/>
      <c r="K13" s="16"/>
      <c r="L13" s="16"/>
      <c r="M13" s="16"/>
      <c r="N13" s="16"/>
    </row>
    <row r="14" spans="1:14">
      <c r="A14" s="15">
        <v>4001310190</v>
      </c>
      <c r="B14" s="15" t="s">
        <v>234</v>
      </c>
      <c r="C14" s="15" t="s">
        <v>227</v>
      </c>
      <c r="D14" s="16">
        <v>12816.563550000001</v>
      </c>
      <c r="E14" s="16">
        <v>13807.994430000001</v>
      </c>
      <c r="F14" s="16">
        <v>18716.2173</v>
      </c>
      <c r="G14" s="16">
        <v>30037.87196</v>
      </c>
      <c r="H14" s="16">
        <v>18775.17856</v>
      </c>
      <c r="I14" s="16">
        <v>18558.52259</v>
      </c>
      <c r="J14" s="16">
        <v>21193.42225</v>
      </c>
      <c r="K14" s="16">
        <v>15698.07979</v>
      </c>
      <c r="L14" s="16">
        <v>26089.918900000001</v>
      </c>
      <c r="M14" s="16">
        <v>26580.699260000001</v>
      </c>
      <c r="N14" s="16">
        <v>16488.663649999999</v>
      </c>
    </row>
    <row r="15" spans="1:14">
      <c r="A15" s="15">
        <v>4001310200</v>
      </c>
      <c r="B15" s="15" t="s">
        <v>235</v>
      </c>
      <c r="C15" s="15" t="s">
        <v>227</v>
      </c>
      <c r="D15" s="16"/>
      <c r="E15" s="16"/>
      <c r="F15" s="16"/>
      <c r="G15" s="16"/>
      <c r="H15" s="16"/>
      <c r="I15" s="16"/>
      <c r="J15" s="16"/>
      <c r="K15" s="16"/>
      <c r="L15" s="16"/>
      <c r="M15" s="16"/>
      <c r="N15" s="16"/>
    </row>
    <row r="16" spans="1:14">
      <c r="A16" s="15">
        <v>4001390010</v>
      </c>
      <c r="B16" s="15" t="s">
        <v>236</v>
      </c>
      <c r="C16" s="15" t="s">
        <v>227</v>
      </c>
      <c r="D16" s="16">
        <v>5894.5519999999997</v>
      </c>
      <c r="E16" s="16">
        <v>5410.2021199999999</v>
      </c>
      <c r="F16" s="16">
        <v>5780.9018800000003</v>
      </c>
      <c r="G16" s="16">
        <v>13428.96869</v>
      </c>
      <c r="H16" s="16">
        <v>7107.24</v>
      </c>
      <c r="I16" s="16">
        <v>8726.7070000000003</v>
      </c>
      <c r="J16" s="16">
        <v>9951.98</v>
      </c>
      <c r="K16" s="16">
        <v>5865.5742799999998</v>
      </c>
      <c r="L16" s="16">
        <v>8895.9349999999995</v>
      </c>
      <c r="M16" s="16">
        <v>11982.72</v>
      </c>
      <c r="N16" s="16">
        <v>10720.63</v>
      </c>
    </row>
    <row r="17" spans="1:14">
      <c r="A17" s="15">
        <v>4001390040</v>
      </c>
      <c r="B17" s="15" t="s">
        <v>237</v>
      </c>
      <c r="C17" s="15" t="s">
        <v>227</v>
      </c>
      <c r="D17" s="16">
        <v>652.11400000000003</v>
      </c>
      <c r="E17" s="16">
        <v>2615.6595499999999</v>
      </c>
      <c r="F17" s="16">
        <v>5257.4194500000003</v>
      </c>
      <c r="G17" s="16">
        <v>23663.243289999999</v>
      </c>
      <c r="H17" s="16">
        <v>4150.5029999999997</v>
      </c>
      <c r="I17" s="16">
        <v>1876.819</v>
      </c>
      <c r="J17" s="16">
        <v>3946.9740000000002</v>
      </c>
      <c r="K17" s="16">
        <v>-2042.4100599999999</v>
      </c>
      <c r="L17" s="16">
        <v>6244.3090000000002</v>
      </c>
      <c r="M17" s="16">
        <v>4166.4489999999996</v>
      </c>
      <c r="N17" s="16">
        <v>-4070.6669999999999</v>
      </c>
    </row>
    <row r="18" spans="1:14">
      <c r="A18" s="15">
        <v>4001390060</v>
      </c>
      <c r="B18" s="15" t="s">
        <v>238</v>
      </c>
      <c r="C18" s="15" t="s">
        <v>227</v>
      </c>
      <c r="D18" s="16">
        <v>-5863.1209600000002</v>
      </c>
      <c r="E18" s="16">
        <v>1206.73353</v>
      </c>
      <c r="F18" s="16">
        <v>1878.9556399999999</v>
      </c>
      <c r="G18" s="16">
        <v>-3644.68615</v>
      </c>
      <c r="H18" s="16">
        <v>-5615.7943800000003</v>
      </c>
      <c r="I18" s="16">
        <v>-1852.16824</v>
      </c>
      <c r="J18" s="16">
        <v>-8824.4409300000007</v>
      </c>
      <c r="K18" s="16">
        <v>7789.5206799999996</v>
      </c>
      <c r="L18" s="16">
        <v>-5771.4181600000002</v>
      </c>
      <c r="M18" s="16">
        <v>2029.2847400000001</v>
      </c>
      <c r="N18" s="16">
        <v>-9547.2018000000007</v>
      </c>
    </row>
    <row r="19" spans="1:14">
      <c r="A19" s="15">
        <v>4001390070</v>
      </c>
      <c r="B19" s="15" t="s">
        <v>239</v>
      </c>
      <c r="C19" s="15" t="s">
        <v>227</v>
      </c>
      <c r="D19" s="16">
        <v>-9494.0419999999995</v>
      </c>
      <c r="E19" s="16">
        <v>2163.8397399999999</v>
      </c>
      <c r="F19" s="16">
        <v>-5918.7077399999998</v>
      </c>
      <c r="G19" s="16">
        <v>2837.4401400000002</v>
      </c>
      <c r="H19" s="16">
        <v>-4349.5320000000002</v>
      </c>
      <c r="I19" s="16">
        <v>-2327.1179999999999</v>
      </c>
      <c r="J19" s="16">
        <v>-11613.633</v>
      </c>
      <c r="K19" s="16">
        <v>9745.3315899999998</v>
      </c>
      <c r="L19" s="16">
        <v>-6227.1350000000002</v>
      </c>
      <c r="M19" s="16">
        <v>1214.4459999999999</v>
      </c>
      <c r="N19" s="16">
        <v>-11482.352000000001</v>
      </c>
    </row>
    <row r="20" spans="1:14">
      <c r="A20" s="15">
        <v>4001390110</v>
      </c>
      <c r="B20" s="15" t="s">
        <v>240</v>
      </c>
      <c r="C20" s="15" t="s">
        <v>227</v>
      </c>
      <c r="D20" s="16">
        <v>3630.9209999999998</v>
      </c>
      <c r="E20" s="16">
        <v>-957.10617000000002</v>
      </c>
      <c r="F20" s="16">
        <v>7797.6631699999998</v>
      </c>
      <c r="G20" s="16">
        <v>-6482.12608</v>
      </c>
      <c r="H20" s="16">
        <v>-1266.2619999999999</v>
      </c>
      <c r="I20" s="16">
        <v>474.95</v>
      </c>
      <c r="J20" s="16">
        <v>2789.19</v>
      </c>
      <c r="K20" s="16">
        <v>-1955.8094799999999</v>
      </c>
      <c r="L20" s="16">
        <v>455.71699999999998</v>
      </c>
      <c r="M20" s="16">
        <v>814.83799999999997</v>
      </c>
      <c r="N20" s="16">
        <v>1935.15</v>
      </c>
    </row>
    <row r="21" spans="1:14">
      <c r="A21" s="15">
        <v>4001312260</v>
      </c>
      <c r="B21" s="15" t="s">
        <v>241</v>
      </c>
      <c r="C21" s="15" t="s">
        <v>227</v>
      </c>
      <c r="D21" s="16"/>
      <c r="E21" s="16"/>
      <c r="F21" s="16"/>
      <c r="G21" s="16"/>
      <c r="H21" s="16"/>
      <c r="I21" s="16"/>
      <c r="J21" s="16"/>
      <c r="K21" s="16"/>
      <c r="L21" s="16"/>
      <c r="M21" s="16"/>
      <c r="N21" s="16"/>
    </row>
    <row r="22" spans="1:14">
      <c r="A22" s="15">
        <v>4001312270</v>
      </c>
      <c r="B22" s="15" t="s">
        <v>242</v>
      </c>
      <c r="C22" s="15" t="s">
        <v>227</v>
      </c>
      <c r="D22" s="16"/>
      <c r="E22" s="16"/>
      <c r="F22" s="16"/>
      <c r="G22" s="16"/>
      <c r="H22" s="16"/>
      <c r="I22" s="16"/>
      <c r="J22" s="16"/>
      <c r="K22" s="16"/>
      <c r="L22" s="16"/>
      <c r="M22" s="16"/>
      <c r="N22" s="16"/>
    </row>
    <row r="23" spans="1:14">
      <c r="A23" s="15">
        <v>4001312280</v>
      </c>
      <c r="B23" s="15" t="s">
        <v>243</v>
      </c>
      <c r="C23" s="15" t="s">
        <v>227</v>
      </c>
      <c r="D23" s="16">
        <v>12195.880590000001</v>
      </c>
      <c r="E23" s="16">
        <v>17809.270530000002</v>
      </c>
      <c r="F23" s="16">
        <v>21118.65537</v>
      </c>
      <c r="G23" s="16">
        <v>16158.911239999999</v>
      </c>
      <c r="H23" s="16">
        <v>16116.12118</v>
      </c>
      <c r="I23" s="16">
        <v>23556.24235</v>
      </c>
      <c r="J23" s="16">
        <v>18373.98732</v>
      </c>
      <c r="K23" s="16">
        <v>31395.58483</v>
      </c>
      <c r="L23" s="16">
        <v>22970.12674</v>
      </c>
      <c r="M23" s="16">
        <v>36426.254999999997</v>
      </c>
      <c r="N23" s="16">
        <v>21732.758849999998</v>
      </c>
    </row>
    <row r="24" spans="1:14">
      <c r="A24" s="15">
        <v>4001312290</v>
      </c>
      <c r="B24" s="15" t="s">
        <v>244</v>
      </c>
      <c r="C24" s="15" t="s">
        <v>227</v>
      </c>
      <c r="D24" s="16">
        <v>9.9544700000000006</v>
      </c>
      <c r="E24" s="16">
        <v>66.304839999999999</v>
      </c>
      <c r="F24" s="16">
        <v>68.441410000000005</v>
      </c>
      <c r="G24" s="16">
        <v>241.63864000000001</v>
      </c>
      <c r="H24" s="16">
        <v>850.51607999999999</v>
      </c>
      <c r="I24" s="16">
        <v>1014.05049</v>
      </c>
      <c r="J24" s="16">
        <v>1142.6221700000001</v>
      </c>
      <c r="K24" s="16">
        <v>1602.6468</v>
      </c>
      <c r="L24" s="16">
        <v>1427.80978</v>
      </c>
      <c r="M24" s="16">
        <v>1123.7495200000001</v>
      </c>
      <c r="N24" s="16">
        <v>1161.376</v>
      </c>
    </row>
    <row r="25" spans="1:14">
      <c r="A25" s="15">
        <v>4001312300</v>
      </c>
      <c r="B25" s="15" t="s">
        <v>245</v>
      </c>
      <c r="C25" s="15" t="s">
        <v>227</v>
      </c>
      <c r="D25" s="16">
        <v>-567.60839999999996</v>
      </c>
      <c r="E25" s="16">
        <v>-742.21351000000004</v>
      </c>
      <c r="F25" s="16">
        <v>-764.04745000000003</v>
      </c>
      <c r="G25" s="16">
        <v>-499.88513999999998</v>
      </c>
      <c r="H25" s="16">
        <v>-480.24525999999997</v>
      </c>
      <c r="I25" s="16">
        <v>-486.75812999999999</v>
      </c>
      <c r="J25" s="16">
        <v>-320.46147999999999</v>
      </c>
      <c r="K25" s="16">
        <v>-483.76229000000001</v>
      </c>
      <c r="L25" s="16">
        <v>-468.06493</v>
      </c>
      <c r="M25" s="16">
        <v>-469.01902000000001</v>
      </c>
      <c r="N25" s="16">
        <v>-464.90185000000002</v>
      </c>
    </row>
    <row r="26" spans="1:14">
      <c r="A26" s="15">
        <v>4001312310</v>
      </c>
      <c r="B26" s="15" t="s">
        <v>246</v>
      </c>
      <c r="C26" s="15" t="s">
        <v>227</v>
      </c>
      <c r="D26" s="16"/>
      <c r="E26" s="16"/>
      <c r="F26" s="16"/>
      <c r="G26" s="16"/>
      <c r="H26" s="16"/>
      <c r="I26" s="16"/>
      <c r="J26" s="16"/>
      <c r="K26" s="16"/>
      <c r="L26" s="16"/>
      <c r="M26" s="16"/>
      <c r="N26" s="16"/>
    </row>
    <row r="27" spans="1:14">
      <c r="A27" s="15">
        <v>4001312320</v>
      </c>
      <c r="B27" s="15" t="s">
        <v>247</v>
      </c>
      <c r="C27" s="15" t="s">
        <v>227</v>
      </c>
      <c r="D27" s="16"/>
      <c r="E27" s="16"/>
      <c r="F27" s="16"/>
      <c r="G27" s="16"/>
      <c r="H27" s="16"/>
      <c r="I27" s="16"/>
      <c r="J27" s="16"/>
      <c r="K27" s="16"/>
      <c r="L27" s="16"/>
      <c r="M27" s="16"/>
      <c r="N27" s="16"/>
    </row>
    <row r="28" spans="1:14">
      <c r="A28" s="15">
        <v>4001312330</v>
      </c>
      <c r="B28" s="15" t="s">
        <v>248</v>
      </c>
      <c r="C28" s="15" t="s">
        <v>227</v>
      </c>
      <c r="D28" s="16"/>
      <c r="E28" s="16"/>
      <c r="F28" s="16"/>
      <c r="G28" s="16"/>
      <c r="H28" s="16"/>
      <c r="I28" s="16"/>
      <c r="J28" s="16"/>
      <c r="K28" s="16"/>
      <c r="L28" s="16"/>
      <c r="M28" s="16"/>
      <c r="N28" s="16"/>
    </row>
    <row r="29" spans="1:14">
      <c r="A29" s="15">
        <v>4001312340</v>
      </c>
      <c r="B29" s="15" t="s">
        <v>249</v>
      </c>
      <c r="C29" s="15" t="s">
        <v>227</v>
      </c>
      <c r="D29" s="16">
        <v>-2554.3274900000001</v>
      </c>
      <c r="E29" s="16">
        <v>-3410.35502</v>
      </c>
      <c r="F29" s="16">
        <v>-4329.1708799999997</v>
      </c>
      <c r="G29" s="16">
        <v>-46.943829999999998</v>
      </c>
      <c r="H29" s="16"/>
      <c r="I29" s="16">
        <v>-10451.57034</v>
      </c>
      <c r="J29" s="16">
        <v>-16620.440310000002</v>
      </c>
      <c r="K29" s="16">
        <v>-576.56149000000005</v>
      </c>
      <c r="L29" s="16">
        <v>-4556.60311</v>
      </c>
      <c r="M29" s="16">
        <v>-6435.4515499999998</v>
      </c>
      <c r="N29" s="16">
        <v>-9280.7277200000008</v>
      </c>
    </row>
    <row r="30" spans="1:14">
      <c r="A30" s="15">
        <v>4001312350</v>
      </c>
      <c r="B30" s="15" t="s">
        <v>250</v>
      </c>
      <c r="C30" s="15" t="s">
        <v>227</v>
      </c>
      <c r="D30" s="16"/>
      <c r="E30" s="16"/>
      <c r="F30" s="16"/>
      <c r="G30" s="16"/>
      <c r="H30" s="16"/>
      <c r="I30" s="16"/>
      <c r="J30" s="16"/>
      <c r="K30" s="16"/>
      <c r="L30" s="16"/>
      <c r="M30" s="16"/>
      <c r="N30" s="16"/>
    </row>
    <row r="31" spans="1:14">
      <c r="A31" s="15">
        <v>4001390160</v>
      </c>
      <c r="B31" s="15" t="s">
        <v>251</v>
      </c>
      <c r="C31" s="15" t="s">
        <v>227</v>
      </c>
      <c r="D31" s="16">
        <v>-63506.52923</v>
      </c>
      <c r="E31" s="16">
        <v>-20391.568149999999</v>
      </c>
      <c r="F31" s="16">
        <v>1598.4592600000001</v>
      </c>
      <c r="G31" s="16">
        <v>-9695.2145299999993</v>
      </c>
      <c r="H31" s="16">
        <v>-30886.72694</v>
      </c>
      <c r="I31" s="16">
        <v>-9172.2794400000002</v>
      </c>
      <c r="J31" s="16">
        <v>3427.8832699999998</v>
      </c>
      <c r="K31" s="16">
        <v>-11526.63466</v>
      </c>
      <c r="L31" s="16">
        <v>13045.9539</v>
      </c>
      <c r="M31" s="16">
        <v>-43185.758580000002</v>
      </c>
      <c r="N31" s="16">
        <v>-32645.159889999999</v>
      </c>
    </row>
    <row r="32" spans="1:14">
      <c r="A32" s="15">
        <v>4001390170</v>
      </c>
      <c r="B32" s="15" t="s">
        <v>252</v>
      </c>
      <c r="C32" s="15" t="s">
        <v>227</v>
      </c>
      <c r="D32" s="16">
        <v>5135.5651099999995</v>
      </c>
      <c r="E32" s="16">
        <v>-1.43493</v>
      </c>
      <c r="F32" s="16">
        <v>140.28331</v>
      </c>
      <c r="G32" s="16">
        <v>65516.964529999997</v>
      </c>
      <c r="H32" s="16">
        <v>5698.9366799999998</v>
      </c>
      <c r="I32" s="16">
        <v>314.03203999999999</v>
      </c>
      <c r="J32" s="16">
        <v>4560.8480799999998</v>
      </c>
      <c r="K32" s="16">
        <v>5132.5638600000002</v>
      </c>
      <c r="L32" s="16">
        <v>89463.695000000007</v>
      </c>
      <c r="M32" s="16">
        <v>74849.2</v>
      </c>
      <c r="N32" s="16">
        <v>75260.563639999993</v>
      </c>
    </row>
    <row r="33" spans="1:14">
      <c r="A33" s="15">
        <v>4001390270</v>
      </c>
      <c r="B33" s="15" t="s">
        <v>253</v>
      </c>
      <c r="C33" s="15" t="s">
        <v>227</v>
      </c>
      <c r="D33" s="16">
        <v>68642.094330000007</v>
      </c>
      <c r="E33" s="16">
        <v>20390.13322</v>
      </c>
      <c r="F33" s="16">
        <v>-1458.1759400000001</v>
      </c>
      <c r="G33" s="16">
        <v>75212.179059999995</v>
      </c>
      <c r="H33" s="16">
        <v>36585.663619999999</v>
      </c>
      <c r="I33" s="16">
        <v>9486.3114800000003</v>
      </c>
      <c r="J33" s="16">
        <v>1132.9648199999999</v>
      </c>
      <c r="K33" s="16">
        <v>16659.198509999998</v>
      </c>
      <c r="L33" s="16">
        <v>76417.741099999999</v>
      </c>
      <c r="M33" s="16">
        <v>118034.95858000001</v>
      </c>
      <c r="N33" s="16">
        <v>107905.72352</v>
      </c>
    </row>
    <row r="34" spans="1:14">
      <c r="A34" s="15">
        <v>4001321350</v>
      </c>
      <c r="B34" s="15" t="s">
        <v>244</v>
      </c>
      <c r="C34" s="15" t="s">
        <v>227</v>
      </c>
      <c r="D34" s="16"/>
      <c r="E34" s="16"/>
      <c r="F34" s="16"/>
      <c r="G34" s="16"/>
      <c r="H34" s="16"/>
      <c r="I34" s="16"/>
      <c r="J34" s="16"/>
      <c r="K34" s="16"/>
      <c r="L34" s="16"/>
      <c r="M34" s="16"/>
      <c r="N34" s="16"/>
    </row>
    <row r="35" spans="1:14">
      <c r="A35" s="15">
        <v>4001321360</v>
      </c>
      <c r="B35" s="15" t="s">
        <v>245</v>
      </c>
      <c r="C35" s="15" t="s">
        <v>227</v>
      </c>
      <c r="D35" s="16"/>
      <c r="E35" s="16"/>
      <c r="F35" s="16"/>
      <c r="G35" s="16"/>
      <c r="H35" s="16"/>
      <c r="I35" s="16"/>
      <c r="J35" s="16"/>
      <c r="K35" s="16"/>
      <c r="L35" s="16"/>
      <c r="M35" s="16"/>
      <c r="N35" s="16"/>
    </row>
    <row r="36" spans="1:14">
      <c r="A36" s="15">
        <v>4001321370</v>
      </c>
      <c r="B36" s="15" t="s">
        <v>246</v>
      </c>
      <c r="C36" s="15" t="s">
        <v>227</v>
      </c>
      <c r="D36" s="16"/>
      <c r="E36" s="16"/>
      <c r="F36" s="16"/>
      <c r="G36" s="16"/>
      <c r="H36" s="16"/>
      <c r="I36" s="16"/>
      <c r="J36" s="16"/>
      <c r="K36" s="16"/>
      <c r="L36" s="16"/>
      <c r="M36" s="16"/>
      <c r="N36" s="16"/>
    </row>
    <row r="37" spans="1:14">
      <c r="A37" s="15">
        <v>4001321380</v>
      </c>
      <c r="B37" s="15" t="s">
        <v>247</v>
      </c>
      <c r="C37" s="15" t="s">
        <v>227</v>
      </c>
      <c r="D37" s="16"/>
      <c r="E37" s="16"/>
      <c r="F37" s="16"/>
      <c r="G37" s="16"/>
      <c r="H37" s="16"/>
      <c r="I37" s="16"/>
      <c r="J37" s="16"/>
      <c r="K37" s="16"/>
      <c r="L37" s="16"/>
      <c r="M37" s="16"/>
      <c r="N37" s="16"/>
    </row>
    <row r="38" spans="1:14">
      <c r="A38" s="15">
        <v>4001321390</v>
      </c>
      <c r="B38" s="15" t="s">
        <v>248</v>
      </c>
      <c r="C38" s="15" t="s">
        <v>227</v>
      </c>
      <c r="D38" s="16"/>
      <c r="E38" s="16"/>
      <c r="F38" s="16"/>
      <c r="G38" s="16"/>
      <c r="H38" s="16"/>
      <c r="I38" s="16"/>
      <c r="J38" s="16"/>
      <c r="K38" s="16"/>
      <c r="L38" s="16"/>
      <c r="M38" s="16"/>
      <c r="N38" s="16"/>
    </row>
    <row r="39" spans="1:14">
      <c r="A39" s="15">
        <v>4001321400</v>
      </c>
      <c r="B39" s="15" t="s">
        <v>249</v>
      </c>
      <c r="C39" s="15" t="s">
        <v>227</v>
      </c>
      <c r="D39" s="16"/>
      <c r="E39" s="16"/>
      <c r="F39" s="16"/>
      <c r="G39" s="16"/>
      <c r="H39" s="16"/>
      <c r="I39" s="16"/>
      <c r="J39" s="16"/>
      <c r="K39" s="16"/>
      <c r="L39" s="16"/>
      <c r="M39" s="16"/>
      <c r="N39" s="16"/>
    </row>
    <row r="40" spans="1:14">
      <c r="A40" s="15">
        <v>4001321410</v>
      </c>
      <c r="B40" s="15" t="s">
        <v>250</v>
      </c>
      <c r="C40" s="15" t="s">
        <v>227</v>
      </c>
      <c r="D40" s="16"/>
      <c r="E40" s="16"/>
      <c r="F40" s="16"/>
      <c r="G40" s="16"/>
      <c r="H40" s="16"/>
      <c r="I40" s="16"/>
      <c r="J40" s="16"/>
      <c r="K40" s="16"/>
      <c r="L40" s="16"/>
      <c r="M40" s="16"/>
      <c r="N40" s="16"/>
    </row>
    <row r="41" spans="1:14">
      <c r="A41" s="15">
        <v>4001390370</v>
      </c>
      <c r="B41" s="15" t="s">
        <v>254</v>
      </c>
      <c r="C41" s="15" t="s">
        <v>227</v>
      </c>
      <c r="D41" s="16">
        <v>68468.897010000001</v>
      </c>
      <c r="E41" s="16">
        <v>-5344.8557099999998</v>
      </c>
      <c r="F41" s="16">
        <v>-4100.6236699999999</v>
      </c>
      <c r="G41" s="16">
        <v>-37968.178939999998</v>
      </c>
      <c r="H41" s="16">
        <v>-911.62739999999997</v>
      </c>
      <c r="I41" s="16">
        <v>-8261.7095599999993</v>
      </c>
      <c r="J41" s="16">
        <v>-11305.813700000001</v>
      </c>
      <c r="K41" s="16">
        <v>-5164.8109400000003</v>
      </c>
      <c r="L41" s="16">
        <v>-970.01790000000005</v>
      </c>
      <c r="M41" s="16">
        <v>-13605.1937</v>
      </c>
      <c r="N41" s="16">
        <v>-912.6259</v>
      </c>
    </row>
    <row r="42" spans="1:14">
      <c r="A42" s="15">
        <v>4001390380</v>
      </c>
      <c r="B42" s="15" t="s">
        <v>255</v>
      </c>
      <c r="C42" s="15" t="s">
        <v>227</v>
      </c>
      <c r="D42" s="16">
        <v>69108.845319999993</v>
      </c>
      <c r="E42" s="16">
        <v>20</v>
      </c>
      <c r="F42" s="16">
        <v>15</v>
      </c>
      <c r="G42" s="16">
        <v>50</v>
      </c>
      <c r="H42" s="16">
        <v>85</v>
      </c>
      <c r="I42" s="16">
        <v>32</v>
      </c>
      <c r="J42" s="16"/>
      <c r="K42" s="16"/>
      <c r="L42" s="16">
        <v>25</v>
      </c>
      <c r="M42" s="16"/>
      <c r="N42" s="16"/>
    </row>
    <row r="43" spans="1:14">
      <c r="A43" s="15">
        <v>4001390470</v>
      </c>
      <c r="B43" s="15" t="s">
        <v>256</v>
      </c>
      <c r="C43" s="15" t="s">
        <v>227</v>
      </c>
      <c r="D43" s="16">
        <v>639.94830999999999</v>
      </c>
      <c r="E43" s="16">
        <v>1093.54269</v>
      </c>
      <c r="F43" s="16">
        <v>4115.6236699999999</v>
      </c>
      <c r="G43" s="16">
        <v>38018.178930000002</v>
      </c>
      <c r="H43" s="16">
        <v>996.62739999999997</v>
      </c>
      <c r="I43" s="16">
        <v>822.25789999999995</v>
      </c>
      <c r="J43" s="16">
        <v>11305.813700000001</v>
      </c>
      <c r="K43" s="16">
        <v>5164.81095</v>
      </c>
      <c r="L43" s="16">
        <v>995.01790000000005</v>
      </c>
      <c r="M43" s="16">
        <v>805.28989999999999</v>
      </c>
      <c r="N43" s="16">
        <v>912.6259</v>
      </c>
    </row>
    <row r="44" spans="1:14">
      <c r="A44" s="15">
        <v>4001330680</v>
      </c>
      <c r="B44" s="15" t="s">
        <v>244</v>
      </c>
      <c r="C44" s="15" t="s">
        <v>227</v>
      </c>
      <c r="D44" s="16"/>
      <c r="E44" s="16"/>
      <c r="F44" s="16"/>
      <c r="G44" s="16"/>
      <c r="H44" s="16"/>
      <c r="I44" s="16"/>
      <c r="J44" s="16"/>
      <c r="K44" s="16"/>
      <c r="L44" s="16"/>
      <c r="M44" s="16"/>
      <c r="N44" s="16"/>
    </row>
    <row r="45" spans="1:14">
      <c r="A45" s="15">
        <v>4001330690</v>
      </c>
      <c r="B45" s="15" t="s">
        <v>245</v>
      </c>
      <c r="C45" s="15" t="s">
        <v>227</v>
      </c>
      <c r="D45" s="16"/>
      <c r="E45" s="16"/>
      <c r="F45" s="16"/>
      <c r="G45" s="16"/>
      <c r="H45" s="16"/>
      <c r="I45" s="16"/>
      <c r="J45" s="16"/>
      <c r="K45" s="16"/>
      <c r="L45" s="16"/>
      <c r="M45" s="16"/>
      <c r="N45" s="16"/>
    </row>
    <row r="46" spans="1:14">
      <c r="A46" s="15">
        <v>4001330700</v>
      </c>
      <c r="B46" s="15" t="s">
        <v>246</v>
      </c>
      <c r="C46" s="15" t="s">
        <v>227</v>
      </c>
      <c r="D46" s="16"/>
      <c r="E46" s="16"/>
      <c r="F46" s="16"/>
      <c r="G46" s="16"/>
      <c r="H46" s="16"/>
      <c r="I46" s="16"/>
      <c r="J46" s="16"/>
      <c r="K46" s="16"/>
      <c r="L46" s="16"/>
      <c r="M46" s="16"/>
      <c r="N46" s="16"/>
    </row>
    <row r="47" spans="1:14">
      <c r="A47" s="15">
        <v>4001330710</v>
      </c>
      <c r="B47" s="15" t="s">
        <v>247</v>
      </c>
      <c r="C47" s="15" t="s">
        <v>227</v>
      </c>
      <c r="D47" s="16"/>
      <c r="E47" s="16">
        <v>-4271.3130199999996</v>
      </c>
      <c r="F47" s="16"/>
      <c r="G47" s="16"/>
      <c r="H47" s="16"/>
      <c r="I47" s="16">
        <v>-7471.4516599999997</v>
      </c>
      <c r="J47" s="16"/>
      <c r="K47" s="16">
        <v>1.0000000000000001E-5</v>
      </c>
      <c r="L47" s="16"/>
      <c r="M47" s="16">
        <v>-12799.9038</v>
      </c>
      <c r="N47" s="16"/>
    </row>
    <row r="48" spans="1:14">
      <c r="A48" s="15">
        <v>4001330720</v>
      </c>
      <c r="B48" s="15" t="s">
        <v>248</v>
      </c>
      <c r="C48" s="15" t="s">
        <v>227</v>
      </c>
      <c r="D48" s="16"/>
      <c r="E48" s="16"/>
      <c r="F48" s="16"/>
      <c r="G48" s="16"/>
      <c r="H48" s="16"/>
      <c r="I48" s="16"/>
      <c r="J48" s="16"/>
      <c r="K48" s="16"/>
      <c r="L48" s="16"/>
      <c r="M48" s="16"/>
      <c r="N48" s="16"/>
    </row>
    <row r="49" spans="1:14">
      <c r="A49" s="15">
        <v>4001330730</v>
      </c>
      <c r="B49" s="15" t="s">
        <v>249</v>
      </c>
      <c r="C49" s="15" t="s">
        <v>227</v>
      </c>
      <c r="D49" s="16"/>
      <c r="E49" s="16"/>
      <c r="F49" s="16"/>
      <c r="G49" s="16"/>
      <c r="H49" s="16"/>
      <c r="I49" s="16"/>
      <c r="J49" s="16"/>
      <c r="K49" s="16"/>
      <c r="L49" s="16"/>
      <c r="M49" s="16"/>
      <c r="N49" s="16"/>
    </row>
    <row r="50" spans="1:14">
      <c r="A50" s="15">
        <v>4001330740</v>
      </c>
      <c r="B50" s="15" t="s">
        <v>250</v>
      </c>
      <c r="C50" s="15" t="s">
        <v>227</v>
      </c>
      <c r="D50" s="16"/>
      <c r="E50" s="16"/>
      <c r="F50" s="16"/>
      <c r="G50" s="16"/>
      <c r="H50" s="16"/>
      <c r="I50" s="16"/>
      <c r="J50" s="16"/>
      <c r="K50" s="16"/>
      <c r="L50" s="16"/>
      <c r="M50" s="16"/>
      <c r="N50" s="16"/>
    </row>
    <row r="51" spans="1:14">
      <c r="A51" s="15">
        <v>4001340000</v>
      </c>
      <c r="B51" s="15" t="s">
        <v>257</v>
      </c>
      <c r="C51" s="15" t="s">
        <v>227</v>
      </c>
      <c r="D51" s="16"/>
      <c r="E51" s="16"/>
      <c r="F51" s="16"/>
      <c r="G51" s="16"/>
      <c r="H51" s="16"/>
      <c r="I51" s="16"/>
      <c r="J51" s="16"/>
      <c r="K51" s="16"/>
      <c r="L51" s="16"/>
      <c r="M51" s="16"/>
      <c r="N51" s="16"/>
    </row>
    <row r="52" spans="1:14">
      <c r="A52" s="15">
        <v>4001340010</v>
      </c>
      <c r="B52" s="15" t="s">
        <v>258</v>
      </c>
      <c r="C52" s="15" t="s">
        <v>227</v>
      </c>
      <c r="D52" s="16"/>
      <c r="E52" s="16"/>
      <c r="F52" s="16"/>
      <c r="G52" s="16"/>
      <c r="H52" s="16"/>
      <c r="I52" s="16"/>
      <c r="J52" s="16"/>
      <c r="K52" s="16"/>
      <c r="L52" s="16"/>
      <c r="M52" s="16"/>
      <c r="N52" s="16"/>
    </row>
    <row r="53" spans="1:14">
      <c r="A53" s="15">
        <v>4001340020</v>
      </c>
      <c r="B53" s="15" t="s">
        <v>259</v>
      </c>
      <c r="C53" s="15" t="s">
        <v>227</v>
      </c>
      <c r="D53" s="16">
        <v>642.09214999999995</v>
      </c>
      <c r="E53" s="16">
        <v>2581.0229599999998</v>
      </c>
      <c r="F53" s="16">
        <v>5032.4574599999996</v>
      </c>
      <c r="G53" s="16">
        <v>-8854.2326300000004</v>
      </c>
      <c r="H53" s="16">
        <v>2490.2655</v>
      </c>
      <c r="I53" s="16">
        <v>703.18754999999999</v>
      </c>
      <c r="J53" s="16">
        <v>2158.9353999999998</v>
      </c>
      <c r="K53" s="16">
        <v>-3850.92101</v>
      </c>
      <c r="L53" s="16">
        <v>821.02355</v>
      </c>
      <c r="M53" s="16">
        <v>-187.79549</v>
      </c>
      <c r="N53" s="16">
        <v>-673.87080000000003</v>
      </c>
    </row>
    <row r="54" spans="1:14">
      <c r="A54" s="15">
        <v>4001340030</v>
      </c>
      <c r="B54" s="15" t="s">
        <v>260</v>
      </c>
      <c r="C54" s="15" t="s">
        <v>227</v>
      </c>
      <c r="D54" s="16">
        <v>14688.36059</v>
      </c>
      <c r="E54" s="16">
        <v>-9432.3955600000008</v>
      </c>
      <c r="F54" s="16">
        <v>18624.171330000001</v>
      </c>
      <c r="G54" s="16">
        <v>-40663.905019999998</v>
      </c>
      <c r="H54" s="16">
        <v>-12821.69629</v>
      </c>
      <c r="I54" s="16">
        <v>-3098.8364700000002</v>
      </c>
      <c r="J54" s="16">
        <v>-3143.2871799999998</v>
      </c>
      <c r="K54" s="16">
        <v>11395.539919999999</v>
      </c>
      <c r="L54" s="16">
        <v>32270.22939</v>
      </c>
      <c r="M54" s="16">
        <v>-26333.217939999999</v>
      </c>
      <c r="N54" s="16">
        <v>-21083.147970000002</v>
      </c>
    </row>
    <row r="55" spans="1:14">
      <c r="A55" s="15">
        <v>4001340040</v>
      </c>
      <c r="B55" s="15" t="s">
        <v>261</v>
      </c>
      <c r="C55" s="15" t="s">
        <v>227</v>
      </c>
      <c r="D55" s="16">
        <v>42788.254099999998</v>
      </c>
      <c r="E55" s="16">
        <v>57476.614690000002</v>
      </c>
      <c r="F55" s="16">
        <v>48044.219129999998</v>
      </c>
      <c r="G55" s="16">
        <v>66668.390459999995</v>
      </c>
      <c r="H55" s="16">
        <v>26004.48544</v>
      </c>
      <c r="I55" s="16">
        <v>13182.789150000001</v>
      </c>
      <c r="J55" s="16">
        <v>10083.95268</v>
      </c>
      <c r="K55" s="16">
        <v>6940.6655000000001</v>
      </c>
      <c r="L55" s="16">
        <v>18336.205419999998</v>
      </c>
      <c r="M55" s="16">
        <v>50606.434800000003</v>
      </c>
      <c r="N55" s="16">
        <v>24273.21686</v>
      </c>
    </row>
    <row r="56" spans="1:14">
      <c r="A56" s="15">
        <v>4001340050</v>
      </c>
      <c r="B56" s="15" t="s">
        <v>262</v>
      </c>
      <c r="C56" s="15" t="s">
        <v>227</v>
      </c>
      <c r="D56" s="16">
        <v>57476.614690000002</v>
      </c>
      <c r="E56" s="16">
        <v>48044.219129999998</v>
      </c>
      <c r="F56" s="16">
        <v>66668.390459999995</v>
      </c>
      <c r="G56" s="16">
        <v>26004.48544</v>
      </c>
      <c r="H56" s="16">
        <v>13182.789150000001</v>
      </c>
      <c r="I56" s="16">
        <v>10083.95268</v>
      </c>
      <c r="J56" s="16">
        <v>6940.6655000000001</v>
      </c>
      <c r="K56" s="16">
        <v>18336.205409999999</v>
      </c>
      <c r="L56" s="16">
        <v>50606.434800000003</v>
      </c>
      <c r="M56" s="16">
        <v>24273.21686</v>
      </c>
      <c r="N56" s="16">
        <v>3190.0689000000002</v>
      </c>
    </row>
    <row r="57" spans="1:14">
      <c r="A57" s="2"/>
      <c r="B57" s="2"/>
      <c r="C57" s="2"/>
      <c r="D57" s="16"/>
      <c r="E57" s="16"/>
      <c r="F57" s="16"/>
      <c r="G57" s="16"/>
      <c r="H57" s="16"/>
      <c r="I57" s="16"/>
      <c r="J57" s="16"/>
      <c r="K57" s="16"/>
      <c r="L57" s="16"/>
      <c r="M57" s="16"/>
      <c r="N57" s="16"/>
    </row>
    <row r="58" spans="1:14">
      <c r="D58" s="17"/>
      <c r="E58" s="17"/>
      <c r="F58" s="17"/>
      <c r="G58" s="17"/>
      <c r="H58" s="17"/>
      <c r="I58" s="17"/>
      <c r="J58" s="17"/>
      <c r="K58" s="17"/>
      <c r="L58" s="17"/>
      <c r="M58" s="17"/>
      <c r="N58" s="17"/>
    </row>
    <row r="59" spans="1:14">
      <c r="D59" s="17"/>
      <c r="E59" s="17"/>
      <c r="F59" s="17"/>
      <c r="G59" s="17"/>
      <c r="H59" s="17"/>
      <c r="I59" s="17"/>
      <c r="J59" s="17"/>
      <c r="K59" s="17"/>
      <c r="L59" s="17"/>
      <c r="M59" s="17"/>
      <c r="N59" s="17"/>
    </row>
    <row r="60" spans="1:14">
      <c r="D60" s="17"/>
      <c r="E60" s="17"/>
      <c r="F60" s="17"/>
      <c r="G60" s="17"/>
      <c r="H60" s="17"/>
      <c r="I60" s="17"/>
      <c r="J60" s="17"/>
      <c r="K60" s="17"/>
      <c r="L60" s="17"/>
      <c r="M60" s="17"/>
      <c r="N60" s="17"/>
    </row>
  </sheetData>
  <phoneticPr fontId="2" type="noConversion"/>
  <conditionalFormatting sqref="B1">
    <cfRule type="expression" dxfId="3" priority="1" stopIfTrue="1">
      <formula>MID($B$1, 15, 10)-TODAY() &lt; 0</formula>
    </cfRule>
  </conditionalFormatting>
  <dataValidations count="7">
    <dataValidation type="list" allowBlank="1" showInputMessage="1" sqref="B5" xr:uid="{DF8D2744-BBDC-40F6-B8C5-604DBF9A64DB}">
      <formula1>"전체,재무상태표,손익계산서,현금흐름표,자본금변동표"</formula1>
    </dataValidation>
    <dataValidation type="list" allowBlank="1" showInputMessage="1" sqref="B6" xr:uid="{7317C644-618A-454F-B7BF-6B8BF851A395}">
      <formula1>"상세(총액),상세(순액),요약,약식"</formula1>
    </dataValidation>
    <dataValidation type="list" allowBlank="1" showInputMessage="1" sqref="B7" xr:uid="{EA84125A-EA87-46CF-9A6C-3B980481E8AA}">
      <formula1>"결산,누적분기,당분기"</formula1>
    </dataValidation>
    <dataValidation type="list" allowBlank="1" showInputMessage="1" sqref="C7" xr:uid="{F759ECBF-627F-40F4-901E-4188F06DC18B}">
      <formula1>"천원,백만원,억원,십억원"</formula1>
    </dataValidation>
    <dataValidation type="list" allowBlank="1" showInputMessage="1" sqref="B4" xr:uid="{DC4EF335-BCBB-41C9-88B8-0489E34BE5DF}">
      <formula1>"별도,연결"</formula1>
    </dataValidation>
    <dataValidation type="list" allowBlank="1" showInputMessage="1" sqref="B8" xr:uid="{CFB34E5F-AF76-4972-9771-69BF5D9D2043}">
      <formula1>"1983,1984,1985,1986,1987,1988,1989,1990,1991,1992,1993,1994,1995,1996,1997,1998,1999,2000,2001,2002,2003,2004,2005,2006,2007,2008,2009,2010,2011,2012,2013,2014,2015,2016,2017,2018,2019,2020,2021,2022,2023,2024,2025"</formula1>
    </dataValidation>
    <dataValidation type="list" allowBlank="1" showInputMessage="1" sqref="C8" xr:uid="{136F24D6-6E57-4970-AA8A-6B0EBB228A9B}">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A62A-F1D5-2D40-8667-9F24A00CAAF2}">
  <dimension ref="A1:G108"/>
  <sheetViews>
    <sheetView showGridLines="0" workbookViewId="0"/>
  </sheetViews>
  <sheetFormatPr defaultColWidth="8.8984375" defaultRowHeight="17.399999999999999"/>
  <cols>
    <col min="1" max="1" width="9.5" style="371" bestFit="1" customWidth="1"/>
    <col min="2" max="2" width="45.59765625" style="371" bestFit="1" customWidth="1"/>
    <col min="3" max="3" width="11.59765625" style="371" bestFit="1" customWidth="1"/>
    <col min="4" max="7" width="8.5" style="371" bestFit="1" customWidth="1"/>
    <col min="8" max="16384" width="8.8984375" style="371"/>
  </cols>
  <sheetData>
    <row r="1" spans="1:7">
      <c r="B1" s="387" t="s">
        <v>651</v>
      </c>
    </row>
    <row r="2" spans="1:7">
      <c r="A2" s="386" t="s">
        <v>34</v>
      </c>
      <c r="B2" s="386"/>
      <c r="C2" s="386"/>
      <c r="D2" s="386"/>
      <c r="E2" s="386"/>
      <c r="F2" s="386"/>
      <c r="G2" s="386"/>
    </row>
    <row r="3" spans="1:7">
      <c r="A3" s="382" t="s">
        <v>650</v>
      </c>
      <c r="B3" s="382" t="s">
        <v>124</v>
      </c>
      <c r="C3" s="382"/>
      <c r="D3" s="382"/>
      <c r="E3" s="382"/>
      <c r="F3" s="382"/>
      <c r="G3" s="382"/>
    </row>
    <row r="4" spans="1:7">
      <c r="A4" s="382" t="s">
        <v>649</v>
      </c>
      <c r="B4" s="380" t="s">
        <v>130</v>
      </c>
      <c r="C4" s="382" t="s">
        <v>648</v>
      </c>
      <c r="D4" s="382" t="s">
        <v>129</v>
      </c>
      <c r="E4" s="382"/>
      <c r="F4" s="382"/>
      <c r="G4" s="382"/>
    </row>
    <row r="5" spans="1:7">
      <c r="A5" s="382" t="s">
        <v>647</v>
      </c>
      <c r="B5" s="385" t="s">
        <v>220</v>
      </c>
      <c r="C5" s="382" t="s">
        <v>35</v>
      </c>
      <c r="D5" s="382"/>
      <c r="E5" s="382"/>
      <c r="F5" s="382"/>
      <c r="G5" s="382"/>
    </row>
    <row r="6" spans="1:7">
      <c r="A6" s="382" t="s">
        <v>646</v>
      </c>
      <c r="B6" s="383" t="s">
        <v>127</v>
      </c>
      <c r="C6" s="382"/>
      <c r="D6" s="382"/>
      <c r="E6" s="382"/>
      <c r="F6" s="382"/>
      <c r="G6" s="382"/>
    </row>
    <row r="7" spans="1:7">
      <c r="A7" s="382" t="s">
        <v>645</v>
      </c>
      <c r="B7" s="384" t="s">
        <v>264</v>
      </c>
      <c r="C7" s="383" t="s">
        <v>227</v>
      </c>
      <c r="D7" s="382"/>
      <c r="E7" s="382"/>
      <c r="F7" s="382"/>
      <c r="G7" s="382"/>
    </row>
    <row r="8" spans="1:7">
      <c r="A8" s="379" t="s">
        <v>644</v>
      </c>
      <c r="B8" s="381">
        <v>2021</v>
      </c>
      <c r="C8" s="380" t="s">
        <v>131</v>
      </c>
      <c r="D8" s="379"/>
      <c r="E8" s="379"/>
      <c r="F8" s="379"/>
      <c r="G8" s="379"/>
    </row>
    <row r="9" spans="1:7">
      <c r="A9" s="377" t="s">
        <v>41</v>
      </c>
      <c r="B9" s="378" t="s">
        <v>42</v>
      </c>
      <c r="C9" s="378" t="s">
        <v>43</v>
      </c>
      <c r="D9" s="377">
        <v>202112</v>
      </c>
      <c r="E9" s="377">
        <v>202212</v>
      </c>
      <c r="F9" s="377">
        <v>202312</v>
      </c>
      <c r="G9" s="377">
        <v>202412</v>
      </c>
    </row>
    <row r="10" spans="1:7">
      <c r="A10" s="376"/>
      <c r="B10" s="376"/>
      <c r="C10" s="376"/>
      <c r="D10" s="376" t="s">
        <v>55</v>
      </c>
      <c r="E10" s="376" t="s">
        <v>55</v>
      </c>
      <c r="F10" s="376" t="s">
        <v>55</v>
      </c>
      <c r="G10" s="376" t="s">
        <v>55</v>
      </c>
    </row>
    <row r="11" spans="1:7">
      <c r="A11" s="375">
        <v>4001210000</v>
      </c>
      <c r="B11" s="375" t="s">
        <v>135</v>
      </c>
      <c r="C11" s="375" t="s">
        <v>227</v>
      </c>
      <c r="D11" s="373">
        <v>100596.93557</v>
      </c>
      <c r="E11" s="373">
        <v>141803.24239999999</v>
      </c>
      <c r="F11" s="373">
        <v>180122.79801</v>
      </c>
      <c r="G11" s="373">
        <v>242938.96536999999</v>
      </c>
    </row>
    <row r="12" spans="1:7">
      <c r="A12" s="375">
        <v>4001210010</v>
      </c>
      <c r="B12" s="375" t="s">
        <v>136</v>
      </c>
      <c r="C12" s="375" t="s">
        <v>227</v>
      </c>
      <c r="D12" s="373"/>
      <c r="E12" s="373"/>
      <c r="F12" s="373"/>
      <c r="G12" s="373"/>
    </row>
    <row r="13" spans="1:7">
      <c r="A13" s="375">
        <v>4001210020</v>
      </c>
      <c r="B13" s="375" t="s">
        <v>137</v>
      </c>
      <c r="C13" s="375" t="s">
        <v>227</v>
      </c>
      <c r="D13" s="373"/>
      <c r="E13" s="373"/>
      <c r="F13" s="373"/>
      <c r="G13" s="373"/>
    </row>
    <row r="14" spans="1:7">
      <c r="A14" s="375">
        <v>4001210320</v>
      </c>
      <c r="B14" s="375" t="s">
        <v>138</v>
      </c>
      <c r="C14" s="375" t="s">
        <v>227</v>
      </c>
      <c r="D14" s="373">
        <v>22744.271710000001</v>
      </c>
      <c r="E14" s="373">
        <v>33636.218540000002</v>
      </c>
      <c r="F14" s="373">
        <v>39673.733659999998</v>
      </c>
      <c r="G14" s="373">
        <v>51811.435879999997</v>
      </c>
    </row>
    <row r="15" spans="1:7">
      <c r="A15" s="375">
        <v>4001210780</v>
      </c>
      <c r="B15" s="375" t="s">
        <v>139</v>
      </c>
      <c r="C15" s="375" t="s">
        <v>227</v>
      </c>
      <c r="D15" s="373">
        <v>77852.663860000001</v>
      </c>
      <c r="E15" s="373">
        <v>108167.02385</v>
      </c>
      <c r="F15" s="373">
        <v>140449.06434000001</v>
      </c>
      <c r="G15" s="373">
        <v>191127.52948</v>
      </c>
    </row>
    <row r="16" spans="1:7">
      <c r="A16" s="375">
        <v>4001290000</v>
      </c>
      <c r="B16" s="375" t="s">
        <v>140</v>
      </c>
      <c r="C16" s="375" t="s">
        <v>227</v>
      </c>
      <c r="D16" s="373">
        <v>26139.943459999999</v>
      </c>
      <c r="E16" s="373">
        <v>39290.81639</v>
      </c>
      <c r="F16" s="373">
        <v>50826.682280000001</v>
      </c>
      <c r="G16" s="373">
        <v>68684.93518</v>
      </c>
    </row>
    <row r="17" spans="1:7">
      <c r="A17" s="375">
        <v>4001290010</v>
      </c>
      <c r="B17" s="375" t="s">
        <v>141</v>
      </c>
      <c r="C17" s="375" t="s">
        <v>227</v>
      </c>
      <c r="D17" s="373">
        <v>10813.849</v>
      </c>
      <c r="E17" s="373">
        <v>12404.21</v>
      </c>
      <c r="F17" s="373">
        <v>13383.308999999999</v>
      </c>
      <c r="G17" s="373">
        <v>17460.38</v>
      </c>
    </row>
    <row r="18" spans="1:7">
      <c r="A18" s="375">
        <v>4001290020</v>
      </c>
      <c r="B18" s="375" t="s">
        <v>142</v>
      </c>
      <c r="C18" s="375" t="s">
        <v>227</v>
      </c>
      <c r="D18" s="373">
        <v>1064.403</v>
      </c>
      <c r="E18" s="373">
        <v>1593.1130000000001</v>
      </c>
      <c r="F18" s="373">
        <v>2224.3969999999999</v>
      </c>
      <c r="G18" s="373">
        <v>4741.3270000000002</v>
      </c>
    </row>
    <row r="19" spans="1:7">
      <c r="A19" s="375">
        <v>4001211300</v>
      </c>
      <c r="B19" s="375" t="s">
        <v>143</v>
      </c>
      <c r="C19" s="375" t="s">
        <v>227</v>
      </c>
      <c r="D19" s="373">
        <v>4700.5929999999998</v>
      </c>
      <c r="E19" s="373">
        <v>4429.777</v>
      </c>
      <c r="F19" s="373">
        <v>9200.643</v>
      </c>
      <c r="G19" s="373">
        <v>12617.668</v>
      </c>
    </row>
    <row r="20" spans="1:7">
      <c r="A20" s="375">
        <v>4001211060</v>
      </c>
      <c r="B20" s="375" t="s">
        <v>144</v>
      </c>
      <c r="C20" s="375" t="s">
        <v>227</v>
      </c>
      <c r="D20" s="373">
        <v>4215.0730000000003</v>
      </c>
      <c r="E20" s="373">
        <v>5914.1869999999999</v>
      </c>
      <c r="F20" s="373">
        <v>9029.7379999999994</v>
      </c>
      <c r="G20" s="373">
        <v>12820.742</v>
      </c>
    </row>
    <row r="21" spans="1:7">
      <c r="A21" s="375">
        <v>4001290040</v>
      </c>
      <c r="B21" s="375" t="s">
        <v>145</v>
      </c>
      <c r="C21" s="375" t="s">
        <v>227</v>
      </c>
      <c r="D21" s="373">
        <v>2053.355</v>
      </c>
      <c r="E21" s="373">
        <v>6552.8639999999996</v>
      </c>
      <c r="F21" s="373">
        <v>6901.0209999999997</v>
      </c>
      <c r="G21" s="373">
        <v>6936.7259999999997</v>
      </c>
    </row>
    <row r="22" spans="1:7">
      <c r="A22" s="375">
        <v>4001290090</v>
      </c>
      <c r="B22" s="375" t="s">
        <v>146</v>
      </c>
      <c r="C22" s="375" t="s">
        <v>227</v>
      </c>
      <c r="D22" s="373">
        <v>3292.67</v>
      </c>
      <c r="E22" s="373">
        <v>8396.6650000000009</v>
      </c>
      <c r="F22" s="373">
        <v>10056.036</v>
      </c>
      <c r="G22" s="373">
        <v>14047.182000000001</v>
      </c>
    </row>
    <row r="23" spans="1:7">
      <c r="A23" s="375">
        <v>4001290110</v>
      </c>
      <c r="B23" s="375" t="s">
        <v>147</v>
      </c>
      <c r="C23" s="375" t="s">
        <v>227</v>
      </c>
      <c r="D23" s="373"/>
      <c r="E23" s="373"/>
      <c r="F23" s="373"/>
      <c r="G23" s="373"/>
    </row>
    <row r="24" spans="1:7">
      <c r="A24" s="375">
        <v>4001211420</v>
      </c>
      <c r="B24" s="375" t="s">
        <v>148</v>
      </c>
      <c r="C24" s="375" t="s">
        <v>227</v>
      </c>
      <c r="D24" s="373"/>
      <c r="E24" s="373"/>
      <c r="F24" s="373">
        <v>31.538</v>
      </c>
      <c r="G24" s="373">
        <v>60.91</v>
      </c>
    </row>
    <row r="25" spans="1:7">
      <c r="A25" s="375">
        <v>4001211430</v>
      </c>
      <c r="B25" s="375" t="s">
        <v>149</v>
      </c>
      <c r="C25" s="375" t="s">
        <v>227</v>
      </c>
      <c r="D25" s="373">
        <v>51712.720399999998</v>
      </c>
      <c r="E25" s="373">
        <v>68876.207460000005</v>
      </c>
      <c r="F25" s="373">
        <v>89622.382060000004</v>
      </c>
      <c r="G25" s="373">
        <v>122442.5943</v>
      </c>
    </row>
    <row r="26" spans="1:7">
      <c r="A26" s="375">
        <v>4001290120</v>
      </c>
      <c r="B26" s="375" t="s">
        <v>150</v>
      </c>
      <c r="C26" s="375" t="s">
        <v>227</v>
      </c>
      <c r="D26" s="373">
        <v>4211.433</v>
      </c>
      <c r="E26" s="373">
        <v>2584.12</v>
      </c>
      <c r="F26" s="373">
        <v>8660.3140000000003</v>
      </c>
      <c r="G26" s="373">
        <v>24212.614000000001</v>
      </c>
    </row>
    <row r="27" spans="1:7">
      <c r="A27" s="375">
        <v>4001290750</v>
      </c>
      <c r="B27" s="375" t="s">
        <v>151</v>
      </c>
      <c r="C27" s="375" t="s">
        <v>227</v>
      </c>
      <c r="D27" s="373">
        <v>57.274999999999999</v>
      </c>
      <c r="E27" s="373">
        <v>772.11500000000001</v>
      </c>
      <c r="F27" s="373">
        <v>4627.866</v>
      </c>
      <c r="G27" s="373">
        <v>4801.4449999999997</v>
      </c>
    </row>
    <row r="28" spans="1:7">
      <c r="A28" s="375">
        <v>4001290760</v>
      </c>
      <c r="B28" s="375" t="s">
        <v>152</v>
      </c>
      <c r="C28" s="375" t="s">
        <v>227</v>
      </c>
      <c r="D28" s="373"/>
      <c r="E28" s="373"/>
      <c r="F28" s="373"/>
      <c r="G28" s="373"/>
    </row>
    <row r="29" spans="1:7">
      <c r="A29" s="375">
        <v>4001211480</v>
      </c>
      <c r="B29" s="375" t="s">
        <v>153</v>
      </c>
      <c r="C29" s="375" t="s">
        <v>227</v>
      </c>
      <c r="D29" s="373">
        <v>3989.3939999999998</v>
      </c>
      <c r="E29" s="373">
        <v>1613.37</v>
      </c>
      <c r="F29" s="373">
        <v>2906.3760000000002</v>
      </c>
      <c r="G29" s="373">
        <v>16322.233</v>
      </c>
    </row>
    <row r="30" spans="1:7">
      <c r="A30" s="375">
        <v>4001211520</v>
      </c>
      <c r="B30" s="375" t="s">
        <v>154</v>
      </c>
      <c r="C30" s="375" t="s">
        <v>227</v>
      </c>
      <c r="D30" s="373"/>
      <c r="E30" s="373"/>
      <c r="F30" s="373"/>
      <c r="G30" s="373"/>
    </row>
    <row r="31" spans="1:7">
      <c r="A31" s="375">
        <v>4001211600</v>
      </c>
      <c r="B31" s="375" t="s">
        <v>155</v>
      </c>
      <c r="C31" s="375" t="s">
        <v>227</v>
      </c>
      <c r="D31" s="373"/>
      <c r="E31" s="373"/>
      <c r="F31" s="373"/>
      <c r="G31" s="373"/>
    </row>
    <row r="32" spans="1:7">
      <c r="A32" s="375">
        <v>4001211605</v>
      </c>
      <c r="B32" s="375" t="s">
        <v>156</v>
      </c>
      <c r="C32" s="375" t="s">
        <v>227</v>
      </c>
      <c r="D32" s="373"/>
      <c r="E32" s="373"/>
      <c r="F32" s="373"/>
      <c r="G32" s="373"/>
    </row>
    <row r="33" spans="1:7">
      <c r="A33" s="375">
        <v>4001290130</v>
      </c>
      <c r="B33" s="375" t="s">
        <v>157</v>
      </c>
      <c r="C33" s="375" t="s">
        <v>227</v>
      </c>
      <c r="D33" s="373"/>
      <c r="E33" s="373"/>
      <c r="F33" s="373"/>
      <c r="G33" s="373"/>
    </row>
    <row r="34" spans="1:7">
      <c r="A34" s="375">
        <v>4001290150</v>
      </c>
      <c r="B34" s="375" t="s">
        <v>158</v>
      </c>
      <c r="C34" s="375" t="s">
        <v>227</v>
      </c>
      <c r="D34" s="373">
        <v>164.76400000000001</v>
      </c>
      <c r="E34" s="373">
        <v>198.63499999999999</v>
      </c>
      <c r="F34" s="373">
        <v>1126.0719999999999</v>
      </c>
      <c r="G34" s="373">
        <v>3088.9360000000001</v>
      </c>
    </row>
    <row r="35" spans="1:7">
      <c r="A35" s="375">
        <v>4001211720</v>
      </c>
      <c r="B35" s="375" t="s">
        <v>159</v>
      </c>
      <c r="C35" s="375" t="s">
        <v>227</v>
      </c>
      <c r="D35" s="373"/>
      <c r="E35" s="373"/>
      <c r="F35" s="373"/>
      <c r="G35" s="373"/>
    </row>
    <row r="36" spans="1:7">
      <c r="A36" s="375">
        <v>4001211680</v>
      </c>
      <c r="B36" s="375" t="s">
        <v>160</v>
      </c>
      <c r="C36" s="375" t="s">
        <v>227</v>
      </c>
      <c r="D36" s="373"/>
      <c r="E36" s="373"/>
      <c r="F36" s="373"/>
      <c r="G36" s="373"/>
    </row>
    <row r="37" spans="1:7">
      <c r="A37" s="375">
        <v>4001290170</v>
      </c>
      <c r="B37" s="375" t="s">
        <v>161</v>
      </c>
      <c r="C37" s="375" t="s">
        <v>227</v>
      </c>
      <c r="D37" s="373"/>
      <c r="E37" s="373"/>
      <c r="F37" s="373"/>
      <c r="G37" s="373"/>
    </row>
    <row r="38" spans="1:7">
      <c r="A38" s="375">
        <v>4001290180</v>
      </c>
      <c r="B38" s="375" t="s">
        <v>162</v>
      </c>
      <c r="C38" s="375" t="s">
        <v>227</v>
      </c>
      <c r="D38" s="373">
        <v>367.14800000000002</v>
      </c>
      <c r="E38" s="373">
        <v>4675.7060000000001</v>
      </c>
      <c r="F38" s="373">
        <v>3594.7570000000001</v>
      </c>
      <c r="G38" s="373">
        <v>4683.6239999999998</v>
      </c>
    </row>
    <row r="39" spans="1:7">
      <c r="A39" s="375">
        <v>4001290770</v>
      </c>
      <c r="B39" s="375" t="s">
        <v>163</v>
      </c>
      <c r="C39" s="375" t="s">
        <v>227</v>
      </c>
      <c r="D39" s="373">
        <v>93.054000000000002</v>
      </c>
      <c r="E39" s="373">
        <v>2609.848</v>
      </c>
      <c r="F39" s="373">
        <v>1958.684</v>
      </c>
      <c r="G39" s="373">
        <v>2040.6469999999999</v>
      </c>
    </row>
    <row r="40" spans="1:7">
      <c r="A40" s="375">
        <v>4001211820</v>
      </c>
      <c r="B40" s="375" t="s">
        <v>164</v>
      </c>
      <c r="C40" s="375" t="s">
        <v>227</v>
      </c>
      <c r="D40" s="373">
        <v>274.09399999999999</v>
      </c>
      <c r="E40" s="373">
        <v>2017.0719999999999</v>
      </c>
      <c r="F40" s="373">
        <v>1636.0730000000001</v>
      </c>
      <c r="G40" s="373">
        <v>966.12699999999995</v>
      </c>
    </row>
    <row r="41" spans="1:7">
      <c r="A41" s="375">
        <v>4001211860</v>
      </c>
      <c r="B41" s="375" t="s">
        <v>165</v>
      </c>
      <c r="C41" s="375" t="s">
        <v>227</v>
      </c>
      <c r="D41" s="373"/>
      <c r="E41" s="373"/>
      <c r="F41" s="373"/>
      <c r="G41" s="373"/>
    </row>
    <row r="42" spans="1:7">
      <c r="A42" s="375">
        <v>4001211865</v>
      </c>
      <c r="B42" s="375" t="s">
        <v>166</v>
      </c>
      <c r="C42" s="375" t="s">
        <v>227</v>
      </c>
      <c r="D42" s="373"/>
      <c r="E42" s="373"/>
      <c r="F42" s="373"/>
      <c r="G42" s="373"/>
    </row>
    <row r="43" spans="1:7">
      <c r="A43" s="375">
        <v>4001211940</v>
      </c>
      <c r="B43" s="375" t="s">
        <v>167</v>
      </c>
      <c r="C43" s="375" t="s">
        <v>227</v>
      </c>
      <c r="D43" s="373"/>
      <c r="E43" s="373"/>
      <c r="F43" s="373"/>
      <c r="G43" s="373"/>
    </row>
    <row r="44" spans="1:7">
      <c r="A44" s="375">
        <v>4001290190</v>
      </c>
      <c r="B44" s="375" t="s">
        <v>168</v>
      </c>
      <c r="C44" s="375" t="s">
        <v>227</v>
      </c>
      <c r="D44" s="373"/>
      <c r="E44" s="373"/>
      <c r="F44" s="373"/>
      <c r="G44" s="373"/>
    </row>
    <row r="45" spans="1:7">
      <c r="A45" s="375">
        <v>4001290210</v>
      </c>
      <c r="B45" s="375" t="s">
        <v>169</v>
      </c>
      <c r="C45" s="375" t="s">
        <v>227</v>
      </c>
      <c r="D45" s="373"/>
      <c r="E45" s="373">
        <v>48.786000000000001</v>
      </c>
      <c r="F45" s="373"/>
      <c r="G45" s="373">
        <v>28.527000000000001</v>
      </c>
    </row>
    <row r="46" spans="1:7">
      <c r="A46" s="375">
        <v>4001212060</v>
      </c>
      <c r="B46" s="375" t="s">
        <v>170</v>
      </c>
      <c r="C46" s="375" t="s">
        <v>227</v>
      </c>
      <c r="D46" s="373"/>
      <c r="E46" s="373"/>
      <c r="F46" s="373"/>
      <c r="G46" s="373"/>
    </row>
    <row r="47" spans="1:7">
      <c r="A47" s="375">
        <v>4001212020</v>
      </c>
      <c r="B47" s="375" t="s">
        <v>171</v>
      </c>
      <c r="C47" s="375" t="s">
        <v>227</v>
      </c>
      <c r="D47" s="373"/>
      <c r="E47" s="373"/>
      <c r="F47" s="373"/>
      <c r="G47" s="373">
        <v>1648.3230000000001</v>
      </c>
    </row>
    <row r="48" spans="1:7">
      <c r="A48" s="375">
        <v>4001290230</v>
      </c>
      <c r="B48" s="375" t="s">
        <v>172</v>
      </c>
      <c r="C48" s="375" t="s">
        <v>227</v>
      </c>
      <c r="D48" s="373"/>
      <c r="E48" s="373"/>
      <c r="F48" s="373"/>
      <c r="G48" s="373"/>
    </row>
    <row r="49" spans="1:7">
      <c r="A49" s="375">
        <v>4001290240</v>
      </c>
      <c r="B49" s="375" t="s">
        <v>173</v>
      </c>
      <c r="C49" s="375" t="s">
        <v>227</v>
      </c>
      <c r="D49" s="373">
        <v>214.61099999999999</v>
      </c>
      <c r="E49" s="373">
        <v>30374.149000000001</v>
      </c>
      <c r="F49" s="373">
        <v>49.689</v>
      </c>
      <c r="G49" s="373">
        <v>28.09</v>
      </c>
    </row>
    <row r="50" spans="1:7">
      <c r="A50" s="375">
        <v>4001280000</v>
      </c>
      <c r="B50" s="375" t="s">
        <v>151</v>
      </c>
      <c r="C50" s="375" t="s">
        <v>227</v>
      </c>
      <c r="D50" s="373"/>
      <c r="E50" s="373"/>
      <c r="F50" s="373"/>
      <c r="G50" s="373"/>
    </row>
    <row r="51" spans="1:7">
      <c r="A51" s="375">
        <v>4001280010</v>
      </c>
      <c r="B51" s="375" t="s">
        <v>152</v>
      </c>
      <c r="C51" s="375" t="s">
        <v>227</v>
      </c>
      <c r="D51" s="373"/>
      <c r="E51" s="373"/>
      <c r="F51" s="373"/>
      <c r="G51" s="373"/>
    </row>
    <row r="52" spans="1:7">
      <c r="A52" s="375">
        <v>4001290250</v>
      </c>
      <c r="B52" s="375" t="s">
        <v>153</v>
      </c>
      <c r="C52" s="375" t="s">
        <v>227</v>
      </c>
      <c r="D52" s="373"/>
      <c r="E52" s="373"/>
      <c r="F52" s="373"/>
      <c r="G52" s="373"/>
    </row>
    <row r="53" spans="1:7">
      <c r="A53" s="375">
        <v>4001280050</v>
      </c>
      <c r="B53" s="375" t="s">
        <v>174</v>
      </c>
      <c r="C53" s="375" t="s">
        <v>227</v>
      </c>
      <c r="D53" s="373"/>
      <c r="E53" s="373"/>
      <c r="F53" s="373"/>
      <c r="G53" s="373"/>
    </row>
    <row r="54" spans="1:7">
      <c r="A54" s="375">
        <v>4001280060</v>
      </c>
      <c r="B54" s="375" t="s">
        <v>175</v>
      </c>
      <c r="C54" s="375" t="s">
        <v>227</v>
      </c>
      <c r="D54" s="373"/>
      <c r="E54" s="373"/>
      <c r="F54" s="373"/>
      <c r="G54" s="373"/>
    </row>
    <row r="55" spans="1:7">
      <c r="A55" s="375">
        <v>4001280065</v>
      </c>
      <c r="B55" s="375" t="s">
        <v>176</v>
      </c>
      <c r="C55" s="375" t="s">
        <v>227</v>
      </c>
      <c r="D55" s="373"/>
      <c r="E55" s="373"/>
      <c r="F55" s="373"/>
      <c r="G55" s="373"/>
    </row>
    <row r="56" spans="1:7">
      <c r="A56" s="375">
        <v>4001290260</v>
      </c>
      <c r="B56" s="375" t="s">
        <v>177</v>
      </c>
      <c r="C56" s="375" t="s">
        <v>227</v>
      </c>
      <c r="D56" s="373">
        <v>7.1749999999999998</v>
      </c>
      <c r="E56" s="373">
        <v>30338.624</v>
      </c>
      <c r="F56" s="373">
        <v>16.602</v>
      </c>
      <c r="G56" s="373">
        <v>12.135999999999999</v>
      </c>
    </row>
    <row r="57" spans="1:7">
      <c r="A57" s="375">
        <v>4001280140</v>
      </c>
      <c r="B57" s="375" t="s">
        <v>178</v>
      </c>
      <c r="C57" s="375" t="s">
        <v>227</v>
      </c>
      <c r="D57" s="373"/>
      <c r="E57" s="373"/>
      <c r="F57" s="373"/>
      <c r="G57" s="373"/>
    </row>
    <row r="58" spans="1:7">
      <c r="A58" s="375">
        <v>4001290280</v>
      </c>
      <c r="B58" s="375" t="s">
        <v>179</v>
      </c>
      <c r="C58" s="375" t="s">
        <v>227</v>
      </c>
      <c r="D58" s="373"/>
      <c r="E58" s="373"/>
      <c r="F58" s="373"/>
      <c r="G58" s="373"/>
    </row>
    <row r="59" spans="1:7">
      <c r="A59" s="375">
        <v>4001290300</v>
      </c>
      <c r="B59" s="375" t="s">
        <v>160</v>
      </c>
      <c r="C59" s="375" t="s">
        <v>227</v>
      </c>
      <c r="D59" s="373"/>
      <c r="E59" s="373"/>
      <c r="F59" s="373"/>
      <c r="G59" s="373"/>
    </row>
    <row r="60" spans="1:7">
      <c r="A60" s="375">
        <v>4001280240</v>
      </c>
      <c r="B60" s="375" t="s">
        <v>180</v>
      </c>
      <c r="C60" s="375" t="s">
        <v>227</v>
      </c>
      <c r="D60" s="373">
        <v>116.825</v>
      </c>
      <c r="E60" s="373"/>
      <c r="F60" s="373"/>
      <c r="G60" s="373"/>
    </row>
    <row r="61" spans="1:7">
      <c r="A61" s="375">
        <v>4001280250</v>
      </c>
      <c r="B61" s="375" t="s">
        <v>181</v>
      </c>
      <c r="C61" s="375" t="s">
        <v>227</v>
      </c>
      <c r="D61" s="373"/>
      <c r="E61" s="373"/>
      <c r="F61" s="373"/>
      <c r="G61" s="373"/>
    </row>
    <row r="62" spans="1:7">
      <c r="A62" s="375">
        <v>4001280260</v>
      </c>
      <c r="B62" s="375" t="s">
        <v>182</v>
      </c>
      <c r="C62" s="375" t="s">
        <v>227</v>
      </c>
      <c r="D62" s="373"/>
      <c r="E62" s="373"/>
      <c r="F62" s="373"/>
      <c r="G62" s="373"/>
    </row>
    <row r="63" spans="1:7">
      <c r="A63" s="375">
        <v>4001280270</v>
      </c>
      <c r="B63" s="375" t="s">
        <v>183</v>
      </c>
      <c r="C63" s="375" t="s">
        <v>227</v>
      </c>
      <c r="D63" s="373"/>
      <c r="E63" s="373"/>
      <c r="F63" s="373"/>
      <c r="G63" s="373"/>
    </row>
    <row r="64" spans="1:7">
      <c r="A64" s="375">
        <v>4001280280</v>
      </c>
      <c r="B64" s="375" t="s">
        <v>184</v>
      </c>
      <c r="C64" s="375" t="s">
        <v>227</v>
      </c>
      <c r="D64" s="373"/>
      <c r="E64" s="373"/>
      <c r="F64" s="373"/>
      <c r="G64" s="373"/>
    </row>
    <row r="65" spans="1:7">
      <c r="A65" s="375">
        <v>4001290310</v>
      </c>
      <c r="B65" s="375" t="s">
        <v>185</v>
      </c>
      <c r="C65" s="375" t="s">
        <v>227</v>
      </c>
      <c r="D65" s="373">
        <v>90.611000000000004</v>
      </c>
      <c r="E65" s="373">
        <v>35.524999999999999</v>
      </c>
      <c r="F65" s="373">
        <v>33.087000000000003</v>
      </c>
      <c r="G65" s="373">
        <v>15.954000000000001</v>
      </c>
    </row>
    <row r="66" spans="1:7">
      <c r="A66" s="375">
        <v>4001290320</v>
      </c>
      <c r="B66" s="375" t="s">
        <v>186</v>
      </c>
      <c r="C66" s="375" t="s">
        <v>227</v>
      </c>
      <c r="D66" s="373">
        <v>147.02799999999999</v>
      </c>
      <c r="E66" s="373">
        <v>400.334</v>
      </c>
      <c r="F66" s="373">
        <v>895.78399999999999</v>
      </c>
      <c r="G66" s="373">
        <v>13002.234</v>
      </c>
    </row>
    <row r="67" spans="1:7">
      <c r="A67" s="375">
        <v>4001280400</v>
      </c>
      <c r="B67" s="375" t="s">
        <v>163</v>
      </c>
      <c r="C67" s="375" t="s">
        <v>227</v>
      </c>
      <c r="D67" s="373"/>
      <c r="E67" s="373"/>
      <c r="F67" s="373"/>
      <c r="G67" s="373"/>
    </row>
    <row r="68" spans="1:7">
      <c r="A68" s="375">
        <v>4001290330</v>
      </c>
      <c r="B68" s="375" t="s">
        <v>164</v>
      </c>
      <c r="C68" s="375" t="s">
        <v>227</v>
      </c>
      <c r="D68" s="373"/>
      <c r="E68" s="373"/>
      <c r="F68" s="373"/>
      <c r="G68" s="373"/>
    </row>
    <row r="69" spans="1:7">
      <c r="A69" s="375">
        <v>4001280440</v>
      </c>
      <c r="B69" s="375" t="s">
        <v>187</v>
      </c>
      <c r="C69" s="375" t="s">
        <v>227</v>
      </c>
      <c r="D69" s="373"/>
      <c r="E69" s="373"/>
      <c r="F69" s="373"/>
      <c r="G69" s="373"/>
    </row>
    <row r="70" spans="1:7">
      <c r="A70" s="375">
        <v>4001280450</v>
      </c>
      <c r="B70" s="375" t="s">
        <v>188</v>
      </c>
      <c r="C70" s="375" t="s">
        <v>227</v>
      </c>
      <c r="D70" s="373"/>
      <c r="E70" s="373"/>
      <c r="F70" s="373"/>
      <c r="G70" s="373"/>
    </row>
    <row r="71" spans="1:7">
      <c r="A71" s="375">
        <v>4001280455</v>
      </c>
      <c r="B71" s="375" t="s">
        <v>189</v>
      </c>
      <c r="C71" s="375" t="s">
        <v>227</v>
      </c>
      <c r="D71" s="373"/>
      <c r="E71" s="373"/>
      <c r="F71" s="373"/>
      <c r="G71" s="373"/>
    </row>
    <row r="72" spans="1:7">
      <c r="A72" s="375">
        <v>4001290340</v>
      </c>
      <c r="B72" s="375" t="s">
        <v>190</v>
      </c>
      <c r="C72" s="375" t="s">
        <v>227</v>
      </c>
      <c r="D72" s="373">
        <v>31.757999999999999</v>
      </c>
      <c r="E72" s="373">
        <v>51.326999999999998</v>
      </c>
      <c r="F72" s="373">
        <v>782.42399999999998</v>
      </c>
      <c r="G72" s="373">
        <v>1177.6759999999999</v>
      </c>
    </row>
    <row r="73" spans="1:7">
      <c r="A73" s="375">
        <v>4001280540</v>
      </c>
      <c r="B73" s="375" t="s">
        <v>191</v>
      </c>
      <c r="C73" s="375" t="s">
        <v>227</v>
      </c>
      <c r="D73" s="373"/>
      <c r="E73" s="373"/>
      <c r="F73" s="373"/>
      <c r="G73" s="373"/>
    </row>
    <row r="74" spans="1:7">
      <c r="A74" s="375">
        <v>4001290360</v>
      </c>
      <c r="B74" s="375" t="s">
        <v>192</v>
      </c>
      <c r="C74" s="375" t="s">
        <v>227</v>
      </c>
      <c r="D74" s="373"/>
      <c r="E74" s="373"/>
      <c r="F74" s="373"/>
      <c r="G74" s="373"/>
    </row>
    <row r="75" spans="1:7">
      <c r="A75" s="375">
        <v>4001290380</v>
      </c>
      <c r="B75" s="375" t="s">
        <v>171</v>
      </c>
      <c r="C75" s="375" t="s">
        <v>227</v>
      </c>
      <c r="D75" s="373"/>
      <c r="E75" s="373"/>
      <c r="F75" s="373"/>
      <c r="G75" s="373"/>
    </row>
    <row r="76" spans="1:7">
      <c r="A76" s="375">
        <v>4001280650</v>
      </c>
      <c r="B76" s="375" t="s">
        <v>193</v>
      </c>
      <c r="C76" s="375" t="s">
        <v>227</v>
      </c>
      <c r="D76" s="373"/>
      <c r="E76" s="373"/>
      <c r="F76" s="373"/>
      <c r="G76" s="373"/>
    </row>
    <row r="77" spans="1:7">
      <c r="A77" s="375">
        <v>4001280660</v>
      </c>
      <c r="B77" s="375" t="s">
        <v>194</v>
      </c>
      <c r="C77" s="375" t="s">
        <v>227</v>
      </c>
      <c r="D77" s="373"/>
      <c r="E77" s="373"/>
      <c r="F77" s="373"/>
      <c r="G77" s="373"/>
    </row>
    <row r="78" spans="1:7">
      <c r="A78" s="375">
        <v>4001290390</v>
      </c>
      <c r="B78" s="375" t="s">
        <v>185</v>
      </c>
      <c r="C78" s="375" t="s">
        <v>227</v>
      </c>
      <c r="D78" s="373">
        <v>115.27</v>
      </c>
      <c r="E78" s="373">
        <v>349.00700000000001</v>
      </c>
      <c r="F78" s="373">
        <v>113.36</v>
      </c>
      <c r="G78" s="373">
        <v>11824.558000000001</v>
      </c>
    </row>
    <row r="79" spans="1:7">
      <c r="A79" s="375">
        <v>4001290640</v>
      </c>
      <c r="B79" s="375" t="s">
        <v>195</v>
      </c>
      <c r="C79" s="375" t="s">
        <v>227</v>
      </c>
      <c r="D79" s="373"/>
      <c r="E79" s="373"/>
      <c r="F79" s="373"/>
      <c r="G79" s="373">
        <v>-1066.44541</v>
      </c>
    </row>
    <row r="80" spans="1:7">
      <c r="A80" s="375">
        <v>4001290650</v>
      </c>
      <c r="B80" s="375" t="s">
        <v>196</v>
      </c>
      <c r="C80" s="375" t="s">
        <v>227</v>
      </c>
      <c r="D80" s="373"/>
      <c r="E80" s="373"/>
      <c r="F80" s="373"/>
      <c r="G80" s="373">
        <v>-1066.44541</v>
      </c>
    </row>
    <row r="81" spans="1:7">
      <c r="A81" s="375">
        <v>4001290680</v>
      </c>
      <c r="B81" s="375" t="s">
        <v>197</v>
      </c>
      <c r="C81" s="375" t="s">
        <v>227</v>
      </c>
      <c r="D81" s="373"/>
      <c r="E81" s="373"/>
      <c r="F81" s="373"/>
      <c r="G81" s="373"/>
    </row>
    <row r="82" spans="1:7">
      <c r="A82" s="375">
        <v>4001290710</v>
      </c>
      <c r="B82" s="375" t="s">
        <v>198</v>
      </c>
      <c r="C82" s="375" t="s">
        <v>227</v>
      </c>
      <c r="D82" s="373"/>
      <c r="E82" s="373"/>
      <c r="F82" s="373"/>
      <c r="G82" s="373"/>
    </row>
    <row r="83" spans="1:7">
      <c r="A83" s="375">
        <v>4001290740</v>
      </c>
      <c r="B83" s="375" t="s">
        <v>185</v>
      </c>
      <c r="C83" s="375" t="s">
        <v>227</v>
      </c>
      <c r="D83" s="373"/>
      <c r="E83" s="373"/>
      <c r="F83" s="373"/>
      <c r="G83" s="373"/>
    </row>
    <row r="84" spans="1:7">
      <c r="A84" s="375">
        <v>4001212380</v>
      </c>
      <c r="B84" s="375" t="s">
        <v>199</v>
      </c>
      <c r="C84" s="375" t="s">
        <v>227</v>
      </c>
      <c r="D84" s="373">
        <v>55624.588689999997</v>
      </c>
      <c r="E84" s="373">
        <v>96758.436669999996</v>
      </c>
      <c r="F84" s="373">
        <v>93841.844379999995</v>
      </c>
      <c r="G84" s="373">
        <v>127930.99329</v>
      </c>
    </row>
    <row r="85" spans="1:7">
      <c r="A85" s="375">
        <v>4001212390</v>
      </c>
      <c r="B85" s="375" t="s">
        <v>21</v>
      </c>
      <c r="C85" s="375" t="s">
        <v>227</v>
      </c>
      <c r="D85" s="373">
        <v>11819.91231</v>
      </c>
      <c r="E85" s="373">
        <v>21379.789420000001</v>
      </c>
      <c r="F85" s="373">
        <v>19616.641189999998</v>
      </c>
      <c r="G85" s="373">
        <v>30387.23949</v>
      </c>
    </row>
    <row r="86" spans="1:7">
      <c r="A86" s="375">
        <v>4001212400</v>
      </c>
      <c r="B86" s="375" t="s">
        <v>200</v>
      </c>
      <c r="C86" s="375" t="s">
        <v>227</v>
      </c>
      <c r="D86" s="373"/>
      <c r="E86" s="373"/>
      <c r="F86" s="373"/>
      <c r="G86" s="373"/>
    </row>
    <row r="87" spans="1:7">
      <c r="A87" s="375">
        <v>4001212410</v>
      </c>
      <c r="B87" s="375" t="s">
        <v>201</v>
      </c>
      <c r="C87" s="375" t="s">
        <v>227</v>
      </c>
      <c r="D87" s="373"/>
      <c r="E87" s="373"/>
      <c r="F87" s="373"/>
      <c r="G87" s="373"/>
    </row>
    <row r="88" spans="1:7">
      <c r="A88" s="375">
        <v>4001212420</v>
      </c>
      <c r="B88" s="375" t="s">
        <v>202</v>
      </c>
      <c r="C88" s="375" t="s">
        <v>227</v>
      </c>
      <c r="D88" s="373">
        <v>43804.676379999997</v>
      </c>
      <c r="E88" s="373">
        <v>75378.647240000006</v>
      </c>
      <c r="F88" s="373">
        <v>74225.20319</v>
      </c>
      <c r="G88" s="373">
        <v>97543.753800000006</v>
      </c>
    </row>
    <row r="89" spans="1:7">
      <c r="A89" s="375">
        <v>4001212430</v>
      </c>
      <c r="B89" s="375" t="s">
        <v>203</v>
      </c>
      <c r="C89" s="375" t="s">
        <v>227</v>
      </c>
      <c r="D89" s="373"/>
      <c r="E89" s="373"/>
      <c r="F89" s="373"/>
      <c r="G89" s="373"/>
    </row>
    <row r="90" spans="1:7">
      <c r="A90" s="375">
        <v>4001212450</v>
      </c>
      <c r="B90" s="375" t="s">
        <v>204</v>
      </c>
      <c r="C90" s="375" t="s">
        <v>227</v>
      </c>
      <c r="D90" s="373">
        <v>43804.676379999997</v>
      </c>
      <c r="E90" s="373">
        <v>75378.647240000006</v>
      </c>
      <c r="F90" s="373">
        <v>74225.20319</v>
      </c>
      <c r="G90" s="373">
        <v>97543.753800000006</v>
      </c>
    </row>
    <row r="91" spans="1:7">
      <c r="A91" s="375">
        <v>4001220000</v>
      </c>
      <c r="B91" s="375" t="s">
        <v>205</v>
      </c>
      <c r="C91" s="375" t="s">
        <v>227</v>
      </c>
      <c r="D91" s="373">
        <v>51.426380000000002</v>
      </c>
      <c r="E91" s="373">
        <v>15.22236</v>
      </c>
      <c r="F91" s="373">
        <v>24.8004</v>
      </c>
      <c r="G91" s="373">
        <v>85.125429999999994</v>
      </c>
    </row>
    <row r="92" spans="1:7">
      <c r="A92" s="375">
        <v>4001220120</v>
      </c>
      <c r="B92" s="375" t="s">
        <v>206</v>
      </c>
      <c r="C92" s="375" t="s">
        <v>227</v>
      </c>
      <c r="D92" s="373">
        <v>43856.102760000002</v>
      </c>
      <c r="E92" s="373">
        <v>75393.869609999994</v>
      </c>
      <c r="F92" s="373">
        <v>74250.003599999996</v>
      </c>
      <c r="G92" s="373">
        <v>97628.879230000006</v>
      </c>
    </row>
    <row r="93" spans="1:7">
      <c r="A93" s="375">
        <v>4001230000</v>
      </c>
      <c r="B93" s="375" t="s">
        <v>207</v>
      </c>
      <c r="C93" s="375" t="s">
        <v>227</v>
      </c>
      <c r="D93" s="373">
        <v>43804.676379999997</v>
      </c>
      <c r="E93" s="373">
        <v>75378.647240000006</v>
      </c>
      <c r="F93" s="373">
        <v>74225.20319</v>
      </c>
      <c r="G93" s="373">
        <v>97875.278349999993</v>
      </c>
    </row>
    <row r="94" spans="1:7">
      <c r="A94" s="375">
        <v>4001230030</v>
      </c>
      <c r="B94" s="375" t="s">
        <v>208</v>
      </c>
      <c r="C94" s="375" t="s">
        <v>227</v>
      </c>
      <c r="D94" s="373"/>
      <c r="E94" s="373"/>
      <c r="F94" s="373"/>
      <c r="G94" s="373">
        <v>-331.52454999999998</v>
      </c>
    </row>
    <row r="95" spans="1:7">
      <c r="A95" s="375">
        <v>4001230060</v>
      </c>
      <c r="B95" s="375" t="s">
        <v>209</v>
      </c>
      <c r="C95" s="375" t="s">
        <v>227</v>
      </c>
      <c r="D95" s="373">
        <v>43856.102760000002</v>
      </c>
      <c r="E95" s="373">
        <v>75393.869609999994</v>
      </c>
      <c r="F95" s="373">
        <v>74250.003599999996</v>
      </c>
      <c r="G95" s="373">
        <v>97960.403789999997</v>
      </c>
    </row>
    <row r="96" spans="1:7">
      <c r="A96" s="375">
        <v>4001230070</v>
      </c>
      <c r="B96" s="375" t="s">
        <v>210</v>
      </c>
      <c r="C96" s="375" t="s">
        <v>227</v>
      </c>
      <c r="D96" s="373"/>
      <c r="E96" s="373"/>
      <c r="F96" s="373"/>
      <c r="G96" s="373">
        <v>-331.52454999999998</v>
      </c>
    </row>
    <row r="97" spans="1:7">
      <c r="A97" s="375">
        <v>4001230080</v>
      </c>
      <c r="B97" s="375" t="s">
        <v>211</v>
      </c>
      <c r="C97" s="375" t="s">
        <v>111</v>
      </c>
      <c r="D97" s="373">
        <v>677</v>
      </c>
      <c r="E97" s="373">
        <v>1165</v>
      </c>
      <c r="F97" s="373">
        <v>1155</v>
      </c>
      <c r="G97" s="373"/>
    </row>
    <row r="98" spans="1:7">
      <c r="A98" s="375">
        <v>4001230090</v>
      </c>
      <c r="B98" s="375" t="s">
        <v>212</v>
      </c>
      <c r="C98" s="375" t="s">
        <v>111</v>
      </c>
      <c r="D98" s="373">
        <v>677</v>
      </c>
      <c r="E98" s="373">
        <v>1165</v>
      </c>
      <c r="F98" s="373">
        <v>1155</v>
      </c>
      <c r="G98" s="373"/>
    </row>
    <row r="99" spans="1:7">
      <c r="A99" s="375">
        <v>4001230100</v>
      </c>
      <c r="B99" s="375" t="s">
        <v>213</v>
      </c>
      <c r="C99" s="375" t="s">
        <v>111</v>
      </c>
      <c r="D99" s="373">
        <v>676</v>
      </c>
      <c r="E99" s="373"/>
      <c r="F99" s="373">
        <v>1152</v>
      </c>
      <c r="G99" s="373"/>
    </row>
    <row r="100" spans="1:7">
      <c r="A100" s="375">
        <v>4001230110</v>
      </c>
      <c r="B100" s="375" t="s">
        <v>214</v>
      </c>
      <c r="C100" s="375" t="s">
        <v>111</v>
      </c>
      <c r="D100" s="373">
        <v>676</v>
      </c>
      <c r="E100" s="373"/>
      <c r="F100" s="373">
        <v>1152</v>
      </c>
      <c r="G100" s="373"/>
    </row>
    <row r="101" spans="1:7">
      <c r="A101" s="375">
        <v>4001230120</v>
      </c>
      <c r="B101" s="375" t="s">
        <v>215</v>
      </c>
      <c r="C101" s="375" t="s">
        <v>111</v>
      </c>
      <c r="D101" s="373">
        <v>677</v>
      </c>
      <c r="E101" s="373">
        <v>1165</v>
      </c>
      <c r="F101" s="373">
        <v>1155</v>
      </c>
      <c r="G101" s="373">
        <v>1517</v>
      </c>
    </row>
    <row r="102" spans="1:7">
      <c r="A102" s="375">
        <v>4001230130</v>
      </c>
      <c r="B102" s="375" t="s">
        <v>216</v>
      </c>
      <c r="C102" s="375" t="s">
        <v>111</v>
      </c>
      <c r="D102" s="373">
        <v>677</v>
      </c>
      <c r="E102" s="373">
        <v>1165</v>
      </c>
      <c r="F102" s="373">
        <v>1155</v>
      </c>
      <c r="G102" s="373">
        <v>1517</v>
      </c>
    </row>
    <row r="103" spans="1:7">
      <c r="A103" s="375">
        <v>4001230140</v>
      </c>
      <c r="B103" s="375" t="s">
        <v>217</v>
      </c>
      <c r="C103" s="375" t="s">
        <v>111</v>
      </c>
      <c r="D103" s="373">
        <v>676</v>
      </c>
      <c r="E103" s="373"/>
      <c r="F103" s="373">
        <v>1152</v>
      </c>
      <c r="G103" s="373">
        <v>1509</v>
      </c>
    </row>
    <row r="104" spans="1:7">
      <c r="A104" s="375">
        <v>4001230150</v>
      </c>
      <c r="B104" s="375" t="s">
        <v>218</v>
      </c>
      <c r="C104" s="375" t="s">
        <v>111</v>
      </c>
      <c r="D104" s="373">
        <v>676</v>
      </c>
      <c r="E104" s="373"/>
      <c r="F104" s="373">
        <v>1152</v>
      </c>
      <c r="G104" s="373">
        <v>1509</v>
      </c>
    </row>
    <row r="105" spans="1:7">
      <c r="A105" s="374"/>
      <c r="B105" s="374"/>
      <c r="C105" s="374"/>
      <c r="D105" s="373"/>
      <c r="E105" s="373"/>
      <c r="F105" s="373"/>
      <c r="G105" s="373"/>
    </row>
    <row r="106" spans="1:7">
      <c r="D106" s="372"/>
      <c r="E106" s="372"/>
      <c r="F106" s="372"/>
      <c r="G106" s="372"/>
    </row>
    <row r="107" spans="1:7">
      <c r="D107" s="372"/>
      <c r="E107" s="372"/>
      <c r="F107" s="372"/>
      <c r="G107" s="372"/>
    </row>
    <row r="108" spans="1:7">
      <c r="D108" s="372"/>
      <c r="E108" s="372"/>
      <c r="F108" s="372"/>
      <c r="G108" s="372"/>
    </row>
  </sheetData>
  <phoneticPr fontId="2" type="noConversion"/>
  <conditionalFormatting sqref="B1">
    <cfRule type="expression" dxfId="2" priority="1" stopIfTrue="1">
      <formula>MID($B$1, 15, 10)-TODAY() &lt; 0</formula>
    </cfRule>
  </conditionalFormatting>
  <dataValidations count="7">
    <dataValidation type="list" allowBlank="1" showInputMessage="1" sqref="B5" xr:uid="{54C48655-25F8-4BCF-9AC1-624F5062218C}">
      <formula1>"전체,재무상태표,손익계산서,현금흐름표,자본금변동표"</formula1>
    </dataValidation>
    <dataValidation type="list" allowBlank="1" showInputMessage="1" sqref="B6" xr:uid="{7747DA1C-3739-468D-BBE1-1273F964B177}">
      <formula1>"상세(총액),상세(순액),요약,약식"</formula1>
    </dataValidation>
    <dataValidation type="list" allowBlank="1" showInputMessage="1" sqref="B7" xr:uid="{4F909001-E069-472D-AC8D-666B38705117}">
      <formula1>"결산,누적분기,당분기"</formula1>
    </dataValidation>
    <dataValidation type="list" allowBlank="1" showInputMessage="1" sqref="C7" xr:uid="{4372A415-44BE-4D34-AEB2-9D2163A4B19B}">
      <formula1>"천원,백만원,억원,십억원"</formula1>
    </dataValidation>
    <dataValidation type="list" allowBlank="1" showInputMessage="1" sqref="B4" xr:uid="{21410C29-959C-4A3F-9566-3EC1D8BA489F}">
      <formula1>"별도,연결"</formula1>
    </dataValidation>
    <dataValidation type="list" allowBlank="1" showInputMessage="1" sqref="B8" xr:uid="{399940CB-AB5E-418D-952E-006C47CB7CF6}">
      <formula1>"1983,1984,1985,1986,1987,1988,1989,1990,1991,1992,1993,1994,1995,1996,1997,1998,1999,2000,2001,2002,2003,2004,2005,2006,2007,2008,2009,2010,2011,2012,2013,2014,2015,2016,2017,2018,2019,2020,2021,2022,2023,2024,2025"</formula1>
    </dataValidation>
    <dataValidation type="list" allowBlank="1" showInputMessage="1" sqref="C8" xr:uid="{C813A849-B38B-4971-8E62-E014E75B5198}">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9B89-1DA5-254E-9C58-AA080CE260B6}">
  <dimension ref="A1:G85"/>
  <sheetViews>
    <sheetView showGridLines="0" workbookViewId="0"/>
  </sheetViews>
  <sheetFormatPr defaultColWidth="8.8984375" defaultRowHeight="17.399999999999999"/>
  <cols>
    <col min="1" max="1" width="9.5" bestFit="1" customWidth="1"/>
    <col min="2" max="2" width="45.59765625" bestFit="1" customWidth="1"/>
    <col min="3" max="3" width="11.59765625" bestFit="1" customWidth="1"/>
    <col min="4" max="7" width="9.8984375" bestFit="1" customWidth="1"/>
  </cols>
  <sheetData>
    <row r="1" spans="1:7">
      <c r="B1" s="3" t="s">
        <v>652</v>
      </c>
    </row>
    <row r="2" spans="1:7">
      <c r="A2" s="4" t="s">
        <v>34</v>
      </c>
      <c r="B2" s="4"/>
      <c r="C2" s="4"/>
      <c r="D2" s="4"/>
      <c r="E2" s="4"/>
      <c r="F2" s="4"/>
      <c r="G2" s="4"/>
    </row>
    <row r="3" spans="1:7">
      <c r="A3" s="5" t="s">
        <v>650</v>
      </c>
      <c r="B3" s="5" t="s">
        <v>124</v>
      </c>
      <c r="C3" s="5"/>
      <c r="D3" s="5"/>
      <c r="E3" s="5"/>
      <c r="F3" s="5"/>
      <c r="G3" s="5"/>
    </row>
    <row r="4" spans="1:7">
      <c r="A4" s="5" t="s">
        <v>649</v>
      </c>
      <c r="B4" s="9" t="s">
        <v>130</v>
      </c>
      <c r="C4" s="5" t="s">
        <v>648</v>
      </c>
      <c r="D4" s="5" t="s">
        <v>129</v>
      </c>
      <c r="E4" s="5"/>
      <c r="F4" s="5"/>
      <c r="G4" s="5"/>
    </row>
    <row r="5" spans="1:7">
      <c r="A5" s="5" t="s">
        <v>647</v>
      </c>
      <c r="B5" s="12" t="s">
        <v>126</v>
      </c>
      <c r="C5" s="5" t="s">
        <v>35</v>
      </c>
      <c r="D5" s="5"/>
      <c r="E5" s="5"/>
      <c r="F5" s="5"/>
      <c r="G5" s="5"/>
    </row>
    <row r="6" spans="1:7">
      <c r="A6" s="5" t="s">
        <v>646</v>
      </c>
      <c r="B6" s="10" t="s">
        <v>127</v>
      </c>
      <c r="C6" s="5"/>
      <c r="D6" s="5"/>
      <c r="E6" s="5"/>
      <c r="F6" s="5"/>
      <c r="G6" s="5"/>
    </row>
    <row r="7" spans="1:7">
      <c r="A7" s="5" t="s">
        <v>645</v>
      </c>
      <c r="B7" s="13" t="s">
        <v>264</v>
      </c>
      <c r="C7" s="10" t="s">
        <v>227</v>
      </c>
      <c r="D7" s="5"/>
      <c r="E7" s="5"/>
      <c r="F7" s="5"/>
      <c r="G7" s="5"/>
    </row>
    <row r="8" spans="1:7">
      <c r="A8" s="18" t="s">
        <v>644</v>
      </c>
      <c r="B8" s="11">
        <v>2021</v>
      </c>
      <c r="C8" s="9" t="s">
        <v>131</v>
      </c>
      <c r="D8" s="18"/>
      <c r="E8" s="18"/>
      <c r="F8" s="18"/>
      <c r="G8" s="18"/>
    </row>
    <row r="9" spans="1:7">
      <c r="A9" s="19" t="s">
        <v>41</v>
      </c>
      <c r="B9" s="389" t="s">
        <v>42</v>
      </c>
      <c r="C9" s="389" t="s">
        <v>43</v>
      </c>
      <c r="D9" s="19">
        <v>202112</v>
      </c>
      <c r="E9" s="19">
        <v>202212</v>
      </c>
      <c r="F9" s="19">
        <v>202312</v>
      </c>
      <c r="G9" s="19">
        <v>202412</v>
      </c>
    </row>
    <row r="10" spans="1:7">
      <c r="A10" s="388"/>
      <c r="B10" s="388"/>
      <c r="C10" s="388"/>
      <c r="D10" s="388" t="s">
        <v>55</v>
      </c>
      <c r="E10" s="388" t="s">
        <v>55</v>
      </c>
      <c r="F10" s="388" t="s">
        <v>55</v>
      </c>
      <c r="G10" s="388" t="s">
        <v>55</v>
      </c>
    </row>
    <row r="11" spans="1:7">
      <c r="A11" s="15">
        <v>4001190010</v>
      </c>
      <c r="B11" s="15" t="s">
        <v>56</v>
      </c>
      <c r="C11" s="15" t="s">
        <v>227</v>
      </c>
      <c r="D11" s="16">
        <v>216379.20533</v>
      </c>
      <c r="E11" s="16">
        <v>331411.10829</v>
      </c>
      <c r="F11" s="16">
        <v>375443.02175000001</v>
      </c>
      <c r="G11" s="16">
        <v>608378.80882999999</v>
      </c>
    </row>
    <row r="12" spans="1:7">
      <c r="A12" s="15">
        <v>4001190240</v>
      </c>
      <c r="B12" s="15" t="s">
        <v>57</v>
      </c>
      <c r="C12" s="15" t="s">
        <v>227</v>
      </c>
      <c r="D12" s="16">
        <v>73140.020619999996</v>
      </c>
      <c r="E12" s="16">
        <v>147788.69072000001</v>
      </c>
      <c r="F12" s="16">
        <v>185737.48306999999</v>
      </c>
      <c r="G12" s="16">
        <v>234201.82321999999</v>
      </c>
    </row>
    <row r="13" spans="1:7">
      <c r="A13" s="15">
        <v>4001190250</v>
      </c>
      <c r="B13" s="15" t="s">
        <v>58</v>
      </c>
      <c r="C13" s="15" t="s">
        <v>227</v>
      </c>
      <c r="D13" s="16">
        <v>16465.363679999999</v>
      </c>
      <c r="E13" s="16">
        <v>23397.666980000002</v>
      </c>
      <c r="F13" s="16">
        <v>19434.327929999999</v>
      </c>
      <c r="G13" s="16">
        <v>29999.806860000001</v>
      </c>
    </row>
    <row r="14" spans="1:7">
      <c r="A14" s="15">
        <v>4001190260</v>
      </c>
      <c r="B14" s="15" t="s">
        <v>59</v>
      </c>
      <c r="C14" s="15" t="s">
        <v>227</v>
      </c>
      <c r="D14" s="16"/>
      <c r="E14" s="16"/>
      <c r="F14" s="16"/>
      <c r="G14" s="16"/>
    </row>
    <row r="15" spans="1:7">
      <c r="A15" s="15">
        <v>4001190270</v>
      </c>
      <c r="B15" s="15" t="s">
        <v>60</v>
      </c>
      <c r="C15" s="15" t="s">
        <v>227</v>
      </c>
      <c r="D15" s="16">
        <v>5983.0814600000003</v>
      </c>
      <c r="E15" s="16">
        <v>87219.081139999995</v>
      </c>
      <c r="F15" s="16">
        <v>119501.65962999999</v>
      </c>
      <c r="G15" s="16">
        <v>136814.30077</v>
      </c>
    </row>
    <row r="16" spans="1:7">
      <c r="A16" s="15">
        <v>4001190300</v>
      </c>
      <c r="B16" s="15" t="s">
        <v>61</v>
      </c>
      <c r="C16" s="15" t="s">
        <v>227</v>
      </c>
      <c r="D16" s="16">
        <v>2163.7660000000001</v>
      </c>
      <c r="E16" s="16">
        <v>8437.6219999999994</v>
      </c>
      <c r="F16" s="16">
        <v>18162.509999999998</v>
      </c>
      <c r="G16" s="16">
        <v>39005.332999999999</v>
      </c>
    </row>
    <row r="17" spans="1:7">
      <c r="A17" s="15">
        <v>4001113900</v>
      </c>
      <c r="B17" s="15" t="s">
        <v>62</v>
      </c>
      <c r="C17" s="15" t="s">
        <v>227</v>
      </c>
      <c r="D17" s="16">
        <v>24.43552</v>
      </c>
      <c r="E17" s="16">
        <v>24.52732</v>
      </c>
      <c r="F17" s="16">
        <v>25.52638</v>
      </c>
      <c r="G17" s="16">
        <v>28.732800000000001</v>
      </c>
    </row>
    <row r="18" spans="1:7">
      <c r="A18" s="15">
        <v>4001180995</v>
      </c>
      <c r="B18" s="15" t="s">
        <v>63</v>
      </c>
      <c r="C18" s="15" t="s">
        <v>227</v>
      </c>
      <c r="D18" s="16"/>
      <c r="E18" s="16"/>
      <c r="F18" s="16"/>
      <c r="G18" s="16"/>
    </row>
    <row r="19" spans="1:7">
      <c r="A19" s="15">
        <v>4001113903</v>
      </c>
      <c r="B19" s="15" t="s">
        <v>64</v>
      </c>
      <c r="C19" s="15" t="s">
        <v>227</v>
      </c>
      <c r="D19" s="16"/>
      <c r="E19" s="16"/>
      <c r="F19" s="16"/>
      <c r="G19" s="16"/>
    </row>
    <row r="20" spans="1:7">
      <c r="A20" s="15">
        <v>4001113904</v>
      </c>
      <c r="B20" s="15" t="s">
        <v>65</v>
      </c>
      <c r="C20" s="15" t="s">
        <v>227</v>
      </c>
      <c r="D20" s="16"/>
      <c r="E20" s="16"/>
      <c r="F20" s="16"/>
      <c r="G20" s="16"/>
    </row>
    <row r="21" spans="1:7">
      <c r="A21" s="15">
        <v>4001190340</v>
      </c>
      <c r="B21" s="15" t="s">
        <v>66</v>
      </c>
      <c r="C21" s="15" t="s">
        <v>227</v>
      </c>
      <c r="D21" s="16">
        <v>5715.1206300000003</v>
      </c>
      <c r="E21" s="16">
        <v>2705.3074799999999</v>
      </c>
      <c r="F21" s="16">
        <v>10277.253769999999</v>
      </c>
      <c r="G21" s="16">
        <v>5608.5786200000002</v>
      </c>
    </row>
    <row r="22" spans="1:7">
      <c r="A22" s="15">
        <v>4001190370</v>
      </c>
      <c r="B22" s="15" t="s">
        <v>67</v>
      </c>
      <c r="C22" s="15" t="s">
        <v>227</v>
      </c>
      <c r="D22" s="16">
        <v>42788.254000000001</v>
      </c>
      <c r="E22" s="16">
        <v>26004.485000000001</v>
      </c>
      <c r="F22" s="16">
        <v>18336.205000000002</v>
      </c>
      <c r="G22" s="16">
        <v>22745.071</v>
      </c>
    </row>
    <row r="23" spans="1:7">
      <c r="A23" s="15">
        <v>4001114130</v>
      </c>
      <c r="B23" s="15" t="s">
        <v>68</v>
      </c>
      <c r="C23" s="15" t="s">
        <v>227</v>
      </c>
      <c r="D23" s="16"/>
      <c r="E23" s="16"/>
      <c r="F23" s="16"/>
      <c r="G23" s="16"/>
    </row>
    <row r="24" spans="1:7">
      <c r="A24" s="15">
        <v>4001190020</v>
      </c>
      <c r="B24" s="15" t="s">
        <v>69</v>
      </c>
      <c r="C24" s="15" t="s">
        <v>227</v>
      </c>
      <c r="D24" s="16">
        <v>143239.18471</v>
      </c>
      <c r="E24" s="16">
        <v>183622.41756999999</v>
      </c>
      <c r="F24" s="16">
        <v>189705.53868</v>
      </c>
      <c r="G24" s="16">
        <v>374176.98560000001</v>
      </c>
    </row>
    <row r="25" spans="1:7">
      <c r="A25" s="15">
        <v>4001190030</v>
      </c>
      <c r="B25" s="15" t="s">
        <v>70</v>
      </c>
      <c r="C25" s="15" t="s">
        <v>227</v>
      </c>
      <c r="D25" s="16">
        <v>80704.632920000004</v>
      </c>
      <c r="E25" s="16">
        <v>104241.59458999999</v>
      </c>
      <c r="F25" s="16">
        <v>138988.71488000001</v>
      </c>
      <c r="G25" s="16">
        <v>193172.86147</v>
      </c>
    </row>
    <row r="26" spans="1:7">
      <c r="A26" s="15">
        <v>4001190070</v>
      </c>
      <c r="B26" s="15" t="s">
        <v>71</v>
      </c>
      <c r="C26" s="15" t="s">
        <v>227</v>
      </c>
      <c r="D26" s="16">
        <v>1123.998</v>
      </c>
      <c r="E26" s="16">
        <v>1478.37</v>
      </c>
      <c r="F26" s="16">
        <v>2822.297</v>
      </c>
      <c r="G26" s="16">
        <v>140947.984</v>
      </c>
    </row>
    <row r="27" spans="1:7">
      <c r="A27" s="15">
        <v>4001190110</v>
      </c>
      <c r="B27" s="15" t="s">
        <v>72</v>
      </c>
      <c r="C27" s="15" t="s">
        <v>227</v>
      </c>
      <c r="D27" s="16"/>
      <c r="E27" s="16"/>
      <c r="F27" s="16"/>
      <c r="G27" s="16"/>
    </row>
    <row r="28" spans="1:7">
      <c r="A28" s="15">
        <v>4001190120</v>
      </c>
      <c r="B28" s="15" t="s">
        <v>73</v>
      </c>
      <c r="C28" s="15" t="s">
        <v>227</v>
      </c>
      <c r="D28" s="16">
        <v>58418.164109999998</v>
      </c>
      <c r="E28" s="16">
        <v>74654.142439999996</v>
      </c>
      <c r="F28" s="16">
        <v>41087.737050000003</v>
      </c>
      <c r="G28" s="16">
        <v>29444.614809999999</v>
      </c>
    </row>
    <row r="29" spans="1:7">
      <c r="A29" s="15">
        <v>4001190130</v>
      </c>
      <c r="B29" s="15" t="s">
        <v>74</v>
      </c>
      <c r="C29" s="15" t="s">
        <v>227</v>
      </c>
      <c r="D29" s="16">
        <v>2191.6455500000002</v>
      </c>
      <c r="E29" s="16">
        <v>1369.6593</v>
      </c>
      <c r="F29" s="16">
        <v>4207.6555600000002</v>
      </c>
      <c r="G29" s="16">
        <v>9838.4146600000004</v>
      </c>
    </row>
    <row r="30" spans="1:7">
      <c r="A30" s="15">
        <v>4001111660</v>
      </c>
      <c r="B30" s="15" t="s">
        <v>75</v>
      </c>
      <c r="C30" s="15" t="s">
        <v>227</v>
      </c>
      <c r="D30" s="16"/>
      <c r="E30" s="16"/>
      <c r="F30" s="16"/>
      <c r="G30" s="16"/>
    </row>
    <row r="31" spans="1:7">
      <c r="A31" s="15">
        <v>4001190160</v>
      </c>
      <c r="B31" s="15" t="s">
        <v>76</v>
      </c>
      <c r="C31" s="15" t="s">
        <v>227</v>
      </c>
      <c r="D31" s="16"/>
      <c r="E31" s="16"/>
      <c r="F31" s="16"/>
      <c r="G31" s="16"/>
    </row>
    <row r="32" spans="1:7">
      <c r="A32" s="15">
        <v>4001112490</v>
      </c>
      <c r="B32" s="15" t="s">
        <v>77</v>
      </c>
      <c r="C32" s="15" t="s">
        <v>227</v>
      </c>
      <c r="D32" s="16"/>
      <c r="E32" s="16">
        <v>788.00773000000004</v>
      </c>
      <c r="F32" s="16">
        <v>1381.83068</v>
      </c>
      <c r="G32" s="16"/>
    </row>
    <row r="33" spans="1:7">
      <c r="A33" s="15">
        <v>4001112500</v>
      </c>
      <c r="B33" s="15" t="s">
        <v>78</v>
      </c>
      <c r="C33" s="15" t="s">
        <v>227</v>
      </c>
      <c r="D33" s="16"/>
      <c r="E33" s="16"/>
      <c r="F33" s="16"/>
      <c r="G33" s="16"/>
    </row>
    <row r="34" spans="1:7">
      <c r="A34" s="15">
        <v>4001180575</v>
      </c>
      <c r="B34" s="15" t="s">
        <v>63</v>
      </c>
      <c r="C34" s="15" t="s">
        <v>227</v>
      </c>
      <c r="D34" s="16"/>
      <c r="E34" s="16"/>
      <c r="F34" s="16"/>
      <c r="G34" s="16"/>
    </row>
    <row r="35" spans="1:7">
      <c r="A35" s="15">
        <v>4001112503</v>
      </c>
      <c r="B35" s="15" t="s">
        <v>64</v>
      </c>
      <c r="C35" s="15" t="s">
        <v>227</v>
      </c>
      <c r="D35" s="16"/>
      <c r="E35" s="16"/>
      <c r="F35" s="16"/>
      <c r="G35" s="16"/>
    </row>
    <row r="36" spans="1:7">
      <c r="A36" s="15">
        <v>4001112504</v>
      </c>
      <c r="B36" s="15" t="s">
        <v>65</v>
      </c>
      <c r="C36" s="15" t="s">
        <v>227</v>
      </c>
      <c r="D36" s="16"/>
      <c r="E36" s="16"/>
      <c r="F36" s="16"/>
      <c r="G36" s="16"/>
    </row>
    <row r="37" spans="1:7">
      <c r="A37" s="15">
        <v>4001190200</v>
      </c>
      <c r="B37" s="15" t="s">
        <v>79</v>
      </c>
      <c r="C37" s="15" t="s">
        <v>227</v>
      </c>
      <c r="D37" s="16">
        <v>800.74314000000004</v>
      </c>
      <c r="E37" s="16">
        <v>1090.64408</v>
      </c>
      <c r="F37" s="16">
        <v>1217.30376</v>
      </c>
      <c r="G37" s="16">
        <v>773.10977000000003</v>
      </c>
    </row>
    <row r="38" spans="1:7">
      <c r="A38" s="15">
        <v>4001112880</v>
      </c>
      <c r="B38" s="15" t="s">
        <v>80</v>
      </c>
      <c r="C38" s="15" t="s">
        <v>227</v>
      </c>
      <c r="D38" s="16"/>
      <c r="E38" s="16"/>
      <c r="F38" s="16"/>
      <c r="G38" s="16"/>
    </row>
    <row r="39" spans="1:7">
      <c r="A39" s="15">
        <v>4001190440</v>
      </c>
      <c r="B39" s="15" t="s">
        <v>81</v>
      </c>
      <c r="C39" s="15" t="s">
        <v>227</v>
      </c>
      <c r="D39" s="16">
        <v>52634.773979999998</v>
      </c>
      <c r="E39" s="16">
        <v>101857.25113</v>
      </c>
      <c r="F39" s="16">
        <v>91942.522089999999</v>
      </c>
      <c r="G39" s="16">
        <v>155734.89407000001</v>
      </c>
    </row>
    <row r="40" spans="1:7">
      <c r="A40" s="15">
        <v>4001190610</v>
      </c>
      <c r="B40" s="15" t="s">
        <v>82</v>
      </c>
      <c r="C40" s="15" t="s">
        <v>227</v>
      </c>
      <c r="D40" s="16">
        <v>16793.038420000001</v>
      </c>
      <c r="E40" s="16">
        <v>36225.225299999998</v>
      </c>
      <c r="F40" s="16">
        <v>29246.386630000001</v>
      </c>
      <c r="G40" s="16">
        <v>128903.6513</v>
      </c>
    </row>
    <row r="41" spans="1:7">
      <c r="A41" s="15">
        <v>4001181470</v>
      </c>
      <c r="B41" s="15" t="s">
        <v>83</v>
      </c>
      <c r="C41" s="15" t="s">
        <v>227</v>
      </c>
      <c r="D41" s="16"/>
      <c r="E41" s="16"/>
      <c r="F41" s="16"/>
      <c r="G41" s="16">
        <v>2096.5291499999998</v>
      </c>
    </row>
    <row r="42" spans="1:7">
      <c r="A42" s="15">
        <v>4001121700</v>
      </c>
      <c r="B42" s="15" t="s">
        <v>84</v>
      </c>
      <c r="C42" s="15" t="s">
        <v>227</v>
      </c>
      <c r="D42" s="16"/>
      <c r="E42" s="16"/>
      <c r="F42" s="16"/>
      <c r="G42" s="16">
        <v>3876.44</v>
      </c>
    </row>
    <row r="43" spans="1:7">
      <c r="A43" s="15">
        <v>4001190620</v>
      </c>
      <c r="B43" s="15" t="s">
        <v>85</v>
      </c>
      <c r="C43" s="15" t="s">
        <v>227</v>
      </c>
      <c r="D43" s="16"/>
      <c r="E43" s="16">
        <v>2400</v>
      </c>
      <c r="F43" s="16">
        <v>2400</v>
      </c>
      <c r="G43" s="16">
        <v>72840.384999999995</v>
      </c>
    </row>
    <row r="44" spans="1:7">
      <c r="A44" s="15">
        <v>4001190630</v>
      </c>
      <c r="B44" s="15" t="s">
        <v>86</v>
      </c>
      <c r="C44" s="15" t="s">
        <v>227</v>
      </c>
      <c r="D44" s="16">
        <v>514.15452000000005</v>
      </c>
      <c r="E44" s="16">
        <v>557.30323999999996</v>
      </c>
      <c r="F44" s="16">
        <v>739.36937999999998</v>
      </c>
      <c r="G44" s="16">
        <v>545.65061000000003</v>
      </c>
    </row>
    <row r="45" spans="1:7">
      <c r="A45" s="15">
        <v>4001190660</v>
      </c>
      <c r="B45" s="15" t="s">
        <v>87</v>
      </c>
      <c r="C45" s="15" t="s">
        <v>227</v>
      </c>
      <c r="D45" s="16">
        <v>3986.424</v>
      </c>
      <c r="E45" s="16">
        <v>8570.1010000000006</v>
      </c>
      <c r="F45" s="16">
        <v>9607.7109999999993</v>
      </c>
      <c r="G45" s="16">
        <v>24641.429</v>
      </c>
    </row>
    <row r="46" spans="1:7">
      <c r="A46" s="15">
        <v>4001190680</v>
      </c>
      <c r="B46" s="15" t="s">
        <v>88</v>
      </c>
      <c r="C46" s="15" t="s">
        <v>227</v>
      </c>
      <c r="D46" s="16"/>
      <c r="E46" s="16"/>
      <c r="F46" s="16"/>
      <c r="G46" s="16"/>
    </row>
    <row r="47" spans="1:7">
      <c r="A47" s="15">
        <v>4001122460</v>
      </c>
      <c r="B47" s="15" t="s">
        <v>89</v>
      </c>
      <c r="C47" s="15" t="s">
        <v>227</v>
      </c>
      <c r="D47" s="16">
        <v>827.52125000000001</v>
      </c>
      <c r="E47" s="16">
        <v>1225.95012</v>
      </c>
      <c r="F47" s="16">
        <v>1382.82053</v>
      </c>
      <c r="G47" s="16">
        <v>2217.1680000000001</v>
      </c>
    </row>
    <row r="48" spans="1:7">
      <c r="A48" s="15">
        <v>4001122560</v>
      </c>
      <c r="B48" s="15" t="s">
        <v>90</v>
      </c>
      <c r="C48" s="15" t="s">
        <v>227</v>
      </c>
      <c r="D48" s="16">
        <v>5965.6538099999998</v>
      </c>
      <c r="E48" s="16">
        <v>18158.545450000001</v>
      </c>
      <c r="F48" s="16">
        <v>10482.475130000001</v>
      </c>
      <c r="G48" s="16">
        <v>17398.947950000002</v>
      </c>
    </row>
    <row r="49" spans="1:7">
      <c r="A49" s="15">
        <v>4001122561</v>
      </c>
      <c r="B49" s="15" t="s">
        <v>91</v>
      </c>
      <c r="C49" s="15" t="s">
        <v>227</v>
      </c>
      <c r="D49" s="16"/>
      <c r="E49" s="16"/>
      <c r="F49" s="16"/>
      <c r="G49" s="16"/>
    </row>
    <row r="50" spans="1:7">
      <c r="A50" s="15">
        <v>4001122562</v>
      </c>
      <c r="B50" s="15" t="s">
        <v>92</v>
      </c>
      <c r="C50" s="15" t="s">
        <v>227</v>
      </c>
      <c r="D50" s="16"/>
      <c r="E50" s="16"/>
      <c r="F50" s="16"/>
      <c r="G50" s="16"/>
    </row>
    <row r="51" spans="1:7">
      <c r="A51" s="15">
        <v>4001122563</v>
      </c>
      <c r="B51" s="15" t="s">
        <v>93</v>
      </c>
      <c r="C51" s="15" t="s">
        <v>227</v>
      </c>
      <c r="D51" s="16"/>
      <c r="E51" s="16"/>
      <c r="F51" s="16"/>
      <c r="G51" s="16"/>
    </row>
    <row r="52" spans="1:7">
      <c r="A52" s="15">
        <v>4001190690</v>
      </c>
      <c r="B52" s="15" t="s">
        <v>94</v>
      </c>
      <c r="C52" s="15" t="s">
        <v>227</v>
      </c>
      <c r="D52" s="16">
        <v>5499.2839999999997</v>
      </c>
      <c r="E52" s="16">
        <v>5313.326</v>
      </c>
      <c r="F52" s="16">
        <v>4634.01</v>
      </c>
      <c r="G52" s="16">
        <v>5287.1030000000001</v>
      </c>
    </row>
    <row r="53" spans="1:7">
      <c r="A53" s="15">
        <v>4001122680</v>
      </c>
      <c r="B53" s="15" t="s">
        <v>95</v>
      </c>
      <c r="C53" s="15" t="s">
        <v>227</v>
      </c>
      <c r="D53" s="16"/>
      <c r="E53" s="16"/>
      <c r="F53" s="16"/>
      <c r="G53" s="16"/>
    </row>
    <row r="54" spans="1:7">
      <c r="A54" s="15">
        <v>4001190450</v>
      </c>
      <c r="B54" s="15" t="s">
        <v>96</v>
      </c>
      <c r="C54" s="15" t="s">
        <v>227</v>
      </c>
      <c r="D54" s="16">
        <v>35841.735549999998</v>
      </c>
      <c r="E54" s="16">
        <v>65632.025829999999</v>
      </c>
      <c r="F54" s="16">
        <v>62696.135450000002</v>
      </c>
      <c r="G54" s="16">
        <v>26831.242760000001</v>
      </c>
    </row>
    <row r="55" spans="1:7">
      <c r="A55" s="15">
        <v>4001190460</v>
      </c>
      <c r="B55" s="15" t="s">
        <v>97</v>
      </c>
      <c r="C55" s="15" t="s">
        <v>227</v>
      </c>
      <c r="D55" s="16"/>
      <c r="E55" s="16"/>
      <c r="F55" s="16"/>
      <c r="G55" s="16"/>
    </row>
    <row r="56" spans="1:7">
      <c r="A56" s="15">
        <v>4001190470</v>
      </c>
      <c r="B56" s="15" t="s">
        <v>98</v>
      </c>
      <c r="C56" s="15" t="s">
        <v>227</v>
      </c>
      <c r="D56" s="16">
        <v>35000</v>
      </c>
      <c r="E56" s="16">
        <v>64400</v>
      </c>
      <c r="F56" s="16">
        <v>62000</v>
      </c>
      <c r="G56" s="16">
        <v>11512.1168</v>
      </c>
    </row>
    <row r="57" spans="1:7">
      <c r="A57" s="15">
        <v>4001190480</v>
      </c>
      <c r="B57" s="15" t="s">
        <v>99</v>
      </c>
      <c r="C57" s="15" t="s">
        <v>227</v>
      </c>
      <c r="D57" s="16">
        <v>291.45044999999999</v>
      </c>
      <c r="E57" s="16">
        <v>541.31383000000005</v>
      </c>
      <c r="F57" s="16">
        <v>488.71345000000002</v>
      </c>
      <c r="G57" s="16">
        <v>1416.9703999999999</v>
      </c>
    </row>
    <row r="58" spans="1:7">
      <c r="A58" s="15">
        <v>4001190500</v>
      </c>
      <c r="B58" s="15" t="s">
        <v>100</v>
      </c>
      <c r="C58" s="15" t="s">
        <v>227</v>
      </c>
      <c r="D58" s="16">
        <v>178</v>
      </c>
      <c r="E58" s="16">
        <v>690.71199999999999</v>
      </c>
      <c r="F58" s="16">
        <v>207.422</v>
      </c>
      <c r="G58" s="16">
        <v>125</v>
      </c>
    </row>
    <row r="59" spans="1:7">
      <c r="A59" s="15">
        <v>4001190570</v>
      </c>
      <c r="B59" s="15" t="s">
        <v>101</v>
      </c>
      <c r="C59" s="15" t="s">
        <v>227</v>
      </c>
      <c r="D59" s="16"/>
      <c r="E59" s="16"/>
      <c r="F59" s="16"/>
      <c r="G59" s="16"/>
    </row>
    <row r="60" spans="1:7">
      <c r="A60" s="15">
        <v>4001121280</v>
      </c>
      <c r="B60" s="15" t="s">
        <v>102</v>
      </c>
      <c r="C60" s="15" t="s">
        <v>227</v>
      </c>
      <c r="D60" s="16"/>
      <c r="E60" s="16"/>
      <c r="F60" s="16"/>
      <c r="G60" s="16"/>
    </row>
    <row r="61" spans="1:7">
      <c r="A61" s="15">
        <v>4001121380</v>
      </c>
      <c r="B61" s="15" t="s">
        <v>103</v>
      </c>
      <c r="C61" s="15" t="s">
        <v>227</v>
      </c>
      <c r="D61" s="16">
        <v>372.2851</v>
      </c>
      <c r="E61" s="16"/>
      <c r="F61" s="16"/>
      <c r="G61" s="16">
        <v>13777.155549999999</v>
      </c>
    </row>
    <row r="62" spans="1:7">
      <c r="A62" s="15">
        <v>4001181370</v>
      </c>
      <c r="B62" s="15" t="s">
        <v>104</v>
      </c>
      <c r="C62" s="15" t="s">
        <v>227</v>
      </c>
      <c r="D62" s="16"/>
      <c r="E62" s="16"/>
      <c r="F62" s="16"/>
      <c r="G62" s="16"/>
    </row>
    <row r="63" spans="1:7">
      <c r="A63" s="15">
        <v>4001121401</v>
      </c>
      <c r="B63" s="15" t="s">
        <v>91</v>
      </c>
      <c r="C63" s="15" t="s">
        <v>227</v>
      </c>
      <c r="D63" s="16"/>
      <c r="E63" s="16"/>
      <c r="F63" s="16"/>
      <c r="G63" s="16"/>
    </row>
    <row r="64" spans="1:7">
      <c r="A64" s="15">
        <v>4001121402</v>
      </c>
      <c r="B64" s="15" t="s">
        <v>92</v>
      </c>
      <c r="C64" s="15" t="s">
        <v>227</v>
      </c>
      <c r="D64" s="16"/>
      <c r="E64" s="16"/>
      <c r="F64" s="16"/>
      <c r="G64" s="16"/>
    </row>
    <row r="65" spans="1:7">
      <c r="A65" s="15">
        <v>4001121403</v>
      </c>
      <c r="B65" s="15" t="s">
        <v>93</v>
      </c>
      <c r="C65" s="15" t="s">
        <v>227</v>
      </c>
      <c r="D65" s="16"/>
      <c r="E65" s="16"/>
      <c r="F65" s="16"/>
      <c r="G65" s="16"/>
    </row>
    <row r="66" spans="1:7">
      <c r="A66" s="15">
        <v>4001190580</v>
      </c>
      <c r="B66" s="15" t="s">
        <v>105</v>
      </c>
      <c r="C66" s="15" t="s">
        <v>227</v>
      </c>
      <c r="D66" s="16"/>
      <c r="E66" s="16"/>
      <c r="F66" s="16"/>
      <c r="G66" s="16"/>
    </row>
    <row r="67" spans="1:7">
      <c r="A67" s="15">
        <v>4001121620</v>
      </c>
      <c r="B67" s="15" t="s">
        <v>106</v>
      </c>
      <c r="C67" s="15" t="s">
        <v>227</v>
      </c>
      <c r="D67" s="16"/>
      <c r="E67" s="16"/>
      <c r="F67" s="16"/>
      <c r="G67" s="16"/>
    </row>
    <row r="68" spans="1:7">
      <c r="A68" s="15">
        <v>4001190380</v>
      </c>
      <c r="B68" s="15" t="s">
        <v>107</v>
      </c>
      <c r="C68" s="15" t="s">
        <v>227</v>
      </c>
      <c r="D68" s="16">
        <v>163744.43135</v>
      </c>
      <c r="E68" s="16">
        <v>229553.85716000001</v>
      </c>
      <c r="F68" s="16">
        <v>283500.49965999997</v>
      </c>
      <c r="G68" s="16">
        <v>452643.91475</v>
      </c>
    </row>
    <row r="69" spans="1:7">
      <c r="A69" s="15">
        <v>4001130010</v>
      </c>
      <c r="B69" s="15" t="s">
        <v>108</v>
      </c>
      <c r="C69" s="15" t="s">
        <v>109</v>
      </c>
      <c r="D69" s="16">
        <v>100000000</v>
      </c>
      <c r="E69" s="16">
        <v>100000000</v>
      </c>
      <c r="F69" s="16">
        <v>100000000</v>
      </c>
      <c r="G69" s="16">
        <v>100000000</v>
      </c>
    </row>
    <row r="70" spans="1:7">
      <c r="A70" s="15">
        <v>4001130020</v>
      </c>
      <c r="B70" s="15" t="s">
        <v>110</v>
      </c>
      <c r="C70" s="15" t="s">
        <v>111</v>
      </c>
      <c r="D70" s="16">
        <v>100</v>
      </c>
      <c r="E70" s="16">
        <v>100</v>
      </c>
      <c r="F70" s="16">
        <v>100</v>
      </c>
      <c r="G70" s="16">
        <v>100</v>
      </c>
    </row>
    <row r="71" spans="1:7">
      <c r="A71" s="15">
        <v>4001130030</v>
      </c>
      <c r="B71" s="15" t="s">
        <v>112</v>
      </c>
      <c r="C71" s="15" t="s">
        <v>109</v>
      </c>
      <c r="D71" s="16">
        <v>64716864</v>
      </c>
      <c r="E71" s="16">
        <v>64776702</v>
      </c>
      <c r="F71" s="16">
        <v>64776702</v>
      </c>
      <c r="G71" s="16">
        <v>65505659</v>
      </c>
    </row>
    <row r="72" spans="1:7">
      <c r="A72" s="15">
        <v>4001130040</v>
      </c>
      <c r="B72" s="15" t="s">
        <v>113</v>
      </c>
      <c r="C72" s="15" t="s">
        <v>109</v>
      </c>
      <c r="D72" s="16">
        <v>64716864</v>
      </c>
      <c r="E72" s="16">
        <v>64776702</v>
      </c>
      <c r="F72" s="16">
        <v>64776702</v>
      </c>
      <c r="G72" s="16">
        <v>65505659</v>
      </c>
    </row>
    <row r="73" spans="1:7">
      <c r="A73" s="15">
        <v>4001130050</v>
      </c>
      <c r="B73" s="15" t="s">
        <v>114</v>
      </c>
      <c r="C73" s="15" t="s">
        <v>109</v>
      </c>
      <c r="D73" s="16"/>
      <c r="E73" s="16"/>
      <c r="F73" s="16"/>
      <c r="G73" s="16"/>
    </row>
    <row r="74" spans="1:7">
      <c r="A74" s="15">
        <v>4001190390</v>
      </c>
      <c r="B74" s="15" t="s">
        <v>115</v>
      </c>
      <c r="C74" s="15" t="s">
        <v>227</v>
      </c>
      <c r="D74" s="16">
        <v>163744.43135</v>
      </c>
      <c r="E74" s="16">
        <v>229553.85716000001</v>
      </c>
      <c r="F74" s="16">
        <v>283500.49965999997</v>
      </c>
      <c r="G74" s="16">
        <v>453964.80846999999</v>
      </c>
    </row>
    <row r="75" spans="1:7">
      <c r="A75" s="15">
        <v>4001130070</v>
      </c>
      <c r="B75" s="15" t="s">
        <v>116</v>
      </c>
      <c r="C75" s="15" t="s">
        <v>227</v>
      </c>
      <c r="D75" s="16">
        <v>6471.6863999999996</v>
      </c>
      <c r="E75" s="16">
        <v>6477.6701999999996</v>
      </c>
      <c r="F75" s="16">
        <v>6477.6701999999996</v>
      </c>
      <c r="G75" s="16">
        <v>6628.2842000000001</v>
      </c>
    </row>
    <row r="76" spans="1:7">
      <c r="A76" s="15">
        <v>4001130670</v>
      </c>
      <c r="B76" s="15" t="s">
        <v>117</v>
      </c>
      <c r="C76" s="15" t="s">
        <v>227</v>
      </c>
      <c r="D76" s="16"/>
      <c r="E76" s="16"/>
      <c r="F76" s="16"/>
      <c r="G76" s="16"/>
    </row>
    <row r="77" spans="1:7">
      <c r="A77" s="15">
        <v>4001190400</v>
      </c>
      <c r="B77" s="15" t="s">
        <v>118</v>
      </c>
      <c r="C77" s="15" t="s">
        <v>227</v>
      </c>
      <c r="D77" s="16">
        <v>24122.104350000001</v>
      </c>
      <c r="E77" s="16">
        <v>24229.755020000001</v>
      </c>
      <c r="F77" s="16">
        <v>24229.755020000001</v>
      </c>
      <c r="G77" s="16">
        <v>106314.38502</v>
      </c>
    </row>
    <row r="78" spans="1:7">
      <c r="A78" s="15">
        <v>4001190420</v>
      </c>
      <c r="B78" s="15" t="s">
        <v>119</v>
      </c>
      <c r="C78" s="15" t="s">
        <v>227</v>
      </c>
      <c r="D78" s="16">
        <v>4.7891500000000002</v>
      </c>
      <c r="E78" s="16">
        <v>-5421.9760999999999</v>
      </c>
      <c r="F78" s="16">
        <v>-18253.885539999999</v>
      </c>
      <c r="G78" s="16">
        <v>4814.6642199999997</v>
      </c>
    </row>
    <row r="79" spans="1:7">
      <c r="A79" s="15">
        <v>4001130360</v>
      </c>
      <c r="B79" s="15" t="s">
        <v>120</v>
      </c>
      <c r="C79" s="15" t="s">
        <v>227</v>
      </c>
      <c r="D79" s="16">
        <v>22.859169999999999</v>
      </c>
      <c r="E79" s="16">
        <v>38.081530000000001</v>
      </c>
      <c r="F79" s="16">
        <v>62.88194</v>
      </c>
      <c r="G79" s="16">
        <v>148.00737000000001</v>
      </c>
    </row>
    <row r="80" spans="1:7">
      <c r="A80" s="15">
        <v>4001130470</v>
      </c>
      <c r="B80" s="15" t="s">
        <v>121</v>
      </c>
      <c r="C80" s="15" t="s">
        <v>227</v>
      </c>
      <c r="D80" s="16">
        <v>133122.99226999999</v>
      </c>
      <c r="E80" s="16">
        <v>204230.32649000001</v>
      </c>
      <c r="F80" s="16">
        <v>270984.07802999998</v>
      </c>
      <c r="G80" s="16">
        <v>336059.46763999999</v>
      </c>
    </row>
    <row r="81" spans="1:7">
      <c r="A81" s="15">
        <v>4001130640</v>
      </c>
      <c r="B81" s="15" t="s">
        <v>122</v>
      </c>
      <c r="C81" s="15" t="s">
        <v>227</v>
      </c>
      <c r="D81" s="16"/>
      <c r="E81" s="16"/>
      <c r="F81" s="16"/>
      <c r="G81" s="16">
        <v>-1320.8937100000001</v>
      </c>
    </row>
    <row r="82" spans="1:7">
      <c r="A82" s="2"/>
      <c r="B82" s="2"/>
      <c r="C82" s="2"/>
      <c r="D82" s="16"/>
      <c r="E82" s="16"/>
      <c r="F82" s="16"/>
      <c r="G82" s="16"/>
    </row>
    <row r="83" spans="1:7">
      <c r="D83" s="17"/>
      <c r="E83" s="17"/>
      <c r="F83" s="17"/>
      <c r="G83" s="17"/>
    </row>
    <row r="84" spans="1:7">
      <c r="D84" s="17"/>
      <c r="E84" s="17"/>
      <c r="F84" s="17"/>
      <c r="G84" s="17"/>
    </row>
    <row r="85" spans="1:7">
      <c r="D85" s="17"/>
      <c r="E85" s="17"/>
      <c r="F85" s="17"/>
      <c r="G85" s="17"/>
    </row>
  </sheetData>
  <phoneticPr fontId="2" type="noConversion"/>
  <conditionalFormatting sqref="B1">
    <cfRule type="expression" dxfId="1" priority="1" stopIfTrue="1">
      <formula>MID($B$1, 15, 10)-TODAY() &lt; 0</formula>
    </cfRule>
  </conditionalFormatting>
  <dataValidations count="7">
    <dataValidation type="list" allowBlank="1" showInputMessage="1" sqref="C8" xr:uid="{A2B6B0F5-E066-44F1-AA34-FDA1CC85D128}">
      <formula1>"1983,1984,1985,1986,1987,1988,1989,1990,1991,1992,1993,1994,1995,1996,1997,1998,1999,2000,2001,2002,2003,2004,2005,2006,2007,2008,2009,2010,2011,2012,2013,2014,2015,2016,2017,2018,2019,2020,2021,2022,2023,2024,2025,Current"</formula1>
    </dataValidation>
    <dataValidation type="list" allowBlank="1" showInputMessage="1" sqref="B8" xr:uid="{34FD0653-73C8-4004-9ADB-7E7B3867A7AF}">
      <formula1>"1983,1984,1985,1986,1987,1988,1989,1990,1991,1992,1993,1994,1995,1996,1997,1998,1999,2000,2001,2002,2003,2004,2005,2006,2007,2008,2009,2010,2011,2012,2013,2014,2015,2016,2017,2018,2019,2020,2021,2022,2023,2024,2025"</formula1>
    </dataValidation>
    <dataValidation type="list" allowBlank="1" showInputMessage="1" sqref="B4" xr:uid="{7489122D-5403-4A9F-9121-5C9176DFBEEB}">
      <formula1>"별도,연결"</formula1>
    </dataValidation>
    <dataValidation type="list" allowBlank="1" showInputMessage="1" sqref="C7" xr:uid="{9FF6795C-4A5E-4805-9A18-C2EF5F39625E}">
      <formula1>"천원,백만원,억원,십억원"</formula1>
    </dataValidation>
    <dataValidation type="list" allowBlank="1" showInputMessage="1" sqref="B7" xr:uid="{A231F710-9B8F-45CB-8207-7C6EA5F596B1}">
      <formula1>"결산,누적분기,당분기"</formula1>
    </dataValidation>
    <dataValidation type="list" allowBlank="1" showInputMessage="1" sqref="B6" xr:uid="{8ECFFAA6-484C-4E44-B34F-D31BFCFF06AC}">
      <formula1>"상세(총액),상세(순액),요약,약식"</formula1>
    </dataValidation>
    <dataValidation type="list" allowBlank="1" showInputMessage="1" sqref="B5" xr:uid="{6376F451-BB45-4EAA-B79B-9660F5B86560}">
      <formula1>"전체,재무상태표,손익계산서,현금흐름표,자본금변동표"</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1CDD-BC34-364A-9945-D8513BC2B2C4}">
  <dimension ref="A1:G60"/>
  <sheetViews>
    <sheetView showGridLines="0" workbookViewId="0"/>
  </sheetViews>
  <sheetFormatPr defaultColWidth="8.8984375" defaultRowHeight="17.399999999999999"/>
  <cols>
    <col min="1" max="1" width="9.5" bestFit="1" customWidth="1"/>
    <col min="2" max="2" width="45.59765625" bestFit="1" customWidth="1"/>
    <col min="3" max="3" width="11.59765625" bestFit="1" customWidth="1"/>
    <col min="4" max="7" width="8.5" bestFit="1" customWidth="1"/>
  </cols>
  <sheetData>
    <row r="1" spans="1:7">
      <c r="B1" s="3" t="s">
        <v>653</v>
      </c>
    </row>
    <row r="2" spans="1:7">
      <c r="A2" s="4" t="s">
        <v>34</v>
      </c>
      <c r="B2" s="4"/>
      <c r="C2" s="4"/>
      <c r="D2" s="4"/>
      <c r="E2" s="4"/>
      <c r="F2" s="4"/>
      <c r="G2" s="4"/>
    </row>
    <row r="3" spans="1:7">
      <c r="A3" s="5" t="s">
        <v>650</v>
      </c>
      <c r="B3" s="5" t="s">
        <v>124</v>
      </c>
      <c r="C3" s="5"/>
      <c r="D3" s="5"/>
      <c r="E3" s="5"/>
      <c r="F3" s="5"/>
      <c r="G3" s="5"/>
    </row>
    <row r="4" spans="1:7">
      <c r="A4" s="5" t="s">
        <v>649</v>
      </c>
      <c r="B4" s="9" t="s">
        <v>130</v>
      </c>
      <c r="C4" s="5" t="s">
        <v>648</v>
      </c>
      <c r="D4" s="5" t="s">
        <v>129</v>
      </c>
      <c r="E4" s="5"/>
      <c r="F4" s="5"/>
      <c r="G4" s="5"/>
    </row>
    <row r="5" spans="1:7">
      <c r="A5" s="5" t="s">
        <v>647</v>
      </c>
      <c r="B5" s="12" t="s">
        <v>263</v>
      </c>
      <c r="C5" s="5" t="s">
        <v>35</v>
      </c>
      <c r="D5" s="5"/>
      <c r="E5" s="5"/>
      <c r="F5" s="5"/>
      <c r="G5" s="5"/>
    </row>
    <row r="6" spans="1:7">
      <c r="A6" s="5" t="s">
        <v>646</v>
      </c>
      <c r="B6" s="10" t="s">
        <v>127</v>
      </c>
      <c r="C6" s="5"/>
      <c r="D6" s="5"/>
      <c r="E6" s="5"/>
      <c r="F6" s="5"/>
      <c r="G6" s="5"/>
    </row>
    <row r="7" spans="1:7">
      <c r="A7" s="5" t="s">
        <v>645</v>
      </c>
      <c r="B7" s="13" t="s">
        <v>264</v>
      </c>
      <c r="C7" s="10" t="s">
        <v>227</v>
      </c>
      <c r="D7" s="5"/>
      <c r="E7" s="5"/>
      <c r="F7" s="5"/>
      <c r="G7" s="5"/>
    </row>
    <row r="8" spans="1:7">
      <c r="A8" s="18" t="s">
        <v>644</v>
      </c>
      <c r="B8" s="11">
        <v>2021</v>
      </c>
      <c r="C8" s="9" t="s">
        <v>131</v>
      </c>
      <c r="D8" s="18"/>
      <c r="E8" s="18"/>
      <c r="F8" s="18"/>
      <c r="G8" s="18"/>
    </row>
    <row r="9" spans="1:7">
      <c r="A9" s="19" t="s">
        <v>41</v>
      </c>
      <c r="B9" s="389" t="s">
        <v>42</v>
      </c>
      <c r="C9" s="389" t="s">
        <v>43</v>
      </c>
      <c r="D9" s="19">
        <v>202112</v>
      </c>
      <c r="E9" s="19">
        <v>202212</v>
      </c>
      <c r="F9" s="19">
        <v>202312</v>
      </c>
      <c r="G9" s="19">
        <v>202412</v>
      </c>
    </row>
    <row r="10" spans="1:7">
      <c r="A10" s="388"/>
      <c r="B10" s="388"/>
      <c r="C10" s="388"/>
      <c r="D10" s="388" t="s">
        <v>55</v>
      </c>
      <c r="E10" s="388" t="s">
        <v>55</v>
      </c>
      <c r="F10" s="388" t="s">
        <v>55</v>
      </c>
      <c r="G10" s="388" t="s">
        <v>55</v>
      </c>
    </row>
    <row r="11" spans="1:7">
      <c r="A11" s="15">
        <v>4001390000</v>
      </c>
      <c r="B11" s="15" t="s">
        <v>231</v>
      </c>
      <c r="C11" s="15" t="s">
        <v>227</v>
      </c>
      <c r="D11" s="16">
        <v>36367.042249999999</v>
      </c>
      <c r="E11" s="16">
        <v>54754.505360000003</v>
      </c>
      <c r="F11" s="16">
        <v>64631.97191</v>
      </c>
      <c r="G11" s="16">
        <v>102800.40687999999</v>
      </c>
    </row>
    <row r="12" spans="1:7">
      <c r="A12" s="15">
        <v>4001310010</v>
      </c>
      <c r="B12" s="15" t="s">
        <v>232</v>
      </c>
      <c r="C12" s="15" t="s">
        <v>227</v>
      </c>
      <c r="D12" s="16"/>
      <c r="E12" s="16"/>
      <c r="F12" s="16"/>
      <c r="G12" s="16"/>
    </row>
    <row r="13" spans="1:7">
      <c r="A13" s="15">
        <v>4001310100</v>
      </c>
      <c r="B13" s="15" t="s">
        <v>233</v>
      </c>
      <c r="C13" s="15" t="s">
        <v>227</v>
      </c>
      <c r="D13" s="16"/>
      <c r="E13" s="16"/>
      <c r="F13" s="16"/>
      <c r="G13" s="16"/>
    </row>
    <row r="14" spans="1:7">
      <c r="A14" s="15">
        <v>4001310190</v>
      </c>
      <c r="B14" s="15" t="s">
        <v>234</v>
      </c>
      <c r="C14" s="15" t="s">
        <v>227</v>
      </c>
      <c r="D14" s="16">
        <v>43804.676379999997</v>
      </c>
      <c r="E14" s="16">
        <v>75378.647240000006</v>
      </c>
      <c r="F14" s="16">
        <v>74225.20319</v>
      </c>
      <c r="G14" s="16">
        <v>97543.753800000006</v>
      </c>
    </row>
    <row r="15" spans="1:7">
      <c r="A15" s="15">
        <v>4001310200</v>
      </c>
      <c r="B15" s="15" t="s">
        <v>235</v>
      </c>
      <c r="C15" s="15" t="s">
        <v>227</v>
      </c>
      <c r="D15" s="16"/>
      <c r="E15" s="16"/>
      <c r="F15" s="16"/>
      <c r="G15" s="16"/>
    </row>
    <row r="16" spans="1:7">
      <c r="A16" s="15">
        <v>4001390010</v>
      </c>
      <c r="B16" s="15" t="s">
        <v>236</v>
      </c>
      <c r="C16" s="15" t="s">
        <v>227</v>
      </c>
      <c r="D16" s="16">
        <v>15108.985000000001</v>
      </c>
      <c r="E16" s="16">
        <v>30514.624690000001</v>
      </c>
      <c r="F16" s="16">
        <v>31651.502</v>
      </c>
      <c r="G16" s="16">
        <v>58557.22</v>
      </c>
    </row>
    <row r="17" spans="1:7">
      <c r="A17" s="15">
        <v>4001390040</v>
      </c>
      <c r="B17" s="15" t="s">
        <v>237</v>
      </c>
      <c r="C17" s="15" t="s">
        <v>227</v>
      </c>
      <c r="D17" s="16">
        <v>4060.3110000000001</v>
      </c>
      <c r="E17" s="16">
        <v>32188.436290000001</v>
      </c>
      <c r="F17" s="16">
        <v>7931.8850000000002</v>
      </c>
      <c r="G17" s="16">
        <v>20726.016</v>
      </c>
    </row>
    <row r="18" spans="1:7">
      <c r="A18" s="15">
        <v>4001390060</v>
      </c>
      <c r="B18" s="15" t="s">
        <v>238</v>
      </c>
      <c r="C18" s="15" t="s">
        <v>227</v>
      </c>
      <c r="D18" s="16">
        <v>-9613.3293799999992</v>
      </c>
      <c r="E18" s="16">
        <v>-6422.1179400000001</v>
      </c>
      <c r="F18" s="16">
        <v>-8502.8828699999995</v>
      </c>
      <c r="G18" s="16">
        <v>-14923.835510000001</v>
      </c>
    </row>
    <row r="19" spans="1:7">
      <c r="A19" s="15">
        <v>4001390070</v>
      </c>
      <c r="B19" s="15" t="s">
        <v>239</v>
      </c>
      <c r="C19" s="15" t="s">
        <v>227</v>
      </c>
      <c r="D19" s="16">
        <v>-10822.224</v>
      </c>
      <c r="E19" s="16">
        <v>-10411.469859999999</v>
      </c>
      <c r="F19" s="16">
        <v>-8544.9519999999993</v>
      </c>
      <c r="G19" s="16">
        <v>-10264.713</v>
      </c>
    </row>
    <row r="20" spans="1:7">
      <c r="A20" s="15">
        <v>4001390110</v>
      </c>
      <c r="B20" s="15" t="s">
        <v>240</v>
      </c>
      <c r="C20" s="15" t="s">
        <v>227</v>
      </c>
      <c r="D20" s="16">
        <v>1208.896</v>
      </c>
      <c r="E20" s="16">
        <v>3989.3519200000001</v>
      </c>
      <c r="F20" s="16">
        <v>42.067999999999998</v>
      </c>
      <c r="G20" s="16">
        <v>-4659.1210000000001</v>
      </c>
    </row>
    <row r="21" spans="1:7">
      <c r="A21" s="15">
        <v>4001312260</v>
      </c>
      <c r="B21" s="15" t="s">
        <v>241</v>
      </c>
      <c r="C21" s="15" t="s">
        <v>227</v>
      </c>
      <c r="D21" s="16"/>
      <c r="E21" s="16"/>
      <c r="F21" s="16"/>
      <c r="G21" s="16"/>
    </row>
    <row r="22" spans="1:7">
      <c r="A22" s="15">
        <v>4001312270</v>
      </c>
      <c r="B22" s="15" t="s">
        <v>242</v>
      </c>
      <c r="C22" s="15" t="s">
        <v>227</v>
      </c>
      <c r="D22" s="16"/>
      <c r="E22" s="16"/>
      <c r="F22" s="16"/>
      <c r="G22" s="16"/>
    </row>
    <row r="23" spans="1:7">
      <c r="A23" s="15">
        <v>4001312280</v>
      </c>
      <c r="B23" s="15" t="s">
        <v>243</v>
      </c>
      <c r="C23" s="15" t="s">
        <v>227</v>
      </c>
      <c r="D23" s="16">
        <v>45240.021000000001</v>
      </c>
      <c r="E23" s="16">
        <v>67282.717730000004</v>
      </c>
      <c r="F23" s="16">
        <v>89441.937319999997</v>
      </c>
      <c r="G23" s="16">
        <v>120451.122</v>
      </c>
    </row>
    <row r="24" spans="1:7">
      <c r="A24" s="15">
        <v>4001312290</v>
      </c>
      <c r="B24" s="15" t="s">
        <v>244</v>
      </c>
      <c r="C24" s="15" t="s">
        <v>227</v>
      </c>
      <c r="D24" s="16">
        <v>42.052050000000001</v>
      </c>
      <c r="E24" s="16">
        <v>386.33936</v>
      </c>
      <c r="F24" s="16">
        <v>4609.83554</v>
      </c>
      <c r="G24" s="16">
        <v>4868.4462800000001</v>
      </c>
    </row>
    <row r="25" spans="1:7">
      <c r="A25" s="15">
        <v>4001312300</v>
      </c>
      <c r="B25" s="15" t="s">
        <v>245</v>
      </c>
      <c r="C25" s="15" t="s">
        <v>227</v>
      </c>
      <c r="D25" s="16">
        <v>-93.054429999999996</v>
      </c>
      <c r="E25" s="16">
        <v>-2573.7545</v>
      </c>
      <c r="F25" s="16">
        <v>-1771.2271599999999</v>
      </c>
      <c r="G25" s="16">
        <v>-1916.1798699999999</v>
      </c>
    </row>
    <row r="26" spans="1:7">
      <c r="A26" s="15">
        <v>4001312310</v>
      </c>
      <c r="B26" s="15" t="s">
        <v>246</v>
      </c>
      <c r="C26" s="15" t="s">
        <v>227</v>
      </c>
      <c r="D26" s="16"/>
      <c r="E26" s="16"/>
      <c r="F26" s="16"/>
      <c r="G26" s="16"/>
    </row>
    <row r="27" spans="1:7">
      <c r="A27" s="15">
        <v>4001312320</v>
      </c>
      <c r="B27" s="15" t="s">
        <v>247</v>
      </c>
      <c r="C27" s="15" t="s">
        <v>227</v>
      </c>
      <c r="D27" s="16"/>
      <c r="E27" s="16"/>
      <c r="F27" s="16"/>
      <c r="G27" s="16"/>
    </row>
    <row r="28" spans="1:7">
      <c r="A28" s="15">
        <v>4001312330</v>
      </c>
      <c r="B28" s="15" t="s">
        <v>248</v>
      </c>
      <c r="C28" s="15" t="s">
        <v>227</v>
      </c>
      <c r="D28" s="16"/>
      <c r="E28" s="16"/>
      <c r="F28" s="16"/>
      <c r="G28" s="16"/>
    </row>
    <row r="29" spans="1:7">
      <c r="A29" s="15">
        <v>4001312340</v>
      </c>
      <c r="B29" s="15" t="s">
        <v>249</v>
      </c>
      <c r="C29" s="15" t="s">
        <v>227</v>
      </c>
      <c r="D29" s="16">
        <v>-8821.9757499999996</v>
      </c>
      <c r="E29" s="16">
        <v>-10340.79722</v>
      </c>
      <c r="F29" s="16">
        <v>-27648.57214</v>
      </c>
      <c r="G29" s="16">
        <v>-20602.98198</v>
      </c>
    </row>
    <row r="30" spans="1:7">
      <c r="A30" s="15">
        <v>4001312350</v>
      </c>
      <c r="B30" s="15" t="s">
        <v>250</v>
      </c>
      <c r="C30" s="15" t="s">
        <v>227</v>
      </c>
      <c r="D30" s="16"/>
      <c r="E30" s="16"/>
      <c r="F30" s="16"/>
      <c r="G30" s="16"/>
    </row>
    <row r="31" spans="1:7">
      <c r="A31" s="15">
        <v>4001390160</v>
      </c>
      <c r="B31" s="15" t="s">
        <v>251</v>
      </c>
      <c r="C31" s="15" t="s">
        <v>227</v>
      </c>
      <c r="D31" s="16">
        <v>-92466.134609999994</v>
      </c>
      <c r="E31" s="16">
        <v>-91994.852650000001</v>
      </c>
      <c r="F31" s="16">
        <v>-48157.757769999997</v>
      </c>
      <c r="G31" s="16">
        <v>-82247.360750000007</v>
      </c>
    </row>
    <row r="32" spans="1:7">
      <c r="A32" s="15">
        <v>4001390170</v>
      </c>
      <c r="B32" s="15" t="s">
        <v>252</v>
      </c>
      <c r="C32" s="15" t="s">
        <v>227</v>
      </c>
      <c r="D32" s="16">
        <v>4537.55746</v>
      </c>
      <c r="E32" s="16">
        <v>70791.378020000004</v>
      </c>
      <c r="F32" s="16">
        <v>15706.380660000001</v>
      </c>
      <c r="G32" s="16">
        <v>348347.65077000001</v>
      </c>
    </row>
    <row r="33" spans="1:7">
      <c r="A33" s="15">
        <v>4001390270</v>
      </c>
      <c r="B33" s="15" t="s">
        <v>253</v>
      </c>
      <c r="C33" s="15" t="s">
        <v>227</v>
      </c>
      <c r="D33" s="16">
        <v>97003.692079999993</v>
      </c>
      <c r="E33" s="16">
        <v>162786.23066999999</v>
      </c>
      <c r="F33" s="16">
        <v>63864.138429999999</v>
      </c>
      <c r="G33" s="16">
        <v>430595.01152</v>
      </c>
    </row>
    <row r="34" spans="1:7">
      <c r="A34" s="15">
        <v>4001321350</v>
      </c>
      <c r="B34" s="15" t="s">
        <v>244</v>
      </c>
      <c r="C34" s="15" t="s">
        <v>227</v>
      </c>
      <c r="D34" s="16"/>
      <c r="E34" s="16"/>
      <c r="F34" s="16"/>
      <c r="G34" s="16"/>
    </row>
    <row r="35" spans="1:7">
      <c r="A35" s="15">
        <v>4001321360</v>
      </c>
      <c r="B35" s="15" t="s">
        <v>245</v>
      </c>
      <c r="C35" s="15" t="s">
        <v>227</v>
      </c>
      <c r="D35" s="16"/>
      <c r="E35" s="16"/>
      <c r="F35" s="16"/>
      <c r="G35" s="16"/>
    </row>
    <row r="36" spans="1:7">
      <c r="A36" s="15">
        <v>4001321370</v>
      </c>
      <c r="B36" s="15" t="s">
        <v>246</v>
      </c>
      <c r="C36" s="15" t="s">
        <v>227</v>
      </c>
      <c r="D36" s="16"/>
      <c r="E36" s="16"/>
      <c r="F36" s="16"/>
      <c r="G36" s="16"/>
    </row>
    <row r="37" spans="1:7">
      <c r="A37" s="15">
        <v>4001321380</v>
      </c>
      <c r="B37" s="15" t="s">
        <v>247</v>
      </c>
      <c r="C37" s="15" t="s">
        <v>227</v>
      </c>
      <c r="D37" s="16"/>
      <c r="E37" s="16"/>
      <c r="F37" s="16"/>
      <c r="G37" s="16"/>
    </row>
    <row r="38" spans="1:7">
      <c r="A38" s="15">
        <v>4001321390</v>
      </c>
      <c r="B38" s="15" t="s">
        <v>248</v>
      </c>
      <c r="C38" s="15" t="s">
        <v>227</v>
      </c>
      <c r="D38" s="16"/>
      <c r="E38" s="16"/>
      <c r="F38" s="16"/>
      <c r="G38" s="16"/>
    </row>
    <row r="39" spans="1:7">
      <c r="A39" s="15">
        <v>4001321400</v>
      </c>
      <c r="B39" s="15" t="s">
        <v>249</v>
      </c>
      <c r="C39" s="15" t="s">
        <v>227</v>
      </c>
      <c r="D39" s="16"/>
      <c r="E39" s="16"/>
      <c r="F39" s="16"/>
      <c r="G39" s="16"/>
    </row>
    <row r="40" spans="1:7">
      <c r="A40" s="15">
        <v>4001321410</v>
      </c>
      <c r="B40" s="15" t="s">
        <v>250</v>
      </c>
      <c r="C40" s="15" t="s">
        <v>227</v>
      </c>
      <c r="D40" s="16"/>
      <c r="E40" s="16"/>
      <c r="F40" s="16"/>
      <c r="G40" s="16"/>
    </row>
    <row r="41" spans="1:7">
      <c r="A41" s="15">
        <v>4001390370</v>
      </c>
      <c r="B41" s="15" t="s">
        <v>254</v>
      </c>
      <c r="C41" s="15" t="s">
        <v>227</v>
      </c>
      <c r="D41" s="16">
        <v>30719.729439999999</v>
      </c>
      <c r="E41" s="16">
        <v>21055.238689999998</v>
      </c>
      <c r="F41" s="16">
        <v>-25643.961599999999</v>
      </c>
      <c r="G41" s="16">
        <v>-16738.60542</v>
      </c>
    </row>
    <row r="42" spans="1:7">
      <c r="A42" s="15">
        <v>4001390380</v>
      </c>
      <c r="B42" s="15" t="s">
        <v>255</v>
      </c>
      <c r="C42" s="15" t="s">
        <v>227</v>
      </c>
      <c r="D42" s="16">
        <v>35013.999020000003</v>
      </c>
      <c r="E42" s="16">
        <v>69193.845319999993</v>
      </c>
      <c r="F42" s="16">
        <v>117</v>
      </c>
      <c r="G42" s="16">
        <v>80</v>
      </c>
    </row>
    <row r="43" spans="1:7">
      <c r="A43" s="15">
        <v>4001390470</v>
      </c>
      <c r="B43" s="15" t="s">
        <v>256</v>
      </c>
      <c r="C43" s="15" t="s">
        <v>227</v>
      </c>
      <c r="D43" s="16">
        <v>411.71949000000001</v>
      </c>
      <c r="E43" s="16">
        <v>43867.293599999997</v>
      </c>
      <c r="F43" s="16">
        <v>18289.50995</v>
      </c>
      <c r="G43" s="16">
        <v>4018.7016199999998</v>
      </c>
    </row>
    <row r="44" spans="1:7">
      <c r="A44" s="15">
        <v>4001330680</v>
      </c>
      <c r="B44" s="15" t="s">
        <v>244</v>
      </c>
      <c r="C44" s="15" t="s">
        <v>227</v>
      </c>
      <c r="D44" s="16"/>
      <c r="E44" s="16"/>
      <c r="F44" s="16"/>
      <c r="G44" s="16"/>
    </row>
    <row r="45" spans="1:7">
      <c r="A45" s="15">
        <v>4001330690</v>
      </c>
      <c r="B45" s="15" t="s">
        <v>245</v>
      </c>
      <c r="C45" s="15" t="s">
        <v>227</v>
      </c>
      <c r="D45" s="16"/>
      <c r="E45" s="16"/>
      <c r="F45" s="16"/>
      <c r="G45" s="16"/>
    </row>
    <row r="46" spans="1:7">
      <c r="A46" s="15">
        <v>4001330700</v>
      </c>
      <c r="B46" s="15" t="s">
        <v>246</v>
      </c>
      <c r="C46" s="15" t="s">
        <v>227</v>
      </c>
      <c r="D46" s="16"/>
      <c r="E46" s="16"/>
      <c r="F46" s="16"/>
      <c r="G46" s="16"/>
    </row>
    <row r="47" spans="1:7">
      <c r="A47" s="15">
        <v>4001330710</v>
      </c>
      <c r="B47" s="15" t="s">
        <v>247</v>
      </c>
      <c r="C47" s="15" t="s">
        <v>227</v>
      </c>
      <c r="D47" s="16">
        <v>-3882.55008</v>
      </c>
      <c r="E47" s="16">
        <v>-4271.3130199999996</v>
      </c>
      <c r="F47" s="16">
        <v>-7471.45165</v>
      </c>
      <c r="G47" s="16">
        <v>-12799.9038</v>
      </c>
    </row>
    <row r="48" spans="1:7">
      <c r="A48" s="15">
        <v>4001330720</v>
      </c>
      <c r="B48" s="15" t="s">
        <v>248</v>
      </c>
      <c r="C48" s="15" t="s">
        <v>227</v>
      </c>
      <c r="D48" s="16"/>
      <c r="E48" s="16"/>
      <c r="F48" s="16"/>
      <c r="G48" s="16"/>
    </row>
    <row r="49" spans="1:7">
      <c r="A49" s="15">
        <v>4001330730</v>
      </c>
      <c r="B49" s="15" t="s">
        <v>249</v>
      </c>
      <c r="C49" s="15" t="s">
        <v>227</v>
      </c>
      <c r="D49" s="16"/>
      <c r="E49" s="16"/>
      <c r="F49" s="16"/>
      <c r="G49" s="16"/>
    </row>
    <row r="50" spans="1:7">
      <c r="A50" s="15">
        <v>4001330740</v>
      </c>
      <c r="B50" s="15" t="s">
        <v>250</v>
      </c>
      <c r="C50" s="15" t="s">
        <v>227</v>
      </c>
      <c r="D50" s="16"/>
      <c r="E50" s="16"/>
      <c r="F50" s="16"/>
      <c r="G50" s="16"/>
    </row>
    <row r="51" spans="1:7">
      <c r="A51" s="15">
        <v>4001340000</v>
      </c>
      <c r="B51" s="15" t="s">
        <v>257</v>
      </c>
      <c r="C51" s="15" t="s">
        <v>227</v>
      </c>
      <c r="D51" s="16"/>
      <c r="E51" s="16"/>
      <c r="F51" s="16"/>
      <c r="G51" s="16"/>
    </row>
    <row r="52" spans="1:7">
      <c r="A52" s="15">
        <v>4001340010</v>
      </c>
      <c r="B52" s="15" t="s">
        <v>258</v>
      </c>
      <c r="C52" s="15" t="s">
        <v>227</v>
      </c>
      <c r="D52" s="16"/>
      <c r="E52" s="16"/>
      <c r="F52" s="16"/>
      <c r="G52" s="16"/>
    </row>
    <row r="53" spans="1:7">
      <c r="A53" s="15">
        <v>4001340020</v>
      </c>
      <c r="B53" s="15" t="s">
        <v>259</v>
      </c>
      <c r="C53" s="15" t="s">
        <v>227</v>
      </c>
      <c r="D53" s="16">
        <v>3784.1210799999999</v>
      </c>
      <c r="E53" s="16">
        <v>-598.66006000000004</v>
      </c>
      <c r="F53" s="16">
        <v>1501.4674399999999</v>
      </c>
      <c r="G53" s="16">
        <v>461.00000999999997</v>
      </c>
    </row>
    <row r="54" spans="1:7">
      <c r="A54" s="15">
        <v>4001340030</v>
      </c>
      <c r="B54" s="15" t="s">
        <v>260</v>
      </c>
      <c r="C54" s="15" t="s">
        <v>227</v>
      </c>
      <c r="D54" s="16">
        <v>-21595.241839999999</v>
      </c>
      <c r="E54" s="16">
        <v>-16783.768660000002</v>
      </c>
      <c r="F54" s="16">
        <v>-7668.2800200000001</v>
      </c>
      <c r="G54" s="16">
        <v>4275.4407199999996</v>
      </c>
    </row>
    <row r="55" spans="1:7">
      <c r="A55" s="15">
        <v>4001340040</v>
      </c>
      <c r="B55" s="15" t="s">
        <v>261</v>
      </c>
      <c r="C55" s="15" t="s">
        <v>227</v>
      </c>
      <c r="D55" s="16">
        <v>64383.495920000001</v>
      </c>
      <c r="E55" s="16">
        <v>42788.254090000002</v>
      </c>
      <c r="F55" s="16">
        <v>26004.48544</v>
      </c>
      <c r="G55" s="16">
        <v>18469.630079999999</v>
      </c>
    </row>
    <row r="56" spans="1:7">
      <c r="A56" s="15">
        <v>4001340050</v>
      </c>
      <c r="B56" s="15" t="s">
        <v>262</v>
      </c>
      <c r="C56" s="15" t="s">
        <v>227</v>
      </c>
      <c r="D56" s="16">
        <v>42788.254090000002</v>
      </c>
      <c r="E56" s="16">
        <v>26004.48544</v>
      </c>
      <c r="F56" s="16">
        <v>18336.205409999999</v>
      </c>
      <c r="G56" s="16">
        <v>22745.070820000001</v>
      </c>
    </row>
    <row r="57" spans="1:7">
      <c r="A57" s="2"/>
      <c r="B57" s="2"/>
      <c r="C57" s="2"/>
      <c r="D57" s="16"/>
      <c r="E57" s="16"/>
      <c r="F57" s="16"/>
      <c r="G57" s="16"/>
    </row>
    <row r="58" spans="1:7">
      <c r="D58" s="17"/>
      <c r="E58" s="17"/>
      <c r="F58" s="17"/>
      <c r="G58" s="17"/>
    </row>
    <row r="59" spans="1:7">
      <c r="D59" s="17"/>
      <c r="E59" s="17"/>
      <c r="F59" s="17"/>
      <c r="G59" s="17"/>
    </row>
    <row r="60" spans="1:7">
      <c r="D60" s="17"/>
      <c r="E60" s="17"/>
      <c r="F60" s="17"/>
      <c r="G60" s="17"/>
    </row>
  </sheetData>
  <phoneticPr fontId="2" type="noConversion"/>
  <conditionalFormatting sqref="B1">
    <cfRule type="expression" dxfId="0" priority="1" stopIfTrue="1">
      <formula>MID($B$1, 15, 10)-TODAY() &lt; 0</formula>
    </cfRule>
  </conditionalFormatting>
  <dataValidations count="7">
    <dataValidation type="list" allowBlank="1" showInputMessage="1" sqref="C8" xr:uid="{82A386AA-F9AF-4D59-9AC2-045DCD864888}">
      <formula1>"1983,1984,1985,1986,1987,1988,1989,1990,1991,1992,1993,1994,1995,1996,1997,1998,1999,2000,2001,2002,2003,2004,2005,2006,2007,2008,2009,2010,2011,2012,2013,2014,2015,2016,2017,2018,2019,2020,2021,2022,2023,2024,2025,Current"</formula1>
    </dataValidation>
    <dataValidation type="list" allowBlank="1" showInputMessage="1" sqref="B8" xr:uid="{C2E61967-5EF6-4B2F-8737-B26E836F9548}">
      <formula1>"1983,1984,1985,1986,1987,1988,1989,1990,1991,1992,1993,1994,1995,1996,1997,1998,1999,2000,2001,2002,2003,2004,2005,2006,2007,2008,2009,2010,2011,2012,2013,2014,2015,2016,2017,2018,2019,2020,2021,2022,2023,2024,2025"</formula1>
    </dataValidation>
    <dataValidation type="list" allowBlank="1" showInputMessage="1" sqref="B4" xr:uid="{0621DA1F-7798-41B8-92A5-E937FED548F9}">
      <formula1>"별도,연결"</formula1>
    </dataValidation>
    <dataValidation type="list" allowBlank="1" showInputMessage="1" sqref="C7" xr:uid="{CE4427AC-8EAD-461B-ACEB-430FF9A6B73D}">
      <formula1>"천원,백만원,억원,십억원"</formula1>
    </dataValidation>
    <dataValidation type="list" allowBlank="1" showInputMessage="1" sqref="B7" xr:uid="{A22F320F-8E27-464D-9165-9A3D641192BA}">
      <formula1>"결산,누적분기,당분기"</formula1>
    </dataValidation>
    <dataValidation type="list" allowBlank="1" showInputMessage="1" sqref="B6" xr:uid="{69DD384C-EB5D-44AA-ACBF-E0C74F5A6299}">
      <formula1>"상세(총액),상세(순액),요약,약식"</formula1>
    </dataValidation>
    <dataValidation type="list" allowBlank="1" showInputMessage="1" sqref="B5" xr:uid="{A7F2B6D7-94A1-40C5-96C3-7F8D3B9D3910}">
      <formula1>"전체,재무상태표,손익계산서,현금흐름표,자본금변동표"</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6CDA-9A3C-41AF-86E0-0BAA76FD79F9}">
  <dimension ref="A1:I22"/>
  <sheetViews>
    <sheetView showGridLines="0" workbookViewId="0">
      <selection activeCell="B20" sqref="B20"/>
    </sheetView>
  </sheetViews>
  <sheetFormatPr defaultColWidth="8.8984375" defaultRowHeight="17.399999999999999"/>
  <sheetData>
    <row r="1" spans="1:9">
      <c r="A1" t="s">
        <v>300</v>
      </c>
    </row>
    <row r="2" spans="1:9" ht="18" thickBot="1"/>
    <row r="3" spans="1:9">
      <c r="A3" s="192" t="s">
        <v>301</v>
      </c>
      <c r="B3" s="192"/>
    </row>
    <row r="4" spans="1:9">
      <c r="A4" t="s">
        <v>302</v>
      </c>
      <c r="B4">
        <v>0.76974248383216404</v>
      </c>
    </row>
    <row r="5" spans="1:9">
      <c r="A5" t="s">
        <v>303</v>
      </c>
      <c r="B5">
        <v>0.59250349141610925</v>
      </c>
    </row>
    <row r="6" spans="1:9">
      <c r="A6" t="s">
        <v>304</v>
      </c>
      <c r="B6">
        <v>0.54156642784312292</v>
      </c>
    </row>
    <row r="7" spans="1:9">
      <c r="A7" t="s">
        <v>305</v>
      </c>
      <c r="B7">
        <v>3828.3322912876283</v>
      </c>
    </row>
    <row r="8" spans="1:9" ht="18" thickBot="1">
      <c r="A8" s="190" t="s">
        <v>306</v>
      </c>
      <c r="B8" s="190">
        <v>10</v>
      </c>
    </row>
    <row r="10" spans="1:9" ht="18" thickBot="1">
      <c r="A10" t="s">
        <v>307</v>
      </c>
    </row>
    <row r="11" spans="1:9">
      <c r="A11" s="191"/>
      <c r="B11" s="191" t="s">
        <v>308</v>
      </c>
      <c r="C11" s="191" t="s">
        <v>309</v>
      </c>
      <c r="D11" s="191" t="s">
        <v>310</v>
      </c>
      <c r="E11" s="191" t="s">
        <v>311</v>
      </c>
      <c r="F11" s="191" t="s">
        <v>312</v>
      </c>
    </row>
    <row r="12" spans="1:9">
      <c r="A12" t="s">
        <v>313</v>
      </c>
      <c r="B12">
        <v>1</v>
      </c>
      <c r="C12">
        <v>170481109.0398753</v>
      </c>
      <c r="D12">
        <v>170481109.0398753</v>
      </c>
      <c r="E12">
        <v>11.632070045952434</v>
      </c>
      <c r="F12">
        <v>9.2152139924069395E-3</v>
      </c>
    </row>
    <row r="13" spans="1:9">
      <c r="A13" t="s">
        <v>314</v>
      </c>
      <c r="B13">
        <v>8</v>
      </c>
      <c r="C13">
        <v>117249025.06012467</v>
      </c>
      <c r="D13">
        <v>14656128.132515583</v>
      </c>
    </row>
    <row r="14" spans="1:9" ht="18" thickBot="1">
      <c r="A14" s="190" t="s">
        <v>315</v>
      </c>
      <c r="B14" s="190">
        <v>9</v>
      </c>
      <c r="C14" s="190">
        <v>287730134.09999996</v>
      </c>
      <c r="D14" s="190"/>
      <c r="E14" s="190"/>
      <c r="F14" s="190"/>
    </row>
    <row r="15" spans="1:9" ht="18" thickBot="1"/>
    <row r="16" spans="1:9">
      <c r="A16" s="191"/>
      <c r="B16" s="191" t="s">
        <v>316</v>
      </c>
      <c r="C16" s="191" t="s">
        <v>305</v>
      </c>
      <c r="D16" s="191" t="s">
        <v>317</v>
      </c>
      <c r="E16" s="191" t="s">
        <v>318</v>
      </c>
      <c r="F16" s="191" t="s">
        <v>319</v>
      </c>
      <c r="G16" s="191" t="s">
        <v>320</v>
      </c>
      <c r="H16" s="191" t="s">
        <v>321</v>
      </c>
      <c r="I16" s="191" t="s">
        <v>322</v>
      </c>
    </row>
    <row r="17" spans="1:9">
      <c r="A17" t="s">
        <v>323</v>
      </c>
      <c r="B17">
        <v>534.75619875486882</v>
      </c>
      <c r="C17">
        <v>6488.9558887742205</v>
      </c>
      <c r="D17">
        <v>8.2410207115136608E-2</v>
      </c>
      <c r="E17">
        <v>0.93634515464080181</v>
      </c>
      <c r="F17">
        <v>-14428.802913915915</v>
      </c>
      <c r="G17">
        <v>15498.315311425653</v>
      </c>
      <c r="H17">
        <v>-14428.802913915915</v>
      </c>
      <c r="I17">
        <v>15498.315311425653</v>
      </c>
    </row>
    <row r="18" spans="1:9" ht="18" thickBot="1">
      <c r="A18" s="190" t="s">
        <v>478</v>
      </c>
      <c r="B18" s="190">
        <v>1.0119494643553013</v>
      </c>
      <c r="C18" s="190">
        <v>0.29670872714149082</v>
      </c>
      <c r="D18" s="190">
        <v>3.4105820684968773</v>
      </c>
      <c r="E18" s="190">
        <v>9.2152139924069273E-3</v>
      </c>
      <c r="F18" s="190">
        <v>0.32773791261585861</v>
      </c>
      <c r="G18" s="190">
        <v>1.696161016094744</v>
      </c>
      <c r="H18" s="190">
        <v>0.32773791261585861</v>
      </c>
      <c r="I18" s="190">
        <v>1.696161016094744</v>
      </c>
    </row>
    <row r="20" spans="1:9">
      <c r="B20" t="s">
        <v>477</v>
      </c>
    </row>
    <row r="21" spans="1:9">
      <c r="B21" t="s">
        <v>476</v>
      </c>
    </row>
    <row r="22" spans="1:9">
      <c r="B22" t="s">
        <v>669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1</vt:i4>
      </vt:variant>
    </vt:vector>
  </HeadingPairs>
  <TitlesOfParts>
    <vt:vector size="18" baseType="lpstr">
      <vt:lpstr>Estimate ▶</vt:lpstr>
      <vt:lpstr>Valuation</vt:lpstr>
      <vt:lpstr>Expected IS</vt:lpstr>
      <vt:lpstr>매출액 추정</vt:lpstr>
      <vt:lpstr>의료기기</vt:lpstr>
      <vt:lpstr>소모품</vt:lpstr>
      <vt:lpstr>이루다 및 기타</vt:lpstr>
      <vt:lpstr>비용 추정</vt:lpstr>
      <vt:lpstr>요약 재무제표</vt:lpstr>
      <vt:lpstr>Row data ▶</vt:lpstr>
      <vt:lpstr>IS(Quarterly)</vt:lpstr>
      <vt:lpstr>BS(Quarterly)</vt:lpstr>
      <vt:lpstr>CFS(Quarterly)</vt:lpstr>
      <vt:lpstr>IS(Yearly)</vt:lpstr>
      <vt:lpstr>BS(Yearly)</vt:lpstr>
      <vt:lpstr>CFS(Yearly)</vt:lpstr>
      <vt:lpstr>장비-소모품 회귀분석</vt:lpstr>
      <vt:lpstr>'요약 재무제표'!Com_Data_sum_035900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선우 황</dc:creator>
  <cp:lastModifiedBy>채현기</cp:lastModifiedBy>
  <dcterms:created xsi:type="dcterms:W3CDTF">2025-03-25T10:12:27Z</dcterms:created>
  <dcterms:modified xsi:type="dcterms:W3CDTF">2025-09-04T13:07:48Z</dcterms:modified>
</cp:coreProperties>
</file>