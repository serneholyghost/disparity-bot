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채현기\Desktop\RFS\25-1\25-1_3차_한화솔루션\"/>
    </mc:Choice>
  </mc:AlternateContent>
  <xr:revisionPtr revIDLastSave="0" documentId="13_ncr:1_{7FBA0825-24FB-4FF7-B011-A63F3FAFD9EA}" xr6:coauthVersionLast="47" xr6:coauthVersionMax="47" xr10:uidLastSave="{00000000-0000-0000-0000-000000000000}"/>
  <bookViews>
    <workbookView xWindow="-108" yWindow="-108" windowWidth="23256" windowHeight="13176" firstSheet="1" activeTab="1" xr2:uid="{C8E0C016-08D2-BA49-8F0F-9A2D62F42669}"/>
  </bookViews>
  <sheets>
    <sheet name="Estimation ▶" sheetId="22" r:id="rId1"/>
    <sheet name="Valuation" sheetId="21" r:id="rId2"/>
    <sheet name="Expected IS" sheetId="18" r:id="rId3"/>
    <sheet name="매출액 추정 ▶" sheetId="2" r:id="rId4"/>
    <sheet name="신재생에너지" sheetId="11" r:id="rId5"/>
    <sheet name="케미칼" sheetId="14" r:id="rId6"/>
    <sheet name="첨단소재" sheetId="15" r:id="rId7"/>
    <sheet name="비용 추정" sheetId="16" r:id="rId8"/>
    <sheet name="AMPC 보조금 수령액" sheetId="17" r:id="rId9"/>
    <sheet name="요약 재무제표" sheetId="20" r:id="rId10"/>
    <sheet name="FA Schedule" sheetId="19" r:id="rId11"/>
    <sheet name="HISTORICAL▶" sheetId="23" r:id="rId12"/>
    <sheet name="BS(Q)" sheetId="3" r:id="rId13"/>
    <sheet name="IS(Q)" sheetId="4" r:id="rId14"/>
    <sheet name="CFS(Q)" sheetId="5" r:id="rId15"/>
    <sheet name="BS(A)" sheetId="6" r:id="rId16"/>
    <sheet name="IS(A)" sheetId="9" r:id="rId17"/>
    <sheet name="CFS(A)" sheetId="8" r:id="rId18"/>
  </sheets>
  <externalReferences>
    <externalReference r:id="rId19"/>
  </externalReferences>
  <definedNames>
    <definedName name="Com_Data_sum_035900" localSheetId="9">'요약 재무제표'!$B$4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3" i="18" l="1"/>
  <c r="O11" i="18"/>
  <c r="O9" i="18"/>
  <c r="O7" i="18"/>
  <c r="O6" i="18"/>
  <c r="C6" i="21"/>
  <c r="C4" i="21"/>
  <c r="C5" i="21" s="1"/>
  <c r="C16" i="21" s="1"/>
  <c r="C18" i="21" s="1"/>
  <c r="C20" i="21" s="1"/>
  <c r="C9" i="18"/>
  <c r="D23" i="18"/>
  <c r="E23" i="18"/>
  <c r="F23" i="18"/>
  <c r="G23" i="18"/>
  <c r="H23" i="18"/>
  <c r="I23" i="18"/>
  <c r="J23" i="18"/>
  <c r="K23" i="18"/>
  <c r="L23" i="18"/>
  <c r="M23" i="18"/>
  <c r="N23" i="18"/>
  <c r="C23" i="18"/>
  <c r="K22" i="18"/>
  <c r="I22" i="18"/>
  <c r="H22" i="18"/>
  <c r="E22" i="18"/>
  <c r="D22" i="18"/>
  <c r="N21" i="18"/>
  <c r="I21" i="18"/>
  <c r="J21" i="18" s="1"/>
  <c r="J22" i="18" s="1"/>
  <c r="F21" i="18"/>
  <c r="K20" i="18"/>
  <c r="J20" i="18"/>
  <c r="I20" i="18"/>
  <c r="H20" i="18"/>
  <c r="G20" i="18"/>
  <c r="G22" i="18" s="1"/>
  <c r="F20" i="18"/>
  <c r="F22" i="18" s="1"/>
  <c r="E20" i="18"/>
  <c r="D20" i="18"/>
  <c r="C20" i="18"/>
  <c r="C22" i="18" s="1"/>
  <c r="D14" i="18"/>
  <c r="E14" i="18"/>
  <c r="F14" i="18"/>
  <c r="G14" i="18"/>
  <c r="H14" i="18"/>
  <c r="I14" i="18"/>
  <c r="K14" i="18"/>
  <c r="L14" i="18"/>
  <c r="L20" i="18" s="1"/>
  <c r="L22" i="18" s="1"/>
  <c r="M14" i="18"/>
  <c r="M20" i="18" s="1"/>
  <c r="M22" i="18" s="1"/>
  <c r="C14" i="18"/>
  <c r="D12" i="18"/>
  <c r="E12" i="18"/>
  <c r="G12" i="18"/>
  <c r="H12" i="18"/>
  <c r="I12" i="18"/>
  <c r="J12" i="18"/>
  <c r="K12" i="18"/>
  <c r="L12" i="18"/>
  <c r="C12" i="18"/>
  <c r="K9" i="18"/>
  <c r="K10" i="18" s="1"/>
  <c r="J9" i="18"/>
  <c r="J10" i="18" s="1"/>
  <c r="I9" i="18"/>
  <c r="I10" i="18" s="1"/>
  <c r="H9" i="18"/>
  <c r="H10" i="18" s="1"/>
  <c r="G9" i="18"/>
  <c r="G10" i="18" s="1"/>
  <c r="F9" i="18"/>
  <c r="F10" i="18" s="1"/>
  <c r="E9" i="18"/>
  <c r="E10" i="18" s="1"/>
  <c r="D9" i="18"/>
  <c r="D10" i="18" s="1"/>
  <c r="C10" i="18"/>
  <c r="M8" i="18"/>
  <c r="L8" i="18"/>
  <c r="K8" i="18"/>
  <c r="J8" i="18"/>
  <c r="I8" i="18"/>
  <c r="H8" i="18"/>
  <c r="G8" i="18"/>
  <c r="E8" i="18"/>
  <c r="D8" i="18"/>
  <c r="C8" i="18"/>
  <c r="N6" i="18"/>
  <c r="N12" i="18" s="1"/>
  <c r="M6" i="18"/>
  <c r="M12" i="18" s="1"/>
  <c r="L6" i="18"/>
  <c r="L9" i="18" s="1"/>
  <c r="L10" i="18" s="1"/>
  <c r="J6" i="18"/>
  <c r="J14" i="18" s="1"/>
  <c r="F6" i="18"/>
  <c r="F12" i="18" s="1"/>
  <c r="L27" i="20"/>
  <c r="L25" i="20"/>
  <c r="L24" i="20"/>
  <c r="F47" i="20"/>
  <c r="F38" i="20"/>
  <c r="F37" i="20"/>
  <c r="F48" i="20"/>
  <c r="L26" i="20" s="1"/>
  <c r="L23" i="20" s="1"/>
  <c r="F46" i="20"/>
  <c r="F32" i="20"/>
  <c r="F33" i="20"/>
  <c r="L13" i="20"/>
  <c r="L11" i="20"/>
  <c r="L18" i="20"/>
  <c r="L21" i="20"/>
  <c r="U38" i="20"/>
  <c r="N9" i="18" l="1"/>
  <c r="N10" i="18" s="1"/>
  <c r="N14" i="18"/>
  <c r="N20" i="18" s="1"/>
  <c r="N22" i="18" s="1"/>
  <c r="F8" i="18"/>
  <c r="N8" i="18"/>
  <c r="M9" i="18"/>
  <c r="M10" i="18" s="1"/>
  <c r="L28" i="20"/>
  <c r="R38" i="20"/>
  <c r="R37" i="20"/>
  <c r="R34" i="20" s="1"/>
  <c r="U13" i="20"/>
  <c r="U8" i="20"/>
  <c r="T20" i="20"/>
  <c r="S16" i="20"/>
  <c r="R16" i="20"/>
  <c r="R13" i="20"/>
  <c r="U6" i="20"/>
  <c r="U10" i="20" s="1"/>
  <c r="K45" i="20"/>
  <c r="T30" i="20" s="1"/>
  <c r="U30" i="20" s="1"/>
  <c r="K44" i="20"/>
  <c r="T29" i="20" s="1"/>
  <c r="J45" i="20"/>
  <c r="J44" i="20"/>
  <c r="I45" i="20"/>
  <c r="I44" i="20"/>
  <c r="K43" i="20"/>
  <c r="T28" i="20" s="1"/>
  <c r="J43" i="20"/>
  <c r="I43" i="20"/>
  <c r="R28" i="20"/>
  <c r="T22" i="20"/>
  <c r="S22" i="20"/>
  <c r="R22" i="20"/>
  <c r="R23" i="20" s="1"/>
  <c r="S20" i="20"/>
  <c r="R20" i="20"/>
  <c r="R19" i="20"/>
  <c r="T8" i="20"/>
  <c r="S8" i="20"/>
  <c r="R8" i="20"/>
  <c r="K50" i="20"/>
  <c r="J51" i="20"/>
  <c r="J50" i="20"/>
  <c r="I51" i="20"/>
  <c r="I50" i="20"/>
  <c r="I40" i="20"/>
  <c r="J40" i="20"/>
  <c r="L37" i="20"/>
  <c r="K38" i="20"/>
  <c r="L34" i="20"/>
  <c r="L31" i="20" s="1"/>
  <c r="T31" i="20" l="1"/>
  <c r="R21" i="20"/>
  <c r="U7" i="20"/>
  <c r="R24" i="20"/>
  <c r="R25" i="20" s="1"/>
  <c r="R12" i="20" s="1"/>
  <c r="R14" i="20" s="1"/>
  <c r="L45" i="20"/>
  <c r="L38" i="20"/>
  <c r="K20" i="20" l="1"/>
  <c r="K17" i="20"/>
  <c r="N20" i="20" s="1"/>
  <c r="J20" i="20"/>
  <c r="J17" i="20"/>
  <c r="L17" i="20" s="1"/>
  <c r="I22" i="20"/>
  <c r="I49" i="20" s="1"/>
  <c r="I28" i="20"/>
  <c r="I20" i="20"/>
  <c r="I17" i="20"/>
  <c r="K7" i="20"/>
  <c r="T19" i="20" s="1"/>
  <c r="T21" i="20" s="1"/>
  <c r="J10" i="20"/>
  <c r="J14" i="20" s="1"/>
  <c r="J9" i="20"/>
  <c r="I14" i="20"/>
  <c r="D49" i="20"/>
  <c r="F49" i="20" s="1"/>
  <c r="C49" i="20"/>
  <c r="E45" i="20"/>
  <c r="F43" i="20"/>
  <c r="F42" i="20"/>
  <c r="D44" i="20"/>
  <c r="C44" i="20"/>
  <c r="E41" i="20"/>
  <c r="C33" i="20"/>
  <c r="C32" i="20"/>
  <c r="C39" i="20" s="1"/>
  <c r="F24" i="20"/>
  <c r="E33" i="20"/>
  <c r="D33" i="20"/>
  <c r="L46" i="16"/>
  <c r="E44" i="20" l="1"/>
  <c r="F44" i="20" s="1"/>
  <c r="F40" i="20" s="1"/>
  <c r="F41" i="20"/>
  <c r="L20" i="20"/>
  <c r="L19" i="20" s="1"/>
  <c r="L33" i="20"/>
  <c r="C31" i="20"/>
  <c r="F45" i="20"/>
  <c r="F26" i="20"/>
  <c r="I52" i="20"/>
  <c r="F21" i="20" l="1"/>
  <c r="F14" i="20"/>
  <c r="I52" i="16" l="1"/>
  <c r="E25" i="20"/>
  <c r="F22" i="20"/>
  <c r="F23" i="20" s="1"/>
  <c r="F27" i="20"/>
  <c r="F11" i="20"/>
  <c r="N30" i="16" l="1"/>
  <c r="F6" i="20" l="1"/>
  <c r="E18" i="20"/>
  <c r="D18" i="20"/>
  <c r="D32" i="20" s="1"/>
  <c r="E14" i="20"/>
  <c r="D14" i="20"/>
  <c r="E10" i="20"/>
  <c r="D10" i="20"/>
  <c r="C10" i="20"/>
  <c r="C9" i="20" s="1"/>
  <c r="E8" i="20"/>
  <c r="D8" i="20"/>
  <c r="C8" i="20"/>
  <c r="E6" i="20"/>
  <c r="D6" i="20"/>
  <c r="C6" i="20"/>
  <c r="C7" i="20" s="1"/>
  <c r="E5" i="20"/>
  <c r="D5" i="20"/>
  <c r="D26" i="20" s="1"/>
  <c r="C5" i="20"/>
  <c r="F9" i="20"/>
  <c r="F8" i="20" s="1"/>
  <c r="J22" i="20"/>
  <c r="S19" i="20"/>
  <c r="S23" i="20"/>
  <c r="F28" i="20"/>
  <c r="J28" i="20"/>
  <c r="J52" i="20" s="1"/>
  <c r="S28" i="20"/>
  <c r="U28" i="20" s="1"/>
  <c r="U19" i="20" s="1"/>
  <c r="L7" i="20" s="1"/>
  <c r="R29" i="20"/>
  <c r="S29" i="20"/>
  <c r="S34" i="20"/>
  <c r="S37" i="20"/>
  <c r="S43" i="20" s="1"/>
  <c r="S38" i="20"/>
  <c r="S13" i="20" s="1"/>
  <c r="S42" i="20"/>
  <c r="R30" i="20"/>
  <c r="S30" i="20"/>
  <c r="J49" i="20" l="1"/>
  <c r="K39" i="20"/>
  <c r="D7" i="20"/>
  <c r="D28" i="20"/>
  <c r="U22" i="20"/>
  <c r="L16" i="20" s="1"/>
  <c r="L15" i="20" s="1"/>
  <c r="L22" i="20" s="1"/>
  <c r="N14" i="20" s="1"/>
  <c r="U20" i="20"/>
  <c r="L8" i="20" s="1"/>
  <c r="D39" i="20"/>
  <c r="L39" i="20"/>
  <c r="E9" i="20"/>
  <c r="T6" i="20"/>
  <c r="K41" i="20"/>
  <c r="L41" i="20"/>
  <c r="E24" i="20"/>
  <c r="E26" i="20" s="1"/>
  <c r="K37" i="20"/>
  <c r="R6" i="20"/>
  <c r="I41" i="20"/>
  <c r="D9" i="20"/>
  <c r="S6" i="20"/>
  <c r="J41" i="20"/>
  <c r="W28" i="20"/>
  <c r="S31" i="20"/>
  <c r="C28" i="20"/>
  <c r="I39" i="20"/>
  <c r="S41" i="20"/>
  <c r="J39" i="20"/>
  <c r="J47" i="20"/>
  <c r="D11" i="20"/>
  <c r="D27" i="20"/>
  <c r="S40" i="20"/>
  <c r="J46" i="20"/>
  <c r="T34" i="20"/>
  <c r="T37" i="20" s="1"/>
  <c r="E27" i="20"/>
  <c r="E7" i="20"/>
  <c r="R42" i="20"/>
  <c r="E11" i="20"/>
  <c r="R41" i="20"/>
  <c r="S21" i="20"/>
  <c r="S24" i="20" s="1"/>
  <c r="S25" i="20" s="1"/>
  <c r="S12" i="20" s="1"/>
  <c r="C27" i="20"/>
  <c r="C26" i="20"/>
  <c r="E32" i="20"/>
  <c r="K28" i="20"/>
  <c r="K47" i="20" s="1"/>
  <c r="E28" i="20"/>
  <c r="T38" i="20"/>
  <c r="T13" i="20" s="1"/>
  <c r="K22" i="20"/>
  <c r="T23" i="20"/>
  <c r="T24" i="20" s="1"/>
  <c r="T25" i="20" s="1"/>
  <c r="T12" i="20" s="1"/>
  <c r="R40" i="20"/>
  <c r="R31" i="20"/>
  <c r="R43" i="20"/>
  <c r="D45" i="16"/>
  <c r="D46" i="16" s="1"/>
  <c r="E45" i="16"/>
  <c r="E46" i="16" s="1"/>
  <c r="F45" i="16"/>
  <c r="F46" i="16" s="1"/>
  <c r="G45" i="16"/>
  <c r="G46" i="16" s="1"/>
  <c r="H45" i="16"/>
  <c r="H46" i="16" s="1"/>
  <c r="I45" i="16"/>
  <c r="I46" i="16" s="1"/>
  <c r="J45" i="16"/>
  <c r="J46" i="16" s="1"/>
  <c r="K45" i="16"/>
  <c r="K46" i="16" s="1"/>
  <c r="C45" i="16"/>
  <c r="C46" i="16" s="1"/>
  <c r="L16" i="16"/>
  <c r="M16" i="16" s="1"/>
  <c r="N16" i="16" s="1"/>
  <c r="O6" i="19"/>
  <c r="C6" i="19"/>
  <c r="I6" i="19"/>
  <c r="M6" i="19"/>
  <c r="N6" i="19"/>
  <c r="I19" i="19" s="1"/>
  <c r="H7" i="19"/>
  <c r="I7" i="19"/>
  <c r="D12" i="19"/>
  <c r="I13" i="19" s="1"/>
  <c r="E12" i="19"/>
  <c r="C13" i="19"/>
  <c r="H13" i="19"/>
  <c r="J13" i="19" s="1"/>
  <c r="E14" i="19" s="1"/>
  <c r="C14" i="19"/>
  <c r="D15" i="19"/>
  <c r="C19" i="19"/>
  <c r="E19" i="19"/>
  <c r="C20" i="19"/>
  <c r="H20" i="19"/>
  <c r="J20" i="19" s="1"/>
  <c r="I20" i="19"/>
  <c r="C21" i="19"/>
  <c r="D22" i="19"/>
  <c r="C26" i="19"/>
  <c r="E26" i="19"/>
  <c r="C27" i="19"/>
  <c r="H27" i="19"/>
  <c r="J27" i="19" s="1"/>
  <c r="E28" i="19" s="1"/>
  <c r="I27" i="19"/>
  <c r="C28" i="19"/>
  <c r="D29" i="19"/>
  <c r="U23" i="20" l="1"/>
  <c r="D31" i="20"/>
  <c r="M14" i="20"/>
  <c r="K49" i="20"/>
  <c r="L44" i="20"/>
  <c r="S10" i="20"/>
  <c r="S7" i="20"/>
  <c r="T10" i="20"/>
  <c r="T7" i="20"/>
  <c r="E39" i="20"/>
  <c r="E31" i="20" s="1"/>
  <c r="R10" i="20"/>
  <c r="R15" i="20" s="1"/>
  <c r="R7" i="20"/>
  <c r="U31" i="20"/>
  <c r="L43" i="20"/>
  <c r="K40" i="20"/>
  <c r="L40" i="20"/>
  <c r="U40" i="20"/>
  <c r="T40" i="20"/>
  <c r="L49" i="20"/>
  <c r="S14" i="20"/>
  <c r="L35" i="20"/>
  <c r="L32" i="20" s="1"/>
  <c r="T43" i="20"/>
  <c r="U34" i="20"/>
  <c r="U37" i="20" s="1"/>
  <c r="L12" i="20" s="1"/>
  <c r="L10" i="20" s="1"/>
  <c r="N10" i="20" s="1"/>
  <c r="H12" i="19"/>
  <c r="H19" i="19"/>
  <c r="J19" i="19" s="1"/>
  <c r="E20" i="19" s="1"/>
  <c r="E23" i="19" s="1"/>
  <c r="E7" i="19" s="1"/>
  <c r="H26" i="19"/>
  <c r="E21" i="19"/>
  <c r="J7" i="19"/>
  <c r="H6" i="19"/>
  <c r="C29" i="19"/>
  <c r="E29" i="19" s="1"/>
  <c r="C22" i="19"/>
  <c r="E22" i="19" s="1"/>
  <c r="C15" i="19"/>
  <c r="E15" i="19" s="1"/>
  <c r="I12" i="19"/>
  <c r="I26" i="19"/>
  <c r="U43" i="20" l="1"/>
  <c r="S15" i="20"/>
  <c r="F39" i="20"/>
  <c r="F31" i="20" s="1"/>
  <c r="F50" i="20" s="1"/>
  <c r="S11" i="20"/>
  <c r="U21" i="20"/>
  <c r="U24" i="20" s="1"/>
  <c r="U25" i="20" s="1"/>
  <c r="U12" i="20" s="1"/>
  <c r="U14" i="20" s="1"/>
  <c r="U15" i="20" s="1"/>
  <c r="U16" i="20" s="1"/>
  <c r="K48" i="20"/>
  <c r="T15" i="20"/>
  <c r="U11" i="20"/>
  <c r="T11" i="20"/>
  <c r="L47" i="20"/>
  <c r="J26" i="19"/>
  <c r="E27" i="19" s="1"/>
  <c r="E30" i="19" s="1"/>
  <c r="E8" i="19" s="1"/>
  <c r="J12" i="19"/>
  <c r="E13" i="19" s="1"/>
  <c r="E16" i="19" s="1"/>
  <c r="E6" i="19" s="1"/>
  <c r="T14" i="20"/>
  <c r="L48" i="20"/>
  <c r="L45" i="16"/>
  <c r="N45" i="16"/>
  <c r="N44" i="16" s="1"/>
  <c r="N7" i="16" s="1"/>
  <c r="M45" i="16"/>
  <c r="M44" i="16" s="1"/>
  <c r="M7" i="16" s="1"/>
  <c r="J6" i="19" l="1"/>
  <c r="L44" i="16"/>
  <c r="L7" i="16" s="1"/>
  <c r="Q7" i="2"/>
  <c r="P7" i="2"/>
  <c r="M6" i="16"/>
  <c r="N6" i="16"/>
  <c r="L6" i="16"/>
  <c r="Q14" i="2"/>
  <c r="Q12" i="2"/>
  <c r="Q10" i="2"/>
  <c r="Q8" i="2"/>
  <c r="N6" i="2"/>
  <c r="N11" i="11"/>
  <c r="M11" i="11"/>
  <c r="L11" i="11"/>
  <c r="M8" i="11"/>
  <c r="N8" i="11"/>
  <c r="L8" i="11"/>
  <c r="L6" i="11"/>
  <c r="M21" i="11"/>
  <c r="N21" i="11"/>
  <c r="L18" i="11"/>
  <c r="M19" i="11"/>
  <c r="M18" i="11" s="1"/>
  <c r="N19" i="11"/>
  <c r="N18" i="11" s="1"/>
  <c r="L19" i="11"/>
  <c r="D21" i="11"/>
  <c r="E21" i="11"/>
  <c r="F21" i="11"/>
  <c r="G21" i="11"/>
  <c r="H21" i="11"/>
  <c r="I21" i="11"/>
  <c r="J21" i="11"/>
  <c r="K21" i="11"/>
  <c r="C21" i="11"/>
  <c r="K20" i="11"/>
  <c r="D19" i="11"/>
  <c r="E19" i="11"/>
  <c r="F19" i="11"/>
  <c r="G19" i="11"/>
  <c r="H19" i="11"/>
  <c r="I19" i="11"/>
  <c r="J19" i="11"/>
  <c r="K19" i="11"/>
  <c r="C20" i="11"/>
  <c r="C19" i="11"/>
  <c r="L21" i="11"/>
  <c r="F35" i="17"/>
  <c r="O22" i="11"/>
  <c r="N20" i="11"/>
  <c r="M20" i="11"/>
  <c r="L20" i="11"/>
  <c r="J20" i="11"/>
  <c r="I20" i="11"/>
  <c r="H20" i="11"/>
  <c r="G20" i="11"/>
  <c r="F20" i="11"/>
  <c r="E20" i="11"/>
  <c r="D20" i="11"/>
  <c r="P4" i="17"/>
  <c r="O22" i="17"/>
  <c r="O20" i="17"/>
  <c r="O4" i="17"/>
  <c r="S4" i="17"/>
  <c r="L12" i="16"/>
  <c r="L13" i="16" s="1"/>
  <c r="J37" i="16"/>
  <c r="J35" i="16"/>
  <c r="D37" i="16"/>
  <c r="D35" i="16"/>
  <c r="R20" i="17"/>
  <c r="Q20" i="17"/>
  <c r="R4" i="17"/>
  <c r="Q4" i="17"/>
  <c r="N7" i="17"/>
  <c r="S7" i="17" s="1"/>
  <c r="N23" i="17"/>
  <c r="N20" i="17" s="1"/>
  <c r="N22" i="17"/>
  <c r="N21" i="17"/>
  <c r="P23" i="17"/>
  <c r="P20" i="17" s="1"/>
  <c r="P22" i="17"/>
  <c r="P21" i="17"/>
  <c r="P25" i="17"/>
  <c r="P24" i="17"/>
  <c r="O25" i="17"/>
  <c r="O24" i="17"/>
  <c r="O23" i="17"/>
  <c r="O21" i="17"/>
  <c r="S12" i="17"/>
  <c r="S11" i="17"/>
  <c r="S10" i="17"/>
  <c r="S9" i="17"/>
  <c r="S8" i="17"/>
  <c r="R10" i="17"/>
  <c r="R9" i="17"/>
  <c r="R8" i="17"/>
  <c r="Q9" i="17"/>
  <c r="Q8" i="17"/>
  <c r="R7" i="17"/>
  <c r="Q7" i="17"/>
  <c r="F29" i="17"/>
  <c r="G29" i="17"/>
  <c r="H29" i="17"/>
  <c r="I29" i="17"/>
  <c r="J29" i="17"/>
  <c r="K29" i="17"/>
  <c r="L29" i="17"/>
  <c r="M29" i="17"/>
  <c r="N29" i="17" s="1"/>
  <c r="O29" i="17" s="1"/>
  <c r="P29" i="17" s="1"/>
  <c r="Q29" i="17" s="1"/>
  <c r="R29" i="17" s="1"/>
  <c r="S29" i="17" s="1"/>
  <c r="F28" i="17"/>
  <c r="G28" i="17"/>
  <c r="H28" i="17"/>
  <c r="I28" i="17"/>
  <c r="J28" i="17"/>
  <c r="K28" i="17"/>
  <c r="L28" i="17"/>
  <c r="M28" i="17"/>
  <c r="N28" i="17" s="1"/>
  <c r="O28" i="17" s="1"/>
  <c r="P28" i="17" s="1"/>
  <c r="Q28" i="17" s="1"/>
  <c r="R28" i="17" s="1"/>
  <c r="S28" i="17" s="1"/>
  <c r="F27" i="17"/>
  <c r="G27" i="17"/>
  <c r="H27" i="17"/>
  <c r="I27" i="17"/>
  <c r="J27" i="17"/>
  <c r="K27" i="17"/>
  <c r="L27" i="17"/>
  <c r="M27" i="17"/>
  <c r="N27" i="17" s="1"/>
  <c r="O27" i="17" s="1"/>
  <c r="P27" i="17" s="1"/>
  <c r="Q27" i="17" s="1"/>
  <c r="R27" i="17" s="1"/>
  <c r="S27" i="17" s="1"/>
  <c r="E29" i="17"/>
  <c r="E28" i="17"/>
  <c r="E27" i="17"/>
  <c r="M20" i="17"/>
  <c r="L20" i="17"/>
  <c r="K20" i="17"/>
  <c r="J20" i="17"/>
  <c r="M23" i="17"/>
  <c r="L23" i="17"/>
  <c r="K23" i="17"/>
  <c r="J23" i="17"/>
  <c r="I20" i="17"/>
  <c r="H20" i="17"/>
  <c r="G20" i="17"/>
  <c r="H13" i="17"/>
  <c r="G13" i="17"/>
  <c r="E20" i="17"/>
  <c r="E21" i="17"/>
  <c r="F20" i="17"/>
  <c r="F21" i="17"/>
  <c r="F14" i="17"/>
  <c r="E14" i="17"/>
  <c r="H32" i="17"/>
  <c r="F25" i="20" l="1"/>
  <c r="F51" i="20"/>
  <c r="K51" i="20"/>
  <c r="K14" i="20"/>
  <c r="K46" i="20" s="1"/>
  <c r="L18" i="16"/>
  <c r="M18" i="16" s="1"/>
  <c r="N18" i="16" s="1"/>
  <c r="S20" i="17"/>
  <c r="F37" i="16"/>
  <c r="F35" i="16"/>
  <c r="N4" i="17"/>
  <c r="H7" i="17"/>
  <c r="G7" i="17"/>
  <c r="F7" i="17"/>
  <c r="E7" i="17"/>
  <c r="J22" i="17"/>
  <c r="K22" i="17"/>
  <c r="L22" i="17"/>
  <c r="M22" i="17"/>
  <c r="I22" i="17"/>
  <c r="J21" i="17"/>
  <c r="K21" i="17"/>
  <c r="L21" i="17"/>
  <c r="M21" i="17"/>
  <c r="I21" i="17"/>
  <c r="S23" i="16"/>
  <c r="R23" i="16"/>
  <c r="Q23" i="16"/>
  <c r="P23" i="16"/>
  <c r="F6" i="16"/>
  <c r="J6" i="16"/>
  <c r="R13" i="16" s="1"/>
  <c r="C9" i="16"/>
  <c r="D9" i="16"/>
  <c r="D22" i="16" s="1"/>
  <c r="E8" i="16"/>
  <c r="H9" i="16"/>
  <c r="I9" i="16"/>
  <c r="K8" i="16"/>
  <c r="F11" i="16"/>
  <c r="J11" i="16"/>
  <c r="F12" i="16"/>
  <c r="F13" i="16"/>
  <c r="F14" i="16"/>
  <c r="Q14" i="16" s="1"/>
  <c r="C15" i="16"/>
  <c r="C21" i="16" s="1"/>
  <c r="D15" i="16"/>
  <c r="D21" i="16" s="1"/>
  <c r="E15" i="16"/>
  <c r="E21" i="16" s="1"/>
  <c r="F15" i="16"/>
  <c r="F16" i="16"/>
  <c r="F17" i="16"/>
  <c r="Q17" i="16"/>
  <c r="F18" i="16"/>
  <c r="S18" i="16"/>
  <c r="F19" i="16"/>
  <c r="F20" i="16"/>
  <c r="Q20" i="16" s="1"/>
  <c r="F24" i="16"/>
  <c r="J24" i="16"/>
  <c r="F25" i="16"/>
  <c r="J25" i="16"/>
  <c r="F26" i="16"/>
  <c r="J26" i="16"/>
  <c r="F27" i="16"/>
  <c r="J27" i="16"/>
  <c r="F28" i="16"/>
  <c r="J28" i="16"/>
  <c r="F30" i="16"/>
  <c r="I30" i="16"/>
  <c r="J30" i="16" s="1"/>
  <c r="F33" i="16"/>
  <c r="J33" i="16"/>
  <c r="M8" i="2"/>
  <c r="L8" i="2"/>
  <c r="N6" i="11"/>
  <c r="N8" i="2" s="1"/>
  <c r="M6" i="11"/>
  <c r="N9" i="11"/>
  <c r="M9" i="11"/>
  <c r="L9" i="11"/>
  <c r="F27" i="11"/>
  <c r="E27" i="11"/>
  <c r="D27" i="11"/>
  <c r="F31" i="11"/>
  <c r="E31" i="11"/>
  <c r="D31" i="11"/>
  <c r="F30" i="11"/>
  <c r="E30" i="11"/>
  <c r="D30" i="11"/>
  <c r="C31" i="11"/>
  <c r="C30" i="11"/>
  <c r="M14" i="2"/>
  <c r="N14" i="2" s="1"/>
  <c r="L14" i="2"/>
  <c r="N12" i="2"/>
  <c r="M12" i="2"/>
  <c r="L12" i="2"/>
  <c r="N10" i="2"/>
  <c r="M10" i="2"/>
  <c r="L10" i="2"/>
  <c r="K10" i="15"/>
  <c r="J10" i="15"/>
  <c r="I10" i="15"/>
  <c r="H10" i="15"/>
  <c r="G10" i="15"/>
  <c r="F10" i="15"/>
  <c r="E10" i="15"/>
  <c r="D10" i="15"/>
  <c r="C10" i="15"/>
  <c r="K7" i="15"/>
  <c r="K6" i="15" s="1"/>
  <c r="J7" i="15"/>
  <c r="J6" i="15" s="1"/>
  <c r="I7" i="15"/>
  <c r="I6" i="15" s="1"/>
  <c r="H7" i="15"/>
  <c r="H6" i="15" s="1"/>
  <c r="G7" i="15"/>
  <c r="G6" i="15" s="1"/>
  <c r="F7" i="15"/>
  <c r="F6" i="15" s="1"/>
  <c r="E7" i="15"/>
  <c r="E6" i="15" s="1"/>
  <c r="D7" i="15"/>
  <c r="C7" i="15"/>
  <c r="D6" i="15"/>
  <c r="C6" i="15"/>
  <c r="K17" i="14"/>
  <c r="G17" i="14"/>
  <c r="G16" i="14" s="1"/>
  <c r="C17" i="14"/>
  <c r="C16" i="14" s="1"/>
  <c r="K16" i="14"/>
  <c r="K14" i="14"/>
  <c r="G14" i="14"/>
  <c r="G13" i="14" s="1"/>
  <c r="C14" i="14"/>
  <c r="C13" i="14" s="1"/>
  <c r="K13" i="14"/>
  <c r="K11" i="14"/>
  <c r="K10" i="14" s="1"/>
  <c r="K6" i="14" s="1"/>
  <c r="K19" i="14" s="1"/>
  <c r="G11" i="14"/>
  <c r="G10" i="14" s="1"/>
  <c r="C11" i="14"/>
  <c r="C10" i="14" s="1"/>
  <c r="H8" i="14"/>
  <c r="C8" i="14"/>
  <c r="C7" i="14" s="1"/>
  <c r="K7" i="14"/>
  <c r="G7" i="14"/>
  <c r="G6" i="14" s="1"/>
  <c r="G19" i="14" s="1"/>
  <c r="N6" i="14"/>
  <c r="M6" i="14"/>
  <c r="L6" i="14"/>
  <c r="F52" i="20" l="1"/>
  <c r="L6" i="20" s="1"/>
  <c r="L9" i="20" s="1"/>
  <c r="K52" i="20"/>
  <c r="Q12" i="16"/>
  <c r="Q18" i="16"/>
  <c r="R17" i="16"/>
  <c r="L17" i="16" s="1"/>
  <c r="L28" i="16"/>
  <c r="Q16" i="16"/>
  <c r="Q13" i="16"/>
  <c r="L25" i="16"/>
  <c r="M25" i="16" s="1"/>
  <c r="N25" i="16" s="1"/>
  <c r="L24" i="16"/>
  <c r="Q19" i="16"/>
  <c r="L27" i="16"/>
  <c r="R19" i="16"/>
  <c r="R15" i="16"/>
  <c r="L26" i="16"/>
  <c r="I22" i="16"/>
  <c r="I29" i="16" s="1"/>
  <c r="I32" i="16" s="1"/>
  <c r="I34" i="16" s="1"/>
  <c r="I38" i="16" s="1"/>
  <c r="I10" i="16"/>
  <c r="K9" i="16"/>
  <c r="K22" i="16" s="1"/>
  <c r="K29" i="16" s="1"/>
  <c r="I8" i="16"/>
  <c r="D8" i="16"/>
  <c r="F8" i="16"/>
  <c r="F21" i="16"/>
  <c r="Q21" i="16" s="1"/>
  <c r="M19" i="16"/>
  <c r="R12" i="16"/>
  <c r="L14" i="16" a="1"/>
  <c r="L14" i="16" s="1"/>
  <c r="R20" i="16"/>
  <c r="L20" i="16" s="1"/>
  <c r="R18" i="16"/>
  <c r="R16" i="16"/>
  <c r="E9" i="16"/>
  <c r="E22" i="16" s="1"/>
  <c r="E23" i="16" s="1"/>
  <c r="M17" i="16"/>
  <c r="N17" i="16"/>
  <c r="R14" i="16"/>
  <c r="M12" i="16"/>
  <c r="M13" i="16" s="1"/>
  <c r="D23" i="16"/>
  <c r="D29" i="16"/>
  <c r="D31" i="16" s="1"/>
  <c r="C22" i="16"/>
  <c r="C10" i="16"/>
  <c r="H10" i="16"/>
  <c r="H22" i="16"/>
  <c r="C8" i="16"/>
  <c r="H8" i="16"/>
  <c r="Q15" i="16"/>
  <c r="D10" i="16"/>
  <c r="G8" i="16"/>
  <c r="G9" i="16"/>
  <c r="C6" i="14"/>
  <c r="C19" i="14" s="1"/>
  <c r="D8" i="14"/>
  <c r="D7" i="14" s="1"/>
  <c r="D6" i="14" s="1"/>
  <c r="D19" i="14" s="1"/>
  <c r="D11" i="14"/>
  <c r="D10" i="14" s="1"/>
  <c r="F11" i="14"/>
  <c r="F10" i="14" s="1"/>
  <c r="E14" i="14"/>
  <c r="E13" i="14" s="1"/>
  <c r="H11" i="14"/>
  <c r="H10" i="14" s="1"/>
  <c r="I11" i="14"/>
  <c r="I10" i="14" s="1"/>
  <c r="E17" i="14"/>
  <c r="E16" i="14" s="1"/>
  <c r="J11" i="14"/>
  <c r="J10" i="14" s="1"/>
  <c r="J14" i="14"/>
  <c r="J13" i="14" s="1"/>
  <c r="H17" i="14"/>
  <c r="H16" i="14" s="1"/>
  <c r="I17" i="14"/>
  <c r="I16" i="14" s="1"/>
  <c r="J17" i="14"/>
  <c r="J16" i="14" s="1"/>
  <c r="H7" i="14"/>
  <c r="H6" i="14" s="1"/>
  <c r="H19" i="14" s="1"/>
  <c r="E11" i="14"/>
  <c r="E10" i="14" s="1"/>
  <c r="D14" i="14"/>
  <c r="D13" i="14" s="1"/>
  <c r="I8" i="14"/>
  <c r="I7" i="14" s="1"/>
  <c r="D17" i="14"/>
  <c r="D16" i="14" s="1"/>
  <c r="H14" i="14"/>
  <c r="H13" i="14" s="1"/>
  <c r="I14" i="14"/>
  <c r="I13" i="14" s="1"/>
  <c r="L5" i="20" l="1"/>
  <c r="L51" i="20"/>
  <c r="I23" i="16"/>
  <c r="S17" i="16"/>
  <c r="N19" i="16"/>
  <c r="M15" i="16"/>
  <c r="N15" i="16"/>
  <c r="L15" i="16"/>
  <c r="M24" i="16"/>
  <c r="N24" i="16"/>
  <c r="L19" i="16"/>
  <c r="I31" i="16"/>
  <c r="R21" i="16"/>
  <c r="I36" i="16"/>
  <c r="K10" i="16"/>
  <c r="K23" i="16"/>
  <c r="L21" i="16"/>
  <c r="M21" i="16" s="1"/>
  <c r="M26" i="16"/>
  <c r="N26" i="16"/>
  <c r="N27" i="16"/>
  <c r="M27" i="16"/>
  <c r="N28" i="16"/>
  <c r="M28" i="16"/>
  <c r="E29" i="16"/>
  <c r="E31" i="16" s="1"/>
  <c r="F9" i="16"/>
  <c r="F10" i="16" s="1"/>
  <c r="E10" i="16"/>
  <c r="N20" i="16"/>
  <c r="S16" i="16"/>
  <c r="K32" i="16"/>
  <c r="K34" i="16" s="1"/>
  <c r="K38" i="16" s="1"/>
  <c r="K31" i="16"/>
  <c r="M20" i="16"/>
  <c r="S20" i="16" s="1"/>
  <c r="M14" i="16" a="1"/>
  <c r="M14" i="16" s="1"/>
  <c r="N12" i="16"/>
  <c r="N13" i="16" s="1"/>
  <c r="J9" i="16"/>
  <c r="J8" i="16"/>
  <c r="H23" i="16"/>
  <c r="H29" i="16"/>
  <c r="H31" i="16" s="1"/>
  <c r="G22" i="16"/>
  <c r="G10" i="16"/>
  <c r="D32" i="16"/>
  <c r="D34" i="16" s="1"/>
  <c r="C29" i="16"/>
  <c r="C31" i="16" s="1"/>
  <c r="C23" i="16"/>
  <c r="F17" i="14"/>
  <c r="F16" i="14" s="1"/>
  <c r="E8" i="14"/>
  <c r="E7" i="14" s="1"/>
  <c r="E6" i="14" s="1"/>
  <c r="E19" i="14" s="1"/>
  <c r="I6" i="14"/>
  <c r="I19" i="14" s="1"/>
  <c r="F14" i="14"/>
  <c r="F13" i="14" s="1"/>
  <c r="F8" i="14"/>
  <c r="F7" i="14" s="1"/>
  <c r="J8" i="14"/>
  <c r="J7" i="14" s="1"/>
  <c r="J6" i="14" s="1"/>
  <c r="J19" i="14" s="1"/>
  <c r="L50" i="20" l="1"/>
  <c r="L14" i="20"/>
  <c r="L11" i="16"/>
  <c r="E32" i="16"/>
  <c r="E34" i="16" s="1"/>
  <c r="F22" i="16"/>
  <c r="F23" i="16" s="1"/>
  <c r="L8" i="16"/>
  <c r="L9" i="16"/>
  <c r="L10" i="16" s="1"/>
  <c r="N21" i="16"/>
  <c r="S19" i="16"/>
  <c r="M11" i="16"/>
  <c r="K36" i="16"/>
  <c r="E36" i="16"/>
  <c r="E38" i="16"/>
  <c r="N14" i="16" a="1"/>
  <c r="N14" i="16" s="1"/>
  <c r="S14" i="16" s="1"/>
  <c r="S12" i="16"/>
  <c r="D36" i="16"/>
  <c r="D38" i="16"/>
  <c r="J22" i="16"/>
  <c r="J10" i="16"/>
  <c r="C32" i="16"/>
  <c r="C34" i="16" s="1"/>
  <c r="H32" i="16"/>
  <c r="H34" i="16" s="1"/>
  <c r="F29" i="16"/>
  <c r="F31" i="16" s="1"/>
  <c r="G23" i="16"/>
  <c r="G29" i="16"/>
  <c r="G31" i="16" s="1"/>
  <c r="F6" i="14"/>
  <c r="F19" i="14" s="1"/>
  <c r="L46" i="20" l="1"/>
  <c r="L52" i="20"/>
  <c r="M8" i="16"/>
  <c r="M9" i="16"/>
  <c r="M10" i="16" s="1"/>
  <c r="N11" i="16"/>
  <c r="N8" i="16"/>
  <c r="N9" i="16"/>
  <c r="N10" i="16" s="1"/>
  <c r="L22" i="16"/>
  <c r="L23" i="16" s="1"/>
  <c r="L29" i="16" s="1"/>
  <c r="J23" i="16"/>
  <c r="J29" i="16"/>
  <c r="H36" i="16"/>
  <c r="H38" i="16"/>
  <c r="S13" i="16"/>
  <c r="C38" i="16"/>
  <c r="C36" i="16"/>
  <c r="F32" i="16"/>
  <c r="F34" i="16" s="1"/>
  <c r="G32" i="16"/>
  <c r="G34" i="16" s="1"/>
  <c r="N24" i="11"/>
  <c r="M24" i="11"/>
  <c r="L24" i="11"/>
  <c r="H22" i="11"/>
  <c r="I22" i="11" s="1"/>
  <c r="D22" i="11"/>
  <c r="D23" i="11" s="1"/>
  <c r="G23" i="11"/>
  <c r="C23" i="11"/>
  <c r="K23" i="11"/>
  <c r="J15" i="11"/>
  <c r="I15" i="11"/>
  <c r="H15" i="11"/>
  <c r="L15" i="11" s="1"/>
  <c r="G15" i="11"/>
  <c r="K15" i="11" s="1"/>
  <c r="F15" i="11"/>
  <c r="E15" i="11"/>
  <c r="D15" i="11"/>
  <c r="C15" i="11"/>
  <c r="J8" i="11"/>
  <c r="I8" i="11"/>
  <c r="H8" i="11"/>
  <c r="G8" i="11"/>
  <c r="F8" i="11"/>
  <c r="E8" i="11"/>
  <c r="D8" i="11"/>
  <c r="C8" i="11"/>
  <c r="K10" i="11"/>
  <c r="J10" i="11"/>
  <c r="I10" i="11"/>
  <c r="H10" i="11"/>
  <c r="G10" i="11"/>
  <c r="F10" i="11"/>
  <c r="E10" i="11"/>
  <c r="D10" i="11"/>
  <c r="C10" i="11"/>
  <c r="K8" i="11"/>
  <c r="C6" i="2"/>
  <c r="C13" i="2" s="1"/>
  <c r="D6" i="2"/>
  <c r="D9" i="2" s="1"/>
  <c r="E6" i="2"/>
  <c r="E13" i="2" s="1"/>
  <c r="F6" i="2"/>
  <c r="F11" i="2" s="1"/>
  <c r="G6" i="2"/>
  <c r="G9" i="2" s="1"/>
  <c r="H6" i="2"/>
  <c r="I6" i="2"/>
  <c r="I13" i="2" s="1"/>
  <c r="J6" i="2"/>
  <c r="J13" i="2" s="1"/>
  <c r="K6" i="2"/>
  <c r="K13" i="2" s="1"/>
  <c r="L6" i="2"/>
  <c r="L11" i="2" s="1"/>
  <c r="M6" i="2"/>
  <c r="M9" i="2" s="1"/>
  <c r="N7" i="2"/>
  <c r="Q6" i="2"/>
  <c r="O8" i="2"/>
  <c r="P8" i="2"/>
  <c r="O10" i="2"/>
  <c r="P10" i="2"/>
  <c r="O12" i="2"/>
  <c r="P12" i="2"/>
  <c r="O14" i="2"/>
  <c r="P14" i="2"/>
  <c r="J31" i="16" l="1"/>
  <c r="J32" i="16"/>
  <c r="J34" i="16" s="1"/>
  <c r="F38" i="16"/>
  <c r="F36" i="16"/>
  <c r="G36" i="16"/>
  <c r="G38" i="16"/>
  <c r="H23" i="11"/>
  <c r="J22" i="11"/>
  <c r="J23" i="11" s="1"/>
  <c r="I23" i="11"/>
  <c r="N15" i="11"/>
  <c r="M15" i="11"/>
  <c r="M7" i="2"/>
  <c r="L14" i="11"/>
  <c r="E22" i="11"/>
  <c r="E23" i="11" s="1"/>
  <c r="K15" i="2"/>
  <c r="J11" i="2"/>
  <c r="I11" i="2"/>
  <c r="K9" i="2"/>
  <c r="C9" i="2"/>
  <c r="K11" i="2"/>
  <c r="E11" i="2"/>
  <c r="E9" i="2"/>
  <c r="F9" i="2"/>
  <c r="D11" i="2"/>
  <c r="C11" i="2"/>
  <c r="L9" i="2"/>
  <c r="G7" i="2"/>
  <c r="J9" i="2"/>
  <c r="I9" i="2"/>
  <c r="O6" i="2"/>
  <c r="H7" i="2"/>
  <c r="D13" i="2"/>
  <c r="P6" i="2"/>
  <c r="Q13" i="2"/>
  <c r="Q11" i="2"/>
  <c r="Q9" i="2"/>
  <c r="N13" i="2"/>
  <c r="M13" i="2"/>
  <c r="N11" i="2"/>
  <c r="L13" i="2"/>
  <c r="M11" i="2"/>
  <c r="N9" i="2"/>
  <c r="L7" i="2"/>
  <c r="H13" i="2"/>
  <c r="K7" i="2"/>
  <c r="G13" i="2"/>
  <c r="H11" i="2"/>
  <c r="J7" i="2"/>
  <c r="F13" i="2"/>
  <c r="G11" i="2"/>
  <c r="H9" i="2"/>
  <c r="I7" i="2"/>
  <c r="C15" i="2"/>
  <c r="Q15" i="2"/>
  <c r="N15" i="2"/>
  <c r="M15" i="2"/>
  <c r="L15" i="2"/>
  <c r="G15" i="2"/>
  <c r="M31" i="16" l="1"/>
  <c r="L32" i="16"/>
  <c r="L34" i="16" s="1"/>
  <c r="J36" i="16"/>
  <c r="L36" i="16" s="1"/>
  <c r="J38" i="16"/>
  <c r="L23" i="11"/>
  <c r="L22" i="11" s="1"/>
  <c r="M23" i="11"/>
  <c r="M22" i="11" s="1"/>
  <c r="L7" i="11"/>
  <c r="M14" i="11"/>
  <c r="F22" i="11"/>
  <c r="F23" i="11" s="1"/>
  <c r="O11" i="2"/>
  <c r="O9" i="2"/>
  <c r="O13" i="2"/>
  <c r="P9" i="2"/>
  <c r="P13" i="2"/>
  <c r="P11" i="2"/>
  <c r="D15" i="2"/>
  <c r="N36" i="16" l="1"/>
  <c r="M36" i="16"/>
  <c r="L37" i="16"/>
  <c r="L35" i="16"/>
  <c r="N23" i="11"/>
  <c r="N22" i="11" s="1"/>
  <c r="M7" i="11"/>
  <c r="N14" i="11"/>
  <c r="N7" i="11" s="1"/>
  <c r="E15" i="2"/>
  <c r="P15" i="2"/>
  <c r="H15" i="2"/>
  <c r="F15" i="2"/>
  <c r="I15" i="2"/>
  <c r="O15" i="2" l="1"/>
  <c r="J15" i="2"/>
  <c r="N22" i="16" l="1"/>
  <c r="S15" i="16"/>
  <c r="M22" i="16"/>
  <c r="M23" i="16" s="1"/>
  <c r="N23" i="16" l="1"/>
  <c r="N29" i="16" s="1"/>
  <c r="M29" i="16"/>
  <c r="N31" i="16" l="1"/>
  <c r="N32" i="16"/>
  <c r="N34" i="16" s="1"/>
  <c r="M32" i="16"/>
  <c r="M34" i="16" s="1"/>
  <c r="N37" i="16" l="1"/>
  <c r="N35" i="16"/>
  <c r="M35" i="16"/>
  <c r="M37" i="16"/>
  <c r="S2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Microsoft Office User</author>
  </authors>
  <commentList>
    <comment ref="K9" authorId="0" shapeId="0" xr:uid="{24E3440B-3ED7-497C-A922-9C4F79553674}">
      <text>
        <r>
          <rPr>
            <b/>
            <sz val="9"/>
            <color rgb="FF000000"/>
            <rFont val="돋움"/>
            <family val="2"/>
            <charset val="129"/>
          </rPr>
          <t>대차</t>
        </r>
        <r>
          <rPr>
            <b/>
            <sz val="9"/>
            <color rgb="FF000000"/>
            <rFont val="Tahoma"/>
            <family val="2"/>
          </rPr>
          <t xml:space="preserve"> </t>
        </r>
        <r>
          <rPr>
            <b/>
            <sz val="9"/>
            <color rgb="FF000000"/>
            <rFont val="돋움"/>
            <family val="2"/>
            <charset val="129"/>
          </rPr>
          <t>맞추려고</t>
        </r>
        <r>
          <rPr>
            <b/>
            <sz val="9"/>
            <color rgb="FF000000"/>
            <rFont val="Tahoma"/>
            <family val="2"/>
          </rPr>
          <t xml:space="preserve"> </t>
        </r>
        <r>
          <rPr>
            <b/>
            <sz val="9"/>
            <color rgb="FF000000"/>
            <rFont val="돋움"/>
            <family val="2"/>
            <charset val="129"/>
          </rPr>
          <t>기타</t>
        </r>
        <r>
          <rPr>
            <b/>
            <sz val="9"/>
            <color rgb="FF000000"/>
            <rFont val="Tahoma"/>
            <family val="2"/>
          </rPr>
          <t xml:space="preserve"> </t>
        </r>
        <r>
          <rPr>
            <b/>
            <sz val="9"/>
            <color rgb="FF000000"/>
            <rFont val="돋움"/>
            <family val="2"/>
            <charset val="129"/>
          </rPr>
          <t>유동자산에</t>
        </r>
        <r>
          <rPr>
            <b/>
            <sz val="9"/>
            <color rgb="FF000000"/>
            <rFont val="Tahoma"/>
            <family val="2"/>
          </rPr>
          <t xml:space="preserve"> </t>
        </r>
        <r>
          <rPr>
            <b/>
            <sz val="9"/>
            <color rgb="FF000000"/>
            <rFont val="돋움"/>
            <family val="2"/>
            <charset val="129"/>
          </rPr>
          <t>털어넣음</t>
        </r>
        <r>
          <rPr>
            <b/>
            <sz val="9"/>
            <color rgb="FF000000"/>
            <rFont val="Tahoma"/>
            <family val="2"/>
          </rPr>
          <t xml:space="preserve">. </t>
        </r>
        <r>
          <rPr>
            <b/>
            <sz val="9"/>
            <color rgb="FF000000"/>
            <rFont val="돋움"/>
            <family val="2"/>
            <charset val="129"/>
          </rPr>
          <t>유동비율</t>
        </r>
        <r>
          <rPr>
            <b/>
            <sz val="9"/>
            <color rgb="FF000000"/>
            <rFont val="Tahoma"/>
            <family val="2"/>
          </rPr>
          <t xml:space="preserve"> </t>
        </r>
        <r>
          <rPr>
            <b/>
            <sz val="9"/>
            <color rgb="FF000000"/>
            <rFont val="돋움"/>
            <family val="2"/>
            <charset val="129"/>
          </rPr>
          <t>추이</t>
        </r>
        <r>
          <rPr>
            <b/>
            <sz val="9"/>
            <color rgb="FF000000"/>
            <rFont val="Tahoma"/>
            <family val="2"/>
          </rPr>
          <t xml:space="preserve"> </t>
        </r>
        <r>
          <rPr>
            <b/>
            <sz val="9"/>
            <color rgb="FF000000"/>
            <rFont val="돋움"/>
            <family val="2"/>
            <charset val="129"/>
          </rPr>
          <t>보면서</t>
        </r>
        <r>
          <rPr>
            <b/>
            <sz val="9"/>
            <color rgb="FF000000"/>
            <rFont val="Tahoma"/>
            <family val="2"/>
          </rPr>
          <t xml:space="preserve"> </t>
        </r>
        <r>
          <rPr>
            <b/>
            <sz val="9"/>
            <color rgb="FF000000"/>
            <rFont val="돋움"/>
            <family val="2"/>
            <charset val="129"/>
          </rPr>
          <t>추정</t>
        </r>
        <r>
          <rPr>
            <b/>
            <sz val="9"/>
            <color rgb="FF000000"/>
            <rFont val="Tahoma"/>
            <family val="2"/>
          </rPr>
          <t xml:space="preserve"> </t>
        </r>
        <r>
          <rPr>
            <b/>
            <sz val="9"/>
            <color rgb="FF000000"/>
            <rFont val="돋움"/>
            <family val="2"/>
            <charset val="129"/>
          </rPr>
          <t>진행할</t>
        </r>
        <r>
          <rPr>
            <b/>
            <sz val="9"/>
            <color rgb="FF000000"/>
            <rFont val="Tahoma"/>
            <family val="2"/>
          </rPr>
          <t xml:space="preserve"> </t>
        </r>
        <r>
          <rPr>
            <b/>
            <sz val="9"/>
            <color rgb="FF000000"/>
            <rFont val="돋움"/>
            <family val="2"/>
            <charset val="129"/>
          </rPr>
          <t>것</t>
        </r>
      </text>
    </comment>
    <comment ref="M19" authorId="0" shapeId="0" xr:uid="{2BA11FBD-CA33-4910-B5B1-DBC67FD15536}">
      <text>
        <r>
          <rPr>
            <b/>
            <sz val="9"/>
            <color rgb="FF000000"/>
            <rFont val="돋움"/>
            <family val="2"/>
            <charset val="129"/>
          </rPr>
          <t>입력하는</t>
        </r>
        <r>
          <rPr>
            <b/>
            <sz val="9"/>
            <color rgb="FF000000"/>
            <rFont val="Tahoma"/>
            <family val="2"/>
          </rPr>
          <t xml:space="preserve"> </t>
        </r>
        <r>
          <rPr>
            <b/>
            <sz val="9"/>
            <color rgb="FF000000"/>
            <rFont val="돋움"/>
            <family val="2"/>
            <charset val="129"/>
          </rPr>
          <t>값이랑</t>
        </r>
        <r>
          <rPr>
            <b/>
            <sz val="9"/>
            <color rgb="FF000000"/>
            <rFont val="돋움"/>
            <family val="2"/>
            <charset val="129"/>
          </rPr>
          <t xml:space="preserve">
</t>
        </r>
        <r>
          <rPr>
            <b/>
            <sz val="9"/>
            <color rgb="FF000000"/>
            <rFont val="Tahoma"/>
            <family val="2"/>
          </rPr>
          <t xml:space="preserve">EPS, DPS </t>
        </r>
        <r>
          <rPr>
            <b/>
            <sz val="9"/>
            <color rgb="FF000000"/>
            <rFont val="돋움"/>
            <family val="2"/>
            <charset val="129"/>
          </rPr>
          <t>보면서</t>
        </r>
        <r>
          <rPr>
            <b/>
            <sz val="9"/>
            <color rgb="FF000000"/>
            <rFont val="Tahoma"/>
            <family val="2"/>
          </rPr>
          <t xml:space="preserve"> </t>
        </r>
        <r>
          <rPr>
            <b/>
            <sz val="9"/>
            <color rgb="FF000000"/>
            <rFont val="돋움"/>
            <family val="2"/>
            <charset val="129"/>
          </rPr>
          <t>숫자</t>
        </r>
        <r>
          <rPr>
            <b/>
            <sz val="9"/>
            <color rgb="FF000000"/>
            <rFont val="Tahoma"/>
            <family val="2"/>
          </rPr>
          <t xml:space="preserve"> </t>
        </r>
        <r>
          <rPr>
            <b/>
            <sz val="9"/>
            <color rgb="FF000000"/>
            <rFont val="돋움"/>
            <family val="2"/>
            <charset val="129"/>
          </rPr>
          <t>조절할것</t>
        </r>
      </text>
    </comment>
    <comment ref="M20" authorId="0" shapeId="0" xr:uid="{2CC42BF4-7836-47AD-B75A-63FF8C3DC8A0}">
      <text>
        <r>
          <rPr>
            <b/>
            <sz val="9"/>
            <color rgb="FF000000"/>
            <rFont val="Tahoma"/>
            <family val="2"/>
          </rPr>
          <t xml:space="preserve">Enterprise Value(EV)
</t>
        </r>
        <r>
          <rPr>
            <b/>
            <sz val="9"/>
            <color rgb="FF000000"/>
            <rFont val="Tahoma"/>
            <family val="2"/>
          </rPr>
          <t>=</t>
        </r>
        <r>
          <rPr>
            <b/>
            <sz val="9"/>
            <color rgb="FF000000"/>
            <rFont val="돋움"/>
            <family val="2"/>
            <charset val="129"/>
          </rPr>
          <t>시가총액</t>
        </r>
        <r>
          <rPr>
            <b/>
            <sz val="9"/>
            <color rgb="FF000000"/>
            <rFont val="Tahoma"/>
            <family val="2"/>
          </rPr>
          <t>+(</t>
        </r>
        <r>
          <rPr>
            <b/>
            <sz val="9"/>
            <color rgb="FF000000"/>
            <rFont val="돋움"/>
            <family val="2"/>
            <charset val="129"/>
          </rPr>
          <t>총차입금</t>
        </r>
        <r>
          <rPr>
            <b/>
            <sz val="9"/>
            <color rgb="FF000000"/>
            <rFont val="Tahoma"/>
            <family val="2"/>
          </rPr>
          <t>-</t>
        </r>
        <r>
          <rPr>
            <b/>
            <sz val="9"/>
            <color rgb="FF000000"/>
            <rFont val="돋움"/>
            <family val="2"/>
            <charset val="129"/>
          </rPr>
          <t>현금성자산</t>
        </r>
        <r>
          <rPr>
            <b/>
            <sz val="9"/>
            <color rgb="FF000000"/>
            <rFont val="Tahoma"/>
            <family val="2"/>
          </rPr>
          <t xml:space="preserve">)
</t>
        </r>
        <r>
          <rPr>
            <b/>
            <sz val="9"/>
            <color rgb="FF000000"/>
            <rFont val="Tahoma"/>
            <family val="2"/>
          </rPr>
          <t xml:space="preserve">
</t>
        </r>
        <r>
          <rPr>
            <b/>
            <sz val="9"/>
            <color rgb="FF000000"/>
            <rFont val="Tahoma"/>
            <family val="2"/>
          </rPr>
          <t>*</t>
        </r>
        <r>
          <rPr>
            <b/>
            <sz val="9"/>
            <color rgb="FF000000"/>
            <rFont val="돋움"/>
            <family val="2"/>
            <charset val="129"/>
          </rPr>
          <t>여기서</t>
        </r>
        <r>
          <rPr>
            <b/>
            <sz val="9"/>
            <color rgb="FF000000"/>
            <rFont val="Tahoma"/>
            <family val="2"/>
          </rPr>
          <t xml:space="preserve"> </t>
        </r>
        <r>
          <rPr>
            <b/>
            <sz val="9"/>
            <color rgb="FF000000"/>
            <rFont val="돋움"/>
            <family val="2"/>
            <charset val="129"/>
          </rPr>
          <t>총차입금은</t>
        </r>
        <r>
          <rPr>
            <b/>
            <sz val="9"/>
            <color rgb="FF000000"/>
            <rFont val="Tahoma"/>
            <family val="2"/>
          </rPr>
          <t xml:space="preserve"> </t>
        </r>
        <r>
          <rPr>
            <b/>
            <sz val="9"/>
            <color rgb="FF000000"/>
            <rFont val="돋움"/>
            <family val="2"/>
            <charset val="129"/>
          </rPr>
          <t>이자발생부</t>
        </r>
        <r>
          <rPr>
            <b/>
            <sz val="9"/>
            <color rgb="FF000000"/>
            <rFont val="Tahoma"/>
            <family val="2"/>
          </rPr>
          <t xml:space="preserve"> </t>
        </r>
        <r>
          <rPr>
            <b/>
            <sz val="9"/>
            <color rgb="FF000000"/>
            <rFont val="돋움"/>
            <family val="2"/>
            <charset val="129"/>
          </rPr>
          <t>부채</t>
        </r>
      </text>
    </comment>
    <comment ref="T28" authorId="1" shapeId="0" xr:uid="{00000000-0006-0000-0B00-000001000000}">
      <text>
        <r>
          <rPr>
            <b/>
            <sz val="10"/>
            <color rgb="FF000000"/>
            <rFont val="Malgun Gothic"/>
            <family val="2"/>
            <charset val="129"/>
          </rPr>
          <t>비교적</t>
        </r>
        <r>
          <rPr>
            <b/>
            <sz val="10"/>
            <color rgb="FF000000"/>
            <rFont val="Malgun Gothic"/>
            <family val="2"/>
            <charset val="129"/>
          </rPr>
          <t xml:space="preserve"> </t>
        </r>
        <r>
          <rPr>
            <b/>
            <sz val="10"/>
            <color rgb="FF000000"/>
            <rFont val="Malgun Gothic"/>
            <family val="2"/>
            <charset val="129"/>
          </rPr>
          <t>안정되어</t>
        </r>
        <r>
          <rPr>
            <b/>
            <sz val="10"/>
            <color rgb="FF000000"/>
            <rFont val="Malgun Gothic"/>
            <family val="2"/>
            <charset val="129"/>
          </rPr>
          <t xml:space="preserve"> </t>
        </r>
        <r>
          <rPr>
            <b/>
            <sz val="10"/>
            <color rgb="FF000000"/>
            <rFont val="Malgun Gothic"/>
            <family val="2"/>
            <charset val="129"/>
          </rPr>
          <t>있으므로</t>
        </r>
        <r>
          <rPr>
            <b/>
            <sz val="10"/>
            <color rgb="FF000000"/>
            <rFont val="Malgun Gothic"/>
            <family val="2"/>
            <charset val="129"/>
          </rPr>
          <t xml:space="preserve"> 20-22 3</t>
        </r>
        <r>
          <rPr>
            <b/>
            <sz val="10"/>
            <color rgb="FF000000"/>
            <rFont val="Malgun Gothic"/>
            <family val="2"/>
            <charset val="129"/>
          </rPr>
          <t>개년</t>
        </r>
        <r>
          <rPr>
            <b/>
            <sz val="10"/>
            <color rgb="FF000000"/>
            <rFont val="Malgun Gothic"/>
            <family val="2"/>
            <charset val="129"/>
          </rPr>
          <t xml:space="preserve"> </t>
        </r>
        <r>
          <rPr>
            <b/>
            <sz val="10"/>
            <color rgb="FF000000"/>
            <rFont val="Malgun Gothic"/>
            <family val="2"/>
            <charset val="129"/>
          </rPr>
          <t>평균치</t>
        </r>
        <r>
          <rPr>
            <b/>
            <sz val="10"/>
            <color rgb="FF000000"/>
            <rFont val="Malgun Gothic"/>
            <family val="2"/>
            <charset val="129"/>
          </rPr>
          <t xml:space="preserve"> </t>
        </r>
        <r>
          <rPr>
            <b/>
            <sz val="10"/>
            <color rgb="FF000000"/>
            <rFont val="Malgun Gothic"/>
            <family val="2"/>
            <charset val="129"/>
          </rPr>
          <t>적용</t>
        </r>
      </text>
    </comment>
    <comment ref="T29" authorId="1" shapeId="0" xr:uid="{00000000-0006-0000-0B00-000002000000}">
      <text>
        <r>
          <rPr>
            <b/>
            <sz val="10"/>
            <color rgb="FF000000"/>
            <rFont val="Malgun Gothic"/>
            <family val="2"/>
            <charset val="129"/>
          </rPr>
          <t xml:space="preserve">20-22 </t>
        </r>
        <r>
          <rPr>
            <b/>
            <sz val="10"/>
            <color rgb="FF000000"/>
            <rFont val="Malgun Gothic"/>
            <family val="2"/>
            <charset val="129"/>
          </rPr>
          <t>증가</t>
        </r>
        <r>
          <rPr>
            <b/>
            <sz val="10"/>
            <color rgb="FF000000"/>
            <rFont val="Malgun Gothic"/>
            <family val="2"/>
            <charset val="129"/>
          </rPr>
          <t xml:space="preserve"> </t>
        </r>
        <r>
          <rPr>
            <b/>
            <sz val="10"/>
            <color rgb="FF000000"/>
            <rFont val="Malgun Gothic"/>
            <family val="2"/>
            <charset val="129"/>
          </rPr>
          <t>추세</t>
        </r>
        <r>
          <rPr>
            <b/>
            <sz val="10"/>
            <color rgb="FF000000"/>
            <rFont val="Malgun Gothic"/>
            <family val="2"/>
            <charset val="129"/>
          </rPr>
          <t xml:space="preserve"> </t>
        </r>
        <r>
          <rPr>
            <b/>
            <sz val="10"/>
            <color rgb="FF000000"/>
            <rFont val="Malgun Gothic"/>
            <family val="2"/>
            <charset val="129"/>
          </rPr>
          <t>반영하여</t>
        </r>
        <r>
          <rPr>
            <b/>
            <sz val="10"/>
            <color rgb="FF000000"/>
            <rFont val="Malgun Gothic"/>
            <family val="2"/>
            <charset val="129"/>
          </rPr>
          <t xml:space="preserve"> </t>
        </r>
        <r>
          <rPr>
            <b/>
            <sz val="10"/>
            <color rgb="FF000000"/>
            <rFont val="Malgun Gothic"/>
            <family val="2"/>
            <charset val="129"/>
          </rPr>
          <t>최소</t>
        </r>
        <r>
          <rPr>
            <b/>
            <sz val="10"/>
            <color rgb="FF000000"/>
            <rFont val="Malgun Gothic"/>
            <family val="2"/>
            <charset val="129"/>
          </rPr>
          <t xml:space="preserve"> </t>
        </r>
        <r>
          <rPr>
            <b/>
            <sz val="10"/>
            <color rgb="FF000000"/>
            <rFont val="Malgun Gothic"/>
            <family val="2"/>
            <charset val="129"/>
          </rPr>
          <t>회전일수</t>
        </r>
        <r>
          <rPr>
            <b/>
            <sz val="10"/>
            <color rgb="FF000000"/>
            <rFont val="Malgun Gothic"/>
            <family val="2"/>
            <charset val="129"/>
          </rPr>
          <t xml:space="preserve"> Flat</t>
        </r>
        <r>
          <rPr>
            <b/>
            <sz val="10"/>
            <color rgb="FF000000"/>
            <rFont val="Malgun Gothic"/>
            <family val="2"/>
            <charset val="129"/>
          </rPr>
          <t>할거라</t>
        </r>
        <r>
          <rPr>
            <b/>
            <sz val="10"/>
            <color rgb="FF000000"/>
            <rFont val="Malgun Gothic"/>
            <family val="2"/>
            <charset val="129"/>
          </rPr>
          <t xml:space="preserve"> </t>
        </r>
        <r>
          <rPr>
            <b/>
            <sz val="10"/>
            <color rgb="FF000000"/>
            <rFont val="Malgun Gothic"/>
            <family val="2"/>
            <charset val="129"/>
          </rPr>
          <t>가정</t>
        </r>
      </text>
    </comment>
    <comment ref="K31" authorId="0" shapeId="0" xr:uid="{5E2D224E-2B8C-485D-BE1D-107C18411661}">
      <text>
        <r>
          <rPr>
            <b/>
            <sz val="9"/>
            <color rgb="FF000000"/>
            <rFont val="돋움"/>
            <family val="2"/>
            <charset val="129"/>
          </rPr>
          <t>현재</t>
        </r>
        <r>
          <rPr>
            <b/>
            <sz val="9"/>
            <color rgb="FF000000"/>
            <rFont val="Tahoma"/>
            <family val="2"/>
          </rPr>
          <t xml:space="preserve"> </t>
        </r>
        <r>
          <rPr>
            <b/>
            <sz val="9"/>
            <color rgb="FF000000"/>
            <rFont val="돋움"/>
            <family val="2"/>
            <charset val="129"/>
          </rPr>
          <t>주가가</t>
        </r>
        <r>
          <rPr>
            <b/>
            <sz val="9"/>
            <color rgb="FF000000"/>
            <rFont val="Tahoma"/>
            <family val="2"/>
          </rPr>
          <t xml:space="preserve"> 24</t>
        </r>
        <r>
          <rPr>
            <b/>
            <sz val="9"/>
            <color rgb="FF000000"/>
            <rFont val="돋움"/>
            <family val="2"/>
            <charset val="129"/>
          </rPr>
          <t>년</t>
        </r>
        <r>
          <rPr>
            <b/>
            <sz val="9"/>
            <color rgb="FF000000"/>
            <rFont val="Tahoma"/>
            <family val="2"/>
          </rPr>
          <t xml:space="preserve"> EPS </t>
        </r>
        <r>
          <rPr>
            <b/>
            <sz val="9"/>
            <color rgb="FF000000"/>
            <rFont val="돋움"/>
            <family val="2"/>
            <charset val="129"/>
          </rPr>
          <t>기준으로</t>
        </r>
        <r>
          <rPr>
            <b/>
            <sz val="9"/>
            <color rgb="FF000000"/>
            <rFont val="Tahoma"/>
            <family val="2"/>
          </rPr>
          <t xml:space="preserve"> </t>
        </r>
        <r>
          <rPr>
            <b/>
            <sz val="9"/>
            <color rgb="FF000000"/>
            <rFont val="돋움"/>
            <family val="2"/>
            <charset val="129"/>
          </rPr>
          <t>멀티플</t>
        </r>
        <r>
          <rPr>
            <b/>
            <sz val="9"/>
            <color rgb="FF000000"/>
            <rFont val="Tahoma"/>
            <family val="2"/>
          </rPr>
          <t xml:space="preserve"> </t>
        </r>
        <r>
          <rPr>
            <b/>
            <sz val="9"/>
            <color rgb="FF000000"/>
            <rFont val="돋움"/>
            <family val="2"/>
            <charset val="129"/>
          </rPr>
          <t>몇</t>
        </r>
        <r>
          <rPr>
            <b/>
            <sz val="9"/>
            <color rgb="FF000000"/>
            <rFont val="Tahoma"/>
            <family val="2"/>
          </rPr>
          <t xml:space="preserve"> </t>
        </r>
        <r>
          <rPr>
            <b/>
            <sz val="9"/>
            <color rgb="FF000000"/>
            <rFont val="돋움"/>
            <family val="2"/>
            <charset val="129"/>
          </rPr>
          <t>배인지</t>
        </r>
      </text>
    </comment>
    <comment ref="Q34" authorId="1" shapeId="0" xr:uid="{00000000-0006-0000-0B00-000003000000}">
      <text>
        <r>
          <rPr>
            <b/>
            <sz val="10"/>
            <color rgb="FF000000"/>
            <rFont val="Malgun Gothic"/>
            <family val="2"/>
            <charset val="129"/>
          </rPr>
          <t>무형자산</t>
        </r>
        <r>
          <rPr>
            <b/>
            <sz val="10"/>
            <color rgb="FF000000"/>
            <rFont val="Malgun Gothic"/>
            <family val="2"/>
            <charset val="129"/>
          </rPr>
          <t xml:space="preserve"> </t>
        </r>
        <r>
          <rPr>
            <b/>
            <sz val="10"/>
            <color rgb="FF000000"/>
            <rFont val="Malgun Gothic"/>
            <family val="2"/>
            <charset val="129"/>
          </rPr>
          <t>비율이</t>
        </r>
        <r>
          <rPr>
            <b/>
            <sz val="10"/>
            <color rgb="FF000000"/>
            <rFont val="Malgun Gothic"/>
            <family val="2"/>
            <charset val="129"/>
          </rPr>
          <t xml:space="preserve"> </t>
        </r>
        <r>
          <rPr>
            <b/>
            <sz val="10"/>
            <color rgb="FF000000"/>
            <rFont val="Malgun Gothic"/>
            <family val="2"/>
            <charset val="129"/>
          </rPr>
          <t>미미하므로</t>
        </r>
        <r>
          <rPr>
            <b/>
            <sz val="10"/>
            <color rgb="FF000000"/>
            <rFont val="Malgun Gothic"/>
            <family val="2"/>
            <charset val="129"/>
          </rPr>
          <t xml:space="preserve"> </t>
        </r>
        <r>
          <rPr>
            <b/>
            <sz val="10"/>
            <color rgb="FF000000"/>
            <rFont val="Malgun Gothic"/>
            <family val="2"/>
            <charset val="129"/>
          </rPr>
          <t>유형자산만</t>
        </r>
        <r>
          <rPr>
            <b/>
            <sz val="10"/>
            <color rgb="FF000000"/>
            <rFont val="Malgun Gothic"/>
            <family val="2"/>
            <charset val="129"/>
          </rPr>
          <t xml:space="preserve"> </t>
        </r>
        <r>
          <rPr>
            <b/>
            <sz val="10"/>
            <color rgb="FF000000"/>
            <rFont val="Malgun Gothic"/>
            <family val="2"/>
            <charset val="129"/>
          </rPr>
          <t>있다고</t>
        </r>
        <r>
          <rPr>
            <b/>
            <sz val="10"/>
            <color rgb="FF000000"/>
            <rFont val="Malgun Gothic"/>
            <family val="2"/>
            <charset val="129"/>
          </rPr>
          <t xml:space="preserve"> </t>
        </r>
        <r>
          <rPr>
            <b/>
            <sz val="10"/>
            <color rgb="FF000000"/>
            <rFont val="Malgun Gothic"/>
            <family val="2"/>
            <charset val="129"/>
          </rPr>
          <t>가정</t>
        </r>
      </text>
    </comment>
    <comment ref="Q36" authorId="0" shapeId="0" xr:uid="{11F3D0DC-F5E7-4361-A847-55828545B0A4}">
      <text>
        <r>
          <rPr>
            <b/>
            <sz val="9"/>
            <color indexed="81"/>
            <rFont val="돋움"/>
            <family val="3"/>
            <charset val="129"/>
          </rPr>
          <t>매출액</t>
        </r>
        <r>
          <rPr>
            <b/>
            <sz val="9"/>
            <color indexed="81"/>
            <rFont val="Tahoma"/>
            <family val="2"/>
          </rPr>
          <t xml:space="preserve"> </t>
        </r>
        <r>
          <rPr>
            <b/>
            <sz val="9"/>
            <color indexed="81"/>
            <rFont val="돋움"/>
            <family val="3"/>
            <charset val="129"/>
          </rPr>
          <t>대비</t>
        </r>
        <r>
          <rPr>
            <b/>
            <sz val="9"/>
            <color indexed="81"/>
            <rFont val="Tahoma"/>
            <family val="2"/>
          </rPr>
          <t xml:space="preserve"> </t>
        </r>
        <r>
          <rPr>
            <b/>
            <sz val="9"/>
            <color indexed="81"/>
            <rFont val="돋움"/>
            <family val="3"/>
            <charset val="129"/>
          </rPr>
          <t>비율로</t>
        </r>
        <r>
          <rPr>
            <b/>
            <sz val="9"/>
            <color indexed="81"/>
            <rFont val="Tahoma"/>
            <family val="2"/>
          </rPr>
          <t xml:space="preserve"> </t>
        </r>
        <r>
          <rPr>
            <b/>
            <sz val="9"/>
            <color indexed="81"/>
            <rFont val="돋움"/>
            <family val="3"/>
            <charset val="129"/>
          </rPr>
          <t>추정해도</t>
        </r>
        <r>
          <rPr>
            <b/>
            <sz val="9"/>
            <color indexed="81"/>
            <rFont val="Tahoma"/>
            <family val="2"/>
          </rPr>
          <t xml:space="preserve"> </t>
        </r>
        <r>
          <rPr>
            <b/>
            <sz val="9"/>
            <color indexed="81"/>
            <rFont val="돋움"/>
            <family val="3"/>
            <charset val="129"/>
          </rPr>
          <t>되고</t>
        </r>
        <r>
          <rPr>
            <b/>
            <sz val="9"/>
            <color indexed="81"/>
            <rFont val="Tahoma"/>
            <family val="2"/>
          </rPr>
          <t xml:space="preserve">, </t>
        </r>
        <r>
          <rPr>
            <b/>
            <sz val="9"/>
            <color indexed="81"/>
            <rFont val="돋움"/>
            <family val="3"/>
            <charset val="129"/>
          </rPr>
          <t>비용추정</t>
        </r>
        <r>
          <rPr>
            <b/>
            <sz val="9"/>
            <color indexed="81"/>
            <rFont val="Tahoma"/>
            <family val="2"/>
          </rPr>
          <t xml:space="preserve"> </t>
        </r>
        <r>
          <rPr>
            <b/>
            <sz val="9"/>
            <color indexed="81"/>
            <rFont val="돋움"/>
            <family val="3"/>
            <charset val="129"/>
          </rPr>
          <t>시트에서</t>
        </r>
        <r>
          <rPr>
            <b/>
            <sz val="9"/>
            <color indexed="81"/>
            <rFont val="Tahoma"/>
            <family val="2"/>
          </rPr>
          <t xml:space="preserve"> </t>
        </r>
        <r>
          <rPr>
            <b/>
            <sz val="9"/>
            <color indexed="81"/>
            <rFont val="돋움"/>
            <family val="3"/>
            <charset val="129"/>
          </rPr>
          <t>값</t>
        </r>
        <r>
          <rPr>
            <b/>
            <sz val="9"/>
            <color indexed="81"/>
            <rFont val="Tahoma"/>
            <family val="2"/>
          </rPr>
          <t xml:space="preserve"> </t>
        </r>
        <r>
          <rPr>
            <b/>
            <sz val="9"/>
            <color indexed="81"/>
            <rFont val="돋움"/>
            <family val="3"/>
            <charset val="129"/>
          </rPr>
          <t>가져와도</t>
        </r>
        <r>
          <rPr>
            <b/>
            <sz val="9"/>
            <color indexed="81"/>
            <rFont val="Tahoma"/>
            <family val="2"/>
          </rPr>
          <t xml:space="preserve"> </t>
        </r>
        <r>
          <rPr>
            <b/>
            <sz val="9"/>
            <color indexed="81"/>
            <rFont val="돋움"/>
            <family val="3"/>
            <charset val="129"/>
          </rPr>
          <t>됨</t>
        </r>
        <r>
          <rPr>
            <b/>
            <sz val="9"/>
            <color indexed="81"/>
            <rFont val="Tahoma"/>
            <family val="2"/>
          </rPr>
          <t xml:space="preserve">. </t>
        </r>
        <r>
          <rPr>
            <b/>
            <sz val="9"/>
            <color indexed="81"/>
            <rFont val="돋움"/>
            <family val="3"/>
            <charset val="129"/>
          </rPr>
          <t>다만</t>
        </r>
        <r>
          <rPr>
            <b/>
            <sz val="9"/>
            <color indexed="81"/>
            <rFont val="Tahoma"/>
            <family val="2"/>
          </rPr>
          <t xml:space="preserve"> </t>
        </r>
        <r>
          <rPr>
            <b/>
            <sz val="9"/>
            <color indexed="81"/>
            <rFont val="돋움"/>
            <family val="3"/>
            <charset val="129"/>
          </rPr>
          <t>두</t>
        </r>
        <r>
          <rPr>
            <b/>
            <sz val="9"/>
            <color indexed="81"/>
            <rFont val="Tahoma"/>
            <family val="2"/>
          </rPr>
          <t xml:space="preserve"> </t>
        </r>
        <r>
          <rPr>
            <b/>
            <sz val="9"/>
            <color indexed="81"/>
            <rFont val="돋움"/>
            <family val="3"/>
            <charset val="129"/>
          </rPr>
          <t>수치가</t>
        </r>
        <r>
          <rPr>
            <b/>
            <sz val="9"/>
            <color indexed="81"/>
            <rFont val="Tahoma"/>
            <family val="2"/>
          </rPr>
          <t xml:space="preserve"> </t>
        </r>
        <r>
          <rPr>
            <b/>
            <sz val="9"/>
            <color indexed="81"/>
            <rFont val="돋움"/>
            <family val="3"/>
            <charset val="129"/>
          </rPr>
          <t>동일해야</t>
        </r>
        <r>
          <rPr>
            <b/>
            <sz val="9"/>
            <color indexed="81"/>
            <rFont val="Tahoma"/>
            <family val="2"/>
          </rPr>
          <t xml:space="preserve"> </t>
        </r>
        <r>
          <rPr>
            <b/>
            <sz val="9"/>
            <color indexed="81"/>
            <rFont val="돋움"/>
            <family val="3"/>
            <charset val="129"/>
          </rPr>
          <t xml:space="preserve">함
</t>
        </r>
        <r>
          <rPr>
            <b/>
            <sz val="9"/>
            <color indexed="81"/>
            <rFont val="Tahoma"/>
            <family val="2"/>
          </rPr>
          <t xml:space="preserve">* </t>
        </r>
        <r>
          <rPr>
            <b/>
            <sz val="9"/>
            <color indexed="81"/>
            <rFont val="돋움"/>
            <family val="3"/>
            <charset val="129"/>
          </rPr>
          <t>판매비</t>
        </r>
        <r>
          <rPr>
            <b/>
            <sz val="9"/>
            <color indexed="81"/>
            <rFont val="Tahoma"/>
            <family val="2"/>
          </rPr>
          <t xml:space="preserve"> D&amp;A + </t>
        </r>
        <r>
          <rPr>
            <b/>
            <sz val="9"/>
            <color indexed="81"/>
            <rFont val="돋움"/>
            <family val="3"/>
            <charset val="129"/>
          </rPr>
          <t>매출원가</t>
        </r>
        <r>
          <rPr>
            <b/>
            <sz val="9"/>
            <color indexed="81"/>
            <rFont val="Tahoma"/>
            <family val="2"/>
          </rPr>
          <t xml:space="preserve"> D&amp;A </t>
        </r>
        <r>
          <rPr>
            <b/>
            <sz val="9"/>
            <color indexed="81"/>
            <rFont val="돋움"/>
            <family val="3"/>
            <charset val="129"/>
          </rPr>
          <t>기준</t>
        </r>
        <r>
          <rPr>
            <sz val="9"/>
            <color indexed="81"/>
            <rFont val="Tahoma"/>
            <family val="2"/>
          </rPr>
          <t xml:space="preserve">
</t>
        </r>
      </text>
    </comment>
    <comment ref="E41" authorId="0" shapeId="0" xr:uid="{04C5FACC-C4B8-4A19-BF2E-1E7F8153A9BF}">
      <text>
        <r>
          <rPr>
            <b/>
            <sz val="9"/>
            <color rgb="FF000000"/>
            <rFont val="돋움"/>
            <family val="2"/>
            <charset val="129"/>
          </rPr>
          <t>추정치</t>
        </r>
        <r>
          <rPr>
            <b/>
            <sz val="9"/>
            <color rgb="FF000000"/>
            <rFont val="Tahoma"/>
            <family val="2"/>
          </rPr>
          <t xml:space="preserve"> </t>
        </r>
        <r>
          <rPr>
            <b/>
            <sz val="9"/>
            <color rgb="FF000000"/>
            <rFont val="돋움"/>
            <family val="2"/>
            <charset val="129"/>
          </rPr>
          <t>논리</t>
        </r>
        <r>
          <rPr>
            <b/>
            <sz val="9"/>
            <color rgb="FF000000"/>
            <rFont val="Tahoma"/>
            <family val="2"/>
          </rPr>
          <t xml:space="preserve"> </t>
        </r>
        <r>
          <rPr>
            <b/>
            <sz val="9"/>
            <color rgb="FF000000"/>
            <rFont val="돋움"/>
            <family val="2"/>
            <charset val="129"/>
          </rPr>
          <t>세울</t>
        </r>
        <r>
          <rPr>
            <b/>
            <sz val="9"/>
            <color rgb="FF000000"/>
            <rFont val="Tahoma"/>
            <family val="2"/>
          </rPr>
          <t xml:space="preserve"> </t>
        </r>
        <r>
          <rPr>
            <b/>
            <sz val="9"/>
            <color rgb="FF000000"/>
            <rFont val="돋움"/>
            <family val="2"/>
            <charset val="129"/>
          </rPr>
          <t>때</t>
        </r>
        <r>
          <rPr>
            <b/>
            <sz val="9"/>
            <color rgb="FF000000"/>
            <rFont val="Tahoma"/>
            <family val="2"/>
          </rPr>
          <t xml:space="preserve"> CAPEX </t>
        </r>
        <r>
          <rPr>
            <b/>
            <sz val="9"/>
            <color rgb="FF000000"/>
            <rFont val="돋움"/>
            <family val="2"/>
            <charset val="129"/>
          </rPr>
          <t>추이</t>
        </r>
        <r>
          <rPr>
            <b/>
            <sz val="9"/>
            <color rgb="FF000000"/>
            <rFont val="Tahoma"/>
            <family val="2"/>
          </rPr>
          <t xml:space="preserve"> </t>
        </r>
        <r>
          <rPr>
            <b/>
            <sz val="9"/>
            <color rgb="FF000000"/>
            <rFont val="돋움"/>
            <family val="2"/>
            <charset val="129"/>
          </rPr>
          <t>참고하여</t>
        </r>
        <r>
          <rPr>
            <b/>
            <sz val="9"/>
            <color rgb="FF000000"/>
            <rFont val="Tahoma"/>
            <family val="2"/>
          </rPr>
          <t xml:space="preserve"> </t>
        </r>
        <r>
          <rPr>
            <b/>
            <sz val="9"/>
            <color rgb="FF000000"/>
            <rFont val="돋움"/>
            <family val="2"/>
            <charset val="129"/>
          </rPr>
          <t>세울</t>
        </r>
        <r>
          <rPr>
            <b/>
            <sz val="9"/>
            <color rgb="FF000000"/>
            <rFont val="Tahoma"/>
            <family val="2"/>
          </rPr>
          <t xml:space="preserve"> </t>
        </r>
        <r>
          <rPr>
            <b/>
            <sz val="9"/>
            <color rgb="FF000000"/>
            <rFont val="돋움"/>
            <family val="2"/>
            <charset val="129"/>
          </rPr>
          <t>것</t>
        </r>
      </text>
    </comment>
    <comment ref="T41" authorId="1" shapeId="0" xr:uid="{00000000-0006-0000-0B00-000004000000}">
      <text>
        <r>
          <rPr>
            <sz val="10"/>
            <color rgb="FF000000"/>
            <rFont val="Malgun Gothic"/>
            <family val="2"/>
            <charset val="129"/>
          </rPr>
          <t>22</t>
        </r>
        <r>
          <rPr>
            <sz val="10"/>
            <color rgb="FF000000"/>
            <rFont val="Malgun Gothic"/>
            <family val="2"/>
            <charset val="129"/>
          </rPr>
          <t>년</t>
        </r>
        <r>
          <rPr>
            <sz val="10"/>
            <color rgb="FF000000"/>
            <rFont val="Malgun Gothic"/>
            <family val="2"/>
            <charset val="129"/>
          </rPr>
          <t xml:space="preserve"> </t>
        </r>
        <r>
          <rPr>
            <sz val="10"/>
            <color rgb="FF000000"/>
            <rFont val="Malgun Gothic"/>
            <family val="2"/>
            <charset val="129"/>
          </rPr>
          <t>비율이</t>
        </r>
        <r>
          <rPr>
            <sz val="10"/>
            <color rgb="FF000000"/>
            <rFont val="Malgun Gothic"/>
            <family val="2"/>
            <charset val="129"/>
          </rPr>
          <t xml:space="preserve"> </t>
        </r>
        <r>
          <rPr>
            <sz val="10"/>
            <color rgb="FF000000"/>
            <rFont val="Malgun Gothic"/>
            <family val="2"/>
            <charset val="129"/>
          </rPr>
          <t>25</t>
        </r>
        <r>
          <rPr>
            <sz val="10"/>
            <color rgb="FF000000"/>
            <rFont val="Malgun Gothic"/>
            <family val="2"/>
            <charset val="129"/>
          </rPr>
          <t>년까지</t>
        </r>
        <r>
          <rPr>
            <sz val="10"/>
            <color rgb="FF000000"/>
            <rFont val="Malgun Gothic"/>
            <family val="2"/>
            <charset val="129"/>
          </rPr>
          <t xml:space="preserve"> </t>
        </r>
        <r>
          <rPr>
            <sz val="10"/>
            <color rgb="FF000000"/>
            <rFont val="Malgun Gothic"/>
            <family val="2"/>
            <charset val="129"/>
          </rPr>
          <t>지속된다</t>
        </r>
        <r>
          <rPr>
            <sz val="10"/>
            <color rgb="FF000000"/>
            <rFont val="Malgun Gothic"/>
            <family val="2"/>
            <charset val="129"/>
          </rPr>
          <t xml:space="preserve"> </t>
        </r>
        <r>
          <rPr>
            <sz val="10"/>
            <color rgb="FF000000"/>
            <rFont val="Malgun Gothic"/>
            <family val="2"/>
            <charset val="129"/>
          </rPr>
          <t>가정</t>
        </r>
        <r>
          <rPr>
            <sz val="10"/>
            <color rgb="FF000000"/>
            <rFont val="Malgun Gothic"/>
            <family val="2"/>
            <charset val="129"/>
          </rPr>
          <t xml:space="preserve">
</t>
        </r>
      </text>
    </comment>
    <comment ref="T42" authorId="1" shapeId="0" xr:uid="{00000000-0006-0000-0B00-000005000000}">
      <text>
        <r>
          <rPr>
            <b/>
            <sz val="10"/>
            <color rgb="FF000000"/>
            <rFont val="Malgun Gothic"/>
            <family val="2"/>
            <charset val="129"/>
          </rPr>
          <t>22</t>
        </r>
        <r>
          <rPr>
            <b/>
            <sz val="10"/>
            <color rgb="FF000000"/>
            <rFont val="Malgun Gothic"/>
            <family val="2"/>
            <charset val="129"/>
          </rPr>
          <t>년</t>
        </r>
        <r>
          <rPr>
            <b/>
            <sz val="10"/>
            <color rgb="FF000000"/>
            <rFont val="Malgun Gothic"/>
            <family val="2"/>
            <charset val="129"/>
          </rPr>
          <t xml:space="preserve"> </t>
        </r>
        <r>
          <rPr>
            <b/>
            <sz val="10"/>
            <color rgb="FF000000"/>
            <rFont val="Malgun Gothic"/>
            <family val="2"/>
            <charset val="129"/>
          </rPr>
          <t>비율이</t>
        </r>
        <r>
          <rPr>
            <b/>
            <sz val="10"/>
            <color rgb="FF000000"/>
            <rFont val="Malgun Gothic"/>
            <family val="2"/>
            <charset val="129"/>
          </rPr>
          <t xml:space="preserve"> </t>
        </r>
        <r>
          <rPr>
            <b/>
            <sz val="10"/>
            <color rgb="FF000000"/>
            <rFont val="Malgun Gothic"/>
            <family val="2"/>
            <charset val="129"/>
          </rPr>
          <t>25</t>
        </r>
        <r>
          <rPr>
            <b/>
            <sz val="10"/>
            <color rgb="FF000000"/>
            <rFont val="Malgun Gothic"/>
            <family val="2"/>
            <charset val="129"/>
          </rPr>
          <t>년까지</t>
        </r>
        <r>
          <rPr>
            <b/>
            <sz val="10"/>
            <color rgb="FF000000"/>
            <rFont val="Malgun Gothic"/>
            <family val="2"/>
            <charset val="129"/>
          </rPr>
          <t xml:space="preserve"> </t>
        </r>
        <r>
          <rPr>
            <b/>
            <sz val="10"/>
            <color rgb="FF000000"/>
            <rFont val="Malgun Gothic"/>
            <family val="2"/>
            <charset val="129"/>
          </rPr>
          <t>3</t>
        </r>
        <r>
          <rPr>
            <b/>
            <sz val="10"/>
            <color rgb="FF000000"/>
            <rFont val="Malgun Gothic"/>
            <family val="2"/>
            <charset val="129"/>
          </rPr>
          <t>년간</t>
        </r>
        <r>
          <rPr>
            <b/>
            <sz val="10"/>
            <color rgb="FF000000"/>
            <rFont val="Malgun Gothic"/>
            <family val="2"/>
            <charset val="129"/>
          </rPr>
          <t xml:space="preserve"> </t>
        </r>
        <r>
          <rPr>
            <b/>
            <sz val="10"/>
            <color rgb="FF000000"/>
            <rFont val="Malgun Gothic"/>
            <family val="2"/>
            <charset val="129"/>
          </rPr>
          <t>이어진다</t>
        </r>
        <r>
          <rPr>
            <b/>
            <sz val="10"/>
            <color rgb="FF000000"/>
            <rFont val="Malgun Gothic"/>
            <family val="2"/>
            <charset val="129"/>
          </rPr>
          <t xml:space="preserve"> </t>
        </r>
        <r>
          <rPr>
            <b/>
            <sz val="10"/>
            <color rgb="FF000000"/>
            <rFont val="Malgun Gothic"/>
            <family val="2"/>
            <charset val="129"/>
          </rPr>
          <t>가정</t>
        </r>
        <r>
          <rPr>
            <b/>
            <sz val="10"/>
            <color rgb="FF000000"/>
            <rFont val="Malgun Gothic"/>
            <family val="2"/>
            <charset val="129"/>
          </rPr>
          <t xml:space="preserve">
</t>
        </r>
        <r>
          <rPr>
            <sz val="10"/>
            <color rgb="FF000000"/>
            <rFont val="Malgun Gothic"/>
            <family val="2"/>
            <charset val="129"/>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황선우</author>
  </authors>
  <commentList>
    <comment ref="B4" authorId="0" shapeId="0" xr:uid="{C57EB145-4BD8-4AF3-8AB2-BA54ED6C13C2}">
      <text>
        <r>
          <rPr>
            <sz val="8"/>
            <color indexed="54"/>
            <rFont val="Tahoma"/>
            <family val="2"/>
          </rPr>
          <t>별도
연결</t>
        </r>
      </text>
    </comment>
    <comment ref="B5" authorId="0" shapeId="0" xr:uid="{DE6651CF-2B34-46E6-8C87-987AAF52B83C}">
      <text>
        <r>
          <rPr>
            <sz val="8"/>
            <color indexed="54"/>
            <rFont val="Tahoma"/>
            <family val="2"/>
          </rPr>
          <t>전체
재무상태표
손익계산서
현금흐름표
자본금변동표</t>
        </r>
      </text>
    </comment>
    <comment ref="B6" authorId="0" shapeId="0" xr:uid="{2DC50BF1-C8E1-4315-A2EC-0DB2D167A840}">
      <text>
        <r>
          <rPr>
            <sz val="8"/>
            <color indexed="54"/>
            <rFont val="Tahoma"/>
            <family val="2"/>
          </rPr>
          <t>상세(총액)
상세(순액)
요약
약식</t>
        </r>
      </text>
    </comment>
    <comment ref="B7" authorId="0" shapeId="0" xr:uid="{96BFB6EA-1A6C-4C05-832A-A701F3F23933}">
      <text>
        <r>
          <rPr>
            <sz val="8"/>
            <color indexed="54"/>
            <rFont val="Tahoma"/>
            <family val="2"/>
          </rPr>
          <t>결산
누적분기
당분기</t>
        </r>
      </text>
    </comment>
    <comment ref="C7" authorId="0" shapeId="0" xr:uid="{369BCBD7-A612-487A-9D81-4ACCF152D812}">
      <text>
        <r>
          <rPr>
            <sz val="8"/>
            <color indexed="54"/>
            <rFont val="Tahoma"/>
            <family val="2"/>
          </rPr>
          <t>천원
백만원
억원
십억원</t>
        </r>
      </text>
    </comment>
    <comment ref="B8" authorId="0" shapeId="0" xr:uid="{0EAF27EF-ABAE-4687-88B3-A86F237CE9F4}">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2D10A76D-68EA-491D-837A-DFA9D5B80E1A}">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황선우</author>
  </authors>
  <commentList>
    <comment ref="B4" authorId="0" shapeId="0" xr:uid="{E31B6ADF-E6BF-4002-8B48-B539A7B30988}">
      <text>
        <r>
          <rPr>
            <sz val="8"/>
            <color indexed="54"/>
            <rFont val="Tahoma"/>
            <family val="2"/>
          </rPr>
          <t>별도
연결</t>
        </r>
      </text>
    </comment>
    <comment ref="B5" authorId="0" shapeId="0" xr:uid="{AAA2ED42-0387-4A33-AF41-55E972C8B3AA}">
      <text>
        <r>
          <rPr>
            <sz val="8"/>
            <color indexed="54"/>
            <rFont val="Tahoma"/>
            <family val="2"/>
          </rPr>
          <t>전체
재무상태표
손익계산서
현금흐름표
자본금변동표</t>
        </r>
      </text>
    </comment>
    <comment ref="B6" authorId="0" shapeId="0" xr:uid="{18D1522F-A4C4-4115-AE81-C25DD1C5C7B0}">
      <text>
        <r>
          <rPr>
            <sz val="8"/>
            <color indexed="54"/>
            <rFont val="Tahoma"/>
            <family val="2"/>
          </rPr>
          <t>상세(총액)
상세(순액)
요약
약식</t>
        </r>
      </text>
    </comment>
    <comment ref="B7" authorId="0" shapeId="0" xr:uid="{428301DD-44A2-4EAA-8B55-F77311FA5D3F}">
      <text>
        <r>
          <rPr>
            <sz val="8"/>
            <color indexed="54"/>
            <rFont val="Tahoma"/>
            <family val="2"/>
          </rPr>
          <t>결산
누적분기
당분기</t>
        </r>
      </text>
    </comment>
    <comment ref="C7" authorId="0" shapeId="0" xr:uid="{B44A2540-F1BD-45CB-AFF8-E685EA1EDCD3}">
      <text>
        <r>
          <rPr>
            <sz val="8"/>
            <color indexed="54"/>
            <rFont val="Tahoma"/>
            <family val="2"/>
          </rPr>
          <t>천원
백만원
억원
십억원</t>
        </r>
      </text>
    </comment>
    <comment ref="B8" authorId="0" shapeId="0" xr:uid="{EEE5F531-4AC7-48E4-BBE5-4B8A34A91144}">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00F66BB5-A7FD-4BFF-848E-64E65DBED97F}">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황선우</author>
  </authors>
  <commentList>
    <comment ref="B4" authorId="0" shapeId="0" xr:uid="{3375A9B6-B285-4A5E-9977-A160F3B29B0C}">
      <text>
        <r>
          <rPr>
            <sz val="8"/>
            <color indexed="54"/>
            <rFont val="Tahoma"/>
            <family val="2"/>
          </rPr>
          <t>별도
연결</t>
        </r>
      </text>
    </comment>
    <comment ref="B5" authorId="0" shapeId="0" xr:uid="{41F7FD4C-AA60-4184-90EE-2B7C6E593BFA}">
      <text>
        <r>
          <rPr>
            <sz val="8"/>
            <color indexed="54"/>
            <rFont val="Tahoma"/>
            <family val="2"/>
          </rPr>
          <t>전체
재무상태표
손익계산서
현금흐름표
자본금변동표</t>
        </r>
      </text>
    </comment>
    <comment ref="B6" authorId="0" shapeId="0" xr:uid="{B306A31C-269E-4D68-A833-8ED2214428B4}">
      <text>
        <r>
          <rPr>
            <sz val="8"/>
            <color indexed="54"/>
            <rFont val="Tahoma"/>
            <family val="2"/>
          </rPr>
          <t>상세(총액)
상세(순액)
요약
약식</t>
        </r>
      </text>
    </comment>
    <comment ref="B7" authorId="0" shapeId="0" xr:uid="{566F59D9-7D97-4ACF-9DE9-9451E21E83B9}">
      <text>
        <r>
          <rPr>
            <sz val="8"/>
            <color indexed="54"/>
            <rFont val="Tahoma"/>
            <family val="2"/>
          </rPr>
          <t>결산
누적분기
당분기</t>
        </r>
      </text>
    </comment>
    <comment ref="C7" authorId="0" shapeId="0" xr:uid="{80A1080F-64D0-48E9-AE86-4BF153740FFE}">
      <text>
        <r>
          <rPr>
            <sz val="8"/>
            <color indexed="54"/>
            <rFont val="Tahoma"/>
            <family val="2"/>
          </rPr>
          <t>천원
백만원
억원
십억원</t>
        </r>
      </text>
    </comment>
    <comment ref="B8" authorId="0" shapeId="0" xr:uid="{BE04ED2E-FD33-44A1-9263-D9A423DB2E64}">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39006561-1E82-4462-A821-9211D8A2181A}">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황선우</author>
  </authors>
  <commentList>
    <comment ref="B4" authorId="0" shapeId="0" xr:uid="{FE9B4121-E3DA-4FCE-905F-E5EEB015B5A2}">
      <text>
        <r>
          <rPr>
            <sz val="8"/>
            <color indexed="54"/>
            <rFont val="Tahoma"/>
            <family val="2"/>
          </rPr>
          <t>별도
연결</t>
        </r>
      </text>
    </comment>
    <comment ref="B5" authorId="0" shapeId="0" xr:uid="{0D26AE14-3A8B-49ED-97B4-11259AA99E26}">
      <text>
        <r>
          <rPr>
            <sz val="8"/>
            <color indexed="54"/>
            <rFont val="Tahoma"/>
            <family val="2"/>
          </rPr>
          <t>전체
재무상태표
손익계산서
현금흐름표
자본금변동표</t>
        </r>
      </text>
    </comment>
    <comment ref="B6" authorId="0" shapeId="0" xr:uid="{F485DB33-2D7A-481A-82BD-4C1347999AEB}">
      <text>
        <r>
          <rPr>
            <sz val="8"/>
            <color indexed="54"/>
            <rFont val="Tahoma"/>
            <family val="2"/>
          </rPr>
          <t>상세(총액)
상세(순액)
요약
약식</t>
        </r>
      </text>
    </comment>
    <comment ref="B7" authorId="0" shapeId="0" xr:uid="{6174E212-002C-42B9-A0FD-0645FEE8B133}">
      <text>
        <r>
          <rPr>
            <sz val="8"/>
            <color indexed="54"/>
            <rFont val="Tahoma"/>
            <family val="2"/>
          </rPr>
          <t>결산
누적분기
당분기</t>
        </r>
      </text>
    </comment>
    <comment ref="C7" authorId="0" shapeId="0" xr:uid="{43FCD886-8015-46FC-858B-E2878C10DE86}">
      <text>
        <r>
          <rPr>
            <sz val="8"/>
            <color indexed="54"/>
            <rFont val="Tahoma"/>
            <family val="2"/>
          </rPr>
          <t>천원
백만원
억원
십억원</t>
        </r>
      </text>
    </comment>
    <comment ref="B8" authorId="0" shapeId="0" xr:uid="{CAD247BC-A15F-4CA9-8D18-666EDA37682F}">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D036781A-B649-4816-A095-C868443EB94C}">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황선우</author>
  </authors>
  <commentList>
    <comment ref="B4" authorId="0" shapeId="0" xr:uid="{9D1CAFA0-4C06-492F-AF74-37CD4A642704}">
      <text>
        <r>
          <rPr>
            <sz val="8"/>
            <color indexed="54"/>
            <rFont val="Tahoma"/>
            <family val="2"/>
          </rPr>
          <t>별도
연결</t>
        </r>
      </text>
    </comment>
    <comment ref="B5" authorId="0" shapeId="0" xr:uid="{CE23D06C-60EE-45F8-BB0B-8C1C1212738F}">
      <text>
        <r>
          <rPr>
            <sz val="8"/>
            <color indexed="54"/>
            <rFont val="Tahoma"/>
            <family val="2"/>
          </rPr>
          <t>전체
재무상태표
손익계산서
현금흐름표
자본금변동표</t>
        </r>
      </text>
    </comment>
    <comment ref="B6" authorId="0" shapeId="0" xr:uid="{6A57815C-DE21-491D-B19B-B125F1E24597}">
      <text>
        <r>
          <rPr>
            <sz val="8"/>
            <color indexed="54"/>
            <rFont val="Tahoma"/>
            <family val="2"/>
          </rPr>
          <t>상세(총액)
상세(순액)
요약
약식</t>
        </r>
      </text>
    </comment>
    <comment ref="B7" authorId="0" shapeId="0" xr:uid="{1107265C-C9C0-442A-BE35-99D4DC4CB02C}">
      <text>
        <r>
          <rPr>
            <sz val="8"/>
            <color indexed="54"/>
            <rFont val="Tahoma"/>
            <family val="2"/>
          </rPr>
          <t>결산
누적분기
당분기</t>
        </r>
      </text>
    </comment>
    <comment ref="C7" authorId="0" shapeId="0" xr:uid="{8980ED0C-FD5A-442C-B253-C9027E6EE745}">
      <text>
        <r>
          <rPr>
            <sz val="8"/>
            <color indexed="54"/>
            <rFont val="Tahoma"/>
            <family val="2"/>
          </rPr>
          <t>천원
백만원
억원
십억원</t>
        </r>
      </text>
    </comment>
    <comment ref="B8" authorId="0" shapeId="0" xr:uid="{DF383A46-F1E8-4360-AA20-06576BBAEFB6}">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28EB430C-65DB-4655-88F6-BBB5BC4B77AB}">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황선우</author>
  </authors>
  <commentList>
    <comment ref="B4" authorId="0" shapeId="0" xr:uid="{3D0D1140-4193-435C-8ADC-A6CB93D0E30E}">
      <text>
        <r>
          <rPr>
            <sz val="8"/>
            <color indexed="54"/>
            <rFont val="Tahoma"/>
            <family val="2"/>
          </rPr>
          <t>별도
연결</t>
        </r>
      </text>
    </comment>
    <comment ref="B5" authorId="0" shapeId="0" xr:uid="{C2F4D4F5-CB98-42A7-B41F-8CDBA44618CA}">
      <text>
        <r>
          <rPr>
            <sz val="8"/>
            <color indexed="54"/>
            <rFont val="Tahoma"/>
            <family val="2"/>
          </rPr>
          <t>전체
재무상태표
손익계산서
현금흐름표
자본금변동표</t>
        </r>
      </text>
    </comment>
    <comment ref="B6" authorId="0" shapeId="0" xr:uid="{6729884D-34A5-437D-82CA-0B237FAE0CC7}">
      <text>
        <r>
          <rPr>
            <sz val="8"/>
            <color indexed="54"/>
            <rFont val="Tahoma"/>
            <family val="2"/>
          </rPr>
          <t>상세(총액)
상세(순액)
요약
약식</t>
        </r>
      </text>
    </comment>
    <comment ref="B7" authorId="0" shapeId="0" xr:uid="{07E9B827-ED16-484C-B1AB-BB7F9C636A8A}">
      <text>
        <r>
          <rPr>
            <sz val="8"/>
            <color indexed="54"/>
            <rFont val="Tahoma"/>
            <family val="2"/>
          </rPr>
          <t>결산
누적분기
당분기</t>
        </r>
      </text>
    </comment>
    <comment ref="C7" authorId="0" shapeId="0" xr:uid="{D72270D6-DCDC-429E-AAA7-CA4282B4059A}">
      <text>
        <r>
          <rPr>
            <sz val="8"/>
            <color indexed="54"/>
            <rFont val="Tahoma"/>
            <family val="2"/>
          </rPr>
          <t>천원
백만원
억원
십억원</t>
        </r>
      </text>
    </comment>
    <comment ref="B8" authorId="0" shapeId="0" xr:uid="{B672A373-F9CF-42BA-8C46-0083D1189218}">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C9226FF7-5FDB-49CE-9ACA-B5990AAED796}">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<sst xmlns="http://schemas.openxmlformats.org/spreadsheetml/2006/main" count="1771" uniqueCount="597">
  <si>
    <t>전체 매출액</t>
    <phoneticPr fontId="3" type="noConversion"/>
  </si>
  <si>
    <t>1Q23</t>
    <phoneticPr fontId="3" type="noConversion"/>
  </si>
  <si>
    <t>2Q23</t>
    <phoneticPr fontId="3" type="noConversion"/>
  </si>
  <si>
    <t>3Q23</t>
    <phoneticPr fontId="3" type="noConversion"/>
  </si>
  <si>
    <t>4Q23</t>
    <phoneticPr fontId="3" type="noConversion"/>
  </si>
  <si>
    <t>1Q24</t>
    <phoneticPr fontId="3" type="noConversion"/>
  </si>
  <si>
    <t>2Q24</t>
    <phoneticPr fontId="3" type="noConversion"/>
  </si>
  <si>
    <t>3Q24</t>
    <phoneticPr fontId="3" type="noConversion"/>
  </si>
  <si>
    <t>4Q24</t>
    <phoneticPr fontId="3" type="noConversion"/>
  </si>
  <si>
    <t>1Q25</t>
    <phoneticPr fontId="3" type="noConversion"/>
  </si>
  <si>
    <t>2Q25</t>
    <phoneticPr fontId="3" type="noConversion"/>
  </si>
  <si>
    <t>3Q25</t>
    <phoneticPr fontId="3" type="noConversion"/>
  </si>
  <si>
    <t>4Q25</t>
    <phoneticPr fontId="3" type="noConversion"/>
  </si>
  <si>
    <t>2025E</t>
    <phoneticPr fontId="3" type="noConversion"/>
  </si>
  <si>
    <t>YoY%</t>
    <phoneticPr fontId="3" type="noConversion"/>
  </si>
  <si>
    <t>Assumption Sheet</t>
    <phoneticPr fontId="3" type="noConversion"/>
  </si>
  <si>
    <t>한화솔루션(009830.KS)</t>
    <phoneticPr fontId="3" type="noConversion"/>
  </si>
  <si>
    <t>% of sales</t>
  </si>
  <si>
    <t>% of sales</t>
    <phoneticPr fontId="3" type="noConversion"/>
  </si>
  <si>
    <t>신재생에너지</t>
    <phoneticPr fontId="3" type="noConversion"/>
  </si>
  <si>
    <t>기타</t>
    <phoneticPr fontId="3" type="noConversion"/>
  </si>
  <si>
    <t>(단위: 억원)</t>
    <phoneticPr fontId="3" type="noConversion"/>
  </si>
  <si>
    <t>케미칼</t>
    <phoneticPr fontId="3" type="noConversion"/>
  </si>
  <si>
    <t>첨단소재</t>
    <phoneticPr fontId="3" type="noConversion"/>
  </si>
  <si>
    <t>Financial Statements</t>
  </si>
  <si>
    <t>New</t>
  </si>
  <si>
    <t>기업</t>
  </si>
  <si>
    <t>회계유형</t>
  </si>
  <si>
    <t>리포트</t>
  </si>
  <si>
    <t>형식</t>
  </si>
  <si>
    <t>출력</t>
  </si>
  <si>
    <t>계정코드</t>
  </si>
  <si>
    <t>계정명</t>
  </si>
  <si>
    <t>단위</t>
  </si>
  <si>
    <t>202303(1Q)</t>
  </si>
  <si>
    <t>202306(2Q)</t>
  </si>
  <si>
    <t>202309(3Q)</t>
  </si>
  <si>
    <t>202312(4Q)</t>
  </si>
  <si>
    <t>202403(1Q)</t>
  </si>
  <si>
    <t>202406(2Q)</t>
  </si>
  <si>
    <t>202409(3Q)</t>
  </si>
  <si>
    <t>202412(4Q)</t>
  </si>
  <si>
    <t>202503(1Q)</t>
  </si>
  <si>
    <t>IFRS(연결)</t>
  </si>
  <si>
    <t>자산(*)</t>
  </si>
  <si>
    <t>억원</t>
  </si>
  <si>
    <t xml:space="preserve">    유동자산(*)</t>
  </si>
  <si>
    <t xml:space="preserve">        재고자산(*)</t>
  </si>
  <si>
    <t xml:space="preserve">        유동생물자산(*)</t>
  </si>
  <si>
    <t xml:space="preserve">        유동금융자산(*)</t>
  </si>
  <si>
    <t xml:space="preserve">        매출채권및기타유동채권(*)</t>
  </si>
  <si>
    <t xml:space="preserve">        당기법인세자산(선급법인세)</t>
  </si>
  <si>
    <t xml:space="preserve">        계약자산(**)</t>
  </si>
  <si>
    <t xml:space="preserve">        반품(환불)자산</t>
  </si>
  <si>
    <t xml:space="preserve">        배출권</t>
  </si>
  <si>
    <t xml:space="preserve">        기타유동자산(*)</t>
  </si>
  <si>
    <t xml:space="preserve">        현금및현금성자산(*)</t>
  </si>
  <si>
    <t xml:space="preserve">        매각예정비유동자산및처분자산집단(*)</t>
  </si>
  <si>
    <t xml:space="preserve">    비유동자산(*)</t>
  </si>
  <si>
    <t xml:space="preserve">        유형자산(*)</t>
  </si>
  <si>
    <t xml:space="preserve">        무형자산(*)</t>
  </si>
  <si>
    <t xml:space="preserve">        비유동생물자산(*)</t>
  </si>
  <si>
    <t xml:space="preserve">        투자부동산(*)</t>
  </si>
  <si>
    <t xml:space="preserve">        장기금융자산(*)</t>
  </si>
  <si>
    <t xml:space="preserve">        관계기업등지분관련투자자산(*)</t>
  </si>
  <si>
    <t xml:space="preserve">        장기매출채권및기타비유동채권(*)</t>
  </si>
  <si>
    <t xml:space="preserve">        이연법인세자산</t>
  </si>
  <si>
    <t xml:space="preserve">        장기당기법인세자산</t>
  </si>
  <si>
    <t xml:space="preserve">        기타비유동자산(*)</t>
  </si>
  <si>
    <t xml:space="preserve">    기타금융업자산</t>
  </si>
  <si>
    <t>부채(*)</t>
  </si>
  <si>
    <t xml:space="preserve">    유동부채(*)</t>
  </si>
  <si>
    <t xml:space="preserve">        단기사채(**)</t>
  </si>
  <si>
    <t xml:space="preserve">        단기차입금(*)</t>
  </si>
  <si>
    <t xml:space="preserve">        유동성장기부채(*)</t>
  </si>
  <si>
    <t xml:space="preserve">        유동금융부채(*)</t>
  </si>
  <si>
    <t xml:space="preserve">        매입채무및기타유동채무(*)</t>
  </si>
  <si>
    <t xml:space="preserve">        유동종업원급여충당부채(*)</t>
  </si>
  <si>
    <t xml:space="preserve">        기타단기충당부채(*)</t>
  </si>
  <si>
    <t xml:space="preserve">        당기법인세부채(미지급법인세)</t>
  </si>
  <si>
    <t xml:space="preserve">        계약부채</t>
  </si>
  <si>
    <t xml:space="preserve">        반품(환불)부채</t>
  </si>
  <si>
    <t xml:space="preserve">        배출부채</t>
  </si>
  <si>
    <t xml:space="preserve">        기타유동부채(*)</t>
  </si>
  <si>
    <t xml:space="preserve">        매각예정으로분류된처분자산집단에포함된부채(*)</t>
  </si>
  <si>
    <t xml:space="preserve">    비유동부채(*)</t>
  </si>
  <si>
    <t xml:space="preserve">        사채(*)</t>
  </si>
  <si>
    <t xml:space="preserve">        장기차입금(*)</t>
  </si>
  <si>
    <t xml:space="preserve">        비유동금융부채(*)</t>
  </si>
  <si>
    <t xml:space="preserve">        장기매입채무및기타비유동채무(*)</t>
  </si>
  <si>
    <t xml:space="preserve">        비유동종업원급여충당부채(*)</t>
  </si>
  <si>
    <t xml:space="preserve">        기타장기충당부채(*)</t>
  </si>
  <si>
    <t xml:space="preserve">        이연법인세부채</t>
  </si>
  <si>
    <t xml:space="preserve">        장기당기법인세부채(미지급법인세)(**)</t>
  </si>
  <si>
    <t xml:space="preserve">        기타비유동부채(*)</t>
  </si>
  <si>
    <t xml:space="preserve">    기타금융업부채</t>
  </si>
  <si>
    <t>자본(*)</t>
  </si>
  <si>
    <t>*수권주식수</t>
  </si>
  <si>
    <t>주</t>
  </si>
  <si>
    <t>*주당액면가액</t>
  </si>
  <si>
    <t>원</t>
  </si>
  <si>
    <t>*발행한주식총수(*)</t>
  </si>
  <si>
    <t xml:space="preserve">    *보통주</t>
  </si>
  <si>
    <t xml:space="preserve">    *우선주</t>
  </si>
  <si>
    <t xml:space="preserve">    지배기업주주지분(*)</t>
  </si>
  <si>
    <t xml:space="preserve">        자본금(*)</t>
  </si>
  <si>
    <t xml:space="preserve">        신종자본증권</t>
  </si>
  <si>
    <t xml:space="preserve">        자본잉여금(*)</t>
  </si>
  <si>
    <t xml:space="preserve">        기타자본(*)</t>
  </si>
  <si>
    <t xml:space="preserve">        기타포괄손익누계액(*)</t>
  </si>
  <si>
    <t xml:space="preserve">        이익잉여금(결손금)(*)</t>
  </si>
  <si>
    <t xml:space="preserve">    비지배주주지분</t>
  </si>
  <si>
    <t>회계연도</t>
    <phoneticPr fontId="3" type="noConversion"/>
  </si>
  <si>
    <r>
      <t>A009830(</t>
    </r>
    <r>
      <rPr>
        <sz val="9"/>
        <color rgb="FF325886"/>
        <rFont val="맑은 고딕"/>
        <family val="2"/>
        <charset val="129"/>
        <scheme val="minor"/>
      </rPr>
      <t>한화솔루션</t>
    </r>
    <r>
      <rPr>
        <sz val="9"/>
        <color rgb="FF325886"/>
        <rFont val="Arial"/>
        <family val="2"/>
      </rPr>
      <t>)  -  Fiscal Month:12,  201103</t>
    </r>
    <r>
      <rPr>
        <sz val="9"/>
        <color rgb="FF325886"/>
        <rFont val="맑은 고딕"/>
        <family val="2"/>
        <charset val="129"/>
        <scheme val="minor"/>
      </rPr>
      <t>부터</t>
    </r>
    <r>
      <rPr>
        <sz val="9"/>
        <color rgb="FF325886"/>
        <rFont val="Arial"/>
        <family val="2"/>
      </rPr>
      <t xml:space="preserve"> IFRS </t>
    </r>
    <r>
      <rPr>
        <sz val="9"/>
        <color rgb="FF325886"/>
        <rFont val="맑은 고딕"/>
        <family val="2"/>
        <charset val="129"/>
        <scheme val="minor"/>
      </rPr>
      <t>적용</t>
    </r>
  </si>
  <si>
    <r>
      <rPr>
        <sz val="9"/>
        <color rgb="FF325886"/>
        <rFont val="맑은 고딕"/>
        <family val="2"/>
        <charset val="129"/>
        <scheme val="minor"/>
      </rPr>
      <t>회계기준</t>
    </r>
  </si>
  <si>
    <t>재무상태표</t>
  </si>
  <si>
    <t>약식(COMPARE)</t>
    <phoneticPr fontId="3" type="noConversion"/>
  </si>
  <si>
    <t>당분기</t>
  </si>
  <si>
    <t>IFRS</t>
  </si>
  <si>
    <t>연결</t>
  </si>
  <si>
    <t>Current</t>
  </si>
  <si>
    <t>Last Refresh: 2025-05-24 13:23:02</t>
    <phoneticPr fontId="3" type="noConversion"/>
  </si>
  <si>
    <t>Financial Statements</t>
    <phoneticPr fontId="3" type="noConversion"/>
  </si>
  <si>
    <t>회계기준</t>
    <phoneticPr fontId="3" type="noConversion"/>
  </si>
  <si>
    <t>New</t>
    <phoneticPr fontId="3" type="noConversion"/>
  </si>
  <si>
    <t>202203(1Q)</t>
  </si>
  <si>
    <t>202206(2Q)</t>
  </si>
  <si>
    <t>202209(3Q)</t>
  </si>
  <si>
    <t>202212(4Q)</t>
  </si>
  <si>
    <t>A009830(한화솔루션)  -  Fiscal Month:12,  201103부터 IFRS 적용</t>
    <phoneticPr fontId="3" type="noConversion"/>
  </si>
  <si>
    <t>Last Refresh: 2025-05-24 13:23:10</t>
  </si>
  <si>
    <t>매출액(수익)(*)</t>
  </si>
  <si>
    <t>*수출(*)</t>
  </si>
  <si>
    <t>*내수</t>
  </si>
  <si>
    <t>매출원가(*)</t>
  </si>
  <si>
    <t>매출총이익(손실)</t>
  </si>
  <si>
    <t>판매비와관리비(*)</t>
  </si>
  <si>
    <t xml:space="preserve">    인건비(*)</t>
  </si>
  <si>
    <t xml:space="preserve">    유무형자산상각비(*)</t>
  </si>
  <si>
    <t xml:space="preserve">    연구개발비</t>
  </si>
  <si>
    <t xml:space="preserve">    광고선전비</t>
  </si>
  <si>
    <t xml:space="preserve">    판매비(*)</t>
  </si>
  <si>
    <t xml:space="preserve">    관리비(*)</t>
  </si>
  <si>
    <t xml:space="preserve">    기타원가성비용(*)</t>
  </si>
  <si>
    <t xml:space="preserve">    기타</t>
  </si>
  <si>
    <t>영업이익(손실)</t>
  </si>
  <si>
    <t>금융수익(*)</t>
  </si>
  <si>
    <t xml:space="preserve">    이자수익</t>
  </si>
  <si>
    <t xml:space="preserve">    배당금수익</t>
  </si>
  <si>
    <t xml:space="preserve">    외환이익(*)</t>
  </si>
  <si>
    <t xml:space="preserve">    대손충당금환입액</t>
  </si>
  <si>
    <t xml:space="preserve">    매출채권처분이익</t>
  </si>
  <si>
    <t xml:space="preserve">    당기손익-공정가치측정 금융자산관련이익</t>
  </si>
  <si>
    <t xml:space="preserve">    금융자산처분이익(*)</t>
  </si>
  <si>
    <t xml:space="preserve">    금융자산평가이익(*)</t>
  </si>
  <si>
    <t xml:space="preserve">    금융자산손상차손환입(*)</t>
  </si>
  <si>
    <t xml:space="preserve">    파생상품이익(*)</t>
  </si>
  <si>
    <t xml:space="preserve">    기타금융수익(*)</t>
  </si>
  <si>
    <t>금융원가(*)</t>
  </si>
  <si>
    <t xml:space="preserve">    이자비용</t>
  </si>
  <si>
    <t xml:space="preserve">    외환손실(*)</t>
  </si>
  <si>
    <t xml:space="preserve">    대손상각비</t>
  </si>
  <si>
    <t xml:space="preserve">    당기손익-공정가치측정 금융자산관련손실</t>
  </si>
  <si>
    <t xml:space="preserve">    매출채권처분손실</t>
  </si>
  <si>
    <t xml:space="preserve">    금융자산처분손실(*)</t>
  </si>
  <si>
    <t xml:space="preserve">    금융자산평가손실(*)</t>
  </si>
  <si>
    <t xml:space="preserve">    금융자산손상차손(*)</t>
  </si>
  <si>
    <t xml:space="preserve">    파생상품손실(*)</t>
  </si>
  <si>
    <t xml:space="preserve">    기타금융원가(*)</t>
  </si>
  <si>
    <t>기타수익(*)</t>
  </si>
  <si>
    <t xml:space="preserve">    재고자산감모손실환입</t>
  </si>
  <si>
    <t xml:space="preserve">    재고자산폐기(처분)이익</t>
  </si>
  <si>
    <t xml:space="preserve">    당기손익-공정가치측정 금융자산평가이익</t>
  </si>
  <si>
    <t xml:space="preserve">    자산처분(폐기)이익(*)</t>
  </si>
  <si>
    <t xml:space="preserve">    자산평가이익</t>
  </si>
  <si>
    <t xml:space="preserve">    자산손상차손환입(*)</t>
  </si>
  <si>
    <t xml:space="preserve">    임대료수익</t>
  </si>
  <si>
    <t xml:space="preserve">    로열티수익</t>
  </si>
  <si>
    <t xml:space="preserve">    수수료수익</t>
  </si>
  <si>
    <t xml:space="preserve">    대손충당금환입</t>
  </si>
  <si>
    <t xml:space="preserve">    충당부채환입액</t>
  </si>
  <si>
    <t xml:space="preserve">    기타(*)</t>
  </si>
  <si>
    <t>기타비용(*)</t>
  </si>
  <si>
    <t xml:space="preserve">    재고자산감모손실</t>
  </si>
  <si>
    <t xml:space="preserve">    재고자산폐기(처분)손실</t>
  </si>
  <si>
    <t xml:space="preserve">    당기손익-공정가치측정 금융자산평가손실</t>
  </si>
  <si>
    <t xml:space="preserve">    자산처분(폐기)손실(*)</t>
  </si>
  <si>
    <t xml:space="preserve">    자산평가손실</t>
  </si>
  <si>
    <t xml:space="preserve">    자산손상차손(*)</t>
  </si>
  <si>
    <t xml:space="preserve">    기타대손상각비</t>
  </si>
  <si>
    <t xml:space="preserve">    충당부채전입액</t>
  </si>
  <si>
    <t>종속기업,공동지배기업및관계기업관련손익(*)</t>
  </si>
  <si>
    <t xml:space="preserve">    지분법손익(*)</t>
  </si>
  <si>
    <t xml:space="preserve">    종속기업,공동지배기업및관계기업투자주식처분손익(*)</t>
  </si>
  <si>
    <t xml:space="preserve">    종속기업,공동지배기업및관계기업투자주식손상관련손익(*)</t>
  </si>
  <si>
    <t>법인세비용차감전계속사업이익</t>
  </si>
  <si>
    <t>법인세비용</t>
  </si>
  <si>
    <t>종속회사매수일전순손익</t>
  </si>
  <si>
    <t>처분된종속회사순손익</t>
  </si>
  <si>
    <t>계속영업이익(손실)</t>
  </si>
  <si>
    <t>중단영업이익(손실)</t>
  </si>
  <si>
    <t>당기순이익(손실)</t>
  </si>
  <si>
    <t>기타포괄손익(*)</t>
  </si>
  <si>
    <t>총포괄손익</t>
  </si>
  <si>
    <t>(당기순손익귀속)지배기업주주지분</t>
  </si>
  <si>
    <t>(당기순손익귀속)비지배주주지분</t>
  </si>
  <si>
    <t>(총포괄손익귀속)지배기업주주지분</t>
  </si>
  <si>
    <t>(총포괄손익귀속)비지배주주지분</t>
  </si>
  <si>
    <t>주당계속영업이익</t>
  </si>
  <si>
    <t>주당순손익</t>
  </si>
  <si>
    <t>희석주당계속영업이익</t>
  </si>
  <si>
    <t>희석주당순손익</t>
  </si>
  <si>
    <t>(지배기업주주지분)주당계속영업이익</t>
  </si>
  <si>
    <t>(지배기업주주지분)주당순손익</t>
  </si>
  <si>
    <t>(지배기업주주지분)희석주당계속영업이익</t>
  </si>
  <si>
    <t>(지배기업주주지분)희석주당순손익</t>
  </si>
  <si>
    <t>손익계산서</t>
  </si>
  <si>
    <t>Last Refresh: 2025-05-24 13:23:20</t>
  </si>
  <si>
    <t>영업활동으로인한현금흐름(간접법)(*)</t>
  </si>
  <si>
    <t xml:space="preserve">    *(직접법)총현금유입(*)</t>
  </si>
  <si>
    <t xml:space="preserve">    *(직접법)총현금유출(*)</t>
  </si>
  <si>
    <t xml:space="preserve">    당기순손익</t>
  </si>
  <si>
    <t xml:space="preserve">    법인세비용차감전계속사업이익</t>
  </si>
  <si>
    <t xml:space="preserve">    현금유출이없는비용등가산(*)</t>
  </si>
  <si>
    <t xml:space="preserve">    (현금유입이없는수익등차감)(*)</t>
  </si>
  <si>
    <t xml:space="preserve">    영업활동으로인한자산부채변동(운전자본변동)(*)</t>
  </si>
  <si>
    <t xml:space="preserve">        자산의감소(증가)(*)</t>
  </si>
  <si>
    <t xml:space="preserve">        부채의증가(감소)(*)</t>
  </si>
  <si>
    <t xml:space="preserve">        정부보조금등의변동</t>
  </si>
  <si>
    <t xml:space="preserve">        기타운전자본의변동</t>
  </si>
  <si>
    <t xml:space="preserve">    *영업에서창출된현금흐름</t>
  </si>
  <si>
    <t xml:space="preserve">    이자수입</t>
  </si>
  <si>
    <t xml:space="preserve">    이자지급(-)</t>
  </si>
  <si>
    <t xml:space="preserve">    배당금수입</t>
  </si>
  <si>
    <t xml:space="preserve">    배당금지급(-)</t>
  </si>
  <si>
    <t xml:space="preserve">    법인세환입</t>
  </si>
  <si>
    <t xml:space="preserve">    법인세납부(-)</t>
  </si>
  <si>
    <t xml:space="preserve">    중단영업관련현금흐름</t>
  </si>
  <si>
    <t>투자활동으로인한현금흐름(*)</t>
  </si>
  <si>
    <t xml:space="preserve">    투자활동으로인한현금유입액(*)</t>
  </si>
  <si>
    <t xml:space="preserve">    (투자활동으로인한현금유출액)(*)</t>
  </si>
  <si>
    <t>재무활동으로인한현금흐름(*)</t>
  </si>
  <si>
    <t xml:space="preserve">    재무활동으로인한현금유입액(*)</t>
  </si>
  <si>
    <t xml:space="preserve">    (재무활동으로인한현금유출액)(*)</t>
  </si>
  <si>
    <t>영업투자재무활동기타현금흐름</t>
  </si>
  <si>
    <t>연결범위변동으로인한현금의증가</t>
  </si>
  <si>
    <t>환율변동효과</t>
  </si>
  <si>
    <t>현금및현금성자산의증가</t>
  </si>
  <si>
    <t>기초현금및현금성자산</t>
  </si>
  <si>
    <t>기말현금및현금성자산</t>
  </si>
  <si>
    <t>현금흐름표</t>
  </si>
  <si>
    <t>Last Refresh: 2025-05-24 13:35:01</t>
  </si>
  <si>
    <t>결산</t>
  </si>
  <si>
    <t>Last Refresh: 2025-05-24 13:36:03</t>
    <phoneticPr fontId="3" type="noConversion"/>
  </si>
  <si>
    <t>Last Refresh: 2025-05-24 13:36:12</t>
  </si>
  <si>
    <t>(댠위: 억원)</t>
    <phoneticPr fontId="3" type="noConversion"/>
  </si>
  <si>
    <t>개발자산 매각/EPC</t>
    <phoneticPr fontId="3" type="noConversion"/>
  </si>
  <si>
    <t>모듈 및 기타</t>
    <phoneticPr fontId="3" type="noConversion"/>
  </si>
  <si>
    <t>주택용 에너지 사업</t>
    <phoneticPr fontId="3" type="noConversion"/>
  </si>
  <si>
    <t>총합</t>
    <phoneticPr fontId="3" type="noConversion"/>
  </si>
  <si>
    <t>연결조정</t>
    <phoneticPr fontId="3" type="noConversion"/>
  </si>
  <si>
    <t>-</t>
    <phoneticPr fontId="3" type="noConversion"/>
  </si>
  <si>
    <t>매출액 분기 비중</t>
    <phoneticPr fontId="3" type="noConversion"/>
  </si>
  <si>
    <t>수출</t>
    <phoneticPr fontId="3" type="noConversion"/>
  </si>
  <si>
    <t>내수</t>
    <phoneticPr fontId="3" type="noConversion"/>
  </si>
  <si>
    <t>단가(원/W)</t>
    <phoneticPr fontId="3" type="noConversion"/>
  </si>
  <si>
    <t>생산량(GW)</t>
    <phoneticPr fontId="3" type="noConversion"/>
  </si>
  <si>
    <t>Note</t>
    <phoneticPr fontId="3" type="noConversion"/>
  </si>
  <si>
    <t>기초소재</t>
    <phoneticPr fontId="3" type="noConversion"/>
  </si>
  <si>
    <t>감소세는 선형회귀 추정</t>
    <phoneticPr fontId="3" type="noConversion"/>
  </si>
  <si>
    <t>LDPE</t>
    <phoneticPr fontId="3" type="noConversion"/>
  </si>
  <si>
    <t>보합세는 4Q Moving Average</t>
    <phoneticPr fontId="3" type="noConversion"/>
  </si>
  <si>
    <t>생산량(톤)</t>
    <phoneticPr fontId="3" type="noConversion"/>
  </si>
  <si>
    <t>단가(USD/MT)</t>
    <phoneticPr fontId="3" type="noConversion"/>
  </si>
  <si>
    <t>PVC</t>
    <phoneticPr fontId="3" type="noConversion"/>
  </si>
  <si>
    <t>가성소다</t>
    <phoneticPr fontId="3" type="noConversion"/>
  </si>
  <si>
    <t>단가(USD/톤)</t>
    <phoneticPr fontId="3" type="noConversion"/>
  </si>
  <si>
    <t>TDI</t>
    <phoneticPr fontId="3" type="noConversion"/>
  </si>
  <si>
    <t>분기 avg 환율</t>
    <phoneticPr fontId="3" type="noConversion"/>
  </si>
  <si>
    <t>GMT</t>
    <phoneticPr fontId="3" type="noConversion"/>
  </si>
  <si>
    <t>생산량(kg)</t>
    <phoneticPr fontId="3" type="noConversion"/>
  </si>
  <si>
    <t>단가(원/kg)</t>
    <phoneticPr fontId="3" type="noConversion"/>
  </si>
  <si>
    <t>EVA Sheet</t>
    <phoneticPr fontId="3" type="noConversion"/>
  </si>
  <si>
    <t>생산량(m)</t>
    <phoneticPr fontId="3" type="noConversion"/>
  </si>
  <si>
    <t>단가(원/m)</t>
    <phoneticPr fontId="3" type="noConversion"/>
  </si>
  <si>
    <t>주택용 태양광 설치량(GW)</t>
    <phoneticPr fontId="3" type="noConversion"/>
  </si>
  <si>
    <t>한화큐셀 점유율(%)</t>
    <phoneticPr fontId="3" type="noConversion"/>
  </si>
  <si>
    <t>한화큐셀 Q(GW)</t>
    <phoneticPr fontId="3" type="noConversion"/>
  </si>
  <si>
    <t>한화큐셀 P(억원/GW)</t>
    <phoneticPr fontId="3" type="noConversion"/>
  </si>
  <si>
    <t>당기순이익</t>
    <phoneticPr fontId="3" type="noConversion"/>
  </si>
  <si>
    <t>중단영업분기순손익</t>
    <phoneticPr fontId="3" type="noConversion"/>
  </si>
  <si>
    <t>계속영업이익</t>
    <phoneticPr fontId="3" type="noConversion"/>
  </si>
  <si>
    <t>법인세율(%)</t>
    <phoneticPr fontId="3" type="noConversion"/>
  </si>
  <si>
    <t>법인세비용</t>
    <phoneticPr fontId="3" type="noConversion"/>
  </si>
  <si>
    <t>법인세차감전순이익</t>
    <phoneticPr fontId="3" type="noConversion"/>
  </si>
  <si>
    <t>기타비용</t>
    <phoneticPr fontId="3" type="noConversion"/>
  </si>
  <si>
    <t>기타수익</t>
    <phoneticPr fontId="3" type="noConversion"/>
  </si>
  <si>
    <t>금융비용</t>
    <phoneticPr fontId="3" type="noConversion"/>
  </si>
  <si>
    <t>금융손익</t>
    <phoneticPr fontId="3" type="noConversion"/>
  </si>
  <si>
    <t>지분법손익</t>
    <phoneticPr fontId="3" type="noConversion"/>
  </si>
  <si>
    <t>OPM(%)</t>
    <phoneticPr fontId="3" type="noConversion"/>
  </si>
  <si>
    <t>영업이익</t>
    <phoneticPr fontId="3" type="noConversion"/>
  </si>
  <si>
    <t>합계</t>
    <phoneticPr fontId="3" type="noConversion"/>
  </si>
  <si>
    <t>경상개발비</t>
    <phoneticPr fontId="3" type="noConversion"/>
  </si>
  <si>
    <t>보관비</t>
    <phoneticPr fontId="3" type="noConversion"/>
  </si>
  <si>
    <t>운반비</t>
    <phoneticPr fontId="3" type="noConversion"/>
  </si>
  <si>
    <t>외주용역비</t>
    <phoneticPr fontId="3" type="noConversion"/>
  </si>
  <si>
    <t>무형자산상각비</t>
    <phoneticPr fontId="3" type="noConversion"/>
  </si>
  <si>
    <t>감가상각비</t>
    <phoneticPr fontId="3" type="noConversion"/>
  </si>
  <si>
    <t>복리후생비</t>
    <phoneticPr fontId="3" type="noConversion"/>
  </si>
  <si>
    <t>퇴직급여</t>
    <phoneticPr fontId="3" type="noConversion"/>
  </si>
  <si>
    <t>급여</t>
    <phoneticPr fontId="3" type="noConversion"/>
  </si>
  <si>
    <t>of sales(%)</t>
    <phoneticPr fontId="3" type="noConversion"/>
  </si>
  <si>
    <t>판매비와 관리비</t>
    <phoneticPr fontId="3" type="noConversion"/>
  </si>
  <si>
    <t>명목임금상승률 1.72</t>
    <phoneticPr fontId="3" type="noConversion"/>
  </si>
  <si>
    <t>GPM(%)</t>
    <phoneticPr fontId="3" type="noConversion"/>
  </si>
  <si>
    <t>매출총이익</t>
    <phoneticPr fontId="3" type="noConversion"/>
  </si>
  <si>
    <t>매출원가율(%)</t>
    <phoneticPr fontId="3" type="noConversion"/>
  </si>
  <si>
    <t>매출원가</t>
    <phoneticPr fontId="3" type="noConversion"/>
  </si>
  <si>
    <t>매출액</t>
    <phoneticPr fontId="3" type="noConversion"/>
  </si>
  <si>
    <t>Description</t>
    <phoneticPr fontId="3" type="noConversion"/>
  </si>
  <si>
    <t>4Q25E</t>
    <phoneticPr fontId="3" type="noConversion"/>
  </si>
  <si>
    <t>3Q25E</t>
    <phoneticPr fontId="3" type="noConversion"/>
  </si>
  <si>
    <t>2Q25E</t>
    <phoneticPr fontId="3" type="noConversion"/>
  </si>
  <si>
    <t>(단위: 억 원)</t>
    <phoneticPr fontId="3" type="noConversion"/>
  </si>
  <si>
    <t>(units in Millions KRW )</t>
    <phoneticPr fontId="3" type="noConversion"/>
  </si>
  <si>
    <t>한화솔루션(0009830)</t>
    <phoneticPr fontId="3" type="noConversion"/>
  </si>
  <si>
    <t>지배지분순이익</t>
    <phoneticPr fontId="3" type="noConversion"/>
  </si>
  <si>
    <t>비지배지분순이익</t>
    <phoneticPr fontId="3" type="noConversion"/>
  </si>
  <si>
    <t>AMPC 보조금</t>
    <phoneticPr fontId="3" type="noConversion"/>
  </si>
  <si>
    <t>생산량</t>
    <phoneticPr fontId="3" type="noConversion"/>
  </si>
  <si>
    <t>웨이퍼</t>
    <phoneticPr fontId="3" type="noConversion"/>
  </si>
  <si>
    <t>환율</t>
    <phoneticPr fontId="3" type="noConversion"/>
  </si>
  <si>
    <t>생산능력(CAPA)</t>
    <phoneticPr fontId="3" type="noConversion"/>
  </si>
  <si>
    <t>모듈</t>
    <phoneticPr fontId="3" type="noConversion"/>
  </si>
  <si>
    <t>셀</t>
    <phoneticPr fontId="3" type="noConversion"/>
  </si>
  <si>
    <t>달튼 1공장</t>
    <phoneticPr fontId="3" type="noConversion"/>
  </si>
  <si>
    <t>달튼 2공장</t>
    <phoneticPr fontId="3" type="noConversion"/>
  </si>
  <si>
    <t>카터스빌 3공장</t>
    <phoneticPr fontId="3" type="noConversion"/>
  </si>
  <si>
    <t>가동률</t>
    <phoneticPr fontId="3" type="noConversion"/>
  </si>
  <si>
    <t>보조금($/W)</t>
    <phoneticPr fontId="3" type="noConversion"/>
  </si>
  <si>
    <t>합산</t>
    <phoneticPr fontId="3" type="noConversion"/>
  </si>
  <si>
    <t>-</t>
  </si>
  <si>
    <t>AMPC 보조금 (단위: 억 원)</t>
    <phoneticPr fontId="3" type="noConversion"/>
  </si>
  <si>
    <t>W</t>
    <phoneticPr fontId="3" type="noConversion"/>
  </si>
  <si>
    <t>MW</t>
    <phoneticPr fontId="3" type="noConversion"/>
  </si>
  <si>
    <t>GW</t>
    <phoneticPr fontId="3" type="noConversion"/>
  </si>
  <si>
    <t>보조금=생산량*제품당 보조금*환율</t>
    <phoneticPr fontId="3" type="noConversion"/>
  </si>
  <si>
    <t>E27*생산량*E5</t>
    <phoneticPr fontId="3" type="noConversion"/>
  </si>
  <si>
    <t>가동률 역산</t>
    <phoneticPr fontId="3" type="noConversion"/>
  </si>
  <si>
    <t>급여의 경우, '25년 명목임금상승률 전망치를 반영하여 각 분기를 추정함</t>
    <phoneticPr fontId="3" type="noConversion"/>
  </si>
  <si>
    <t>퇴직급여의 경우, 급여 내 퇴직급여 비율의 4개분기 평균값을 flat하게 적용함</t>
    <phoneticPr fontId="3" type="noConversion"/>
  </si>
  <si>
    <t>복리후생비의 경우, 과거 2개년 급여 대비 복리후생비의 비중을 적용하여 추정함</t>
    <phoneticPr fontId="3" type="noConversion"/>
  </si>
  <si>
    <t>운반비의 경우, 매출액 확대에 따라 증가할 것으로 예상되어 매출액과 연동하여 추정함</t>
    <phoneticPr fontId="3" type="noConversion"/>
  </si>
  <si>
    <t>보관비의 경우, of sales(%)를 2개년도 평균값을 flat하게 적용함</t>
    <phoneticPr fontId="3" type="noConversion"/>
  </si>
  <si>
    <t>경상개발비의 경우, of sales(%)를 2개년도 평균값을 flat하게 적용함</t>
    <phoneticPr fontId="3" type="noConversion"/>
  </si>
  <si>
    <t>금융손익의 경우, 2개년도 이동평균 flat 적용함</t>
    <phoneticPr fontId="3" type="noConversion"/>
  </si>
  <si>
    <t>기타의 경우, 금액적 유의성이 낮아 2개년도 이동평균 적용함</t>
    <phoneticPr fontId="3" type="noConversion"/>
  </si>
  <si>
    <t>외주용역비의 경우, of sales(%)를 2개년도 평균값을 flat하게 적용함</t>
    <phoneticPr fontId="3" type="noConversion"/>
  </si>
  <si>
    <t>단위: 백만원</t>
    <phoneticPr fontId="3" type="noConversion"/>
  </si>
  <si>
    <t>1Q23</t>
  </si>
  <si>
    <t>2Q23</t>
  </si>
  <si>
    <t>3Q23</t>
  </si>
  <si>
    <t>4Q23</t>
  </si>
  <si>
    <t>1Q24</t>
  </si>
  <si>
    <t>2Q24</t>
  </si>
  <si>
    <t>3Q24</t>
  </si>
  <si>
    <t>4Q24</t>
  </si>
  <si>
    <t>1Q25E</t>
    <phoneticPr fontId="3" type="noConversion"/>
  </si>
  <si>
    <t>매출원가</t>
  </si>
  <si>
    <t>(%)</t>
  </si>
  <si>
    <t>매출총이익</t>
  </si>
  <si>
    <t>영업이익</t>
  </si>
  <si>
    <t>지분법손익</t>
  </si>
  <si>
    <t>금융수익</t>
  </si>
  <si>
    <t>금융비용</t>
  </si>
  <si>
    <t>기타수익</t>
  </si>
  <si>
    <t>기타비용</t>
  </si>
  <si>
    <t>당기순이익</t>
  </si>
  <si>
    <t>%</t>
    <phoneticPr fontId="3" type="noConversion"/>
  </si>
  <si>
    <t>모듈 P=(셀 원가+모듈 제조비용-AMPC)*(1+판매세)</t>
    <phoneticPr fontId="3" type="noConversion"/>
  </si>
  <si>
    <t>셀 원가= (웨이퍼 원가+셀 제조비용)*(1+총 관세)+운임-AMPC</t>
    <phoneticPr fontId="3" type="noConversion"/>
  </si>
  <si>
    <t>기말 사용권자산</t>
    <phoneticPr fontId="3" type="noConversion"/>
  </si>
  <si>
    <t>(+) 기타 증감</t>
    <phoneticPr fontId="3" type="noConversion"/>
  </si>
  <si>
    <t>(-) 감가상각비</t>
    <phoneticPr fontId="3" type="noConversion"/>
  </si>
  <si>
    <t>기초 사용권자산 대비 감가상각비</t>
    <phoneticPr fontId="3" type="noConversion"/>
  </si>
  <si>
    <t>(+) Capex</t>
    <phoneticPr fontId="3" type="noConversion"/>
  </si>
  <si>
    <t>매출액 대비 Capex</t>
    <phoneticPr fontId="3" type="noConversion"/>
  </si>
  <si>
    <t>기초 사용권자산</t>
    <phoneticPr fontId="3" type="noConversion"/>
  </si>
  <si>
    <t>(단위: %)</t>
    <phoneticPr fontId="3" type="noConversion"/>
  </si>
  <si>
    <t>기말 무형자산</t>
    <phoneticPr fontId="3" type="noConversion"/>
  </si>
  <si>
    <t>기초 무형자산 대비 상각비</t>
    <phoneticPr fontId="3" type="noConversion"/>
  </si>
  <si>
    <t>기초 무형자산</t>
    <phoneticPr fontId="3" type="noConversion"/>
  </si>
  <si>
    <t>기말 유형자산</t>
    <phoneticPr fontId="3" type="noConversion"/>
  </si>
  <si>
    <t>기초 유형자산 대비 감가상각비</t>
    <phoneticPr fontId="3" type="noConversion"/>
  </si>
  <si>
    <t>기초 유형자산</t>
    <phoneticPr fontId="3" type="noConversion"/>
  </si>
  <si>
    <t>사용권자산</t>
    <phoneticPr fontId="3" type="noConversion"/>
  </si>
  <si>
    <t>Total D&amp;A</t>
    <phoneticPr fontId="3" type="noConversion"/>
  </si>
  <si>
    <t>무형자산</t>
    <phoneticPr fontId="3" type="noConversion"/>
  </si>
  <si>
    <t>Total Capex</t>
    <phoneticPr fontId="3" type="noConversion"/>
  </si>
  <si>
    <t>유형자산</t>
    <phoneticPr fontId="3" type="noConversion"/>
  </si>
  <si>
    <t>AMPC 반영 전 매출원가</t>
    <phoneticPr fontId="3" type="noConversion"/>
  </si>
  <si>
    <t>매출원가율</t>
    <phoneticPr fontId="3" type="noConversion"/>
  </si>
  <si>
    <t>매출액</t>
  </si>
  <si>
    <t>금융비용의 경우, 2개년도 이동평균 flat 적용함</t>
    <phoneticPr fontId="3" type="noConversion"/>
  </si>
  <si>
    <t>기타수익의 경우, 2개년도 이동평균 flat 적용함</t>
    <phoneticPr fontId="3" type="noConversion"/>
  </si>
  <si>
    <t>기타비용의 경우, 2개년도 이동평균 flat 적용함</t>
    <phoneticPr fontId="3" type="noConversion"/>
  </si>
  <si>
    <t>자기자본비율 (%)</t>
    <phoneticPr fontId="48" type="noConversion"/>
  </si>
  <si>
    <t>기말현금</t>
  </si>
  <si>
    <t>당좌비율 (%)</t>
    <phoneticPr fontId="48" type="noConversion"/>
  </si>
  <si>
    <t>기초현금</t>
  </si>
  <si>
    <t>유동비율 (%)</t>
  </si>
  <si>
    <t>현금의 증가</t>
  </si>
  <si>
    <t>부채비율 (%)</t>
  </si>
  <si>
    <t>기타재무활동</t>
  </si>
  <si>
    <t>ROIC (%)</t>
  </si>
  <si>
    <t xml:space="preserve"> 배당금의 지급</t>
  </si>
  <si>
    <t>ROE (%)</t>
  </si>
  <si>
    <t>자본의 증가(감소)</t>
  </si>
  <si>
    <t>ROA (%)</t>
  </si>
  <si>
    <t>장단기금융부채의 증가(감소)</t>
  </si>
  <si>
    <t>매입채무 회전일수</t>
    <phoneticPr fontId="48" type="noConversion"/>
  </si>
  <si>
    <t>재무활동으로 인한 현금흐름</t>
  </si>
  <si>
    <t>재고자산 회전일수</t>
    <phoneticPr fontId="48" type="noConversion"/>
  </si>
  <si>
    <t>기타투자활동</t>
  </si>
  <si>
    <t>% Capex / D&amp;A</t>
    <phoneticPr fontId="3" type="noConversion"/>
  </si>
  <si>
    <t>매출채권 회전일수</t>
    <phoneticPr fontId="48" type="noConversion"/>
  </si>
  <si>
    <t>장단기금융자산의 감소(증가)</t>
  </si>
  <si>
    <t>% D&amp;A / Sales</t>
    <phoneticPr fontId="3" type="noConversion"/>
  </si>
  <si>
    <t>EPS증가율 (%)</t>
  </si>
  <si>
    <t>무형자산감소(증가)</t>
  </si>
  <si>
    <t>% Capex / Sales</t>
    <phoneticPr fontId="3" type="noConversion"/>
  </si>
  <si>
    <t>조정영업이익증가율 (%)</t>
  </si>
  <si>
    <t>유형자산처분(취득)</t>
  </si>
  <si>
    <t>% Net Capex / Sales</t>
    <phoneticPr fontId="3" type="noConversion"/>
  </si>
  <si>
    <t>EBITDA증가율 (%)</t>
  </si>
  <si>
    <t>투자활동으로 인한 현금흐름</t>
  </si>
  <si>
    <t>Ratio &amp; Assumption</t>
    <phoneticPr fontId="3" type="noConversion"/>
  </si>
  <si>
    <t>매출액증가율 (%)</t>
  </si>
  <si>
    <t>기타</t>
    <phoneticPr fontId="48" type="noConversion"/>
  </si>
  <si>
    <t>Net Capex</t>
    <phoneticPr fontId="3" type="noConversion"/>
  </si>
  <si>
    <t>배당수익률 (%)</t>
  </si>
  <si>
    <t>법인세납부</t>
    <phoneticPr fontId="48" type="noConversion"/>
  </si>
  <si>
    <t>기말 유형자산</t>
    <phoneticPr fontId="56" type="noConversion"/>
  </si>
  <si>
    <t>배당성향 (%)</t>
  </si>
  <si>
    <r>
      <rPr>
        <sz val="10"/>
        <color theme="1"/>
        <rFont val="맑은 고딕"/>
        <family val="2"/>
        <charset val="129"/>
      </rPr>
      <t>감가상각비</t>
    </r>
    <phoneticPr fontId="3" type="noConversion"/>
  </si>
  <si>
    <t>DPS (원)</t>
  </si>
  <si>
    <t>Capex</t>
    <phoneticPr fontId="3" type="noConversion"/>
  </si>
  <si>
    <t>BPS (원)</t>
  </si>
  <si>
    <t>EPS (원)</t>
  </si>
  <si>
    <t>EV/EBITDA (x)</t>
  </si>
  <si>
    <t>P/B (x)</t>
  </si>
  <si>
    <t>현금전환주기</t>
    <phoneticPr fontId="56" type="noConversion"/>
  </si>
  <si>
    <t>P/E (x)</t>
  </si>
  <si>
    <t>영업활동으로 인한 현금흐름</t>
  </si>
  <si>
    <r>
      <rPr>
        <sz val="10"/>
        <color theme="1"/>
        <rFont val="맑은 고딕"/>
        <family val="2"/>
        <charset val="129"/>
      </rPr>
      <t>매입채무회전일수</t>
    </r>
    <phoneticPr fontId="3" type="noConversion"/>
  </si>
  <si>
    <t>2025E</t>
    <phoneticPr fontId="48" type="noConversion"/>
  </si>
  <si>
    <t>2024E</t>
    <phoneticPr fontId="48" type="noConversion"/>
  </si>
  <si>
    <t>예상 주당가치 및 valuation (요약)</t>
  </si>
  <si>
    <t>예상 현금흐름표 (요약) (십억원)</t>
  </si>
  <si>
    <r>
      <rPr>
        <sz val="10"/>
        <color theme="1"/>
        <rFont val="맑은 고딕"/>
        <family val="2"/>
        <charset val="129"/>
      </rPr>
      <t>재고자산회전일수</t>
    </r>
    <phoneticPr fontId="3" type="noConversion"/>
  </si>
  <si>
    <r>
      <rPr>
        <sz val="10"/>
        <color theme="1"/>
        <rFont val="맑은 고딕"/>
        <family val="2"/>
        <charset val="129"/>
      </rPr>
      <t>매출채권회전일수</t>
    </r>
    <phoneticPr fontId="3" type="noConversion"/>
  </si>
  <si>
    <t>자본총계</t>
  </si>
  <si>
    <t>지배주주귀속 순이익률 (%)</t>
  </si>
  <si>
    <t xml:space="preserve">회전일수 </t>
    <phoneticPr fontId="3" type="noConversion"/>
  </si>
  <si>
    <t>비지배주주지분</t>
  </si>
  <si>
    <t>영업이익률 (%)</t>
  </si>
  <si>
    <t>이익잉여금</t>
  </si>
  <si>
    <t>EBITDA 마진율 (%)</t>
  </si>
  <si>
    <t>순운전자본의 변동</t>
    <phoneticPr fontId="56" type="noConversion"/>
  </si>
  <si>
    <t>자본잉여금</t>
  </si>
  <si>
    <t>FCF</t>
  </si>
  <si>
    <t>순운전자본</t>
    <phoneticPr fontId="56" type="noConversion"/>
  </si>
  <si>
    <t>자본금</t>
  </si>
  <si>
    <t>EBITDA</t>
  </si>
  <si>
    <t>영업용 유동부채</t>
    <phoneticPr fontId="56" type="noConversion"/>
  </si>
  <si>
    <t>지배주주지분</t>
  </si>
  <si>
    <t>비지배주주</t>
  </si>
  <si>
    <t>매입채무</t>
    <phoneticPr fontId="56" type="noConversion"/>
  </si>
  <si>
    <t>현재주가</t>
    <phoneticPr fontId="48" type="noConversion"/>
  </si>
  <si>
    <t>부채총계</t>
  </si>
  <si>
    <t>지배주주</t>
  </si>
  <si>
    <t>영업용 유동자산</t>
    <phoneticPr fontId="56" type="noConversion"/>
  </si>
  <si>
    <t>시가총액</t>
    <phoneticPr fontId="48" type="noConversion"/>
  </si>
  <si>
    <t>기타비유동부채</t>
  </si>
  <si>
    <t>총포괄이익</t>
  </si>
  <si>
    <t>재고자산</t>
    <phoneticPr fontId="3" type="noConversion"/>
  </si>
  <si>
    <t>Enterprise Value</t>
    <phoneticPr fontId="48" type="noConversion"/>
  </si>
  <si>
    <t>장기금융부채</t>
  </si>
  <si>
    <t>매출채권</t>
    <phoneticPr fontId="3" type="noConversion"/>
  </si>
  <si>
    <t>유동주식수</t>
    <phoneticPr fontId="48" type="noConversion"/>
  </si>
  <si>
    <t>비유동부채</t>
  </si>
  <si>
    <t xml:space="preserve">Change in Net Working Capital </t>
    <phoneticPr fontId="3" type="noConversion"/>
  </si>
  <si>
    <t>(단위: 십억원)</t>
    <phoneticPr fontId="48" type="noConversion"/>
  </si>
  <si>
    <t>기타유동부채</t>
  </si>
  <si>
    <t>단기금융부채</t>
  </si>
  <si>
    <t>중단사업이익</t>
  </si>
  <si>
    <r>
      <t>FCF(</t>
    </r>
    <r>
      <rPr>
        <b/>
        <sz val="10"/>
        <color theme="1"/>
        <rFont val="새굴림"/>
        <family val="1"/>
        <charset val="129"/>
      </rPr>
      <t>잉여현금흐름</t>
    </r>
    <r>
      <rPr>
        <b/>
        <sz val="10"/>
        <color theme="1"/>
        <rFont val="Arial"/>
        <family val="2"/>
      </rPr>
      <t>)</t>
    </r>
    <phoneticPr fontId="66" type="noConversion"/>
  </si>
  <si>
    <t>매입채무 및 기타채무</t>
  </si>
  <si>
    <t>계속사업이익</t>
  </si>
  <si>
    <t>FCFF(기업잉여현금흐름)</t>
    <phoneticPr fontId="66" type="noConversion"/>
  </si>
  <si>
    <t>유동부채</t>
  </si>
  <si>
    <t>법인세 비용</t>
    <phoneticPr fontId="48" type="noConversion"/>
  </si>
  <si>
    <t>(-) Reinvestment</t>
    <phoneticPr fontId="66" type="noConversion"/>
  </si>
  <si>
    <t>자산총계</t>
  </si>
  <si>
    <t>세전계속사업손익</t>
  </si>
  <si>
    <t>Net Capex</t>
    <phoneticPr fontId="66" type="noConversion"/>
  </si>
  <si>
    <t>25년 자산총계</t>
    <phoneticPr fontId="48" type="noConversion"/>
  </si>
  <si>
    <t>24년 자산총계</t>
    <phoneticPr fontId="48" type="noConversion"/>
  </si>
  <si>
    <t>무형자산</t>
  </si>
  <si>
    <t>관계기업등 투자손익</t>
  </si>
  <si>
    <t>Change in NWC</t>
    <phoneticPr fontId="66" type="noConversion"/>
  </si>
  <si>
    <t>유형자산</t>
  </si>
  <si>
    <t>금융손익</t>
  </si>
  <si>
    <t xml:space="preserve">  % Yoy Growth</t>
    <phoneticPr fontId="3" type="noConversion"/>
  </si>
  <si>
    <t>투자자산</t>
    <phoneticPr fontId="48" type="noConversion"/>
  </si>
  <si>
    <t>비영업손익</t>
  </si>
  <si>
    <r>
      <t>NOPAT(</t>
    </r>
    <r>
      <rPr>
        <b/>
        <sz val="10"/>
        <color theme="1"/>
        <rFont val="맑은 고딕"/>
        <family val="2"/>
        <charset val="129"/>
      </rPr>
      <t>세후영업이익</t>
    </r>
    <r>
      <rPr>
        <b/>
        <sz val="10"/>
        <color theme="1"/>
        <rFont val="Arial"/>
        <family val="2"/>
      </rPr>
      <t>)</t>
    </r>
    <phoneticPr fontId="66" type="noConversion"/>
  </si>
  <si>
    <t>비유동자산</t>
  </si>
  <si>
    <t>이자비용</t>
    <phoneticPr fontId="66" type="noConversion"/>
  </si>
  <si>
    <t>기타유동자산</t>
  </si>
  <si>
    <t>조정영업이익</t>
  </si>
  <si>
    <t>FCF = FCFF - Int*(1-tex rate)</t>
    <phoneticPr fontId="48" type="noConversion"/>
  </si>
  <si>
    <r>
      <t>EBIT</t>
    </r>
    <r>
      <rPr>
        <sz val="10"/>
        <color theme="1"/>
        <rFont val="맑은 고딕"/>
        <family val="2"/>
        <charset val="129"/>
      </rPr>
      <t>법인세</t>
    </r>
    <phoneticPr fontId="66" type="noConversion"/>
  </si>
  <si>
    <t>(-)</t>
    <phoneticPr fontId="66" type="noConversion"/>
  </si>
  <si>
    <t>재고자산</t>
  </si>
  <si>
    <t>판매비와관리비</t>
  </si>
  <si>
    <t>FCF = NI + NCC - Capex -WC</t>
    <phoneticPr fontId="48" type="noConversion"/>
  </si>
  <si>
    <t xml:space="preserve">  % effective tax rate</t>
    <phoneticPr fontId="3" type="noConversion"/>
  </si>
  <si>
    <t>매출채권 및 기타채권</t>
  </si>
  <si>
    <t>FCFF = NI + NCC + Int*(1-tex rate) - Capex -WC</t>
    <phoneticPr fontId="48" type="noConversion"/>
  </si>
  <si>
    <t>EBIT</t>
    <phoneticPr fontId="66" type="noConversion"/>
  </si>
  <si>
    <t>현금 및 현금성자산</t>
  </si>
  <si>
    <t>in KRW Mn</t>
    <phoneticPr fontId="3" type="noConversion"/>
  </si>
  <si>
    <t>유동자산</t>
  </si>
  <si>
    <t>◀ 해당 내용 참고하여 작성함</t>
    <phoneticPr fontId="48" type="noConversion"/>
  </si>
  <si>
    <t>FCF란 뭘까? (brunch.co.kr)</t>
  </si>
  <si>
    <t>Projection</t>
    <phoneticPr fontId="3" type="noConversion"/>
  </si>
  <si>
    <t>Historical</t>
    <phoneticPr fontId="56" type="noConversion"/>
  </si>
  <si>
    <t>예상 재무상태표 (요약)</t>
  </si>
  <si>
    <t>예상 포괄손익계산서 (요약)</t>
  </si>
  <si>
    <t>`</t>
    <phoneticPr fontId="48" type="noConversion"/>
  </si>
  <si>
    <t>*틀린 부분이 있거나 더 좋은 추정 방식이 있을경우 적극적으로 업데이트해서 좋은 양식으로 발전시켰으면 좋겠습니다. 후배 기수 회계사님들 잘 부탁드립니다.</t>
    <phoneticPr fontId="48" type="noConversion"/>
  </si>
  <si>
    <t>하드코딩(Data 직접 입력)</t>
    <phoneticPr fontId="48" type="noConversion"/>
  </si>
  <si>
    <t>기존 수식 활용</t>
    <phoneticPr fontId="48" type="noConversion"/>
  </si>
  <si>
    <t>*회계 공부를 해 본 적이 없는 그냥 평범한 사람이 만든 양식입니다. 참고하여 요약재무제표 만들어 주시기를 바랍니다. (36기 홍우현 제작)</t>
    <phoneticPr fontId="48" type="noConversion"/>
  </si>
  <si>
    <t>다른 시트 참조</t>
    <phoneticPr fontId="48" type="noConversion"/>
  </si>
  <si>
    <t>추정치 입력</t>
    <phoneticPr fontId="48" type="noConversion"/>
  </si>
  <si>
    <t>Format</t>
    <phoneticPr fontId="48" type="noConversion"/>
  </si>
  <si>
    <t>법인세비용의 경우, 흑자시 표준세율을 적용함</t>
    <phoneticPr fontId="3" type="noConversion"/>
  </si>
  <si>
    <t>유형자산 감가상각비</t>
    <phoneticPr fontId="48" type="noConversion"/>
  </si>
  <si>
    <t>무형자산 상각비</t>
    <phoneticPr fontId="48" type="noConversion"/>
  </si>
  <si>
    <t>영업활동 자산부채 변동</t>
    <phoneticPr fontId="48" type="noConversion"/>
  </si>
  <si>
    <t>]</t>
    <phoneticPr fontId="3" type="noConversion"/>
  </si>
  <si>
    <t>사용권자산 상각비</t>
    <phoneticPr fontId="48" type="noConversion"/>
  </si>
  <si>
    <t>감가상각비(계)</t>
    <phoneticPr fontId="48" type="noConversion"/>
  </si>
  <si>
    <t>N/A</t>
    <phoneticPr fontId="3" type="noConversion"/>
  </si>
  <si>
    <t>적전</t>
    <phoneticPr fontId="3" type="noConversion"/>
  </si>
  <si>
    <t>적지</t>
    <phoneticPr fontId="3" type="noConversion"/>
  </si>
  <si>
    <t>흑전</t>
    <phoneticPr fontId="3" type="noConversion"/>
  </si>
  <si>
    <t>한화솔루션 EV/EBITDA Valuation</t>
    <phoneticPr fontId="3" type="noConversion"/>
  </si>
  <si>
    <t>25E EBITDA</t>
    <phoneticPr fontId="3" type="noConversion"/>
  </si>
  <si>
    <t>(억원)</t>
    <phoneticPr fontId="3" type="noConversion"/>
  </si>
  <si>
    <t>Target EV/EBITDA</t>
    <phoneticPr fontId="3" type="noConversion"/>
  </si>
  <si>
    <t>(배)</t>
  </si>
  <si>
    <t>신재생에너지 업종 평균 25% 할인</t>
    <phoneticPr fontId="3" type="noConversion"/>
  </si>
  <si>
    <t>신재생에너지 업종 12mf EV/EBITDA</t>
    <phoneticPr fontId="3" type="noConversion"/>
  </si>
  <si>
    <t>EV</t>
    <phoneticPr fontId="3" type="noConversion"/>
  </si>
  <si>
    <t>(억원)</t>
  </si>
  <si>
    <t>(A)</t>
    <phoneticPr fontId="3" type="noConversion"/>
  </si>
  <si>
    <t>비영업가치</t>
    <phoneticPr fontId="3" type="noConversion"/>
  </si>
  <si>
    <t>(B) 장부가 50% 할인</t>
    <phoneticPr fontId="3" type="noConversion"/>
  </si>
  <si>
    <t>관계기업/공동기업</t>
    <phoneticPr fontId="3" type="noConversion"/>
  </si>
  <si>
    <t>한화임팩트</t>
    <phoneticPr fontId="3" type="noConversion"/>
  </si>
  <si>
    <t>한화호텔앤드리조트</t>
    <phoneticPr fontId="3" type="noConversion"/>
  </si>
  <si>
    <t>공동기업</t>
    <phoneticPr fontId="3" type="noConversion"/>
  </si>
  <si>
    <t>여천NCC</t>
    <phoneticPr fontId="3" type="noConversion"/>
  </si>
  <si>
    <t>순차입금</t>
    <phoneticPr fontId="3" type="noConversion"/>
  </si>
  <si>
    <t>(C)</t>
    <phoneticPr fontId="3" type="noConversion"/>
  </si>
  <si>
    <t>비지배지분</t>
    <phoneticPr fontId="3" type="noConversion"/>
  </si>
  <si>
    <t>(D)</t>
    <phoneticPr fontId="3" type="noConversion"/>
  </si>
  <si>
    <t>주주가치</t>
    <phoneticPr fontId="3" type="noConversion"/>
  </si>
  <si>
    <t>(A)+(B)-(C)-(D)</t>
    <phoneticPr fontId="3" type="noConversion"/>
  </si>
  <si>
    <t>발행주식수</t>
    <phoneticPr fontId="3" type="noConversion"/>
  </si>
  <si>
    <t>Target Price</t>
  </si>
  <si>
    <t>목표주가 43,000 원</t>
    <phoneticPr fontId="3" type="noConversion"/>
  </si>
  <si>
    <t>Current Price</t>
  </si>
  <si>
    <t>Upside</t>
  </si>
  <si>
    <t xml:space="preserve">    Chungang-Univ. Financial Institute</t>
    <phoneticPr fontId="66" type="noConversion"/>
  </si>
  <si>
    <t>R.F.S .</t>
    <phoneticPr fontId="66" type="noConversion"/>
  </si>
  <si>
    <t>Valuation Model</t>
    <phoneticPr fontId="66" type="noConversion"/>
  </si>
  <si>
    <t>RFS 정식 회원 외 본 가치평가 모델의 무단 사용 및 수정을 금하며, 본 양식의 원 저작권은 중앙대학교 R.F.S. 학회에 있음을 밝힙니다.</t>
    <phoneticPr fontId="66" type="noConversion"/>
  </si>
  <si>
    <t>원 제작자: 28기 김 건 (zzkan103@gmail.com)</t>
    <phoneticPr fontId="66" type="noConversion"/>
  </si>
  <si>
    <t xml:space="preserve">1st Version: 2021.03.02 </t>
    <phoneticPr fontId="66" type="noConversion"/>
  </si>
  <si>
    <r>
      <t xml:space="preserve">Estimation Sheets </t>
    </r>
    <r>
      <rPr>
        <b/>
        <sz val="18"/>
        <color indexed="9"/>
        <rFont val="Arial"/>
        <family val="2"/>
      </rPr>
      <t xml:space="preserve">&gt;&gt;&gt; </t>
    </r>
    <phoneticPr fontId="66" type="noConversion"/>
  </si>
  <si>
    <t>한화솔루션(009830.KS)_EV/EBITDA</t>
    <phoneticPr fontId="66" type="noConversion"/>
  </si>
  <si>
    <r>
      <t xml:space="preserve">HISTORICAL DATA </t>
    </r>
    <r>
      <rPr>
        <b/>
        <sz val="18"/>
        <color indexed="9"/>
        <rFont val="Arial"/>
        <family val="2"/>
      </rPr>
      <t xml:space="preserve">&gt;&gt;&gt; </t>
    </r>
    <phoneticPr fontId="6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</si>
</sst>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0_-;\-* #,##0_-;_-* &quot;-&quot;_-;_-@_-"/>
    <numFmt numFmtId="43" formatCode="_-* #,##0.00_-;\-* #,##0.00_-;_-* &quot;-&quot;??_-;_-@_-"/>
    <numFmt numFmtId="176" formatCode="#,##0_ ;[Red]\-#,##0\ "/>
    <numFmt numFmtId="177" formatCode="0_);[Red]\(0\)"/>
    <numFmt numFmtId="178" formatCode="0.00_);[Red]\(0.00\)"/>
    <numFmt numFmtId="179" formatCode="0.0%"/>
    <numFmt numFmtId="180" formatCode="0.0_);[Red]\(0.0\)"/>
    <numFmt numFmtId="181" formatCode="0.0"/>
    <numFmt numFmtId="182" formatCode="_-* #,##0.0_-;\-* #,##0.0_-;_-* &quot;-&quot;_-;_-@_-"/>
    <numFmt numFmtId="183" formatCode="#,##0_ "/>
    <numFmt numFmtId="184" formatCode="#,##0.00_ "/>
    <numFmt numFmtId="185" formatCode="#,##0.0_);\(#,##0.0\)"/>
    <numFmt numFmtId="186" formatCode="_(* #,##0.0_);_(* \(#,##0.0\);_(* &quot;-&quot;??_);_(@_)"/>
    <numFmt numFmtId="187" formatCode="#,##0.0;[Red]\-#,##0.0"/>
    <numFmt numFmtId="188" formatCode="&quot;FY&quot;0000&quot;E&quot;"/>
    <numFmt numFmtId="189" formatCode="&quot;FY&quot;0000"/>
    <numFmt numFmtId="190" formatCode="#,##0.0"/>
    <numFmt numFmtId="191" formatCode="0.0_ "/>
    <numFmt numFmtId="192" formatCode="0.00000000000_ "/>
    <numFmt numFmtId="193" formatCode="0.0000000000_ "/>
    <numFmt numFmtId="194" formatCode="#,##0_);[Red]\(#,##0\)"/>
  </numFmts>
  <fonts count="99">
    <font>
      <sz val="12"/>
      <color theme="1"/>
      <name val="맑은 고딕"/>
      <family val="2"/>
      <charset val="129"/>
      <scheme val="minor"/>
    </font>
    <font>
      <sz val="11"/>
      <color theme="1"/>
      <name val="맑은 고딕"/>
      <family val="2"/>
      <charset val="129"/>
      <scheme val="minor"/>
    </font>
    <font>
      <sz val="12"/>
      <color theme="1"/>
      <name val="맑은 고딕"/>
      <family val="2"/>
      <charset val="129"/>
      <scheme val="minor"/>
    </font>
    <font>
      <sz val="8"/>
      <name val="맑은 고딕"/>
      <family val="2"/>
      <charset val="129"/>
      <scheme val="minor"/>
    </font>
    <font>
      <sz val="12"/>
      <color theme="1"/>
      <name val="KoPubWorld돋움체 Light"/>
      <family val="3"/>
      <charset val="129"/>
    </font>
    <font>
      <b/>
      <sz val="10"/>
      <color theme="0"/>
      <name val="Arial"/>
      <family val="2"/>
      <charset val="129"/>
    </font>
    <font>
      <b/>
      <sz val="10"/>
      <color theme="0"/>
      <name val="Arial"/>
      <family val="2"/>
    </font>
    <font>
      <sz val="10"/>
      <color theme="0"/>
      <name val="Arial"/>
      <family val="2"/>
    </font>
    <font>
      <b/>
      <sz val="14"/>
      <color theme="0"/>
      <name val="Arial"/>
      <family val="2"/>
    </font>
    <font>
      <i/>
      <sz val="10"/>
      <color theme="0"/>
      <name val="Arial"/>
      <family val="2"/>
    </font>
    <font>
      <sz val="10"/>
      <color theme="0"/>
      <name val="KoPubWorld돋움체 Bold"/>
      <family val="3"/>
      <charset val="129"/>
    </font>
    <font>
      <sz val="10"/>
      <color theme="1"/>
      <name val="KoPubWorld돋움체 Bold"/>
      <family val="3"/>
      <charset val="129"/>
    </font>
    <font>
      <sz val="9"/>
      <color theme="1"/>
      <name val="Arial"/>
      <family val="2"/>
    </font>
    <font>
      <b/>
      <sz val="9"/>
      <color rgb="FFFFFFFF"/>
      <name val="Arial"/>
      <family val="2"/>
    </font>
    <font>
      <sz val="9"/>
      <color rgb="FF325886"/>
      <name val="Arial"/>
      <family val="2"/>
    </font>
    <font>
      <sz val="9"/>
      <color rgb="FF325886"/>
      <name val="맑은 고딕"/>
      <family val="2"/>
      <charset val="129"/>
      <scheme val="minor"/>
    </font>
    <font>
      <sz val="9"/>
      <color rgb="FF000000"/>
      <name val="Arial"/>
      <family val="2"/>
    </font>
    <font>
      <sz val="9"/>
      <color rgb="FF0070C0"/>
      <name val="Arial"/>
      <family val="2"/>
    </font>
    <font>
      <sz val="8"/>
      <color indexed="54"/>
      <name val="Tahoma"/>
      <family val="2"/>
    </font>
    <font>
      <b/>
      <sz val="10"/>
      <color theme="0"/>
      <name val="KoPubWorld돋움체 Bold"/>
      <family val="3"/>
      <charset val="129"/>
    </font>
    <font>
      <i/>
      <sz val="10"/>
      <color theme="0"/>
      <name val="KoPubWorld돋움체 Bold"/>
      <family val="3"/>
      <charset val="129"/>
    </font>
    <font>
      <sz val="12"/>
      <color theme="1"/>
      <name val="KoPubWorld돋움체 Medium"/>
      <family val="3"/>
      <charset val="129"/>
    </font>
    <font>
      <sz val="10"/>
      <color theme="1"/>
      <name val="KoPubWorld돋움체 Medium"/>
      <family val="3"/>
      <charset val="129"/>
    </font>
    <font>
      <sz val="10"/>
      <color theme="1"/>
      <name val="맑은 고딕"/>
      <family val="2"/>
      <charset val="129"/>
      <scheme val="minor"/>
    </font>
    <font>
      <sz val="10"/>
      <name val="KoPubWorld돋움체 Medium"/>
      <family val="3"/>
      <charset val="129"/>
    </font>
    <font>
      <sz val="10"/>
      <color theme="0"/>
      <name val="KoPubWorld돋움체 Medium"/>
      <family val="3"/>
      <charset val="129"/>
    </font>
    <font>
      <sz val="9"/>
      <color theme="1"/>
      <name val="KoPubWorld돋움체 Medium"/>
      <family val="3"/>
      <charset val="129"/>
    </font>
    <font>
      <sz val="9"/>
      <color rgb="FF000000"/>
      <name val="KoPubWorld돋움체 Medium"/>
      <family val="3"/>
      <charset val="129"/>
    </font>
    <font>
      <sz val="12"/>
      <color theme="0"/>
      <name val="맑은 고딕"/>
      <family val="2"/>
      <charset val="129"/>
      <scheme val="minor"/>
    </font>
    <font>
      <sz val="11"/>
      <color theme="1"/>
      <name val="맑은 고딕"/>
      <family val="2"/>
      <charset val="129"/>
      <scheme val="minor"/>
    </font>
    <font>
      <sz val="9"/>
      <color theme="1"/>
      <name val="KoPubWorld돋움체 Bold"/>
      <family val="3"/>
      <charset val="129"/>
    </font>
    <font>
      <sz val="9"/>
      <name val="KoPubWorld돋움체 Bold"/>
      <family val="3"/>
      <charset val="129"/>
    </font>
    <font>
      <i/>
      <sz val="9"/>
      <color theme="1"/>
      <name val="KoPubWorld돋움체 Medium"/>
      <family val="3"/>
      <charset val="129"/>
    </font>
    <font>
      <sz val="9"/>
      <name val="KoPubWorld돋움체 Medium"/>
      <family val="3"/>
      <charset val="129"/>
    </font>
    <font>
      <i/>
      <sz val="9"/>
      <name val="KoPubWorld돋움체 Medium"/>
      <family val="3"/>
      <charset val="129"/>
    </font>
    <font>
      <sz val="9"/>
      <color theme="0"/>
      <name val="KoPubWorld돋움체 Medium"/>
      <family val="3"/>
      <charset val="129"/>
    </font>
    <font>
      <sz val="9"/>
      <color theme="0"/>
      <name val="KoPubWorld돋움체 Bold"/>
      <family val="3"/>
      <charset val="129"/>
    </font>
    <font>
      <sz val="11"/>
      <color theme="1"/>
      <name val="KoPubWorld돋움체 Medium"/>
      <family val="3"/>
      <charset val="129"/>
    </font>
    <font>
      <b/>
      <sz val="10"/>
      <color theme="0"/>
      <name val="Malgun Gothic"/>
      <family val="2"/>
      <charset val="129"/>
    </font>
    <font>
      <sz val="6"/>
      <color theme="1"/>
      <name val="KoPubWorld돋움체 Medium"/>
      <family val="3"/>
      <charset val="129"/>
    </font>
    <font>
      <sz val="7"/>
      <color rgb="FF000000"/>
      <name val="KoPubWorld돋움체 Medium"/>
      <family val="3"/>
      <charset val="129"/>
    </font>
    <font>
      <i/>
      <sz val="9"/>
      <color theme="2" tint="-0.499984740745262"/>
      <name val="KoPubWorld돋움체 Medium"/>
      <family val="3"/>
      <charset val="129"/>
    </font>
    <font>
      <i/>
      <sz val="9"/>
      <color theme="1"/>
      <name val="맑은 고딕"/>
      <family val="2"/>
      <charset val="129"/>
      <scheme val="minor"/>
    </font>
    <font>
      <i/>
      <sz val="10"/>
      <color theme="0"/>
      <name val="KoPubWorld돋움체 Medium"/>
      <family val="3"/>
      <charset val="129"/>
    </font>
    <font>
      <sz val="14"/>
      <color theme="0"/>
      <name val="KoPubWorld돋움체 Medium"/>
      <family val="3"/>
      <charset val="129"/>
    </font>
    <font>
      <sz val="11"/>
      <color theme="1"/>
      <name val="맑은 고딕"/>
      <family val="2"/>
      <scheme val="minor"/>
    </font>
    <font>
      <sz val="6"/>
      <color rgb="FF000000"/>
      <name val="KoPub돋움체_Pro Light"/>
      <family val="3"/>
      <charset val="129"/>
    </font>
    <font>
      <sz val="7"/>
      <color rgb="FF000000"/>
      <name val="KoPubWorld돋움체 Light"/>
      <family val="3"/>
      <charset val="129"/>
    </font>
    <font>
      <sz val="8"/>
      <name val="맑은 고딕"/>
      <family val="3"/>
      <charset val="129"/>
      <scheme val="minor"/>
    </font>
    <font>
      <sz val="7"/>
      <color theme="1"/>
      <name val="KoPubWorld돋움체 Light"/>
      <family val="3"/>
      <charset val="129"/>
    </font>
    <font>
      <sz val="10"/>
      <color rgb="FF000000"/>
      <name val="KoPubWorld돋움체 Light"/>
      <family val="3"/>
      <charset val="129"/>
    </font>
    <font>
      <i/>
      <sz val="9"/>
      <color theme="1"/>
      <name val="Arial"/>
      <family val="2"/>
    </font>
    <font>
      <sz val="10"/>
      <color theme="1"/>
      <name val="Arial"/>
      <family val="2"/>
    </font>
    <font>
      <sz val="11"/>
      <color theme="0"/>
      <name val="Arial"/>
      <family val="2"/>
    </font>
    <font>
      <b/>
      <sz val="11"/>
      <color theme="1"/>
      <name val="Arial"/>
      <family val="2"/>
    </font>
    <font>
      <sz val="10"/>
      <color rgb="FF008000"/>
      <name val="Arial"/>
      <family val="2"/>
    </font>
    <font>
      <sz val="8"/>
      <name val="MalgunGothic"/>
      <family val="2"/>
      <charset val="129"/>
    </font>
    <font>
      <sz val="10"/>
      <color theme="1"/>
      <name val="맑은 고딕"/>
      <family val="2"/>
      <charset val="129"/>
    </font>
    <font>
      <sz val="10"/>
      <color rgb="FF6600CC"/>
      <name val="Arial"/>
      <family val="2"/>
    </font>
    <font>
      <b/>
      <sz val="10"/>
      <color theme="1"/>
      <name val="Arial"/>
      <family val="2"/>
    </font>
    <font>
      <sz val="10"/>
      <color theme="1"/>
      <name val="Malgun Gothic"/>
      <family val="2"/>
      <charset val="129"/>
    </font>
    <font>
      <sz val="7"/>
      <color rgb="FFFFFFFF"/>
      <name val="KoPubWorld돋움체 Medium"/>
      <family val="3"/>
      <charset val="129"/>
    </font>
    <font>
      <sz val="8"/>
      <color rgb="FF000000"/>
      <name val="KoPubWorld돋움체 Light"/>
      <family val="3"/>
      <charset val="129"/>
    </font>
    <font>
      <sz val="9"/>
      <color theme="1"/>
      <name val="맑은 고딕"/>
      <family val="3"/>
      <charset val="129"/>
      <scheme val="minor"/>
    </font>
    <font>
      <sz val="8"/>
      <color theme="1"/>
      <name val="맑은 고딕"/>
      <family val="3"/>
      <charset val="129"/>
      <scheme val="minor"/>
    </font>
    <font>
      <b/>
      <sz val="10"/>
      <color theme="1"/>
      <name val="새굴림"/>
      <family val="1"/>
      <charset val="129"/>
    </font>
    <font>
      <sz val="8"/>
      <name val="맑은 고딕"/>
      <family val="2"/>
      <charset val="129"/>
    </font>
    <font>
      <b/>
      <sz val="10"/>
      <color theme="1"/>
      <name val="맑은 고딕"/>
      <family val="2"/>
      <charset val="129"/>
    </font>
    <font>
      <sz val="10"/>
      <color theme="1"/>
      <name val="새굴림"/>
      <family val="2"/>
      <charset val="129"/>
    </font>
    <font>
      <i/>
      <sz val="9"/>
      <color rgb="FF008000"/>
      <name val="Arial"/>
      <family val="2"/>
    </font>
    <font>
      <b/>
      <sz val="10"/>
      <color rgb="FF008000"/>
      <name val="Arial"/>
      <family val="2"/>
    </font>
    <font>
      <b/>
      <i/>
      <sz val="10"/>
      <color rgb="FF002D72"/>
      <name val="Arial"/>
      <family val="2"/>
    </font>
    <font>
      <b/>
      <sz val="10"/>
      <color rgb="FF002D72"/>
      <name val="Arial"/>
      <family val="2"/>
    </font>
    <font>
      <u/>
      <sz val="11"/>
      <color theme="10"/>
      <name val="맑은 고딕"/>
      <family val="2"/>
      <scheme val="minor"/>
    </font>
    <font>
      <b/>
      <i/>
      <sz val="10"/>
      <color theme="0"/>
      <name val="Arial"/>
      <family val="2"/>
    </font>
    <font>
      <b/>
      <sz val="8"/>
      <color theme="1"/>
      <name val="맑은 고딕"/>
      <family val="2"/>
      <scheme val="minor"/>
    </font>
    <font>
      <b/>
      <sz val="8"/>
      <color theme="1"/>
      <name val="KoPubWorld돋움체 Light"/>
      <family val="3"/>
      <charset val="129"/>
    </font>
    <font>
      <b/>
      <sz val="10"/>
      <color rgb="FF000000"/>
      <name val="Malgun Gothic"/>
      <family val="2"/>
      <charset val="129"/>
    </font>
    <font>
      <sz val="10"/>
      <color rgb="FF000000"/>
      <name val="Malgun Gothic"/>
      <family val="2"/>
      <charset val="129"/>
    </font>
    <font>
      <b/>
      <sz val="9"/>
      <color indexed="81"/>
      <name val="돋움"/>
      <family val="3"/>
      <charset val="129"/>
    </font>
    <font>
      <b/>
      <sz val="9"/>
      <color indexed="81"/>
      <name val="Tahoma"/>
      <family val="2"/>
    </font>
    <font>
      <sz val="9"/>
      <color indexed="81"/>
      <name val="Tahoma"/>
      <family val="2"/>
    </font>
    <font>
      <b/>
      <sz val="9"/>
      <color rgb="FF000000"/>
      <name val="돋움"/>
      <family val="2"/>
      <charset val="129"/>
    </font>
    <font>
      <b/>
      <sz val="9"/>
      <color rgb="FF000000"/>
      <name val="Tahoma"/>
      <family val="2"/>
    </font>
    <font>
      <sz val="7"/>
      <color theme="0"/>
      <name val="KoPubWorld돋움체 Medium"/>
      <family val="3"/>
      <charset val="129"/>
    </font>
    <font>
      <sz val="10.5"/>
      <color theme="0"/>
      <name val="KoPubWorld돋움체 Bold"/>
      <family val="3"/>
      <charset val="129"/>
    </font>
    <font>
      <sz val="11"/>
      <color rgb="FF000000"/>
      <name val="굴림"/>
      <family val="3"/>
      <charset val="129"/>
    </font>
    <font>
      <b/>
      <sz val="10"/>
      <color theme="1"/>
      <name val="KoPubWorld돋움체 Medium"/>
      <family val="3"/>
      <charset val="129"/>
    </font>
    <font>
      <sz val="10"/>
      <color theme="1"/>
      <name val="맑은 고딕"/>
      <family val="3"/>
      <charset val="129"/>
      <scheme val="minor"/>
    </font>
    <font>
      <sz val="10"/>
      <color rgb="FF000000"/>
      <name val="KoPubWorld돋움체 Medium"/>
      <family val="3"/>
      <charset val="129"/>
    </font>
    <font>
      <b/>
      <sz val="22"/>
      <color theme="0"/>
      <name val="KoPubWorld돋움체 Bold"/>
      <family val="3"/>
      <charset val="129"/>
    </font>
    <font>
      <b/>
      <sz val="11"/>
      <color theme="0"/>
      <name val="KO"/>
      <family val="3"/>
      <charset val="129"/>
    </font>
    <font>
      <b/>
      <sz val="11"/>
      <color theme="0"/>
      <name val="Arial"/>
      <family val="2"/>
    </font>
    <font>
      <b/>
      <sz val="18"/>
      <color theme="0"/>
      <name val="Arial"/>
      <family val="2"/>
    </font>
    <font>
      <b/>
      <sz val="18"/>
      <color indexed="9"/>
      <name val="Arial"/>
      <family val="2"/>
    </font>
    <font>
      <sz val="12"/>
      <color theme="0"/>
      <name val="KoPubWorld돋움체 Bold"/>
      <family val="3"/>
      <charset val="129"/>
    </font>
    <font>
      <sz val="48"/>
      <color theme="0"/>
      <name val="KoPubWorld돋움체 Bold"/>
      <family val="3"/>
      <charset val="129"/>
    </font>
    <font>
      <sz val="11"/>
      <color theme="1"/>
      <name val="KoPubWorld돋움체 Bold"/>
      <family val="3"/>
      <charset val="129"/>
    </font>
    <font>
      <sz val="8"/>
      <color theme="1"/>
      <name val="KoPubWorld돋움체 Medium"/>
      <family val="3"/>
      <charset val="129"/>
    </font>
  </fonts>
  <fills count="21">
    <fill>
      <patternFill patternType="none"/>
    </fill>
    <fill>
      <patternFill patternType="gray125"/>
    </fill>
    <fill>
      <patternFill patternType="solid">
        <fgColor rgb="FF203864"/>
        <bgColor indexed="64"/>
      </patternFill>
    </fill>
    <fill>
      <patternFill patternType="solid">
        <fgColor rgb="FFD0CECE"/>
        <bgColor indexed="64"/>
      </patternFill>
    </fill>
    <fill>
      <patternFill patternType="solid">
        <fgColor theme="1"/>
        <bgColor indexed="64"/>
      </patternFill>
    </fill>
    <fill>
      <patternFill patternType="solid">
        <fgColor rgb="FF01185F"/>
        <bgColor indexed="64"/>
      </patternFill>
    </fill>
    <fill>
      <patternFill patternType="solid">
        <fgColor rgb="FFE7EEFD"/>
        <bgColor indexed="64"/>
      </patternFill>
    </fill>
    <fill>
      <patternFill patternType="solid">
        <fgColor rgb="FFABC3D6"/>
        <bgColor indexed="64"/>
      </patternFill>
    </fill>
    <fill>
      <patternFill patternType="solid">
        <fgColor rgb="FFD7D7D7"/>
        <bgColor indexed="64"/>
      </patternFill>
    </fill>
    <fill>
      <patternFill patternType="solid">
        <fgColor rgb="FFF7F9FF"/>
        <bgColor indexed="64"/>
      </patternFill>
    </fill>
    <fill>
      <patternFill patternType="solid">
        <fgColor rgb="FFEBEBEB"/>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rgb="FFB4C7E7"/>
        <bgColor indexed="64"/>
      </patternFill>
    </fill>
    <fill>
      <patternFill patternType="solid">
        <fgColor theme="1" tint="0.499984740745262"/>
        <bgColor indexed="64"/>
      </patternFill>
    </fill>
    <fill>
      <patternFill patternType="solid">
        <fgColor rgb="FF1F3864"/>
        <bgColor indexed="64"/>
      </patternFill>
    </fill>
    <fill>
      <patternFill patternType="solid">
        <fgColor rgb="FFE7E6E6"/>
        <bgColor indexed="64"/>
      </patternFill>
    </fill>
    <fill>
      <patternFill patternType="solid">
        <fgColor rgb="FF002060"/>
        <bgColor indexed="64"/>
      </patternFill>
    </fill>
    <fill>
      <patternFill patternType="solid">
        <fgColor rgb="FFFFFFFF"/>
        <bgColor indexed="64"/>
      </patternFill>
    </fill>
    <fill>
      <patternFill patternType="solid">
        <fgColor theme="2" tint="-9.9978637043366805E-2"/>
        <bgColor indexed="64"/>
      </patternFill>
    </fill>
  </fills>
  <borders count="63">
    <border>
      <left/>
      <right/>
      <top/>
      <bottom/>
      <diagonal/>
    </border>
    <border>
      <left/>
      <right/>
      <top/>
      <bottom style="thin">
        <color theme="0"/>
      </bottom>
      <diagonal/>
    </border>
    <border>
      <left/>
      <right/>
      <top/>
      <bottom style="thin">
        <color indexed="64"/>
      </bottom>
      <diagonal/>
    </border>
    <border>
      <left/>
      <right/>
      <top style="thin">
        <color indexed="64"/>
      </top>
      <bottom style="thin">
        <color indexed="64"/>
      </bottom>
      <diagonal/>
    </border>
    <border>
      <left style="thin">
        <color rgb="FF538DD5"/>
      </left>
      <right style="thin">
        <color rgb="FF538DD5"/>
      </right>
      <top style="thin">
        <color rgb="FF538DD5"/>
      </top>
      <bottom style="thin">
        <color rgb="FF538DD5"/>
      </bottom>
      <diagonal/>
    </border>
    <border>
      <left style="thin">
        <color rgb="FF538DD5"/>
      </left>
      <right style="thin">
        <color rgb="FF538DD5"/>
      </right>
      <top style="thin">
        <color rgb="FF538DD5"/>
      </top>
      <bottom/>
      <diagonal/>
    </border>
    <border>
      <left style="thin">
        <color rgb="FF538DD5"/>
      </left>
      <right/>
      <top style="thin">
        <color rgb="FF538DD5"/>
      </top>
      <bottom style="thin">
        <color rgb="FF538DD5"/>
      </bottom>
      <diagonal/>
    </border>
    <border>
      <left style="thin">
        <color rgb="FF538DD5"/>
      </left>
      <right/>
      <top style="thin">
        <color rgb="FF538DD5"/>
      </top>
      <bottom/>
      <diagonal/>
    </border>
    <border>
      <left style="thin">
        <color rgb="FF538DD5"/>
      </left>
      <right style="thin">
        <color rgb="FF538DD5"/>
      </right>
      <top/>
      <bottom/>
      <diagonal/>
    </border>
    <border>
      <left/>
      <right/>
      <top/>
      <bottom style="thin">
        <color auto="1"/>
      </bottom>
      <diagonal/>
    </border>
    <border>
      <left style="thin">
        <color rgb="FF538DD5"/>
      </left>
      <right/>
      <top style="thin">
        <color rgb="FF538DD5"/>
      </top>
      <bottom style="thin">
        <color auto="1"/>
      </bottom>
      <diagonal/>
    </border>
    <border>
      <left style="thin">
        <color rgb="FF538DD5"/>
      </left>
      <right style="thin">
        <color rgb="FF538DD5"/>
      </right>
      <top style="thin">
        <color rgb="FF538DD5"/>
      </top>
      <bottom style="thin">
        <color auto="1"/>
      </bottom>
      <diagonal/>
    </border>
    <border>
      <left/>
      <right/>
      <top style="thin">
        <color auto="1"/>
      </top>
      <bottom style="thin">
        <color indexed="64"/>
      </bottom>
      <diagonal/>
    </border>
    <border>
      <left/>
      <right/>
      <top style="thin">
        <color indexed="64"/>
      </top>
      <bottom/>
      <diagonal/>
    </border>
    <border>
      <left/>
      <right/>
      <top/>
      <bottom style="thin">
        <color auto="1"/>
      </bottom>
      <diagonal/>
    </border>
    <border>
      <left style="thin">
        <color rgb="FF538DD5"/>
      </left>
      <right/>
      <top style="thin">
        <color rgb="FF538DD5"/>
      </top>
      <bottom style="thin">
        <color auto="1"/>
      </bottom>
      <diagonal/>
    </border>
    <border>
      <left style="thin">
        <color rgb="FF538DD5"/>
      </left>
      <right style="thin">
        <color rgb="FF538DD5"/>
      </right>
      <top style="thin">
        <color rgb="FF538DD5"/>
      </top>
      <bottom style="thin">
        <color auto="1"/>
      </bottom>
      <diagonal/>
    </border>
    <border>
      <left/>
      <right/>
      <top style="thin">
        <color auto="1"/>
      </top>
      <bottom style="thin">
        <color indexed="64"/>
      </bottom>
      <diagonal/>
    </border>
    <border>
      <left style="thin">
        <color indexed="64"/>
      </left>
      <right/>
      <top/>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medium">
        <color indexed="64"/>
      </right>
      <top/>
      <bottom/>
      <diagonal/>
    </border>
    <border>
      <left/>
      <right style="medium">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bottom style="thin">
        <color theme="0"/>
      </bottom>
      <diagonal/>
    </border>
    <border>
      <left/>
      <right/>
      <top/>
      <bottom style="double">
        <color indexed="64"/>
      </bottom>
      <diagonal/>
    </border>
    <border>
      <left/>
      <right/>
      <top style="double">
        <color indexed="64"/>
      </top>
      <bottom style="thin">
        <color indexed="64"/>
      </bottom>
      <diagonal/>
    </border>
    <border>
      <left/>
      <right style="thin">
        <color indexed="64"/>
      </right>
      <top/>
      <bottom style="thin">
        <color auto="1"/>
      </bottom>
      <diagonal/>
    </border>
    <border>
      <left/>
      <right style="thin">
        <color indexed="64"/>
      </right>
      <top/>
      <bottom/>
      <diagonal/>
    </border>
    <border>
      <left/>
      <right style="thin">
        <color indexed="64"/>
      </right>
      <top/>
      <bottom style="double">
        <color indexed="64"/>
      </bottom>
      <diagonal/>
    </border>
    <border>
      <left/>
      <right style="thin">
        <color indexed="64"/>
      </right>
      <top style="double">
        <color indexed="64"/>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auto="1"/>
      </top>
      <bottom style="thin">
        <color auto="1"/>
      </bottom>
      <diagonal/>
    </border>
    <border>
      <left/>
      <right style="thin">
        <color indexed="64"/>
      </right>
      <top style="thin">
        <color auto="1"/>
      </top>
      <bottom/>
      <diagonal/>
    </border>
    <border>
      <left style="thin">
        <color indexed="64"/>
      </left>
      <right style="thin">
        <color indexed="64"/>
      </right>
      <top style="thin">
        <color indexed="64"/>
      </top>
      <bottom style="thin">
        <color indexed="64"/>
      </bottom>
      <diagonal/>
    </border>
    <border>
      <left/>
      <right/>
      <top/>
      <bottom style="medium">
        <color rgb="FF808080"/>
      </bottom>
      <diagonal/>
    </border>
    <border>
      <left style="thin">
        <color indexed="64"/>
      </left>
      <right/>
      <top style="thin">
        <color indexed="64"/>
      </top>
      <bottom/>
      <diagonal/>
    </border>
    <border>
      <left/>
      <right/>
      <top style="thin">
        <color theme="1"/>
      </top>
      <bottom/>
      <diagonal/>
    </border>
    <border>
      <left/>
      <right style="thin">
        <color indexed="64"/>
      </right>
      <top style="thin">
        <color indexed="64"/>
      </top>
      <bottom style="thin">
        <color theme="1"/>
      </bottom>
      <diagonal/>
    </border>
    <border>
      <left/>
      <right/>
      <top style="thin">
        <color indexed="64"/>
      </top>
      <bottom style="thin">
        <color theme="1"/>
      </bottom>
      <diagonal/>
    </border>
    <border>
      <left style="thin">
        <color indexed="64"/>
      </left>
      <right/>
      <top style="thin">
        <color indexed="64"/>
      </top>
      <bottom style="thin">
        <color theme="1"/>
      </bottom>
      <diagonal/>
    </border>
    <border>
      <left/>
      <right style="thin">
        <color indexed="64"/>
      </right>
      <top style="thin">
        <color theme="1"/>
      </top>
      <bottom style="thin">
        <color theme="1"/>
      </bottom>
      <diagonal/>
    </border>
    <border>
      <left/>
      <right/>
      <top style="thin">
        <color theme="1"/>
      </top>
      <bottom style="thin">
        <color theme="1"/>
      </bottom>
      <diagonal/>
    </border>
    <border>
      <left/>
      <right/>
      <top/>
      <bottom style="thin">
        <color theme="1"/>
      </bottom>
      <diagonal/>
    </border>
    <border>
      <left/>
      <right style="thin">
        <color indexed="64"/>
      </right>
      <top/>
      <bottom style="thin">
        <color theme="1"/>
      </bottom>
      <diagonal/>
    </border>
    <border>
      <left style="thin">
        <color indexed="64"/>
      </left>
      <right/>
      <top/>
      <bottom style="thin">
        <color theme="1"/>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style="thin">
        <color indexed="64"/>
      </top>
      <bottom/>
      <diagonal/>
    </border>
    <border>
      <left/>
      <right style="thin">
        <color theme="1"/>
      </right>
      <top style="thin">
        <color indexed="64"/>
      </top>
      <bottom/>
      <diagonal/>
    </border>
    <border>
      <left/>
      <right/>
      <top/>
      <bottom style="thin">
        <color theme="1" tint="0.499984740745262"/>
      </bottom>
      <diagonal/>
    </border>
    <border>
      <left/>
      <right/>
      <top/>
      <bottom style="medium">
        <color theme="1" tint="0.499984740745262"/>
      </bottom>
      <diagonal/>
    </border>
    <border>
      <left/>
      <right/>
      <top style="thin">
        <color auto="1"/>
      </top>
      <bottom style="thin">
        <color theme="1" tint="0.499984740745262"/>
      </bottom>
      <diagonal/>
    </border>
  </borders>
  <cellStyleXfs count="13">
    <xf numFmtId="0" fontId="0"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9" fillId="0" borderId="0">
      <alignment vertical="center"/>
    </xf>
    <xf numFmtId="9" fontId="29" fillId="0" borderId="0" applyFont="0" applyFill="0" applyBorder="0" applyAlignment="0" applyProtection="0">
      <alignment vertical="center"/>
    </xf>
    <xf numFmtId="41" fontId="29" fillId="0" borderId="0" applyFont="0" applyFill="0" applyBorder="0" applyAlignment="0" applyProtection="0">
      <alignment vertical="center"/>
    </xf>
    <xf numFmtId="0" fontId="45" fillId="0" borderId="0"/>
    <xf numFmtId="9" fontId="45" fillId="0" borderId="0" applyFont="0" applyFill="0" applyBorder="0" applyAlignment="0" applyProtection="0">
      <alignment vertical="center"/>
    </xf>
    <xf numFmtId="41" fontId="29" fillId="0" borderId="0" applyFont="0" applyFill="0" applyBorder="0" applyAlignment="0" applyProtection="0">
      <alignment vertical="center"/>
    </xf>
    <xf numFmtId="0" fontId="29" fillId="0" borderId="0">
      <alignment vertical="center"/>
    </xf>
    <xf numFmtId="0" fontId="73" fillId="0" borderId="0" applyNumberFormat="0" applyFill="0" applyBorder="0" applyAlignment="0" applyProtection="0"/>
    <xf numFmtId="0" fontId="1" fillId="0" borderId="0">
      <alignment vertical="center"/>
    </xf>
    <xf numFmtId="0" fontId="1" fillId="0" borderId="0">
      <alignment vertical="center"/>
    </xf>
  </cellStyleXfs>
  <cellXfs count="509">
    <xf numFmtId="0" fontId="0" fillId="0" borderId="0" xfId="0">
      <alignment vertical="center"/>
    </xf>
    <xf numFmtId="0" fontId="4" fillId="0" borderId="0" xfId="0" applyFont="1">
      <alignment vertical="center"/>
    </xf>
    <xf numFmtId="0" fontId="0" fillId="0" borderId="0" xfId="0" applyAlignment="1"/>
    <xf numFmtId="0" fontId="5" fillId="4" borderId="0" xfId="0" applyFont="1" applyFill="1">
      <alignment vertical="center"/>
    </xf>
    <xf numFmtId="0" fontId="6" fillId="4" borderId="0" xfId="0" applyFont="1" applyFill="1">
      <alignment vertical="center"/>
    </xf>
    <xf numFmtId="0" fontId="7" fillId="4" borderId="0" xfId="0" applyFont="1" applyFill="1" applyAlignment="1">
      <alignment horizontal="right" vertical="center"/>
    </xf>
    <xf numFmtId="0" fontId="8" fillId="4" borderId="1" xfId="0" applyFont="1" applyFill="1" applyBorder="1" applyAlignment="1"/>
    <xf numFmtId="0" fontId="7" fillId="4" borderId="1" xfId="0" applyFont="1" applyFill="1" applyBorder="1" applyAlignment="1">
      <alignment horizontal="right"/>
    </xf>
    <xf numFmtId="0" fontId="9" fillId="4" borderId="0" xfId="0" applyFont="1" applyFill="1" applyAlignment="1">
      <alignment horizontal="left"/>
    </xf>
    <xf numFmtId="0" fontId="7" fillId="4" borderId="0" xfId="0" applyFont="1" applyFill="1" applyAlignment="1">
      <alignment horizontal="right"/>
    </xf>
    <xf numFmtId="38" fontId="4" fillId="0" borderId="0" xfId="0" applyNumberFormat="1" applyFont="1">
      <alignment vertical="center"/>
    </xf>
    <xf numFmtId="9" fontId="4" fillId="0" borderId="0" xfId="1" applyFont="1">
      <alignment vertical="center"/>
    </xf>
    <xf numFmtId="0" fontId="12" fillId="0" borderId="0" xfId="0" applyFont="1">
      <alignment vertical="center"/>
    </xf>
    <xf numFmtId="0" fontId="12" fillId="0" borderId="0" xfId="0" applyFont="1" applyAlignment="1">
      <alignment horizontal="left" vertical="center"/>
    </xf>
    <xf numFmtId="0" fontId="13" fillId="5" borderId="0" xfId="0" applyFont="1" applyFill="1">
      <alignment vertical="center"/>
    </xf>
    <xf numFmtId="0" fontId="14" fillId="6" borderId="0" xfId="0" applyFont="1" applyFill="1">
      <alignment vertical="center"/>
    </xf>
    <xf numFmtId="0" fontId="14" fillId="6" borderId="2" xfId="0" applyFont="1" applyFill="1" applyBorder="1">
      <alignment vertical="center"/>
    </xf>
    <xf numFmtId="0" fontId="16" fillId="7" borderId="3" xfId="0" applyFont="1" applyFill="1" applyBorder="1" applyAlignment="1">
      <alignment horizontal="center" vertical="center"/>
    </xf>
    <xf numFmtId="0" fontId="16" fillId="8" borderId="3" xfId="0" applyFont="1" applyFill="1" applyBorder="1" applyAlignment="1">
      <alignment horizontal="center" vertical="center"/>
    </xf>
    <xf numFmtId="0" fontId="14" fillId="6" borderId="4" xfId="0" applyFont="1" applyFill="1" applyBorder="1">
      <alignment vertical="center"/>
    </xf>
    <xf numFmtId="0" fontId="17" fillId="9" borderId="4" xfId="0" applyFont="1" applyFill="1" applyBorder="1">
      <alignment vertical="center"/>
    </xf>
    <xf numFmtId="0" fontId="17" fillId="9" borderId="5" xfId="0" applyFont="1" applyFill="1" applyBorder="1">
      <alignment vertical="center"/>
    </xf>
    <xf numFmtId="0" fontId="17" fillId="9" borderId="6" xfId="0" applyFont="1" applyFill="1" applyBorder="1">
      <alignment vertical="center"/>
    </xf>
    <xf numFmtId="0" fontId="14" fillId="6" borderId="7" xfId="0" applyFont="1" applyFill="1" applyBorder="1">
      <alignment vertical="center"/>
    </xf>
    <xf numFmtId="0" fontId="14" fillId="6" borderId="5" xfId="0" applyFont="1" applyFill="1" applyBorder="1">
      <alignment vertical="center"/>
    </xf>
    <xf numFmtId="0" fontId="17" fillId="9" borderId="8" xfId="0" applyFont="1" applyFill="1" applyBorder="1">
      <alignment vertical="center"/>
    </xf>
    <xf numFmtId="0" fontId="17" fillId="9" borderId="7" xfId="0" applyFont="1" applyFill="1" applyBorder="1">
      <alignment vertical="center"/>
    </xf>
    <xf numFmtId="0" fontId="16" fillId="7" borderId="2" xfId="0" applyFont="1" applyFill="1" applyBorder="1" applyAlignment="1">
      <alignment horizontal="center" vertical="center"/>
    </xf>
    <xf numFmtId="0" fontId="16" fillId="10" borderId="0" xfId="0" applyFont="1" applyFill="1">
      <alignment vertical="center"/>
    </xf>
    <xf numFmtId="176" fontId="12" fillId="0" borderId="0" xfId="0" applyNumberFormat="1" applyFont="1">
      <alignment vertical="center"/>
    </xf>
    <xf numFmtId="176" fontId="0" fillId="0" borderId="0" xfId="0" applyNumberFormat="1">
      <alignment vertical="center"/>
    </xf>
    <xf numFmtId="0" fontId="14" fillId="6" borderId="8" xfId="0" applyFont="1" applyFill="1" applyBorder="1">
      <alignment vertical="center"/>
    </xf>
    <xf numFmtId="0" fontId="14" fillId="6" borderId="9" xfId="0" applyFont="1" applyFill="1" applyBorder="1">
      <alignment vertical="center"/>
    </xf>
    <xf numFmtId="0" fontId="14" fillId="6" borderId="10" xfId="0" applyFont="1" applyFill="1" applyBorder="1">
      <alignment vertical="center"/>
    </xf>
    <xf numFmtId="0" fontId="14" fillId="6" borderId="11" xfId="0" applyFont="1" applyFill="1" applyBorder="1">
      <alignment vertical="center"/>
    </xf>
    <xf numFmtId="0" fontId="16" fillId="7" borderId="12" xfId="0" applyFont="1" applyFill="1" applyBorder="1" applyAlignment="1">
      <alignment horizontal="center" vertical="center"/>
    </xf>
    <xf numFmtId="0" fontId="16" fillId="8" borderId="12" xfId="0" applyFont="1" applyFill="1" applyBorder="1" applyAlignment="1">
      <alignment horizontal="center" vertical="center"/>
    </xf>
    <xf numFmtId="0" fontId="16" fillId="7" borderId="9" xfId="0" applyFont="1" applyFill="1" applyBorder="1" applyAlignment="1">
      <alignment horizontal="center" vertical="center"/>
    </xf>
    <xf numFmtId="0" fontId="14" fillId="6" borderId="14" xfId="0" applyFont="1" applyFill="1" applyBorder="1">
      <alignment vertical="center"/>
    </xf>
    <xf numFmtId="0" fontId="14" fillId="6" borderId="15" xfId="0" applyFont="1" applyFill="1" applyBorder="1">
      <alignment vertical="center"/>
    </xf>
    <xf numFmtId="0" fontId="14" fillId="6" borderId="16" xfId="0" applyFont="1" applyFill="1" applyBorder="1">
      <alignment vertical="center"/>
    </xf>
    <xf numFmtId="0" fontId="16" fillId="7" borderId="17" xfId="0" applyFont="1" applyFill="1" applyBorder="1" applyAlignment="1">
      <alignment horizontal="center" vertical="center"/>
    </xf>
    <xf numFmtId="0" fontId="10" fillId="2" borderId="12" xfId="0" applyFont="1" applyFill="1" applyBorder="1">
      <alignment vertical="center"/>
    </xf>
    <xf numFmtId="0" fontId="10" fillId="2" borderId="12" xfId="0" applyFont="1" applyFill="1" applyBorder="1" applyAlignment="1">
      <alignment horizontal="center" vertical="center"/>
    </xf>
    <xf numFmtId="0" fontId="11" fillId="3" borderId="12" xfId="0" applyFont="1" applyFill="1" applyBorder="1" applyAlignment="1">
      <alignment horizontal="center" vertical="center"/>
    </xf>
    <xf numFmtId="0" fontId="19" fillId="4" borderId="0" xfId="0" applyFont="1" applyFill="1">
      <alignment vertical="center"/>
    </xf>
    <xf numFmtId="0" fontId="20" fillId="4" borderId="0" xfId="0" applyFont="1" applyFill="1" applyAlignment="1">
      <alignment horizontal="left"/>
    </xf>
    <xf numFmtId="0" fontId="22" fillId="0" borderId="0" xfId="0" applyFont="1">
      <alignment vertical="center"/>
    </xf>
    <xf numFmtId="0" fontId="22" fillId="0" borderId="0" xfId="0" applyFont="1" applyAlignment="1">
      <alignment horizontal="left" vertical="center" indent="1"/>
    </xf>
    <xf numFmtId="0" fontId="23" fillId="0" borderId="0" xfId="0" applyFont="1">
      <alignment vertical="center"/>
    </xf>
    <xf numFmtId="38" fontId="22" fillId="0" borderId="0" xfId="0" applyNumberFormat="1" applyFont="1">
      <alignment vertical="center"/>
    </xf>
    <xf numFmtId="37" fontId="23" fillId="0" borderId="0" xfId="0" applyNumberFormat="1" applyFont="1">
      <alignment vertical="center"/>
    </xf>
    <xf numFmtId="9" fontId="0" fillId="0" borderId="0" xfId="1" applyFont="1">
      <alignment vertical="center"/>
    </xf>
    <xf numFmtId="9" fontId="0" fillId="0" borderId="0" xfId="0" applyNumberFormat="1">
      <alignment vertical="center"/>
    </xf>
    <xf numFmtId="0" fontId="22" fillId="0" borderId="13" xfId="0" applyFont="1" applyBorder="1">
      <alignment vertical="center"/>
    </xf>
    <xf numFmtId="38" fontId="22" fillId="0" borderId="13" xfId="0" applyNumberFormat="1" applyFont="1" applyBorder="1">
      <alignment vertical="center"/>
    </xf>
    <xf numFmtId="0" fontId="22" fillId="0" borderId="9" xfId="0" applyFont="1" applyBorder="1" applyAlignment="1">
      <alignment horizontal="left" vertical="center" indent="1"/>
    </xf>
    <xf numFmtId="38" fontId="22" fillId="0" borderId="9" xfId="0" quotePrefix="1" applyNumberFormat="1" applyFont="1" applyBorder="1" applyAlignment="1">
      <alignment horizontal="right" vertical="center"/>
    </xf>
    <xf numFmtId="38" fontId="22" fillId="0" borderId="9" xfId="0" applyNumberFormat="1" applyFont="1" applyBorder="1">
      <alignment vertical="center"/>
    </xf>
    <xf numFmtId="0" fontId="22" fillId="0" borderId="12" xfId="0" applyFont="1" applyBorder="1" applyAlignment="1">
      <alignment horizontal="left" vertical="center"/>
    </xf>
    <xf numFmtId="37" fontId="23" fillId="0" borderId="12" xfId="0" applyNumberFormat="1" applyFont="1" applyBorder="1">
      <alignment vertical="center"/>
    </xf>
    <xf numFmtId="38" fontId="22" fillId="0" borderId="12" xfId="0" applyNumberFormat="1" applyFont="1" applyBorder="1">
      <alignment vertical="center"/>
    </xf>
    <xf numFmtId="177" fontId="0" fillId="0" borderId="0" xfId="0" applyNumberFormat="1">
      <alignment vertical="center"/>
    </xf>
    <xf numFmtId="177" fontId="21" fillId="0" borderId="0" xfId="0" applyNumberFormat="1" applyFont="1">
      <alignment vertical="center"/>
    </xf>
    <xf numFmtId="0" fontId="11" fillId="3" borderId="0" xfId="0" applyFont="1" applyFill="1" applyAlignment="1">
      <alignment horizontal="center" vertical="center"/>
    </xf>
    <xf numFmtId="37" fontId="22" fillId="0" borderId="0" xfId="2" applyNumberFormat="1" applyFont="1" applyAlignment="1">
      <alignment vertical="center"/>
    </xf>
    <xf numFmtId="37" fontId="22" fillId="0" borderId="13" xfId="2" applyNumberFormat="1" applyFont="1" applyBorder="1" applyAlignment="1">
      <alignment vertical="center"/>
    </xf>
    <xf numFmtId="37" fontId="22" fillId="0" borderId="0" xfId="2" applyNumberFormat="1" applyFont="1" applyBorder="1" applyAlignment="1">
      <alignment vertical="center"/>
    </xf>
    <xf numFmtId="37" fontId="0" fillId="0" borderId="0" xfId="0" applyNumberFormat="1">
      <alignment vertical="center"/>
    </xf>
    <xf numFmtId="37" fontId="22" fillId="0" borderId="9" xfId="2" applyNumberFormat="1" applyFont="1" applyBorder="1" applyAlignment="1">
      <alignment vertical="center"/>
    </xf>
    <xf numFmtId="37" fontId="22" fillId="0" borderId="9" xfId="0" applyNumberFormat="1" applyFont="1" applyBorder="1">
      <alignment vertical="center"/>
    </xf>
    <xf numFmtId="37" fontId="23" fillId="0" borderId="9" xfId="0" applyNumberFormat="1" applyFont="1" applyBorder="1">
      <alignment vertical="center"/>
    </xf>
    <xf numFmtId="0" fontId="22" fillId="0" borderId="12" xfId="0" applyFont="1" applyBorder="1">
      <alignment vertical="center"/>
    </xf>
    <xf numFmtId="37" fontId="24" fillId="0" borderId="12" xfId="0" applyNumberFormat="1" applyFont="1" applyBorder="1">
      <alignment vertical="center"/>
    </xf>
    <xf numFmtId="37" fontId="22" fillId="0" borderId="12" xfId="0" applyNumberFormat="1" applyFont="1" applyBorder="1">
      <alignment vertical="center"/>
    </xf>
    <xf numFmtId="37" fontId="22" fillId="0" borderId="0" xfId="0" applyNumberFormat="1" applyFont="1">
      <alignment vertical="center"/>
    </xf>
    <xf numFmtId="0" fontId="22" fillId="0" borderId="12" xfId="2" applyNumberFormat="1" applyFont="1" applyBorder="1" applyAlignment="1">
      <alignment vertical="center"/>
    </xf>
    <xf numFmtId="0" fontId="22" fillId="11" borderId="12" xfId="0" applyFont="1" applyFill="1" applyBorder="1" applyAlignment="1">
      <alignment horizontal="center" vertical="center"/>
    </xf>
    <xf numFmtId="0" fontId="4" fillId="11" borderId="0" xfId="0" applyFont="1" applyFill="1">
      <alignment vertical="center"/>
    </xf>
    <xf numFmtId="0" fontId="4" fillId="11" borderId="0" xfId="2" applyNumberFormat="1" applyFont="1" applyFill="1" applyAlignment="1">
      <alignment vertical="center"/>
    </xf>
    <xf numFmtId="0" fontId="0" fillId="11" borderId="0" xfId="0" applyFill="1">
      <alignment vertical="center"/>
    </xf>
    <xf numFmtId="0" fontId="4" fillId="11" borderId="0" xfId="0" applyFont="1" applyFill="1" applyAlignment="1">
      <alignment horizontal="left" vertical="center" indent="1"/>
    </xf>
    <xf numFmtId="0" fontId="25" fillId="2" borderId="12" xfId="0" applyFont="1" applyFill="1" applyBorder="1">
      <alignment vertical="center"/>
    </xf>
    <xf numFmtId="0" fontId="25" fillId="2" borderId="12" xfId="0" applyFont="1" applyFill="1" applyBorder="1" applyAlignment="1">
      <alignment horizontal="center" vertical="center"/>
    </xf>
    <xf numFmtId="0" fontId="22" fillId="3" borderId="12" xfId="0" applyFont="1" applyFill="1" applyBorder="1" applyAlignment="1">
      <alignment horizontal="center" vertical="center"/>
    </xf>
    <xf numFmtId="0" fontId="22" fillId="0" borderId="0" xfId="0" applyFont="1" applyAlignment="1">
      <alignment horizontal="right" vertical="center"/>
    </xf>
    <xf numFmtId="9" fontId="22" fillId="0" borderId="0" xfId="1" applyFont="1" applyBorder="1">
      <alignment vertical="center"/>
    </xf>
    <xf numFmtId="9" fontId="22" fillId="0" borderId="9" xfId="1" applyFont="1" applyBorder="1">
      <alignment vertical="center"/>
    </xf>
    <xf numFmtId="9" fontId="22" fillId="0" borderId="9" xfId="0" applyNumberFormat="1" applyFont="1" applyBorder="1">
      <alignment vertical="center"/>
    </xf>
    <xf numFmtId="177" fontId="22" fillId="0" borderId="13" xfId="0" applyNumberFormat="1" applyFont="1" applyBorder="1">
      <alignment vertical="center"/>
    </xf>
    <xf numFmtId="178" fontId="22" fillId="0" borderId="0" xfId="0" applyNumberFormat="1" applyFont="1">
      <alignment vertical="center"/>
    </xf>
    <xf numFmtId="177" fontId="22" fillId="0" borderId="9" xfId="0" applyNumberFormat="1" applyFont="1" applyBorder="1">
      <alignment vertical="center"/>
    </xf>
    <xf numFmtId="0" fontId="22" fillId="0" borderId="14" xfId="0" applyFont="1" applyBorder="1">
      <alignment vertical="center"/>
    </xf>
    <xf numFmtId="180" fontId="22" fillId="0" borderId="14" xfId="0" applyNumberFormat="1" applyFont="1" applyBorder="1">
      <alignment vertical="center"/>
    </xf>
    <xf numFmtId="0" fontId="10" fillId="2" borderId="17" xfId="0" applyFont="1" applyFill="1" applyBorder="1">
      <alignment vertical="center"/>
    </xf>
    <xf numFmtId="0" fontId="10" fillId="2" borderId="17" xfId="0" applyFont="1" applyFill="1" applyBorder="1" applyAlignment="1">
      <alignment horizontal="center" vertical="center"/>
    </xf>
    <xf numFmtId="0" fontId="11" fillId="3" borderId="17" xfId="0" applyFont="1" applyFill="1" applyBorder="1" applyAlignment="1">
      <alignment horizontal="center" vertical="center"/>
    </xf>
    <xf numFmtId="179" fontId="22" fillId="0" borderId="13" xfId="0" applyNumberFormat="1" applyFont="1" applyBorder="1">
      <alignment vertical="center"/>
    </xf>
    <xf numFmtId="38" fontId="22" fillId="0" borderId="14" xfId="0" applyNumberFormat="1" applyFont="1" applyBorder="1">
      <alignment vertical="center"/>
    </xf>
    <xf numFmtId="0" fontId="29" fillId="0" borderId="0" xfId="3">
      <alignment vertical="center"/>
    </xf>
    <xf numFmtId="37" fontId="29" fillId="0" borderId="0" xfId="3" applyNumberFormat="1">
      <alignment vertical="center"/>
    </xf>
    <xf numFmtId="0" fontId="26" fillId="0" borderId="18" xfId="3" applyFont="1" applyBorder="1">
      <alignment vertical="center"/>
    </xf>
    <xf numFmtId="37" fontId="30" fillId="0" borderId="0" xfId="4" applyNumberFormat="1" applyFont="1" applyFill="1" applyBorder="1" applyAlignment="1">
      <alignment horizontal="center" vertical="center"/>
    </xf>
    <xf numFmtId="0" fontId="31" fillId="0" borderId="0" xfId="3" applyFont="1">
      <alignment vertical="center"/>
    </xf>
    <xf numFmtId="37" fontId="26" fillId="0" borderId="18" xfId="3" applyNumberFormat="1" applyFont="1" applyBorder="1">
      <alignment vertical="center"/>
    </xf>
    <xf numFmtId="37" fontId="26" fillId="0" borderId="0" xfId="3" applyNumberFormat="1" applyFont="1" applyAlignment="1">
      <alignment horizontal="center" vertical="center"/>
    </xf>
    <xf numFmtId="37" fontId="26" fillId="0" borderId="0" xfId="4" applyNumberFormat="1" applyFont="1" applyBorder="1" applyAlignment="1">
      <alignment horizontal="center" vertical="center"/>
    </xf>
    <xf numFmtId="37" fontId="30" fillId="0" borderId="0" xfId="3" applyNumberFormat="1" applyFont="1">
      <alignment vertical="center"/>
    </xf>
    <xf numFmtId="9" fontId="32" fillId="0" borderId="0" xfId="4" applyFont="1" applyBorder="1" applyAlignment="1">
      <alignment horizontal="center" vertical="center"/>
    </xf>
    <xf numFmtId="0" fontId="32" fillId="0" borderId="0" xfId="3" applyFont="1" applyAlignment="1">
      <alignment horizontal="left" vertical="center" indent="1"/>
    </xf>
    <xf numFmtId="0" fontId="26" fillId="0" borderId="0" xfId="3" applyFont="1">
      <alignment vertical="center"/>
    </xf>
    <xf numFmtId="37" fontId="26" fillId="0" borderId="0" xfId="4" applyNumberFormat="1" applyFont="1" applyFill="1" applyBorder="1" applyAlignment="1">
      <alignment horizontal="center" vertical="center"/>
    </xf>
    <xf numFmtId="0" fontId="26" fillId="0" borderId="0" xfId="3" applyFont="1" applyAlignment="1">
      <alignment horizontal="left" vertical="center"/>
    </xf>
    <xf numFmtId="0" fontId="26" fillId="0" borderId="0" xfId="3" applyFont="1" applyAlignment="1">
      <alignment horizontal="left" vertical="center" indent="1"/>
    </xf>
    <xf numFmtId="37" fontId="26" fillId="0" borderId="0" xfId="3" quotePrefix="1" applyNumberFormat="1" applyFont="1" applyAlignment="1">
      <alignment horizontal="center" vertical="center"/>
    </xf>
    <xf numFmtId="37" fontId="33" fillId="0" borderId="0" xfId="5" applyNumberFormat="1" applyFont="1" applyBorder="1" applyAlignment="1">
      <alignment horizontal="center" vertical="center" wrapText="1"/>
    </xf>
    <xf numFmtId="37" fontId="26" fillId="0" borderId="0" xfId="4" applyNumberFormat="1" applyFont="1" applyFill="1" applyBorder="1" applyAlignment="1">
      <alignment horizontal="center" vertical="center" wrapText="1"/>
    </xf>
    <xf numFmtId="9" fontId="32" fillId="0" borderId="0" xfId="4" applyFont="1" applyFill="1" applyBorder="1" applyAlignment="1">
      <alignment horizontal="center" vertical="center" wrapText="1"/>
    </xf>
    <xf numFmtId="9" fontId="32" fillId="0" borderId="0" xfId="1" applyFont="1" applyAlignment="1">
      <alignment horizontal="center" vertical="center"/>
    </xf>
    <xf numFmtId="0" fontId="34" fillId="0" borderId="0" xfId="3" applyFont="1" applyAlignment="1">
      <alignment horizontal="left" vertical="center" indent="1"/>
    </xf>
    <xf numFmtId="37" fontId="30" fillId="0" borderId="0" xfId="3" applyNumberFormat="1" applyFont="1" applyAlignment="1">
      <alignment horizontal="center" vertical="center"/>
    </xf>
    <xf numFmtId="37" fontId="30" fillId="0" borderId="0" xfId="5" applyNumberFormat="1" applyFont="1" applyFill="1" applyBorder="1" applyAlignment="1">
      <alignment horizontal="center" vertical="center" wrapText="1"/>
    </xf>
    <xf numFmtId="0" fontId="31" fillId="0" borderId="0" xfId="3" applyFont="1" applyAlignment="1">
      <alignment horizontal="left" vertical="center"/>
    </xf>
    <xf numFmtId="179" fontId="26" fillId="0" borderId="19" xfId="4" applyNumberFormat="1" applyFont="1" applyBorder="1" applyAlignment="1">
      <alignment horizontal="center" vertical="center"/>
    </xf>
    <xf numFmtId="10" fontId="26" fillId="0" borderId="20" xfId="4" applyNumberFormat="1" applyFont="1" applyBorder="1" applyAlignment="1">
      <alignment horizontal="center" vertical="center"/>
    </xf>
    <xf numFmtId="10" fontId="26" fillId="0" borderId="21" xfId="4" applyNumberFormat="1" applyFont="1" applyBorder="1" applyAlignment="1">
      <alignment horizontal="center" vertical="center"/>
    </xf>
    <xf numFmtId="0" fontId="33" fillId="0" borderId="22" xfId="3" applyFont="1" applyBorder="1" applyAlignment="1">
      <alignment horizontal="center" vertical="center"/>
    </xf>
    <xf numFmtId="37" fontId="26" fillId="0" borderId="0" xfId="5" applyNumberFormat="1" applyFont="1" applyFill="1" applyBorder="1" applyAlignment="1">
      <alignment horizontal="center" vertical="center" wrapText="1"/>
    </xf>
    <xf numFmtId="0" fontId="33" fillId="0" borderId="0" xfId="3" applyFont="1" applyAlignment="1">
      <alignment horizontal="left" vertical="center" indent="1"/>
    </xf>
    <xf numFmtId="9" fontId="26" fillId="0" borderId="23" xfId="4" applyFont="1" applyBorder="1" applyAlignment="1">
      <alignment horizontal="center" vertical="center"/>
    </xf>
    <xf numFmtId="10" fontId="26" fillId="0" borderId="0" xfId="4" applyNumberFormat="1" applyFont="1" applyBorder="1" applyAlignment="1">
      <alignment horizontal="center" vertical="center"/>
    </xf>
    <xf numFmtId="0" fontId="29" fillId="0" borderId="24" xfId="3" applyBorder="1">
      <alignment vertical="center"/>
    </xf>
    <xf numFmtId="0" fontId="35" fillId="0" borderId="18" xfId="3" applyFont="1" applyBorder="1">
      <alignment vertical="center"/>
    </xf>
    <xf numFmtId="0" fontId="30" fillId="3" borderId="25" xfId="3" applyFont="1" applyFill="1" applyBorder="1" applyAlignment="1">
      <alignment horizontal="center" vertical="center"/>
    </xf>
    <xf numFmtId="0" fontId="36" fillId="2" borderId="26" xfId="3" applyFont="1" applyFill="1" applyBorder="1" applyAlignment="1">
      <alignment horizontal="center" vertical="center"/>
    </xf>
    <xf numFmtId="0" fontId="36" fillId="2" borderId="0" xfId="3" applyFont="1" applyFill="1" applyAlignment="1">
      <alignment horizontal="center" vertical="center"/>
    </xf>
    <xf numFmtId="0" fontId="30" fillId="0" borderId="24" xfId="3" applyFont="1" applyBorder="1" applyAlignment="1">
      <alignment horizontal="center" vertical="center" wrapText="1"/>
    </xf>
    <xf numFmtId="37" fontId="30" fillId="0" borderId="0" xfId="3" applyNumberFormat="1" applyFont="1" applyAlignment="1">
      <alignment horizontal="center" vertical="center" wrapText="1"/>
    </xf>
    <xf numFmtId="0" fontId="30" fillId="0" borderId="0" xfId="3" applyFont="1" applyAlignment="1">
      <alignment horizontal="left" vertical="center"/>
    </xf>
    <xf numFmtId="0" fontId="35" fillId="0" borderId="0" xfId="3" applyFont="1" applyAlignment="1">
      <alignment horizontal="center" vertical="center"/>
    </xf>
    <xf numFmtId="0" fontId="26" fillId="0" borderId="0" xfId="3" applyFont="1" applyAlignment="1">
      <alignment horizontal="center" vertical="center"/>
    </xf>
    <xf numFmtId="0" fontId="30" fillId="0" borderId="0" xfId="3" applyFont="1" applyAlignment="1">
      <alignment horizontal="center" vertical="center" wrapText="1"/>
    </xf>
    <xf numFmtId="9" fontId="32" fillId="0" borderId="0" xfId="4" applyFont="1" applyBorder="1" applyAlignment="1">
      <alignment horizontal="center" vertical="center" wrapText="1"/>
    </xf>
    <xf numFmtId="38" fontId="30" fillId="0" borderId="0" xfId="3" applyNumberFormat="1" applyFont="1" applyAlignment="1">
      <alignment horizontal="center" vertical="center" wrapText="1"/>
    </xf>
    <xf numFmtId="0" fontId="35" fillId="2" borderId="18" xfId="3" applyFont="1" applyFill="1" applyBorder="1">
      <alignment vertical="center"/>
    </xf>
    <xf numFmtId="0" fontId="30" fillId="3" borderId="0" xfId="3" applyFont="1" applyFill="1" applyAlignment="1">
      <alignment horizontal="center" vertical="center" wrapText="1"/>
    </xf>
    <xf numFmtId="0" fontId="36" fillId="2" borderId="0" xfId="3" applyFont="1" applyFill="1" applyAlignment="1">
      <alignment horizontal="center" vertical="center" wrapText="1"/>
    </xf>
    <xf numFmtId="0" fontId="37" fillId="0" borderId="0" xfId="3" applyFont="1" applyAlignment="1">
      <alignment horizontal="center" vertical="center"/>
    </xf>
    <xf numFmtId="0" fontId="29" fillId="0" borderId="0" xfId="3" applyAlignment="1">
      <alignment horizontal="center" vertical="center"/>
    </xf>
    <xf numFmtId="0" fontId="29" fillId="0" borderId="0" xfId="3" applyAlignment="1"/>
    <xf numFmtId="0" fontId="7" fillId="4" borderId="0" xfId="3" applyFont="1" applyFill="1" applyAlignment="1">
      <alignment horizontal="right"/>
    </xf>
    <xf numFmtId="0" fontId="35" fillId="4" borderId="18" xfId="3" applyFont="1" applyFill="1" applyBorder="1" applyAlignment="1">
      <alignment horizontal="right"/>
    </xf>
    <xf numFmtId="0" fontId="9" fillId="4" borderId="0" xfId="3" applyFont="1" applyFill="1" applyAlignment="1">
      <alignment horizontal="center"/>
    </xf>
    <xf numFmtId="0" fontId="9" fillId="4" borderId="0" xfId="3" applyFont="1" applyFill="1" applyAlignment="1">
      <alignment horizontal="left"/>
    </xf>
    <xf numFmtId="0" fontId="7" fillId="4" borderId="1" xfId="3" applyFont="1" applyFill="1" applyBorder="1" applyAlignment="1">
      <alignment horizontal="right"/>
    </xf>
    <xf numFmtId="0" fontId="35" fillId="4" borderId="27" xfId="3" applyFont="1" applyFill="1" applyBorder="1" applyAlignment="1">
      <alignment horizontal="right"/>
    </xf>
    <xf numFmtId="0" fontId="8" fillId="4" borderId="1" xfId="3" applyFont="1" applyFill="1" applyBorder="1" applyAlignment="1">
      <alignment horizontal="center"/>
    </xf>
    <xf numFmtId="0" fontId="8" fillId="4" borderId="1" xfId="3" applyFont="1" applyFill="1" applyBorder="1" applyAlignment="1"/>
    <xf numFmtId="0" fontId="7" fillId="4" borderId="0" xfId="3" applyFont="1" applyFill="1" applyAlignment="1">
      <alignment horizontal="right" vertical="center"/>
    </xf>
    <xf numFmtId="0" fontId="35" fillId="4" borderId="18" xfId="3" applyFont="1" applyFill="1" applyBorder="1" applyAlignment="1">
      <alignment horizontal="right" vertical="center"/>
    </xf>
    <xf numFmtId="0" fontId="7" fillId="4" borderId="21" xfId="3" applyFont="1" applyFill="1" applyBorder="1" applyAlignment="1">
      <alignment horizontal="right" vertical="center"/>
    </xf>
    <xf numFmtId="0" fontId="5" fillId="4" borderId="0" xfId="3" applyFont="1" applyFill="1" applyAlignment="1">
      <alignment horizontal="center" vertical="center"/>
    </xf>
    <xf numFmtId="0" fontId="38" fillId="4" borderId="0" xfId="3" applyFont="1" applyFill="1">
      <alignment vertical="center"/>
    </xf>
    <xf numFmtId="10" fontId="35" fillId="0" borderId="21" xfId="3" applyNumberFormat="1" applyFont="1" applyBorder="1" applyAlignment="1">
      <alignment horizontal="center" vertical="center"/>
    </xf>
    <xf numFmtId="9" fontId="29" fillId="0" borderId="0" xfId="1" applyFont="1">
      <alignment vertical="center"/>
    </xf>
    <xf numFmtId="9" fontId="35" fillId="0" borderId="0" xfId="1" applyFont="1" applyAlignment="1">
      <alignment horizontal="center" vertical="center"/>
    </xf>
    <xf numFmtId="9" fontId="35" fillId="0" borderId="0" xfId="1" quotePrefix="1" applyFont="1" applyBorder="1" applyAlignment="1">
      <alignment horizontal="center" vertical="center"/>
    </xf>
    <xf numFmtId="9" fontId="35" fillId="0" borderId="0" xfId="1" applyFont="1" applyBorder="1" applyAlignment="1">
      <alignment horizontal="center" vertical="center"/>
    </xf>
    <xf numFmtId="0" fontId="21" fillId="0" borderId="0" xfId="0" applyFont="1">
      <alignment vertical="center"/>
    </xf>
    <xf numFmtId="0" fontId="26" fillId="0" borderId="0" xfId="0" applyFont="1">
      <alignment vertical="center"/>
    </xf>
    <xf numFmtId="0" fontId="26" fillId="0" borderId="0" xfId="0" applyFont="1" applyAlignment="1">
      <alignment horizontal="right" vertical="center"/>
    </xf>
    <xf numFmtId="0" fontId="26" fillId="0" borderId="28" xfId="0" applyFont="1" applyBorder="1">
      <alignment vertical="center"/>
    </xf>
    <xf numFmtId="0" fontId="30" fillId="0" borderId="0" xfId="0" applyFont="1">
      <alignment vertical="center"/>
    </xf>
    <xf numFmtId="0" fontId="30" fillId="0" borderId="29" xfId="0" applyFont="1" applyBorder="1">
      <alignment vertical="center"/>
    </xf>
    <xf numFmtId="0" fontId="26" fillId="0" borderId="29" xfId="0" applyFont="1" applyBorder="1">
      <alignment vertical="center"/>
    </xf>
    <xf numFmtId="0" fontId="26" fillId="0" borderId="14" xfId="0" applyFont="1" applyBorder="1" applyAlignment="1">
      <alignment horizontal="left" vertical="center" indent="1"/>
    </xf>
    <xf numFmtId="0" fontId="26" fillId="0" borderId="14" xfId="0" applyFont="1" applyBorder="1">
      <alignment vertical="center"/>
    </xf>
    <xf numFmtId="0" fontId="26" fillId="0" borderId="32" xfId="0" applyFont="1" applyBorder="1">
      <alignment vertical="center"/>
    </xf>
    <xf numFmtId="0" fontId="26" fillId="0" borderId="33" xfId="0" applyFont="1" applyBorder="1">
      <alignment vertical="center"/>
    </xf>
    <xf numFmtId="0" fontId="39" fillId="0" borderId="31" xfId="0" applyFont="1" applyBorder="1" applyAlignment="1">
      <alignment horizontal="right" vertical="center"/>
    </xf>
    <xf numFmtId="0" fontId="26" fillId="0" borderId="0" xfId="0" applyFont="1" applyAlignment="1">
      <alignment horizontal="left" vertical="center" indent="1"/>
    </xf>
    <xf numFmtId="0" fontId="26" fillId="0" borderId="31" xfId="0" applyFont="1" applyBorder="1">
      <alignment vertical="center"/>
    </xf>
    <xf numFmtId="0" fontId="26" fillId="0" borderId="30" xfId="0" applyFont="1" applyBorder="1">
      <alignment vertical="center"/>
    </xf>
    <xf numFmtId="0" fontId="26" fillId="0" borderId="0" xfId="0" applyFont="1" applyAlignment="1">
      <alignment horizontal="center" vertical="center"/>
    </xf>
    <xf numFmtId="9" fontId="26" fillId="0" borderId="0" xfId="1" applyFont="1">
      <alignment vertical="center"/>
    </xf>
    <xf numFmtId="9" fontId="26" fillId="0" borderId="14" xfId="1" applyFont="1" applyBorder="1">
      <alignment vertical="center"/>
    </xf>
    <xf numFmtId="0" fontId="26" fillId="0" borderId="14" xfId="0" applyFont="1" applyBorder="1" applyAlignment="1">
      <alignment horizontal="right" vertical="center"/>
    </xf>
    <xf numFmtId="9" fontId="26" fillId="0" borderId="0" xfId="1" applyFont="1" applyAlignment="1">
      <alignment horizontal="right" vertical="center"/>
    </xf>
    <xf numFmtId="9" fontId="26" fillId="0" borderId="14" xfId="1" applyFont="1" applyBorder="1" applyAlignment="1">
      <alignment horizontal="right" vertical="center"/>
    </xf>
    <xf numFmtId="0" fontId="36" fillId="2" borderId="31" xfId="3" applyFont="1" applyFill="1" applyBorder="1" applyAlignment="1">
      <alignment horizontal="center" vertical="center" wrapText="1"/>
    </xf>
    <xf numFmtId="0" fontId="26" fillId="0" borderId="31" xfId="0" applyFont="1" applyBorder="1" applyAlignment="1">
      <alignment horizontal="right" vertical="center"/>
    </xf>
    <xf numFmtId="0" fontId="26" fillId="0" borderId="30" xfId="0" applyFont="1" applyBorder="1" applyAlignment="1">
      <alignment horizontal="right" vertical="center"/>
    </xf>
    <xf numFmtId="9" fontId="26" fillId="0" borderId="31" xfId="1" applyFont="1" applyBorder="1">
      <alignment vertical="center"/>
    </xf>
    <xf numFmtId="9" fontId="26" fillId="0" borderId="31" xfId="1" applyFont="1" applyBorder="1" applyAlignment="1">
      <alignment horizontal="right" vertical="center"/>
    </xf>
    <xf numFmtId="9" fontId="26" fillId="0" borderId="30" xfId="1" applyFont="1" applyBorder="1" applyAlignment="1">
      <alignment horizontal="right" vertical="center"/>
    </xf>
    <xf numFmtId="0" fontId="36" fillId="2" borderId="0" xfId="0" applyFont="1" applyFill="1" applyAlignment="1">
      <alignment horizontal="center" vertical="center"/>
    </xf>
    <xf numFmtId="0" fontId="30" fillId="3" borderId="0" xfId="0" applyFont="1" applyFill="1" applyAlignment="1">
      <alignment horizontal="center" vertical="center"/>
    </xf>
    <xf numFmtId="9" fontId="26" fillId="0" borderId="34" xfId="1" applyFont="1" applyBorder="1" applyAlignment="1">
      <alignment horizontal="right" vertical="center"/>
    </xf>
    <xf numFmtId="0" fontId="26" fillId="12" borderId="35" xfId="0" applyFont="1" applyFill="1" applyBorder="1" applyAlignment="1">
      <alignment horizontal="center" vertical="center"/>
    </xf>
    <xf numFmtId="0" fontId="26" fillId="12" borderId="36" xfId="0" applyFont="1" applyFill="1" applyBorder="1" applyAlignment="1">
      <alignment horizontal="center" vertical="center"/>
    </xf>
    <xf numFmtId="0" fontId="26" fillId="12" borderId="37" xfId="0" applyFont="1" applyFill="1" applyBorder="1" applyAlignment="1">
      <alignment horizontal="center" vertical="center"/>
    </xf>
    <xf numFmtId="0" fontId="26" fillId="12" borderId="32" xfId="0" applyFont="1" applyFill="1" applyBorder="1">
      <alignment vertical="center"/>
    </xf>
    <xf numFmtId="0" fontId="30" fillId="12" borderId="28" xfId="0" applyFont="1" applyFill="1" applyBorder="1">
      <alignment vertical="center"/>
    </xf>
    <xf numFmtId="9" fontId="27" fillId="0" borderId="0" xfId="0" applyNumberFormat="1" applyFont="1" applyAlignment="1">
      <alignment horizontal="right" vertical="center"/>
    </xf>
    <xf numFmtId="38" fontId="26" fillId="0" borderId="0" xfId="0" applyNumberFormat="1" applyFont="1">
      <alignment vertical="center"/>
    </xf>
    <xf numFmtId="2" fontId="26" fillId="0" borderId="0" xfId="0" applyNumberFormat="1" applyFont="1">
      <alignment vertical="center"/>
    </xf>
    <xf numFmtId="40" fontId="27" fillId="0" borderId="0" xfId="0" applyNumberFormat="1" applyFont="1" applyAlignment="1">
      <alignment horizontal="right" vertical="center"/>
    </xf>
    <xf numFmtId="40" fontId="26" fillId="0" borderId="0" xfId="0" applyNumberFormat="1" applyFont="1">
      <alignment vertical="center"/>
    </xf>
    <xf numFmtId="0" fontId="26" fillId="0" borderId="39" xfId="0" applyFont="1" applyBorder="1">
      <alignment vertical="center"/>
    </xf>
    <xf numFmtId="1" fontId="26" fillId="0" borderId="28" xfId="0" applyNumberFormat="1" applyFont="1" applyBorder="1">
      <alignment vertical="center"/>
    </xf>
    <xf numFmtId="0" fontId="30" fillId="3" borderId="31" xfId="3" applyFont="1" applyFill="1" applyBorder="1" applyAlignment="1">
      <alignment horizontal="center" vertical="center" wrapText="1"/>
    </xf>
    <xf numFmtId="1" fontId="26" fillId="0" borderId="32" xfId="0" applyNumberFormat="1" applyFont="1" applyBorder="1">
      <alignment vertical="center"/>
    </xf>
    <xf numFmtId="9" fontId="26" fillId="0" borderId="30" xfId="1" applyFont="1" applyBorder="1">
      <alignment vertical="center"/>
    </xf>
    <xf numFmtId="0" fontId="36" fillId="2" borderId="17" xfId="0" applyFont="1" applyFill="1" applyBorder="1" applyAlignment="1">
      <alignment horizontal="center" vertical="center"/>
    </xf>
    <xf numFmtId="49" fontId="36" fillId="2" borderId="17" xfId="0" applyNumberFormat="1" applyFont="1" applyFill="1" applyBorder="1" applyAlignment="1">
      <alignment horizontal="center" vertical="center" wrapText="1"/>
    </xf>
    <xf numFmtId="179" fontId="41" fillId="0" borderId="14" xfId="4" applyNumberFormat="1" applyFont="1" applyFill="1" applyBorder="1" applyAlignment="1">
      <alignment horizontal="center" vertical="center" wrapText="1"/>
    </xf>
    <xf numFmtId="179" fontId="41" fillId="0" borderId="14" xfId="4" applyNumberFormat="1" applyFont="1" applyFill="1" applyBorder="1" applyAlignment="1">
      <alignment horizontal="center" vertical="center"/>
    </xf>
    <xf numFmtId="40" fontId="33" fillId="0" borderId="13" xfId="0" applyNumberFormat="1" applyFont="1" applyBorder="1" applyAlignment="1">
      <alignment horizontal="center" vertical="center"/>
    </xf>
    <xf numFmtId="40" fontId="33" fillId="0" borderId="0" xfId="0" applyNumberFormat="1" applyFont="1" applyAlignment="1">
      <alignment horizontal="center" vertical="center"/>
    </xf>
    <xf numFmtId="37" fontId="22" fillId="0" borderId="0" xfId="3" applyNumberFormat="1" applyFont="1">
      <alignment vertical="center"/>
    </xf>
    <xf numFmtId="9" fontId="22" fillId="0" borderId="0" xfId="1" applyFont="1">
      <alignment vertical="center"/>
    </xf>
    <xf numFmtId="37" fontId="26" fillId="0" borderId="0" xfId="3" applyNumberFormat="1" applyFont="1" applyAlignment="1">
      <alignment horizontal="right" vertical="center"/>
    </xf>
    <xf numFmtId="0" fontId="26" fillId="0" borderId="0" xfId="3" applyFont="1" applyAlignment="1">
      <alignment horizontal="right" vertical="center"/>
    </xf>
    <xf numFmtId="37" fontId="22" fillId="0" borderId="31" xfId="3" applyNumberFormat="1" applyFont="1" applyBorder="1">
      <alignment vertical="center"/>
    </xf>
    <xf numFmtId="9" fontId="42" fillId="0" borderId="0" xfId="1" applyFont="1" applyAlignment="1">
      <alignment horizontal="center" vertical="center"/>
    </xf>
    <xf numFmtId="0" fontId="22" fillId="0" borderId="31" xfId="0" applyFont="1" applyBorder="1">
      <alignment vertical="center"/>
    </xf>
    <xf numFmtId="1" fontId="26" fillId="0" borderId="0" xfId="0" applyNumberFormat="1" applyFont="1">
      <alignment vertical="center"/>
    </xf>
    <xf numFmtId="9" fontId="29" fillId="0" borderId="0" xfId="3" applyNumberFormat="1">
      <alignment vertical="center"/>
    </xf>
    <xf numFmtId="184" fontId="22" fillId="0" borderId="0" xfId="0" applyNumberFormat="1" applyFont="1">
      <alignment vertical="center"/>
    </xf>
    <xf numFmtId="183" fontId="25" fillId="0" borderId="0" xfId="0" applyNumberFormat="1" applyFont="1">
      <alignment vertical="center"/>
    </xf>
    <xf numFmtId="183" fontId="22" fillId="0" borderId="0" xfId="0" applyNumberFormat="1" applyFont="1">
      <alignment vertical="center"/>
    </xf>
    <xf numFmtId="1" fontId="22" fillId="0" borderId="9" xfId="0" applyNumberFormat="1" applyFont="1" applyBorder="1">
      <alignment vertical="center"/>
    </xf>
    <xf numFmtId="177" fontId="22" fillId="0" borderId="0" xfId="0" applyNumberFormat="1" applyFont="1">
      <alignment vertical="center"/>
    </xf>
    <xf numFmtId="0" fontId="28" fillId="0" borderId="0" xfId="0" applyFont="1">
      <alignment vertical="center"/>
    </xf>
    <xf numFmtId="177" fontId="28" fillId="0" borderId="0" xfId="0" applyNumberFormat="1" applyFont="1">
      <alignment vertical="center"/>
    </xf>
    <xf numFmtId="38" fontId="35" fillId="0" borderId="0" xfId="0" applyNumberFormat="1" applyFont="1">
      <alignment vertical="center"/>
    </xf>
    <xf numFmtId="0" fontId="22" fillId="0" borderId="0" xfId="0" applyFont="1" applyAlignment="1">
      <alignment horizontal="left" vertical="center"/>
    </xf>
    <xf numFmtId="179" fontId="22" fillId="0" borderId="0" xfId="0" applyNumberFormat="1" applyFont="1">
      <alignment vertical="center"/>
    </xf>
    <xf numFmtId="10" fontId="22" fillId="0" borderId="0" xfId="1" applyNumberFormat="1" applyFont="1">
      <alignment vertical="center"/>
    </xf>
    <xf numFmtId="0" fontId="22" fillId="3" borderId="0" xfId="0" applyFont="1" applyFill="1" applyAlignment="1">
      <alignment horizontal="center" vertical="center"/>
    </xf>
    <xf numFmtId="0" fontId="25" fillId="2" borderId="0" xfId="0" applyFont="1" applyFill="1" applyAlignment="1">
      <alignment horizontal="center" vertical="center"/>
    </xf>
    <xf numFmtId="0" fontId="25" fillId="2" borderId="0" xfId="0" applyFont="1" applyFill="1" applyAlignment="1">
      <alignment horizontal="left" vertical="center"/>
    </xf>
    <xf numFmtId="177" fontId="22" fillId="3" borderId="0" xfId="0" applyNumberFormat="1" applyFont="1" applyFill="1" applyAlignment="1">
      <alignment horizontal="center" vertical="center"/>
    </xf>
    <xf numFmtId="177" fontId="25" fillId="2" borderId="0" xfId="0" applyNumberFormat="1" applyFont="1" applyFill="1" applyAlignment="1">
      <alignment horizontal="center" vertical="center"/>
    </xf>
    <xf numFmtId="179" fontId="22" fillId="0" borderId="0" xfId="1" applyNumberFormat="1" applyFont="1">
      <alignment vertical="center"/>
    </xf>
    <xf numFmtId="38" fontId="0" fillId="0" borderId="0" xfId="0" applyNumberFormat="1">
      <alignment vertical="center"/>
    </xf>
    <xf numFmtId="0" fontId="25" fillId="2" borderId="0" xfId="0" applyFont="1" applyFill="1">
      <alignment vertical="center"/>
    </xf>
    <xf numFmtId="0" fontId="25" fillId="4" borderId="0" xfId="0" applyFont="1" applyFill="1" applyAlignment="1">
      <alignment horizontal="right"/>
    </xf>
    <xf numFmtId="0" fontId="43" fillId="4" borderId="0" xfId="0" applyFont="1" applyFill="1" applyAlignment="1">
      <alignment horizontal="left"/>
    </xf>
    <xf numFmtId="177" fontId="43" fillId="4" borderId="0" xfId="0" applyNumberFormat="1" applyFont="1" applyFill="1" applyAlignment="1">
      <alignment horizontal="left"/>
    </xf>
    <xf numFmtId="0" fontId="25" fillId="4" borderId="1" xfId="0" applyFont="1" applyFill="1" applyBorder="1" applyAlignment="1">
      <alignment horizontal="right"/>
    </xf>
    <xf numFmtId="0" fontId="44" fillId="4" borderId="1" xfId="0" applyFont="1" applyFill="1" applyBorder="1" applyAlignment="1"/>
    <xf numFmtId="177" fontId="44" fillId="4" borderId="1" xfId="0" applyNumberFormat="1" applyFont="1" applyFill="1" applyBorder="1" applyAlignment="1"/>
    <xf numFmtId="0" fontId="25" fillId="4" borderId="0" xfId="0" applyFont="1" applyFill="1" applyAlignment="1">
      <alignment horizontal="right" vertical="center"/>
    </xf>
    <xf numFmtId="0" fontId="25" fillId="4" borderId="0" xfId="0" applyFont="1" applyFill="1">
      <alignment vertical="center"/>
    </xf>
    <xf numFmtId="177" fontId="25" fillId="4" borderId="0" xfId="0" applyNumberFormat="1" applyFont="1" applyFill="1">
      <alignment vertical="center"/>
    </xf>
    <xf numFmtId="37" fontId="26" fillId="0" borderId="0" xfId="3" applyNumberFormat="1" applyFont="1" applyAlignment="1">
      <alignment horizontal="center" vertical="center" wrapText="1"/>
    </xf>
    <xf numFmtId="9" fontId="26" fillId="0" borderId="0" xfId="1" applyFont="1" applyAlignment="1">
      <alignment horizontal="center" vertical="center" wrapText="1"/>
    </xf>
    <xf numFmtId="0" fontId="11" fillId="3" borderId="38" xfId="0" applyFont="1" applyFill="1" applyBorder="1" applyAlignment="1">
      <alignment horizontal="center" vertical="center"/>
    </xf>
    <xf numFmtId="38" fontId="22" fillId="0" borderId="39" xfId="0" applyNumberFormat="1" applyFont="1" applyBorder="1">
      <alignment vertical="center"/>
    </xf>
    <xf numFmtId="9" fontId="22" fillId="0" borderId="30" xfId="1" applyFont="1" applyBorder="1">
      <alignment vertical="center"/>
    </xf>
    <xf numFmtId="38" fontId="22" fillId="0" borderId="31" xfId="0" applyNumberFormat="1" applyFont="1" applyBorder="1">
      <alignment vertical="center"/>
    </xf>
    <xf numFmtId="9" fontId="22" fillId="0" borderId="31" xfId="1" applyFont="1" applyBorder="1">
      <alignment vertical="center"/>
    </xf>
    <xf numFmtId="0" fontId="10" fillId="2" borderId="38" xfId="0" applyFont="1" applyFill="1" applyBorder="1">
      <alignment vertical="center"/>
    </xf>
    <xf numFmtId="0" fontId="22" fillId="0" borderId="39" xfId="0" applyFont="1" applyBorder="1">
      <alignment vertical="center"/>
    </xf>
    <xf numFmtId="0" fontId="22" fillId="0" borderId="30" xfId="0" applyFont="1" applyBorder="1" applyAlignment="1">
      <alignment horizontal="left" vertical="center" indent="1"/>
    </xf>
    <xf numFmtId="0" fontId="26" fillId="0" borderId="30" xfId="0" applyFont="1" applyBorder="1" applyAlignment="1">
      <alignment horizontal="left" vertical="center" indent="1"/>
    </xf>
    <xf numFmtId="0" fontId="26" fillId="0" borderId="31" xfId="0" applyFont="1" applyBorder="1" applyAlignment="1">
      <alignment horizontal="left" vertical="center" indent="1"/>
    </xf>
    <xf numFmtId="0" fontId="27" fillId="0" borderId="30" xfId="0" applyFont="1" applyBorder="1" applyAlignment="1">
      <alignment horizontal="left" vertical="center" indent="1"/>
    </xf>
    <xf numFmtId="0" fontId="22" fillId="0" borderId="0" xfId="0" applyFont="1" applyAlignment="1">
      <alignment horizontal="center" vertical="center"/>
    </xf>
    <xf numFmtId="0" fontId="26" fillId="0" borderId="40" xfId="0" applyFont="1" applyBorder="1">
      <alignment vertical="center"/>
    </xf>
    <xf numFmtId="0" fontId="45" fillId="0" borderId="0" xfId="6"/>
    <xf numFmtId="0" fontId="46" fillId="0" borderId="0" xfId="6" applyFont="1" applyAlignment="1">
      <alignment vertical="center" wrapText="1"/>
    </xf>
    <xf numFmtId="0" fontId="40" fillId="0" borderId="0" xfId="6" applyFont="1" applyAlignment="1">
      <alignment horizontal="right" vertical="center" wrapText="1"/>
    </xf>
    <xf numFmtId="0" fontId="47" fillId="0" borderId="41" xfId="6" applyFont="1" applyBorder="1" applyAlignment="1">
      <alignment vertical="center" wrapText="1"/>
    </xf>
    <xf numFmtId="181" fontId="47" fillId="13" borderId="0" xfId="6" applyNumberFormat="1" applyFont="1" applyFill="1" applyAlignment="1">
      <alignment horizontal="right" vertical="center" wrapText="1"/>
    </xf>
    <xf numFmtId="0" fontId="47" fillId="0" borderId="0" xfId="6" applyFont="1" applyAlignment="1">
      <alignment vertical="center" wrapText="1"/>
    </xf>
    <xf numFmtId="0" fontId="47" fillId="0" borderId="0" xfId="6" applyFont="1" applyAlignment="1">
      <alignment horizontal="right" vertical="center" wrapText="1"/>
    </xf>
    <xf numFmtId="185" fontId="49" fillId="0" borderId="0" xfId="6" applyNumberFormat="1" applyFont="1" applyAlignment="1">
      <alignment horizontal="right" vertical="center" wrapText="1"/>
    </xf>
    <xf numFmtId="0" fontId="50" fillId="0" borderId="0" xfId="6" applyFont="1" applyAlignment="1">
      <alignment horizontal="justify" vertical="center" wrapText="1"/>
    </xf>
    <xf numFmtId="0" fontId="49" fillId="0" borderId="0" xfId="6" applyFont="1" applyAlignment="1">
      <alignment horizontal="right" vertical="center" wrapText="1"/>
    </xf>
    <xf numFmtId="179" fontId="51" fillId="0" borderId="30" xfId="7" applyNumberFormat="1" applyFont="1" applyBorder="1">
      <alignment vertical="center"/>
    </xf>
    <xf numFmtId="179" fontId="51" fillId="0" borderId="14" xfId="7" applyNumberFormat="1" applyFont="1" applyBorder="1">
      <alignment vertical="center"/>
    </xf>
    <xf numFmtId="0" fontId="51" fillId="0" borderId="14" xfId="6" applyFont="1" applyBorder="1" applyAlignment="1">
      <alignment vertical="center"/>
    </xf>
    <xf numFmtId="0" fontId="52" fillId="0" borderId="34" xfId="6" applyFont="1" applyBorder="1" applyAlignment="1">
      <alignment vertical="center"/>
    </xf>
    <xf numFmtId="179" fontId="51" fillId="14" borderId="0" xfId="7" applyNumberFormat="1" applyFont="1" applyFill="1" applyBorder="1">
      <alignment vertical="center"/>
    </xf>
    <xf numFmtId="179" fontId="51" fillId="0" borderId="0" xfId="7" applyNumberFormat="1" applyFont="1" applyBorder="1">
      <alignment vertical="center"/>
    </xf>
    <xf numFmtId="0" fontId="51" fillId="0" borderId="0" xfId="6" applyFont="1" applyAlignment="1">
      <alignment vertical="center"/>
    </xf>
    <xf numFmtId="0" fontId="52" fillId="0" borderId="18" xfId="6" applyFont="1" applyBorder="1" applyAlignment="1">
      <alignment vertical="center"/>
    </xf>
    <xf numFmtId="0" fontId="51" fillId="0" borderId="18" xfId="6" applyFont="1" applyBorder="1" applyAlignment="1">
      <alignment vertical="center"/>
    </xf>
    <xf numFmtId="179" fontId="51" fillId="0" borderId="31" xfId="7" applyNumberFormat="1" applyFont="1" applyBorder="1">
      <alignment vertical="center"/>
    </xf>
    <xf numFmtId="0" fontId="7" fillId="15" borderId="39" xfId="6" applyFont="1" applyFill="1" applyBorder="1" applyAlignment="1">
      <alignment horizontal="center" vertical="center"/>
    </xf>
    <xf numFmtId="0" fontId="7" fillId="15" borderId="13" xfId="6" applyFont="1" applyFill="1" applyBorder="1" applyAlignment="1">
      <alignment horizontal="center" vertical="center"/>
    </xf>
    <xf numFmtId="0" fontId="53" fillId="15" borderId="13" xfId="6" applyFont="1" applyFill="1" applyBorder="1" applyAlignment="1">
      <alignment vertical="center"/>
    </xf>
    <xf numFmtId="0" fontId="53" fillId="15" borderId="42" xfId="6" applyFont="1" applyFill="1" applyBorder="1" applyAlignment="1">
      <alignment vertical="center"/>
    </xf>
    <xf numFmtId="38" fontId="54" fillId="0" borderId="31" xfId="6" applyNumberFormat="1" applyFont="1" applyBorder="1" applyAlignment="1">
      <alignment horizontal="right" vertical="center"/>
    </xf>
    <xf numFmtId="38" fontId="54" fillId="0" borderId="0" xfId="6" applyNumberFormat="1" applyFont="1" applyAlignment="1">
      <alignment horizontal="right" vertical="center"/>
    </xf>
    <xf numFmtId="0" fontId="54" fillId="0" borderId="0" xfId="6" applyFont="1" applyAlignment="1">
      <alignment vertical="center"/>
    </xf>
    <xf numFmtId="0" fontId="54" fillId="0" borderId="18" xfId="6" applyFont="1" applyBorder="1" applyAlignment="1">
      <alignment vertical="center"/>
    </xf>
    <xf numFmtId="38" fontId="52" fillId="0" borderId="30" xfId="6" applyNumberFormat="1" applyFont="1" applyBorder="1" applyAlignment="1">
      <alignment horizontal="right" vertical="center"/>
    </xf>
    <xf numFmtId="38" fontId="52" fillId="0" borderId="14" xfId="6" applyNumberFormat="1" applyFont="1" applyBorder="1" applyAlignment="1">
      <alignment horizontal="right" vertical="center"/>
    </xf>
    <xf numFmtId="38" fontId="55" fillId="0" borderId="14" xfId="6" applyNumberFormat="1" applyFont="1" applyBorder="1" applyAlignment="1">
      <alignment horizontal="right" vertical="center"/>
    </xf>
    <xf numFmtId="0" fontId="52" fillId="0" borderId="14" xfId="6" applyFont="1" applyBorder="1" applyAlignment="1">
      <alignment vertical="center"/>
    </xf>
    <xf numFmtId="187" fontId="52" fillId="0" borderId="31" xfId="6" applyNumberFormat="1" applyFont="1" applyBorder="1" applyAlignment="1">
      <alignment horizontal="right" vertical="center"/>
    </xf>
    <xf numFmtId="187" fontId="52" fillId="0" borderId="0" xfId="6" applyNumberFormat="1" applyFont="1" applyAlignment="1">
      <alignment horizontal="right" vertical="center"/>
    </xf>
    <xf numFmtId="187" fontId="55" fillId="0" borderId="0" xfId="6" applyNumberFormat="1" applyFont="1" applyAlignment="1">
      <alignment horizontal="right" vertical="center"/>
    </xf>
    <xf numFmtId="0" fontId="52" fillId="0" borderId="0" xfId="6" applyFont="1" applyAlignment="1">
      <alignment vertical="center"/>
    </xf>
    <xf numFmtId="38" fontId="52" fillId="0" borderId="31" xfId="6" applyNumberFormat="1" applyFont="1" applyBorder="1" applyAlignment="1">
      <alignment horizontal="right" vertical="center"/>
    </xf>
    <xf numFmtId="38" fontId="52" fillId="0" borderId="0" xfId="6" applyNumberFormat="1" applyFont="1" applyAlignment="1">
      <alignment horizontal="right" vertical="center"/>
    </xf>
    <xf numFmtId="38" fontId="55" fillId="0" borderId="0" xfId="6" applyNumberFormat="1" applyFont="1" applyAlignment="1">
      <alignment horizontal="right" vertical="center"/>
    </xf>
    <xf numFmtId="38" fontId="58" fillId="0" borderId="31" xfId="6" applyNumberFormat="1" applyFont="1" applyBorder="1" applyAlignment="1">
      <alignment horizontal="right" vertical="center"/>
    </xf>
    <xf numFmtId="38" fontId="58" fillId="0" borderId="43" xfId="6" applyNumberFormat="1" applyFont="1" applyBorder="1" applyAlignment="1">
      <alignment horizontal="right" vertical="center"/>
    </xf>
    <xf numFmtId="38" fontId="58" fillId="0" borderId="0" xfId="6" applyNumberFormat="1" applyFont="1" applyAlignment="1">
      <alignment horizontal="right" vertical="center"/>
    </xf>
    <xf numFmtId="0" fontId="59" fillId="0" borderId="18" xfId="6" applyFont="1" applyBorder="1" applyAlignment="1">
      <alignment vertical="center"/>
    </xf>
    <xf numFmtId="188" fontId="52" fillId="0" borderId="44" xfId="6" applyNumberFormat="1" applyFont="1" applyBorder="1" applyAlignment="1">
      <alignment horizontal="center" vertical="center"/>
    </xf>
    <xf numFmtId="188" fontId="52" fillId="0" borderId="45" xfId="6" applyNumberFormat="1" applyFont="1" applyBorder="1" applyAlignment="1">
      <alignment horizontal="center" vertical="center"/>
    </xf>
    <xf numFmtId="189" fontId="52" fillId="3" borderId="45" xfId="6" applyNumberFormat="1" applyFont="1" applyFill="1" applyBorder="1" applyAlignment="1">
      <alignment horizontal="center" vertical="center"/>
    </xf>
    <xf numFmtId="0" fontId="52" fillId="3" borderId="45" xfId="6" applyFont="1" applyFill="1" applyBorder="1" applyAlignment="1">
      <alignment vertical="center"/>
    </xf>
    <xf numFmtId="0" fontId="59" fillId="3" borderId="46" xfId="6" applyFont="1" applyFill="1" applyBorder="1" applyAlignment="1">
      <alignment vertical="center"/>
    </xf>
    <xf numFmtId="0" fontId="52" fillId="0" borderId="17" xfId="6" applyFont="1" applyBorder="1" applyAlignment="1">
      <alignment vertical="center"/>
    </xf>
    <xf numFmtId="185" fontId="47" fillId="0" borderId="0" xfId="6" applyNumberFormat="1" applyFont="1" applyAlignment="1">
      <alignment horizontal="right" vertical="center" wrapText="1"/>
    </xf>
    <xf numFmtId="186" fontId="52" fillId="0" borderId="30" xfId="6" applyNumberFormat="1" applyFont="1" applyBorder="1" applyAlignment="1">
      <alignment vertical="center"/>
    </xf>
    <xf numFmtId="186" fontId="52" fillId="0" borderId="14" xfId="6" applyNumberFormat="1" applyFont="1" applyBorder="1" applyAlignment="1">
      <alignment vertical="center"/>
    </xf>
    <xf numFmtId="0" fontId="60" fillId="0" borderId="14" xfId="6" applyFont="1" applyBorder="1" applyAlignment="1">
      <alignment vertical="center"/>
    </xf>
    <xf numFmtId="190" fontId="52" fillId="14" borderId="0" xfId="6" applyNumberFormat="1" applyFont="1" applyFill="1" applyAlignment="1">
      <alignment horizontal="centerContinuous" vertical="center"/>
    </xf>
    <xf numFmtId="186" fontId="52" fillId="0" borderId="0" xfId="6" applyNumberFormat="1" applyFont="1" applyAlignment="1">
      <alignment vertical="center"/>
    </xf>
    <xf numFmtId="0" fontId="61" fillId="16" borderId="41" xfId="6" applyFont="1" applyFill="1" applyBorder="1" applyAlignment="1">
      <alignment horizontal="right" vertical="center" wrapText="1"/>
    </xf>
    <xf numFmtId="0" fontId="61" fillId="16" borderId="41" xfId="6" applyFont="1" applyFill="1" applyBorder="1" applyAlignment="1">
      <alignment vertical="center" wrapText="1"/>
    </xf>
    <xf numFmtId="0" fontId="40" fillId="0" borderId="0" xfId="6" applyFont="1" applyAlignment="1">
      <alignment vertical="center" wrapText="1"/>
    </xf>
    <xf numFmtId="0" fontId="49" fillId="0" borderId="41" xfId="6" applyFont="1" applyBorder="1" applyAlignment="1">
      <alignment horizontal="right" vertical="center" wrapText="1"/>
    </xf>
    <xf numFmtId="185" fontId="47" fillId="0" borderId="41" xfId="6" applyNumberFormat="1" applyFont="1" applyBorder="1" applyAlignment="1">
      <alignment horizontal="right" vertical="center" wrapText="1"/>
    </xf>
    <xf numFmtId="0" fontId="52" fillId="0" borderId="31" xfId="6" applyFont="1" applyBorder="1" applyAlignment="1">
      <alignment vertical="center"/>
    </xf>
    <xf numFmtId="0" fontId="7" fillId="15" borderId="47" xfId="6" applyFont="1" applyFill="1" applyBorder="1" applyAlignment="1">
      <alignment horizontal="center" vertical="center"/>
    </xf>
    <xf numFmtId="0" fontId="7" fillId="15" borderId="48" xfId="6" applyFont="1" applyFill="1" applyBorder="1" applyAlignment="1">
      <alignment horizontal="center" vertical="center"/>
    </xf>
    <xf numFmtId="0" fontId="47" fillId="0" borderId="0" xfId="6" applyFont="1" applyAlignment="1">
      <alignment horizontal="left" vertical="center" wrapText="1" indent="1"/>
    </xf>
    <xf numFmtId="38" fontId="59" fillId="0" borderId="0" xfId="6" applyNumberFormat="1" applyFont="1" applyAlignment="1">
      <alignment horizontal="right" vertical="center"/>
    </xf>
    <xf numFmtId="38" fontId="59" fillId="0" borderId="49" xfId="6" applyNumberFormat="1" applyFont="1" applyBorder="1" applyAlignment="1">
      <alignment horizontal="right" vertical="center"/>
    </xf>
    <xf numFmtId="0" fontId="59" fillId="0" borderId="0" xfId="6" applyFont="1" applyAlignment="1">
      <alignment vertical="center"/>
    </xf>
    <xf numFmtId="0" fontId="59" fillId="0" borderId="49" xfId="6" applyFont="1" applyBorder="1" applyAlignment="1">
      <alignment vertical="center"/>
    </xf>
    <xf numFmtId="0" fontId="59" fillId="0" borderId="51" xfId="6" applyFont="1" applyBorder="1" applyAlignment="1">
      <alignment vertical="center"/>
    </xf>
    <xf numFmtId="0" fontId="62" fillId="0" borderId="0" xfId="6" applyFont="1" applyAlignment="1">
      <alignment horizontal="left" vertical="center" wrapText="1"/>
    </xf>
    <xf numFmtId="0" fontId="63" fillId="0" borderId="18" xfId="6" applyFont="1" applyBorder="1"/>
    <xf numFmtId="0" fontId="64" fillId="0" borderId="0" xfId="6" applyFont="1" applyAlignment="1">
      <alignment horizontal="left" indent="1"/>
    </xf>
    <xf numFmtId="38" fontId="52" fillId="0" borderId="13" xfId="6" applyNumberFormat="1" applyFont="1" applyBorder="1" applyAlignment="1">
      <alignment horizontal="right" vertical="center"/>
    </xf>
    <xf numFmtId="38" fontId="55" fillId="0" borderId="13" xfId="6" applyNumberFormat="1" applyFont="1" applyBorder="1" applyAlignment="1">
      <alignment horizontal="right" vertical="center"/>
    </xf>
    <xf numFmtId="0" fontId="52" fillId="0" borderId="13" xfId="6" applyFont="1" applyBorder="1" applyAlignment="1">
      <alignment vertical="center"/>
    </xf>
    <xf numFmtId="0" fontId="59" fillId="0" borderId="42" xfId="6" applyFont="1" applyBorder="1" applyAlignment="1">
      <alignment vertical="center"/>
    </xf>
    <xf numFmtId="0" fontId="63" fillId="0" borderId="42" xfId="6" applyFont="1" applyBorder="1"/>
    <xf numFmtId="188" fontId="52" fillId="0" borderId="39" xfId="6" applyNumberFormat="1" applyFont="1" applyBorder="1" applyAlignment="1">
      <alignment horizontal="center" vertical="center"/>
    </xf>
    <xf numFmtId="188" fontId="52" fillId="0" borderId="13" xfId="6" applyNumberFormat="1" applyFont="1" applyBorder="1" applyAlignment="1">
      <alignment horizontal="center" vertical="center"/>
    </xf>
    <xf numFmtId="189" fontId="52" fillId="3" borderId="13" xfId="6" applyNumberFormat="1" applyFont="1" applyFill="1" applyBorder="1" applyAlignment="1">
      <alignment horizontal="center" vertical="center"/>
    </xf>
    <xf numFmtId="0" fontId="52" fillId="3" borderId="13" xfId="6" applyFont="1" applyFill="1" applyBorder="1" applyAlignment="1">
      <alignment vertical="center"/>
    </xf>
    <xf numFmtId="0" fontId="59" fillId="3" borderId="42" xfId="6" applyFont="1" applyFill="1" applyBorder="1" applyAlignment="1">
      <alignment vertical="center"/>
    </xf>
    <xf numFmtId="0" fontId="45" fillId="0" borderId="14" xfId="6" applyBorder="1"/>
    <xf numFmtId="0" fontId="64" fillId="0" borderId="14" xfId="6" applyFont="1" applyBorder="1" applyAlignment="1">
      <alignment horizontal="left" indent="1"/>
    </xf>
    <xf numFmtId="0" fontId="45" fillId="0" borderId="18" xfId="6" applyBorder="1"/>
    <xf numFmtId="38" fontId="59" fillId="0" borderId="30" xfId="8" applyNumberFormat="1" applyFont="1" applyBorder="1">
      <alignment vertical="center"/>
    </xf>
    <xf numFmtId="38" fontId="59" fillId="0" borderId="14" xfId="8" applyNumberFormat="1" applyFont="1" applyBorder="1">
      <alignment vertical="center"/>
    </xf>
    <xf numFmtId="38" fontId="59" fillId="0" borderId="17" xfId="8" applyNumberFormat="1" applyFont="1" applyBorder="1">
      <alignment vertical="center"/>
    </xf>
    <xf numFmtId="38" fontId="59" fillId="0" borderId="52" xfId="8" applyNumberFormat="1" applyFont="1" applyBorder="1">
      <alignment vertical="center"/>
    </xf>
    <xf numFmtId="0" fontId="59" fillId="0" borderId="53" xfId="9" applyFont="1" applyBorder="1">
      <alignment vertical="center"/>
    </xf>
    <xf numFmtId="0" fontId="59" fillId="0" borderId="34" xfId="9" applyFont="1" applyBorder="1">
      <alignment vertical="center"/>
    </xf>
    <xf numFmtId="191" fontId="50" fillId="0" borderId="0" xfId="6" applyNumberFormat="1" applyFont="1" applyAlignment="1">
      <alignment horizontal="justify" vertical="center" wrapText="1"/>
    </xf>
    <xf numFmtId="38" fontId="55" fillId="0" borderId="31" xfId="8" applyNumberFormat="1" applyFont="1" applyBorder="1">
      <alignment vertical="center"/>
    </xf>
    <xf numFmtId="38" fontId="55" fillId="0" borderId="0" xfId="8" applyNumberFormat="1" applyFont="1" applyBorder="1">
      <alignment vertical="center"/>
    </xf>
    <xf numFmtId="38" fontId="55" fillId="0" borderId="54" xfId="8" applyNumberFormat="1" applyFont="1" applyBorder="1">
      <alignment vertical="center"/>
    </xf>
    <xf numFmtId="0" fontId="52" fillId="0" borderId="55" xfId="9" applyFont="1" applyBorder="1">
      <alignment vertical="center"/>
    </xf>
    <xf numFmtId="0" fontId="52" fillId="0" borderId="18" xfId="9" applyFont="1" applyBorder="1">
      <alignment vertical="center"/>
    </xf>
    <xf numFmtId="0" fontId="62" fillId="0" borderId="0" xfId="6" applyFont="1" applyAlignment="1">
      <alignment horizontal="center" vertical="center" wrapText="1"/>
    </xf>
    <xf numFmtId="9" fontId="51" fillId="0" borderId="31" xfId="4" applyFont="1" applyBorder="1">
      <alignment vertical="center"/>
    </xf>
    <xf numFmtId="9" fontId="51" fillId="0" borderId="0" xfId="4" applyFont="1" applyBorder="1">
      <alignment vertical="center"/>
    </xf>
    <xf numFmtId="0" fontId="51" fillId="0" borderId="54" xfId="3" applyFont="1" applyBorder="1">
      <alignment vertical="center"/>
    </xf>
    <xf numFmtId="0" fontId="51" fillId="0" borderId="55" xfId="3" applyFont="1" applyBorder="1">
      <alignment vertical="center"/>
    </xf>
    <xf numFmtId="0" fontId="59" fillId="0" borderId="18" xfId="9" applyFont="1" applyBorder="1">
      <alignment vertical="center"/>
    </xf>
    <xf numFmtId="38" fontId="59" fillId="0" borderId="31" xfId="8" applyNumberFormat="1" applyFont="1" applyBorder="1">
      <alignment vertical="center"/>
    </xf>
    <xf numFmtId="38" fontId="59" fillId="0" borderId="0" xfId="8" applyNumberFormat="1" applyFont="1" applyBorder="1">
      <alignment vertical="center"/>
    </xf>
    <xf numFmtId="38" fontId="59" fillId="0" borderId="54" xfId="8" applyNumberFormat="1" applyFont="1" applyBorder="1">
      <alignment vertical="center"/>
    </xf>
    <xf numFmtId="0" fontId="59" fillId="0" borderId="55" xfId="9" applyFont="1" applyBorder="1">
      <alignment vertical="center"/>
    </xf>
    <xf numFmtId="185" fontId="49" fillId="0" borderId="41" xfId="6" applyNumberFormat="1" applyFont="1" applyBorder="1" applyAlignment="1">
      <alignment horizontal="right" vertical="center" wrapText="1"/>
    </xf>
    <xf numFmtId="0" fontId="68" fillId="0" borderId="55" xfId="9" applyFont="1" applyBorder="1">
      <alignment vertical="center"/>
    </xf>
    <xf numFmtId="41" fontId="52" fillId="0" borderId="50" xfId="8" applyFont="1" applyBorder="1">
      <alignment vertical="center"/>
    </xf>
    <xf numFmtId="41" fontId="52" fillId="0" borderId="49" xfId="8" applyFont="1" applyBorder="1">
      <alignment vertical="center"/>
    </xf>
    <xf numFmtId="41" fontId="52" fillId="0" borderId="56" xfId="8" applyFont="1" applyBorder="1">
      <alignment vertical="center"/>
    </xf>
    <xf numFmtId="0" fontId="52" fillId="0" borderId="57" xfId="9" applyFont="1" applyBorder="1">
      <alignment vertical="center"/>
    </xf>
    <xf numFmtId="0" fontId="52" fillId="0" borderId="51" xfId="9" applyFont="1" applyBorder="1">
      <alignment vertical="center"/>
    </xf>
    <xf numFmtId="179" fontId="69" fillId="13" borderId="31" xfId="4" applyNumberFormat="1" applyFont="1" applyFill="1" applyBorder="1">
      <alignment vertical="center"/>
    </xf>
    <xf numFmtId="179" fontId="69" fillId="13" borderId="0" xfId="4" applyNumberFormat="1" applyFont="1" applyFill="1" applyBorder="1">
      <alignment vertical="center"/>
    </xf>
    <xf numFmtId="179" fontId="69" fillId="13" borderId="54" xfId="4" applyNumberFormat="1" applyFont="1" applyFill="1" applyBorder="1">
      <alignment vertical="center"/>
    </xf>
    <xf numFmtId="0" fontId="51" fillId="0" borderId="18" xfId="9" applyFont="1" applyBorder="1">
      <alignment vertical="center"/>
    </xf>
    <xf numFmtId="41" fontId="70" fillId="13" borderId="39" xfId="8" applyFont="1" applyFill="1" applyBorder="1">
      <alignment vertical="center"/>
    </xf>
    <xf numFmtId="41" fontId="70" fillId="13" borderId="13" xfId="8" applyFont="1" applyFill="1" applyBorder="1">
      <alignment vertical="center"/>
    </xf>
    <xf numFmtId="41" fontId="70" fillId="13" borderId="54" xfId="8" applyFont="1" applyFill="1" applyBorder="1">
      <alignment vertical="center"/>
    </xf>
    <xf numFmtId="188" fontId="71" fillId="0" borderId="30" xfId="3" applyNumberFormat="1" applyFont="1" applyBorder="1" applyAlignment="1">
      <alignment horizontal="center" vertical="center"/>
    </xf>
    <xf numFmtId="188" fontId="71" fillId="0" borderId="14" xfId="3" applyNumberFormat="1" applyFont="1" applyBorder="1" applyAlignment="1">
      <alignment horizontal="center" vertical="center"/>
    </xf>
    <xf numFmtId="189" fontId="72" fillId="0" borderId="14" xfId="3" applyNumberFormat="1" applyFont="1" applyBorder="1" applyAlignment="1">
      <alignment horizontal="center" vertical="center"/>
    </xf>
    <xf numFmtId="189" fontId="72" fillId="0" borderId="52" xfId="3" applyNumberFormat="1" applyFont="1" applyBorder="1" applyAlignment="1">
      <alignment horizontal="center" vertical="center"/>
    </xf>
    <xf numFmtId="0" fontId="71" fillId="0" borderId="53" xfId="3" applyFont="1" applyBorder="1">
      <alignment vertical="center"/>
    </xf>
    <xf numFmtId="0" fontId="71" fillId="0" borderId="34" xfId="3" applyFont="1" applyBorder="1">
      <alignment vertical="center"/>
    </xf>
    <xf numFmtId="0" fontId="73" fillId="0" borderId="0" xfId="10"/>
    <xf numFmtId="0" fontId="52" fillId="3" borderId="59" xfId="3" applyFont="1" applyFill="1" applyBorder="1">
      <alignment vertical="center"/>
    </xf>
    <xf numFmtId="0" fontId="52" fillId="3" borderId="42" xfId="3" applyFont="1" applyFill="1" applyBorder="1">
      <alignment vertical="center"/>
    </xf>
    <xf numFmtId="0" fontId="75" fillId="0" borderId="40" xfId="6" applyFont="1" applyBorder="1" applyAlignment="1">
      <alignment horizontal="centerContinuous"/>
    </xf>
    <xf numFmtId="0" fontId="76" fillId="0" borderId="40" xfId="6" applyFont="1" applyBorder="1" applyAlignment="1">
      <alignment horizontal="centerContinuous"/>
    </xf>
    <xf numFmtId="0" fontId="75" fillId="13" borderId="40" xfId="6" applyFont="1" applyFill="1" applyBorder="1" applyAlignment="1">
      <alignment horizontal="centerContinuous"/>
    </xf>
    <xf numFmtId="0" fontId="76" fillId="13" borderId="40" xfId="6" applyFont="1" applyFill="1" applyBorder="1" applyAlignment="1">
      <alignment horizontal="centerContinuous" vertical="center"/>
    </xf>
    <xf numFmtId="190" fontId="76" fillId="17" borderId="40" xfId="6" applyNumberFormat="1" applyFont="1" applyFill="1" applyBorder="1" applyAlignment="1">
      <alignment horizontal="centerContinuous" vertical="center"/>
    </xf>
    <xf numFmtId="190" fontId="76" fillId="14" borderId="40" xfId="6" applyNumberFormat="1" applyFont="1" applyFill="1" applyBorder="1" applyAlignment="1">
      <alignment horizontal="centerContinuous" vertical="center"/>
    </xf>
    <xf numFmtId="37" fontId="49" fillId="0" borderId="41" xfId="6" applyNumberFormat="1" applyFont="1" applyBorder="1" applyAlignment="1">
      <alignment horizontal="right" vertical="center" wrapText="1"/>
    </xf>
    <xf numFmtId="37" fontId="49" fillId="0" borderId="0" xfId="6" applyNumberFormat="1" applyFont="1" applyAlignment="1">
      <alignment horizontal="right" vertical="center" wrapText="1"/>
    </xf>
    <xf numFmtId="37" fontId="49" fillId="11" borderId="41" xfId="6" applyNumberFormat="1" applyFont="1" applyFill="1" applyBorder="1" applyAlignment="1">
      <alignment horizontal="right" vertical="center" wrapText="1"/>
    </xf>
    <xf numFmtId="37" fontId="49" fillId="11" borderId="0" xfId="6" applyNumberFormat="1" applyFont="1" applyFill="1" applyAlignment="1">
      <alignment horizontal="right" vertical="center" wrapText="1"/>
    </xf>
    <xf numFmtId="185" fontId="49" fillId="11" borderId="0" xfId="6" applyNumberFormat="1" applyFont="1" applyFill="1" applyAlignment="1">
      <alignment horizontal="right" vertical="center" wrapText="1"/>
    </xf>
    <xf numFmtId="185" fontId="49" fillId="11" borderId="41" xfId="6" applyNumberFormat="1" applyFont="1" applyFill="1" applyBorder="1" applyAlignment="1">
      <alignment horizontal="right" vertical="center" wrapText="1"/>
    </xf>
    <xf numFmtId="185" fontId="47" fillId="11" borderId="0" xfId="6" applyNumberFormat="1" applyFont="1" applyFill="1" applyAlignment="1">
      <alignment horizontal="right" vertical="center" wrapText="1"/>
    </xf>
    <xf numFmtId="185" fontId="47" fillId="11" borderId="41" xfId="6" applyNumberFormat="1" applyFont="1" applyFill="1" applyBorder="1" applyAlignment="1">
      <alignment horizontal="right" vertical="center" wrapText="1"/>
    </xf>
    <xf numFmtId="37" fontId="47" fillId="0" borderId="0" xfId="6" applyNumberFormat="1" applyFont="1" applyAlignment="1">
      <alignment horizontal="right" vertical="center" wrapText="1"/>
    </xf>
    <xf numFmtId="37" fontId="47" fillId="0" borderId="41" xfId="6" applyNumberFormat="1" applyFont="1" applyBorder="1" applyAlignment="1">
      <alignment horizontal="right" vertical="center" wrapText="1"/>
    </xf>
    <xf numFmtId="183" fontId="26" fillId="0" borderId="0" xfId="0" applyNumberFormat="1" applyFont="1" applyAlignment="1">
      <alignment horizontal="center" vertical="center"/>
    </xf>
    <xf numFmtId="181" fontId="47" fillId="0" borderId="0" xfId="6" applyNumberFormat="1" applyFont="1" applyAlignment="1">
      <alignment horizontal="right" vertical="center" wrapText="1"/>
    </xf>
    <xf numFmtId="1" fontId="47" fillId="0" borderId="0" xfId="6" applyNumberFormat="1" applyFont="1" applyAlignment="1">
      <alignment horizontal="right" vertical="center" wrapText="1"/>
    </xf>
    <xf numFmtId="0" fontId="84" fillId="0" borderId="0" xfId="6" applyFont="1" applyAlignment="1">
      <alignment vertical="center" wrapText="1"/>
    </xf>
    <xf numFmtId="38" fontId="40" fillId="0" borderId="0" xfId="6" applyNumberFormat="1" applyFont="1" applyAlignment="1">
      <alignment horizontal="right" vertical="center" wrapText="1"/>
    </xf>
    <xf numFmtId="38" fontId="45" fillId="0" borderId="0" xfId="6" applyNumberFormat="1"/>
    <xf numFmtId="38" fontId="46" fillId="0" borderId="0" xfId="6" applyNumberFormat="1" applyFont="1" applyAlignment="1">
      <alignment vertical="center" wrapText="1"/>
    </xf>
    <xf numFmtId="37" fontId="45" fillId="0" borderId="0" xfId="6" applyNumberFormat="1"/>
    <xf numFmtId="37" fontId="47" fillId="0" borderId="0" xfId="6" applyNumberFormat="1" applyFont="1" applyAlignment="1">
      <alignment vertical="center" wrapText="1"/>
    </xf>
    <xf numFmtId="37" fontId="40" fillId="0" borderId="0" xfId="6" applyNumberFormat="1" applyFont="1" applyAlignment="1">
      <alignment horizontal="right" vertical="center" wrapText="1"/>
    </xf>
    <xf numFmtId="37" fontId="47" fillId="0" borderId="41" xfId="6" applyNumberFormat="1" applyFont="1" applyBorder="1" applyAlignment="1">
      <alignment vertical="center" wrapText="1"/>
    </xf>
    <xf numFmtId="37" fontId="46" fillId="0" borderId="0" xfId="6" applyNumberFormat="1" applyFont="1" applyAlignment="1">
      <alignment vertical="center" wrapText="1"/>
    </xf>
    <xf numFmtId="1" fontId="49" fillId="0" borderId="41" xfId="6" applyNumberFormat="1" applyFont="1" applyBorder="1" applyAlignment="1">
      <alignment horizontal="right" vertical="center" wrapText="1"/>
    </xf>
    <xf numFmtId="1" fontId="49" fillId="0" borderId="0" xfId="6" applyNumberFormat="1" applyFont="1" applyAlignment="1">
      <alignment horizontal="right" vertical="center" wrapText="1"/>
    </xf>
    <xf numFmtId="181" fontId="49" fillId="0" borderId="0" xfId="6" applyNumberFormat="1" applyFont="1" applyAlignment="1">
      <alignment horizontal="right" vertical="center" wrapText="1"/>
    </xf>
    <xf numFmtId="181" fontId="49" fillId="0" borderId="41" xfId="6" applyNumberFormat="1" applyFont="1" applyBorder="1" applyAlignment="1">
      <alignment horizontal="right" vertical="center" wrapText="1"/>
    </xf>
    <xf numFmtId="0" fontId="47" fillId="0" borderId="41" xfId="6" applyFont="1" applyBorder="1" applyAlignment="1">
      <alignment horizontal="right" vertical="center" wrapText="1"/>
    </xf>
    <xf numFmtId="43" fontId="47" fillId="0" borderId="41" xfId="6" applyNumberFormat="1" applyFont="1" applyBorder="1" applyAlignment="1">
      <alignment horizontal="right" vertical="center" wrapText="1"/>
    </xf>
    <xf numFmtId="191" fontId="63" fillId="0" borderId="18" xfId="6" applyNumberFormat="1" applyFont="1" applyBorder="1"/>
    <xf numFmtId="37" fontId="47" fillId="0" borderId="0" xfId="7" applyNumberFormat="1" applyFont="1" applyFill="1" applyAlignment="1">
      <alignment horizontal="right" vertical="center" wrapText="1"/>
    </xf>
    <xf numFmtId="38" fontId="52" fillId="12" borderId="39" xfId="6" applyNumberFormat="1" applyFont="1" applyFill="1" applyBorder="1" applyAlignment="1">
      <alignment horizontal="right" vertical="center"/>
    </xf>
    <xf numFmtId="38" fontId="52" fillId="12" borderId="31" xfId="6" applyNumberFormat="1" applyFont="1" applyFill="1" applyBorder="1" applyAlignment="1">
      <alignment horizontal="right" vertical="center"/>
    </xf>
    <xf numFmtId="38" fontId="59" fillId="12" borderId="31" xfId="6" applyNumberFormat="1" applyFont="1" applyFill="1" applyBorder="1" applyAlignment="1">
      <alignment horizontal="right" vertical="center"/>
    </xf>
    <xf numFmtId="38" fontId="59" fillId="12" borderId="50" xfId="6" applyNumberFormat="1" applyFont="1" applyFill="1" applyBorder="1" applyAlignment="1">
      <alignment horizontal="right" vertical="center"/>
    </xf>
    <xf numFmtId="192" fontId="50" fillId="0" borderId="0" xfId="6" applyNumberFormat="1" applyFont="1" applyAlignment="1">
      <alignment horizontal="justify" vertical="center" wrapText="1"/>
    </xf>
    <xf numFmtId="193" fontId="45" fillId="0" borderId="0" xfId="6" applyNumberFormat="1"/>
    <xf numFmtId="37" fontId="47" fillId="0" borderId="61" xfId="6" applyNumberFormat="1" applyFont="1" applyBorder="1" applyAlignment="1">
      <alignment vertical="center" wrapText="1"/>
    </xf>
    <xf numFmtId="37" fontId="47" fillId="0" borderId="61" xfId="6" applyNumberFormat="1" applyFont="1" applyBorder="1" applyAlignment="1">
      <alignment horizontal="right" vertical="center" wrapText="1"/>
    </xf>
    <xf numFmtId="38" fontId="29" fillId="0" borderId="0" xfId="3" applyNumberFormat="1">
      <alignment vertical="center"/>
    </xf>
    <xf numFmtId="182" fontId="33" fillId="0" borderId="0" xfId="5" applyNumberFormat="1" applyFont="1" applyFill="1" applyBorder="1" applyAlignment="1">
      <alignment horizontal="center" vertical="center"/>
    </xf>
    <xf numFmtId="9" fontId="33" fillId="0" borderId="0" xfId="4" applyFont="1" applyFill="1" applyBorder="1" applyAlignment="1">
      <alignment horizontal="center" vertical="center"/>
    </xf>
    <xf numFmtId="182" fontId="26" fillId="0" borderId="0" xfId="5" applyNumberFormat="1" applyFont="1" applyFill="1" applyBorder="1" applyAlignment="1">
      <alignment horizontal="center" vertical="center"/>
    </xf>
    <xf numFmtId="0" fontId="33" fillId="0" borderId="0" xfId="0" applyFont="1" applyAlignment="1">
      <alignment horizontal="center" vertical="center" wrapText="1"/>
    </xf>
    <xf numFmtId="182" fontId="26" fillId="0" borderId="62" xfId="5" applyNumberFormat="1" applyFont="1" applyFill="1" applyBorder="1" applyAlignment="1">
      <alignment horizontal="center" vertical="center"/>
    </xf>
    <xf numFmtId="182" fontId="41" fillId="0" borderId="60" xfId="5" applyNumberFormat="1" applyFont="1" applyFill="1" applyBorder="1" applyAlignment="1">
      <alignment horizontal="center" vertical="center"/>
    </xf>
    <xf numFmtId="9" fontId="32" fillId="0" borderId="60" xfId="4" applyFont="1" applyFill="1" applyBorder="1" applyAlignment="1">
      <alignment horizontal="center" vertical="center" wrapText="1"/>
    </xf>
    <xf numFmtId="179" fontId="41" fillId="0" borderId="60" xfId="4" applyNumberFormat="1" applyFont="1" applyFill="1" applyBorder="1" applyAlignment="1">
      <alignment horizontal="center" vertical="center"/>
    </xf>
    <xf numFmtId="9" fontId="32" fillId="0" borderId="60" xfId="4" applyFont="1" applyBorder="1" applyAlignment="1">
      <alignment horizontal="center" vertical="center" wrapText="1"/>
    </xf>
    <xf numFmtId="179" fontId="41" fillId="0" borderId="60" xfId="4" applyNumberFormat="1" applyFont="1" applyFill="1" applyBorder="1" applyAlignment="1">
      <alignment horizontal="center" vertical="center" wrapText="1"/>
    </xf>
    <xf numFmtId="40" fontId="33" fillId="0" borderId="60" xfId="0" applyNumberFormat="1" applyFont="1" applyBorder="1" applyAlignment="1">
      <alignment horizontal="center" vertical="center"/>
    </xf>
    <xf numFmtId="37" fontId="26" fillId="0" borderId="60" xfId="3" applyNumberFormat="1" applyFont="1" applyBorder="1" applyAlignment="1">
      <alignment horizontal="center" vertical="center"/>
    </xf>
    <xf numFmtId="40" fontId="26" fillId="0" borderId="60" xfId="0" applyNumberFormat="1" applyFont="1" applyBorder="1" applyAlignment="1">
      <alignment horizontal="center" vertical="center"/>
    </xf>
    <xf numFmtId="37" fontId="26" fillId="0" borderId="60" xfId="3" applyNumberFormat="1" applyFont="1" applyBorder="1" applyAlignment="1">
      <alignment horizontal="center" vertical="center" wrapText="1"/>
    </xf>
    <xf numFmtId="38" fontId="26" fillId="0" borderId="60" xfId="3" applyNumberFormat="1" applyFont="1" applyBorder="1" applyAlignment="1">
      <alignment horizontal="center" vertical="center" wrapText="1"/>
    </xf>
    <xf numFmtId="0" fontId="85" fillId="2" borderId="17" xfId="11" applyFont="1" applyFill="1" applyBorder="1">
      <alignment vertical="center"/>
    </xf>
    <xf numFmtId="0" fontId="36" fillId="2" borderId="17" xfId="11" applyFont="1" applyFill="1" applyBorder="1">
      <alignment vertical="center"/>
    </xf>
    <xf numFmtId="0" fontId="22" fillId="0" borderId="0" xfId="11" applyFont="1" applyAlignment="1">
      <alignment horizontal="left" vertical="center"/>
    </xf>
    <xf numFmtId="194" fontId="22" fillId="0" borderId="0" xfId="11" applyNumberFormat="1" applyFont="1">
      <alignment vertical="center"/>
    </xf>
    <xf numFmtId="0" fontId="22" fillId="0" borderId="0" xfId="11" applyFont="1">
      <alignment vertical="center"/>
    </xf>
    <xf numFmtId="194" fontId="0" fillId="0" borderId="0" xfId="0" applyNumberFormat="1">
      <alignment vertical="center"/>
    </xf>
    <xf numFmtId="178" fontId="22" fillId="0" borderId="0" xfId="11" applyNumberFormat="1" applyFont="1" applyAlignment="1">
      <alignment horizontal="right" vertical="center"/>
    </xf>
    <xf numFmtId="0" fontId="22" fillId="0" borderId="0" xfId="11" applyFont="1" applyAlignment="1">
      <alignment horizontal="center" vertical="center"/>
    </xf>
    <xf numFmtId="0" fontId="86" fillId="0" borderId="0" xfId="0" applyFont="1" applyAlignment="1">
      <alignment vertical="center" wrapText="1"/>
    </xf>
    <xf numFmtId="0" fontId="86" fillId="0" borderId="0" xfId="0" applyFont="1" applyAlignment="1">
      <alignment horizontal="center" vertical="center" wrapText="1"/>
    </xf>
    <xf numFmtId="10" fontId="86" fillId="0" borderId="0" xfId="0" applyNumberFormat="1" applyFont="1" applyAlignment="1">
      <alignment horizontal="center" vertical="center" wrapText="1"/>
    </xf>
    <xf numFmtId="177" fontId="86" fillId="0" borderId="0" xfId="0" applyNumberFormat="1" applyFont="1" applyAlignment="1">
      <alignment horizontal="right" vertical="center" wrapText="1"/>
    </xf>
    <xf numFmtId="0" fontId="86" fillId="0" borderId="0" xfId="0" applyFont="1" applyAlignment="1">
      <alignment horizontal="right" vertical="center" wrapText="1"/>
    </xf>
    <xf numFmtId="177" fontId="86" fillId="19" borderId="0" xfId="0" applyNumberFormat="1" applyFont="1" applyFill="1" applyAlignment="1">
      <alignment horizontal="right" vertical="center"/>
    </xf>
    <xf numFmtId="0" fontId="22" fillId="0" borderId="0" xfId="11" applyFont="1" applyAlignment="1">
      <alignment horizontal="left" vertical="center" indent="1"/>
    </xf>
    <xf numFmtId="0" fontId="11" fillId="0" borderId="0" xfId="11" applyFont="1">
      <alignment vertical="center"/>
    </xf>
    <xf numFmtId="0" fontId="87" fillId="0" borderId="0" xfId="11" applyFont="1" applyAlignment="1">
      <alignment horizontal="center" vertical="center"/>
    </xf>
    <xf numFmtId="0" fontId="22" fillId="0" borderId="0" xfId="11" applyFont="1" applyAlignment="1">
      <alignment horizontal="left" vertical="center" indent="2"/>
    </xf>
    <xf numFmtId="0" fontId="88" fillId="0" borderId="0" xfId="0" applyFont="1">
      <alignment vertical="center"/>
    </xf>
    <xf numFmtId="3" fontId="89" fillId="0" borderId="0" xfId="0" applyNumberFormat="1" applyFont="1" applyAlignment="1">
      <alignment horizontal="right" vertical="center" wrapText="1"/>
    </xf>
    <xf numFmtId="0" fontId="89" fillId="0" borderId="0" xfId="0" applyFont="1" applyAlignment="1">
      <alignment horizontal="right" vertical="center" wrapText="1"/>
    </xf>
    <xf numFmtId="0" fontId="87" fillId="0" borderId="0" xfId="11" applyFont="1">
      <alignment vertical="center"/>
    </xf>
    <xf numFmtId="0" fontId="11" fillId="20" borderId="0" xfId="11" applyFont="1" applyFill="1" applyAlignment="1">
      <alignment horizontal="left" vertical="center"/>
    </xf>
    <xf numFmtId="194" fontId="11" fillId="20" borderId="0" xfId="11" applyNumberFormat="1" applyFont="1" applyFill="1">
      <alignment vertical="center"/>
    </xf>
    <xf numFmtId="0" fontId="11" fillId="20" borderId="0" xfId="11" applyFont="1" applyFill="1">
      <alignment vertical="center"/>
    </xf>
    <xf numFmtId="0" fontId="11" fillId="20" borderId="0" xfId="11" applyFont="1" applyFill="1" applyAlignment="1">
      <alignment horizontal="center" vertical="center"/>
    </xf>
    <xf numFmtId="0" fontId="26" fillId="0" borderId="0" xfId="11" applyFont="1">
      <alignment vertical="center"/>
    </xf>
    <xf numFmtId="0" fontId="30" fillId="0" borderId="0" xfId="11" applyFont="1">
      <alignment vertical="center"/>
    </xf>
    <xf numFmtId="10" fontId="0" fillId="0" borderId="0" xfId="0" applyNumberFormat="1">
      <alignment vertical="center"/>
    </xf>
    <xf numFmtId="0" fontId="90" fillId="18" borderId="0" xfId="12" applyFont="1" applyFill="1">
      <alignment vertical="center"/>
    </xf>
    <xf numFmtId="0" fontId="91" fillId="18" borderId="0" xfId="12" applyFont="1" applyFill="1">
      <alignment vertical="center"/>
    </xf>
    <xf numFmtId="0" fontId="92" fillId="18" borderId="0" xfId="12" applyFont="1" applyFill="1">
      <alignment vertical="center"/>
    </xf>
    <xf numFmtId="0" fontId="9" fillId="18" borderId="0" xfId="12" applyFont="1" applyFill="1">
      <alignment vertical="center"/>
    </xf>
    <xf numFmtId="0" fontId="93" fillId="18" borderId="0" xfId="12" applyFont="1" applyFill="1">
      <alignment vertical="center"/>
    </xf>
    <xf numFmtId="0" fontId="1" fillId="18" borderId="0" xfId="12" applyFill="1">
      <alignment vertical="center"/>
    </xf>
    <xf numFmtId="0" fontId="1" fillId="3" borderId="0" xfId="12" applyFill="1">
      <alignment vertical="center"/>
    </xf>
    <xf numFmtId="0" fontId="95" fillId="3" borderId="0" xfId="12" applyFont="1" applyFill="1">
      <alignment vertical="center"/>
    </xf>
    <xf numFmtId="0" fontId="96" fillId="3" borderId="0" xfId="12" applyFont="1" applyFill="1">
      <alignment vertical="center"/>
    </xf>
    <xf numFmtId="0" fontId="97" fillId="3" borderId="0" xfId="12" applyFont="1" applyFill="1">
      <alignment vertical="center"/>
    </xf>
    <xf numFmtId="0" fontId="98" fillId="3" borderId="0" xfId="12" applyFont="1" applyFill="1">
      <alignment vertical="center"/>
    </xf>
    <xf numFmtId="0" fontId="26" fillId="3" borderId="0" xfId="12" applyFont="1" applyFill="1">
      <alignment vertical="center"/>
    </xf>
    <xf numFmtId="0" fontId="36" fillId="2" borderId="0" xfId="3" applyFont="1" applyFill="1" applyAlignment="1">
      <alignment horizontal="center" vertical="center"/>
    </xf>
    <xf numFmtId="0" fontId="36" fillId="2" borderId="31" xfId="3" applyFont="1" applyFill="1" applyBorder="1" applyAlignment="1">
      <alignment horizontal="center" vertical="center"/>
    </xf>
    <xf numFmtId="0" fontId="59" fillId="3" borderId="58" xfId="3" applyFont="1" applyFill="1" applyBorder="1" applyAlignment="1">
      <alignment horizontal="center" vertical="center"/>
    </xf>
    <xf numFmtId="0" fontId="59" fillId="3" borderId="13" xfId="3" applyFont="1" applyFill="1" applyBorder="1" applyAlignment="1">
      <alignment horizontal="center" vertical="center"/>
    </xf>
    <xf numFmtId="0" fontId="74" fillId="18" borderId="13" xfId="3" applyFont="1" applyFill="1" applyBorder="1" applyAlignment="1">
      <alignment horizontal="center" vertical="center"/>
    </xf>
    <xf numFmtId="0" fontId="74" fillId="18" borderId="39" xfId="3" applyFont="1" applyFill="1" applyBorder="1" applyAlignment="1">
      <alignment horizontal="center" vertical="center"/>
    </xf>
    <xf numFmtId="38" fontId="22" fillId="0" borderId="0" xfId="11" applyNumberFormat="1" applyFont="1">
      <alignment vertical="center"/>
    </xf>
  </cellXfs>
  <cellStyles count="13">
    <cellStyle name="백분율" xfId="1" builtinId="5"/>
    <cellStyle name="백분율 2" xfId="4" xr:uid="{6536BC93-B5CA-9B49-BCA1-A2937368CED3}"/>
    <cellStyle name="백분율 3" xfId="7" xr:uid="{A924B6A3-628E-1345-A538-D82686B287AF}"/>
    <cellStyle name="쉼표 [0]" xfId="2" builtinId="6"/>
    <cellStyle name="쉼표 [0] 2" xfId="5" xr:uid="{F9CEFA20-02A2-1549-9489-8C55038CA803}"/>
    <cellStyle name="쉼표 [0] 3" xfId="8" xr:uid="{2F6A3D6B-5EF8-0147-AC47-FB5D8BA9DAFC}"/>
    <cellStyle name="표준" xfId="0" builtinId="0"/>
    <cellStyle name="표준 2" xfId="3" xr:uid="{9185B5C7-06D2-6840-929A-24795AE780C3}"/>
    <cellStyle name="표준 2 2" xfId="12" xr:uid="{67DFDD70-DE56-4DC1-A264-D256E9056685}"/>
    <cellStyle name="표준 3" xfId="6" xr:uid="{A93F3B5C-B4D4-EB46-A860-94FDD42C639F}"/>
    <cellStyle name="표준 3 2" xfId="9" xr:uid="{0C1D4491-CF12-BA4D-9B3F-33619AC85774}"/>
    <cellStyle name="표준 4" xfId="11" xr:uid="{369064CA-4A6B-4F5F-AE6C-0EDEE6468A9C}"/>
    <cellStyle name="하이퍼링크 2" xfId="10" xr:uid="{D06D10D0-77A6-194F-A6C9-30DDCF8F2544}"/>
  </cellStyles>
  <dxfs count="6">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D0CECE"/>
      <color rgb="FF20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2.emf"/></Relationships>
</file>

<file path=xl/drawings/_rels/drawing7.xml.rels><?xml version="1.0" encoding="UTF-8" standalone="yes"?>
<Relationships xmlns="http://schemas.openxmlformats.org/package/2006/relationships"><Relationship Id="rId1" Type="http://schemas.openxmlformats.org/officeDocument/2006/relationships/image" Target="../media/image2.emf"/></Relationships>
</file>

<file path=xl/drawings/_rels/drawing8.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1</xdr:col>
      <xdr:colOff>0</xdr:colOff>
      <xdr:row>7</xdr:row>
      <xdr:rowOff>0</xdr:rowOff>
    </xdr:from>
    <xdr:ext cx="4004734" cy="1519767"/>
    <xdr:pic>
      <xdr:nvPicPr>
        <xdr:cNvPr id="2" name="그림 6">
          <a:extLst>
            <a:ext uri="{FF2B5EF4-FFF2-40B4-BE49-F238E27FC236}">
              <a16:creationId xmlns:a16="http://schemas.microsoft.com/office/drawing/2014/main" id="{E9FFF006-F354-4D01-8DC0-30E33530ED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3331029"/>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7</xdr:row>
      <xdr:rowOff>0</xdr:rowOff>
    </xdr:from>
    <xdr:ext cx="4004734" cy="1519767"/>
    <xdr:pic>
      <xdr:nvPicPr>
        <xdr:cNvPr id="3" name="그림 6">
          <a:extLst>
            <a:ext uri="{FF2B5EF4-FFF2-40B4-BE49-F238E27FC236}">
              <a16:creationId xmlns:a16="http://schemas.microsoft.com/office/drawing/2014/main" id="{0CD390AA-538D-4034-9CE1-2931B92024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3331029"/>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xdr:row>
      <xdr:rowOff>0</xdr:rowOff>
    </xdr:from>
    <xdr:ext cx="4004734" cy="1519767"/>
    <xdr:pic>
      <xdr:nvPicPr>
        <xdr:cNvPr id="2" name="그림 6">
          <a:extLst>
            <a:ext uri="{FF2B5EF4-FFF2-40B4-BE49-F238E27FC236}">
              <a16:creationId xmlns:a16="http://schemas.microsoft.com/office/drawing/2014/main" id="{71D5A644-D13C-4137-B2C6-9EEFB12274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3331029"/>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7</xdr:row>
      <xdr:rowOff>0</xdr:rowOff>
    </xdr:from>
    <xdr:ext cx="4004734" cy="1519767"/>
    <xdr:pic>
      <xdr:nvPicPr>
        <xdr:cNvPr id="3" name="그림 6">
          <a:extLst>
            <a:ext uri="{FF2B5EF4-FFF2-40B4-BE49-F238E27FC236}">
              <a16:creationId xmlns:a16="http://schemas.microsoft.com/office/drawing/2014/main" id="{6DA5E976-F2F9-41EC-84F7-408003B55C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3331029"/>
          <a:ext cx="4004734" cy="1519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342900</xdr:colOff>
      <xdr:row>0</xdr:row>
      <xdr:rowOff>101600</xdr:rowOff>
    </xdr:to>
    <xdr:sp macro="" textlink="">
      <xdr:nvSpPr>
        <xdr:cNvPr id="1034" name="FnBtn1" hidden="1">
          <a:extLst>
            <a:ext uri="{63B3BB69-23CF-44E3-9099-C40C66FF867C}">
              <a14:compatExt xmlns:a14="http://schemas.microsoft.com/office/drawing/2010/main" spid="_x0000_s1034"/>
            </a:ext>
            <a:ext uri="{FF2B5EF4-FFF2-40B4-BE49-F238E27FC236}">
              <a16:creationId xmlns:a16="http://schemas.microsoft.com/office/drawing/2014/main" id="{00000000-0008-0000-0500-00000A040000}"/>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5443</xdr:colOff>
      <xdr:row>0</xdr:row>
      <xdr:rowOff>5443</xdr:rowOff>
    </xdr:from>
    <xdr:to>
      <xdr:col>0</xdr:col>
      <xdr:colOff>146957</xdr:colOff>
      <xdr:row>0</xdr:row>
      <xdr:rowOff>43543</xdr:rowOff>
    </xdr:to>
    <xdr:pic>
      <xdr:nvPicPr>
        <xdr:cNvPr id="2" name="FnBtn1">
          <a:extLst>
            <a:ext uri="{FF2B5EF4-FFF2-40B4-BE49-F238E27FC236}">
              <a16:creationId xmlns:a16="http://schemas.microsoft.com/office/drawing/2014/main" id="{3ACC803C-52D2-1FFE-3715-5DCFEEB1AE51}"/>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3" y="5443"/>
          <a:ext cx="141514" cy="381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342900</xdr:colOff>
      <xdr:row>0</xdr:row>
      <xdr:rowOff>101600</xdr:rowOff>
    </xdr:to>
    <xdr:sp macro="" textlink="">
      <xdr:nvSpPr>
        <xdr:cNvPr id="3073" name="FnBtn1" hidden="1">
          <a:extLst>
            <a:ext uri="{63B3BB69-23CF-44E3-9099-C40C66FF867C}">
              <a14:compatExt xmlns:a14="http://schemas.microsoft.com/office/drawing/2010/main" spid="_x0000_s3073"/>
            </a:ext>
            <a:ext uri="{FF2B5EF4-FFF2-40B4-BE49-F238E27FC236}">
              <a16:creationId xmlns:a16="http://schemas.microsoft.com/office/drawing/2014/main" id="{00000000-0008-0000-0600-0000010C0000}"/>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5443</xdr:colOff>
      <xdr:row>0</xdr:row>
      <xdr:rowOff>5443</xdr:rowOff>
    </xdr:from>
    <xdr:to>
      <xdr:col>0</xdr:col>
      <xdr:colOff>146957</xdr:colOff>
      <xdr:row>0</xdr:row>
      <xdr:rowOff>43543</xdr:rowOff>
    </xdr:to>
    <xdr:pic>
      <xdr:nvPicPr>
        <xdr:cNvPr id="2" name="FnBtn1">
          <a:extLst>
            <a:ext uri="{FF2B5EF4-FFF2-40B4-BE49-F238E27FC236}">
              <a16:creationId xmlns:a16="http://schemas.microsoft.com/office/drawing/2014/main" id="{EE834509-51D4-F93B-DEDA-1655A8575D65}"/>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3" y="5443"/>
          <a:ext cx="141514" cy="381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5.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342900</xdr:colOff>
      <xdr:row>0</xdr:row>
      <xdr:rowOff>101600</xdr:rowOff>
    </xdr:to>
    <xdr:sp macro="" textlink="">
      <xdr:nvSpPr>
        <xdr:cNvPr id="4097" name="FnBtn1" hidden="1">
          <a:extLst>
            <a:ext uri="{63B3BB69-23CF-44E3-9099-C40C66FF867C}">
              <a14:compatExt xmlns:a14="http://schemas.microsoft.com/office/drawing/2010/main"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5443</xdr:colOff>
      <xdr:row>0</xdr:row>
      <xdr:rowOff>5443</xdr:rowOff>
    </xdr:from>
    <xdr:to>
      <xdr:col>0</xdr:col>
      <xdr:colOff>146957</xdr:colOff>
      <xdr:row>0</xdr:row>
      <xdr:rowOff>43543</xdr:rowOff>
    </xdr:to>
    <xdr:pic>
      <xdr:nvPicPr>
        <xdr:cNvPr id="2" name="FnBtn1">
          <a:extLst>
            <a:ext uri="{FF2B5EF4-FFF2-40B4-BE49-F238E27FC236}">
              <a16:creationId xmlns:a16="http://schemas.microsoft.com/office/drawing/2014/main" id="{49AEBFAB-0ED5-0A3B-7224-27B89DF026F5}"/>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3" y="5443"/>
          <a:ext cx="141514" cy="381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6.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342900</xdr:colOff>
      <xdr:row>0</xdr:row>
      <xdr:rowOff>101600</xdr:rowOff>
    </xdr:to>
    <xdr:sp macro="" textlink="">
      <xdr:nvSpPr>
        <xdr:cNvPr id="5121" name="FnBtn1" hidden="1">
          <a:extLst>
            <a:ext uri="{63B3BB69-23CF-44E3-9099-C40C66FF867C}">
              <a14:compatExt xmlns:a14="http://schemas.microsoft.com/office/drawing/2010/main" spid="_x0000_s5121"/>
            </a:ext>
            <a:ext uri="{FF2B5EF4-FFF2-40B4-BE49-F238E27FC236}">
              <a16:creationId xmlns:a16="http://schemas.microsoft.com/office/drawing/2014/main" id="{00000000-0008-0000-0800-000001140000}"/>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5443</xdr:colOff>
      <xdr:row>0</xdr:row>
      <xdr:rowOff>5443</xdr:rowOff>
    </xdr:from>
    <xdr:to>
      <xdr:col>0</xdr:col>
      <xdr:colOff>146957</xdr:colOff>
      <xdr:row>0</xdr:row>
      <xdr:rowOff>43543</xdr:rowOff>
    </xdr:to>
    <xdr:pic>
      <xdr:nvPicPr>
        <xdr:cNvPr id="2" name="FnBtn1">
          <a:extLst>
            <a:ext uri="{FF2B5EF4-FFF2-40B4-BE49-F238E27FC236}">
              <a16:creationId xmlns:a16="http://schemas.microsoft.com/office/drawing/2014/main" id="{8A8731E8-A549-A0F0-C3E4-AE8DD1D7FE5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3" y="5443"/>
          <a:ext cx="141514" cy="381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7.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342900</xdr:colOff>
      <xdr:row>0</xdr:row>
      <xdr:rowOff>101600</xdr:rowOff>
    </xdr:to>
    <xdr:sp macro="" textlink="">
      <xdr:nvSpPr>
        <xdr:cNvPr id="7178" name="FnBtn1" hidden="1">
          <a:extLst>
            <a:ext uri="{63B3BB69-23CF-44E3-9099-C40C66FF867C}">
              <a14:compatExt xmlns:a14="http://schemas.microsoft.com/office/drawing/2010/main" spid="_x0000_s7178"/>
            </a:ext>
            <a:ext uri="{FF2B5EF4-FFF2-40B4-BE49-F238E27FC236}">
              <a16:creationId xmlns:a16="http://schemas.microsoft.com/office/drawing/2014/main" id="{00000000-0008-0000-0900-00000A1C0000}"/>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5443</xdr:colOff>
      <xdr:row>0</xdr:row>
      <xdr:rowOff>5443</xdr:rowOff>
    </xdr:from>
    <xdr:to>
      <xdr:col>0</xdr:col>
      <xdr:colOff>146957</xdr:colOff>
      <xdr:row>0</xdr:row>
      <xdr:rowOff>43543</xdr:rowOff>
    </xdr:to>
    <xdr:pic>
      <xdr:nvPicPr>
        <xdr:cNvPr id="2" name="FnBtn1">
          <a:extLst>
            <a:ext uri="{FF2B5EF4-FFF2-40B4-BE49-F238E27FC236}">
              <a16:creationId xmlns:a16="http://schemas.microsoft.com/office/drawing/2014/main" id="{70093EA7-D523-E492-E89A-9D0AFC5671D3}"/>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3" y="5443"/>
          <a:ext cx="141514" cy="381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drawings/drawing8.xml><?xml version="1.0" encoding="utf-8"?>
<xdr:wsDr xmlns:xdr="http://schemas.openxmlformats.org/drawingml/2006/spreadsheetDrawing" xmlns:a="http://schemas.openxmlformats.org/drawingml/2006/main">
  <xdr:twoCellAnchor>
    <xdr:from>
      <xdr:col>0</xdr:col>
      <xdr:colOff>12700</xdr:colOff>
      <xdr:row>0</xdr:row>
      <xdr:rowOff>12700</xdr:rowOff>
    </xdr:from>
    <xdr:to>
      <xdr:col>0</xdr:col>
      <xdr:colOff>342900</xdr:colOff>
      <xdr:row>0</xdr:row>
      <xdr:rowOff>101600</xdr:rowOff>
    </xdr:to>
    <xdr:sp macro="" textlink="">
      <xdr:nvSpPr>
        <xdr:cNvPr id="8193" name="FnBtn1" hidden="1">
          <a:extLst>
            <a:ext uri="{63B3BB69-23CF-44E3-9099-C40C66FF867C}">
              <a14:compatExt xmlns:a14="http://schemas.microsoft.com/office/drawing/2010/main"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fLocksWithSheet="0" fPrintsWithSheet="0"/>
  </xdr:twoCellAnchor>
  <xdr:twoCellAnchor>
    <xdr:from>
      <xdr:col>0</xdr:col>
      <xdr:colOff>5443</xdr:colOff>
      <xdr:row>0</xdr:row>
      <xdr:rowOff>5443</xdr:rowOff>
    </xdr:from>
    <xdr:to>
      <xdr:col>0</xdr:col>
      <xdr:colOff>146957</xdr:colOff>
      <xdr:row>0</xdr:row>
      <xdr:rowOff>43543</xdr:rowOff>
    </xdr:to>
    <xdr:pic>
      <xdr:nvPicPr>
        <xdr:cNvPr id="2" name="FnBtn1">
          <a:extLst>
            <a:ext uri="{FF2B5EF4-FFF2-40B4-BE49-F238E27FC236}">
              <a16:creationId xmlns:a16="http://schemas.microsoft.com/office/drawing/2014/main" id="{6AF691F5-DB8C-76E3-E9EF-82CF0231A8D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3" y="5443"/>
          <a:ext cx="141514" cy="381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fLocksWithSheet="0" fPrint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yeonseohee/Downloads/&#4370;&#4449;&#4523;&#4370;&#4458;&#4361;&#4457;&#4527;&#4357;&#4462;&#4361;&#4455;&#4523;_Valuation_22;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매출액 추정 ▶"/>
    </sheetNames>
    <sheetDataSet>
      <sheetData sheetId="0"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brunch.co.kr/@heong-seok/29"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41756-E2E6-4018-B41D-F59D52805757}">
  <sheetPr>
    <tabColor rgb="FF203864"/>
  </sheetPr>
  <dimension ref="A1:B19"/>
  <sheetViews>
    <sheetView showGridLines="0" zoomScaleNormal="100" workbookViewId="0"/>
  </sheetViews>
  <sheetFormatPr defaultColWidth="7.453125" defaultRowHeight="17.399999999999999"/>
  <cols>
    <col min="1" max="16384" width="7.453125" style="496"/>
  </cols>
  <sheetData>
    <row r="1" spans="1:2" s="492" customFormat="1" ht="36">
      <c r="A1" s="490" t="s">
        <v>595</v>
      </c>
      <c r="B1" s="491"/>
    </row>
    <row r="2" spans="1:2" s="493" customFormat="1" ht="13.2"/>
    <row r="3" spans="1:2" s="495" customFormat="1" ht="22.8">
      <c r="A3" s="494" t="s">
        <v>594</v>
      </c>
    </row>
    <row r="5" spans="1:2" ht="19.8">
      <c r="B5" s="497" t="s">
        <v>588</v>
      </c>
    </row>
    <row r="6" spans="1:2" ht="76.8">
      <c r="B6" s="498" t="s">
        <v>589</v>
      </c>
    </row>
    <row r="7" spans="1:2" ht="76.8">
      <c r="B7" s="498" t="s">
        <v>590</v>
      </c>
    </row>
    <row r="8" spans="1:2" ht="18">
      <c r="B8" s="499"/>
    </row>
    <row r="9" spans="1:2" ht="18">
      <c r="B9" s="499"/>
    </row>
    <row r="10" spans="1:2" ht="18">
      <c r="B10" s="499"/>
    </row>
    <row r="11" spans="1:2" ht="18">
      <c r="B11" s="499"/>
    </row>
    <row r="12" spans="1:2" ht="18">
      <c r="B12" s="499"/>
    </row>
    <row r="13" spans="1:2" ht="18">
      <c r="B13" s="499"/>
    </row>
    <row r="14" spans="1:2" ht="18">
      <c r="B14" s="499"/>
    </row>
    <row r="17" spans="2:2">
      <c r="B17" s="500" t="s">
        <v>591</v>
      </c>
    </row>
    <row r="18" spans="2:2">
      <c r="B18" s="501" t="s">
        <v>592</v>
      </c>
    </row>
    <row r="19" spans="2:2">
      <c r="B19" s="501" t="s">
        <v>593</v>
      </c>
    </row>
  </sheetData>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CFCDD-CEBC-4D1E-BADC-928783E936FD}">
  <sheetPr>
    <tabColor rgb="FFD0CECE"/>
  </sheetPr>
  <dimension ref="B2:P29"/>
  <sheetViews>
    <sheetView tabSelected="1" zoomScaleNormal="100" workbookViewId="0">
      <selection activeCell="E3" sqref="E3"/>
    </sheetView>
  </sheetViews>
  <sheetFormatPr defaultRowHeight="19.2"/>
  <cols>
    <col min="2" max="2" width="17.6328125" customWidth="1"/>
    <col min="3" max="3" width="12.6328125" customWidth="1"/>
    <col min="5" max="5" width="25.6328125" customWidth="1"/>
    <col min="16" max="16" width="9.453125" bestFit="1" customWidth="1"/>
  </cols>
  <sheetData>
    <row r="2" spans="2:16">
      <c r="B2" s="461" t="s">
        <v>560</v>
      </c>
      <c r="C2" s="461"/>
      <c r="D2" s="462"/>
      <c r="E2" s="462"/>
    </row>
    <row r="3" spans="2:16">
      <c r="B3" s="463" t="s">
        <v>561</v>
      </c>
      <c r="C3" s="464">
        <v>18486.584279634662</v>
      </c>
      <c r="D3" s="465" t="s">
        <v>562</v>
      </c>
      <c r="E3" s="508"/>
      <c r="P3" s="466"/>
    </row>
    <row r="4" spans="2:16">
      <c r="B4" s="463" t="s">
        <v>563</v>
      </c>
      <c r="C4" s="467">
        <f>G5*0.75</f>
        <v>9.6000000000000014</v>
      </c>
      <c r="D4" s="465" t="s">
        <v>564</v>
      </c>
      <c r="E4" s="468" t="s">
        <v>565</v>
      </c>
      <c r="G4" s="47" t="s">
        <v>566</v>
      </c>
      <c r="P4" s="62"/>
    </row>
    <row r="5" spans="2:16">
      <c r="B5" s="463" t="s">
        <v>567</v>
      </c>
      <c r="C5" s="464">
        <f>C3*C4</f>
        <v>177471.20908449279</v>
      </c>
      <c r="D5" s="465" t="s">
        <v>568</v>
      </c>
      <c r="E5" s="468" t="s">
        <v>569</v>
      </c>
      <c r="G5" s="47">
        <v>12.8</v>
      </c>
      <c r="H5" s="469"/>
      <c r="I5" s="470"/>
      <c r="J5" s="471"/>
      <c r="K5" s="472"/>
      <c r="L5" s="471"/>
      <c r="M5" s="473"/>
      <c r="P5" s="474"/>
    </row>
    <row r="6" spans="2:16">
      <c r="B6" s="463" t="s">
        <v>570</v>
      </c>
      <c r="C6" s="464">
        <f>SUM(C7,C11)*0.5</f>
        <v>25409</v>
      </c>
      <c r="D6" s="465" t="s">
        <v>562</v>
      </c>
      <c r="E6" s="468" t="s">
        <v>571</v>
      </c>
      <c r="H6" s="469"/>
      <c r="I6" s="470"/>
      <c r="J6" s="471"/>
      <c r="K6" s="472"/>
      <c r="L6" s="471"/>
      <c r="M6" s="473"/>
      <c r="P6" s="474"/>
    </row>
    <row r="7" spans="2:16">
      <c r="B7" s="475" t="s">
        <v>572</v>
      </c>
      <c r="C7" s="464">
        <v>37309</v>
      </c>
      <c r="D7" s="476"/>
      <c r="E7" s="477"/>
      <c r="H7" s="469"/>
      <c r="I7" s="470"/>
      <c r="J7" s="471"/>
      <c r="K7" s="472"/>
      <c r="L7" s="471"/>
      <c r="M7" s="473"/>
      <c r="O7" s="62"/>
      <c r="P7" s="474"/>
    </row>
    <row r="8" spans="2:16">
      <c r="B8" s="478" t="s">
        <v>573</v>
      </c>
      <c r="C8" s="464">
        <v>28069</v>
      </c>
      <c r="D8" s="476"/>
      <c r="E8" s="477"/>
      <c r="H8" s="469"/>
      <c r="I8" s="470"/>
      <c r="J8" s="470"/>
      <c r="K8" s="472"/>
      <c r="L8" s="471"/>
      <c r="M8" s="473"/>
      <c r="P8" s="474"/>
    </row>
    <row r="9" spans="2:16">
      <c r="B9" s="478" t="s">
        <v>574</v>
      </c>
      <c r="C9" s="464">
        <v>4670</v>
      </c>
      <c r="D9" s="476"/>
      <c r="E9" s="477"/>
      <c r="H9" s="469"/>
      <c r="I9" s="470"/>
      <c r="J9" s="471"/>
      <c r="K9" s="472"/>
      <c r="L9" s="471"/>
      <c r="M9" s="473"/>
      <c r="P9" s="474"/>
    </row>
    <row r="10" spans="2:16">
      <c r="B10" s="478" t="s">
        <v>20</v>
      </c>
      <c r="C10" s="464">
        <v>4570</v>
      </c>
      <c r="D10" s="476"/>
      <c r="E10" s="477"/>
      <c r="H10" s="469"/>
      <c r="I10" s="470"/>
      <c r="J10" s="471"/>
      <c r="K10" s="472"/>
      <c r="L10" s="471"/>
      <c r="M10" s="473"/>
      <c r="P10" s="474"/>
    </row>
    <row r="11" spans="2:16">
      <c r="B11" s="475" t="s">
        <v>575</v>
      </c>
      <c r="C11" s="464">
        <v>13509</v>
      </c>
      <c r="D11" s="476"/>
      <c r="E11" s="477"/>
      <c r="H11" s="469"/>
      <c r="I11" s="470"/>
      <c r="J11" s="471"/>
      <c r="K11" s="472"/>
      <c r="L11" s="471"/>
      <c r="M11" s="473"/>
      <c r="P11" s="474"/>
    </row>
    <row r="12" spans="2:16">
      <c r="B12" s="478" t="s">
        <v>576</v>
      </c>
      <c r="C12" s="464">
        <v>4213</v>
      </c>
      <c r="D12" s="476"/>
      <c r="E12" s="477"/>
      <c r="H12" s="469"/>
      <c r="I12" s="470"/>
      <c r="J12" s="471"/>
      <c r="K12" s="472"/>
      <c r="L12" s="471"/>
      <c r="M12" s="473"/>
      <c r="P12" s="474"/>
    </row>
    <row r="13" spans="2:16">
      <c r="B13" s="478" t="s">
        <v>20</v>
      </c>
      <c r="C13" s="464">
        <v>9296</v>
      </c>
      <c r="D13" s="476"/>
      <c r="E13" s="477"/>
      <c r="F13" s="479"/>
      <c r="G13" s="479"/>
      <c r="H13" s="469"/>
      <c r="I13" s="470"/>
      <c r="J13" s="471"/>
      <c r="K13" s="472"/>
      <c r="L13" s="471"/>
      <c r="M13" s="473"/>
      <c r="P13" s="474"/>
    </row>
    <row r="14" spans="2:16">
      <c r="B14" s="463" t="s">
        <v>577</v>
      </c>
      <c r="C14" s="464">
        <v>118541</v>
      </c>
      <c r="D14" s="465" t="s">
        <v>562</v>
      </c>
      <c r="E14" s="468" t="s">
        <v>578</v>
      </c>
      <c r="F14" s="479"/>
      <c r="G14" s="479"/>
      <c r="H14" s="469"/>
      <c r="I14" s="470"/>
      <c r="J14" s="471"/>
      <c r="K14" s="472"/>
      <c r="L14" s="471"/>
      <c r="M14" s="473"/>
      <c r="P14" s="474"/>
    </row>
    <row r="15" spans="2:16">
      <c r="B15" s="463" t="s">
        <v>579</v>
      </c>
      <c r="C15" s="464">
        <v>11536</v>
      </c>
      <c r="D15" s="465" t="s">
        <v>562</v>
      </c>
      <c r="E15" s="468" t="s">
        <v>580</v>
      </c>
      <c r="F15" s="479"/>
      <c r="G15" s="479"/>
      <c r="H15" s="469"/>
      <c r="I15" s="470"/>
      <c r="J15" s="471"/>
      <c r="K15" s="472"/>
      <c r="L15" s="471"/>
      <c r="M15" s="473"/>
      <c r="P15" s="474"/>
    </row>
    <row r="16" spans="2:16">
      <c r="B16" s="463" t="s">
        <v>581</v>
      </c>
      <c r="C16" s="464">
        <f>C5+C6-C14-C15</f>
        <v>72803.209084492788</v>
      </c>
      <c r="D16" s="465" t="s">
        <v>562</v>
      </c>
      <c r="E16" s="468" t="s">
        <v>582</v>
      </c>
      <c r="H16" s="469"/>
      <c r="I16" s="470"/>
      <c r="J16" s="471"/>
      <c r="K16" s="472"/>
      <c r="L16" s="471"/>
      <c r="M16" s="473"/>
      <c r="P16" s="474"/>
    </row>
    <row r="17" spans="2:16">
      <c r="B17" s="463" t="s">
        <v>583</v>
      </c>
      <c r="C17" s="480">
        <v>169348279</v>
      </c>
      <c r="D17" s="481"/>
      <c r="E17" s="482"/>
      <c r="H17" s="469"/>
      <c r="I17" s="470"/>
      <c r="J17" s="471"/>
      <c r="K17" s="472"/>
      <c r="L17" s="471"/>
      <c r="M17" s="473"/>
      <c r="P17" s="474"/>
    </row>
    <row r="18" spans="2:16">
      <c r="B18" s="483" t="s">
        <v>584</v>
      </c>
      <c r="C18" s="484">
        <f>C16*100000000/C17</f>
        <v>42990.226717623023</v>
      </c>
      <c r="D18" s="485"/>
      <c r="E18" s="486" t="s">
        <v>585</v>
      </c>
      <c r="H18" s="469"/>
      <c r="I18" s="470"/>
      <c r="J18" s="471"/>
      <c r="K18" s="472"/>
      <c r="L18" s="471"/>
      <c r="M18" s="473"/>
      <c r="P18" s="474"/>
    </row>
    <row r="19" spans="2:16">
      <c r="B19" s="463" t="s">
        <v>586</v>
      </c>
      <c r="C19" s="464">
        <v>28400</v>
      </c>
      <c r="D19" s="476"/>
      <c r="E19" s="482"/>
      <c r="H19" s="469"/>
      <c r="I19" s="470"/>
      <c r="J19" s="471"/>
      <c r="K19" s="472"/>
      <c r="L19" s="471"/>
      <c r="M19" s="473"/>
      <c r="P19" s="474"/>
    </row>
    <row r="20" spans="2:16">
      <c r="B20" s="463" t="s">
        <v>587</v>
      </c>
      <c r="C20" s="220">
        <f>C18/C19-1</f>
        <v>0.51374037738109246</v>
      </c>
      <c r="D20" s="465"/>
      <c r="E20" s="465"/>
      <c r="H20" s="469"/>
      <c r="I20" s="470"/>
      <c r="J20" s="471"/>
      <c r="K20" s="472"/>
      <c r="L20" s="471"/>
      <c r="M20" s="473"/>
      <c r="P20" s="474"/>
    </row>
    <row r="21" spans="2:16">
      <c r="B21" s="463"/>
      <c r="C21" s="465"/>
      <c r="D21" s="465"/>
      <c r="E21" s="487"/>
      <c r="H21" s="469"/>
      <c r="I21" s="470"/>
      <c r="J21" s="471"/>
      <c r="K21" s="472"/>
      <c r="L21" s="471"/>
      <c r="M21" s="473"/>
      <c r="P21" s="474"/>
    </row>
    <row r="22" spans="2:16">
      <c r="B22" s="488"/>
      <c r="C22" s="476"/>
      <c r="D22" s="476"/>
      <c r="H22" s="469"/>
      <c r="I22" s="470"/>
      <c r="J22" s="471"/>
      <c r="K22" s="472"/>
      <c r="L22" s="471"/>
      <c r="M22" s="473"/>
      <c r="P22" s="474"/>
    </row>
    <row r="23" spans="2:16">
      <c r="B23" s="463"/>
      <c r="C23" s="465"/>
      <c r="D23" s="465"/>
      <c r="E23" s="487"/>
      <c r="H23" s="469"/>
      <c r="I23" s="470"/>
      <c r="J23" s="471"/>
      <c r="K23" s="472"/>
      <c r="L23" s="471"/>
      <c r="M23" s="473"/>
      <c r="P23" s="474"/>
    </row>
    <row r="24" spans="2:16">
      <c r="B24" s="463"/>
      <c r="C24" s="465"/>
      <c r="D24" s="465"/>
      <c r="E24" s="487"/>
      <c r="H24" s="469"/>
      <c r="I24" s="470"/>
      <c r="J24" s="471"/>
      <c r="K24" s="472"/>
      <c r="L24" s="471"/>
      <c r="M24" s="473"/>
      <c r="P24" s="474"/>
    </row>
    <row r="25" spans="2:16">
      <c r="H25" s="469"/>
      <c r="I25" s="470"/>
      <c r="J25" s="471"/>
      <c r="K25" s="472"/>
      <c r="L25" s="471"/>
      <c r="M25" s="473"/>
      <c r="P25" s="474"/>
    </row>
    <row r="26" spans="2:16">
      <c r="H26" s="469"/>
      <c r="I26" s="470"/>
      <c r="J26" s="471"/>
      <c r="K26" s="472"/>
      <c r="L26" s="471"/>
      <c r="M26" s="473"/>
      <c r="P26" s="474"/>
    </row>
    <row r="27" spans="2:16">
      <c r="H27" s="469"/>
      <c r="I27" s="470"/>
      <c r="J27" s="471"/>
      <c r="K27" s="472"/>
      <c r="L27" s="471"/>
      <c r="M27" s="473"/>
      <c r="P27" s="474"/>
    </row>
    <row r="29" spans="2:16">
      <c r="J29" s="489"/>
      <c r="K29" s="62"/>
      <c r="L29" s="489"/>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84589-B7C1-FC41-AACB-4C70640A39EC}">
  <sheetPr>
    <tabColor rgb="FFD0CECE"/>
  </sheetPr>
  <dimension ref="A1:AN23"/>
  <sheetViews>
    <sheetView showGridLines="0" zoomScale="80" zoomScaleNormal="80" workbookViewId="0">
      <selection activeCell="O13" sqref="O13"/>
    </sheetView>
  </sheetViews>
  <sheetFormatPr defaultColWidth="10.6328125" defaultRowHeight="19.2"/>
  <cols>
    <col min="2" max="2" width="11.6328125" customWidth="1"/>
  </cols>
  <sheetData>
    <row r="1" spans="1:40" s="149" customFormat="1" ht="18" thickBot="1">
      <c r="A1" s="162" t="s">
        <v>326</v>
      </c>
      <c r="B1" s="161"/>
      <c r="C1" s="158"/>
      <c r="D1" s="158"/>
      <c r="E1" s="158"/>
      <c r="F1" s="158"/>
      <c r="G1" s="158"/>
      <c r="H1" s="158"/>
      <c r="I1" s="158"/>
      <c r="J1" s="158"/>
      <c r="K1" s="160"/>
      <c r="L1" s="158"/>
      <c r="M1" s="158"/>
      <c r="N1" s="158"/>
      <c r="O1" s="158"/>
      <c r="P1" s="158"/>
      <c r="Q1" s="159"/>
      <c r="R1" s="158"/>
      <c r="S1" s="158"/>
      <c r="T1" s="158"/>
      <c r="U1" s="158"/>
      <c r="V1" s="158"/>
      <c r="W1" s="158"/>
      <c r="X1" s="158"/>
      <c r="Y1" s="158"/>
      <c r="Z1" s="158"/>
      <c r="AA1" s="158"/>
      <c r="AB1" s="158"/>
      <c r="AC1" s="158"/>
      <c r="AD1" s="158"/>
      <c r="AE1" s="158"/>
      <c r="AF1" s="158"/>
      <c r="AG1" s="158"/>
      <c r="AH1" s="158"/>
      <c r="AI1" s="158"/>
      <c r="AJ1" s="158"/>
      <c r="AK1" s="158"/>
      <c r="AL1" s="158"/>
      <c r="AM1" s="158"/>
      <c r="AN1" s="158"/>
    </row>
    <row r="2" spans="1:40" s="149" customFormat="1">
      <c r="A2" s="157" t="s">
        <v>15</v>
      </c>
      <c r="B2" s="156"/>
      <c r="C2" s="154"/>
      <c r="D2" s="154"/>
      <c r="E2" s="154"/>
      <c r="F2" s="154"/>
      <c r="G2" s="154"/>
      <c r="H2" s="154"/>
      <c r="I2" s="154"/>
      <c r="J2" s="154"/>
      <c r="K2" s="154"/>
      <c r="L2" s="154"/>
      <c r="M2" s="154"/>
      <c r="N2" s="154"/>
      <c r="O2" s="154"/>
      <c r="P2" s="154"/>
      <c r="Q2" s="155"/>
      <c r="R2" s="154"/>
      <c r="S2" s="154"/>
      <c r="T2" s="154"/>
      <c r="U2" s="154"/>
      <c r="V2" s="154"/>
      <c r="W2" s="154"/>
      <c r="X2" s="154"/>
      <c r="Y2" s="154"/>
      <c r="Z2" s="154"/>
      <c r="AA2" s="154"/>
      <c r="AB2" s="154"/>
      <c r="AC2" s="154"/>
      <c r="AD2" s="154"/>
      <c r="AE2" s="154"/>
      <c r="AF2" s="154"/>
      <c r="AG2" s="154"/>
      <c r="AH2" s="154"/>
      <c r="AI2" s="154"/>
      <c r="AJ2" s="154"/>
      <c r="AK2" s="154"/>
      <c r="AL2" s="154"/>
      <c r="AM2" s="154"/>
      <c r="AN2" s="154"/>
    </row>
    <row r="3" spans="1:40" s="149" customFormat="1" ht="18">
      <c r="A3" s="153" t="s">
        <v>325</v>
      </c>
      <c r="B3" s="152"/>
      <c r="C3" s="150"/>
      <c r="D3" s="150"/>
      <c r="E3" s="150"/>
      <c r="F3" s="150"/>
      <c r="G3" s="150"/>
      <c r="H3" s="150"/>
      <c r="I3" s="150"/>
      <c r="J3" s="150"/>
      <c r="K3" s="150"/>
      <c r="L3" s="150"/>
      <c r="M3" s="150"/>
      <c r="N3" s="150"/>
      <c r="O3" s="150"/>
      <c r="P3" s="150"/>
      <c r="Q3" s="151"/>
      <c r="R3" s="150"/>
      <c r="S3" s="150"/>
      <c r="T3" s="150"/>
      <c r="U3" s="150"/>
      <c r="V3" s="150"/>
      <c r="W3" s="150"/>
      <c r="X3" s="150"/>
      <c r="Y3" s="150"/>
      <c r="Z3" s="150"/>
      <c r="AA3" s="150"/>
      <c r="AB3" s="150"/>
      <c r="AC3" s="150"/>
      <c r="AD3" s="150"/>
      <c r="AE3" s="150"/>
      <c r="AF3" s="150"/>
      <c r="AG3" s="150"/>
      <c r="AH3" s="150"/>
      <c r="AI3" s="150"/>
      <c r="AJ3" s="150"/>
      <c r="AK3" s="150"/>
      <c r="AL3" s="150"/>
      <c r="AM3" s="150"/>
      <c r="AN3" s="150"/>
    </row>
    <row r="5" spans="1:40">
      <c r="B5" s="213" t="s">
        <v>359</v>
      </c>
      <c r="C5" s="214" t="s">
        <v>360</v>
      </c>
      <c r="D5" s="214" t="s">
        <v>361</v>
      </c>
      <c r="E5" s="214" t="s">
        <v>362</v>
      </c>
      <c r="F5" s="214" t="s">
        <v>363</v>
      </c>
      <c r="G5" s="214" t="s">
        <v>364</v>
      </c>
      <c r="H5" s="214" t="s">
        <v>365</v>
      </c>
      <c r="I5" s="214" t="s">
        <v>366</v>
      </c>
      <c r="J5" s="214" t="s">
        <v>367</v>
      </c>
      <c r="K5" s="214" t="s">
        <v>368</v>
      </c>
      <c r="L5" s="214" t="s">
        <v>323</v>
      </c>
      <c r="M5" s="214" t="s">
        <v>322</v>
      </c>
      <c r="N5" s="214" t="s">
        <v>321</v>
      </c>
    </row>
    <row r="6" spans="1:40">
      <c r="B6" s="450" t="s">
        <v>319</v>
      </c>
      <c r="C6" s="459">
        <v>31002</v>
      </c>
      <c r="D6" s="459">
        <v>33930</v>
      </c>
      <c r="E6" s="459">
        <v>29258</v>
      </c>
      <c r="F6" s="459">
        <f>132887-SUM(C6:E6)</f>
        <v>38697</v>
      </c>
      <c r="G6" s="460">
        <v>23928</v>
      </c>
      <c r="H6" s="460">
        <v>26793</v>
      </c>
      <c r="I6" s="460">
        <v>27732</v>
      </c>
      <c r="J6" s="460">
        <f>123940-SUM(G6:I6)</f>
        <v>45487</v>
      </c>
      <c r="K6" s="460">
        <v>30945</v>
      </c>
      <c r="L6" s="459">
        <f>'매출액 추정 ▶'!L6</f>
        <v>37903.961516505762</v>
      </c>
      <c r="M6" s="459">
        <f>'매출액 추정 ▶'!M6</f>
        <v>40297.065892524035</v>
      </c>
      <c r="N6" s="459">
        <f>'매출액 추정 ▶'!N6</f>
        <v>56155.623927071727</v>
      </c>
      <c r="O6" s="245">
        <f>SUM(K6:N6)</f>
        <v>165301.65133610152</v>
      </c>
    </row>
    <row r="7" spans="1:40">
      <c r="B7" s="446" t="s">
        <v>369</v>
      </c>
      <c r="C7" s="256">
        <v>24243</v>
      </c>
      <c r="D7" s="256">
        <v>28047</v>
      </c>
      <c r="E7" s="256">
        <v>24616</v>
      </c>
      <c r="F7" s="256">
        <v>33592</v>
      </c>
      <c r="G7" s="256">
        <v>21958</v>
      </c>
      <c r="H7" s="256">
        <v>23331</v>
      </c>
      <c r="I7" s="256">
        <v>24664</v>
      </c>
      <c r="J7" s="256">
        <v>40129</v>
      </c>
      <c r="K7" s="256">
        <v>26443</v>
      </c>
      <c r="L7" s="256">
        <v>31822.771536953729</v>
      </c>
      <c r="M7" s="256">
        <v>33394.012330963655</v>
      </c>
      <c r="N7" s="256">
        <v>47363.54430291312</v>
      </c>
      <c r="O7" s="245">
        <f>SUM(K7:N7)</f>
        <v>139023.3281708305</v>
      </c>
    </row>
    <row r="8" spans="1:40">
      <c r="B8" s="451" t="s">
        <v>370</v>
      </c>
      <c r="C8" s="452">
        <f t="shared" ref="C8:N8" si="0">C7/C6</f>
        <v>0.78198180762531455</v>
      </c>
      <c r="D8" s="452">
        <f t="shared" si="0"/>
        <v>0.82661361626878871</v>
      </c>
      <c r="E8" s="452">
        <f t="shared" si="0"/>
        <v>0.84134253879280885</v>
      </c>
      <c r="F8" s="452">
        <f t="shared" si="0"/>
        <v>0.86807762875675121</v>
      </c>
      <c r="G8" s="452">
        <f t="shared" si="0"/>
        <v>0.91766967569374791</v>
      </c>
      <c r="H8" s="452">
        <f t="shared" si="0"/>
        <v>0.87078714589631623</v>
      </c>
      <c r="I8" s="452">
        <f t="shared" si="0"/>
        <v>0.88936968123467475</v>
      </c>
      <c r="J8" s="452">
        <f t="shared" si="0"/>
        <v>0.88220810341416234</v>
      </c>
      <c r="K8" s="452">
        <f t="shared" si="0"/>
        <v>0.8545160769106479</v>
      </c>
      <c r="L8" s="452">
        <f t="shared" si="0"/>
        <v>0.83956320827035713</v>
      </c>
      <c r="M8" s="452">
        <f t="shared" si="0"/>
        <v>0.828695876271204</v>
      </c>
      <c r="N8" s="452">
        <f t="shared" si="0"/>
        <v>0.84343367575121742</v>
      </c>
    </row>
    <row r="9" spans="1:40">
      <c r="B9" s="183" t="s">
        <v>371</v>
      </c>
      <c r="C9" s="256">
        <f t="shared" ref="C9:N9" si="1">C6-C7</f>
        <v>6759</v>
      </c>
      <c r="D9" s="256">
        <f t="shared" si="1"/>
        <v>5883</v>
      </c>
      <c r="E9" s="256">
        <f t="shared" si="1"/>
        <v>4642</v>
      </c>
      <c r="F9" s="256">
        <f t="shared" si="1"/>
        <v>5105</v>
      </c>
      <c r="G9" s="256">
        <f t="shared" si="1"/>
        <v>1970</v>
      </c>
      <c r="H9" s="256">
        <f t="shared" si="1"/>
        <v>3462</v>
      </c>
      <c r="I9" s="256">
        <f t="shared" si="1"/>
        <v>3068</v>
      </c>
      <c r="J9" s="256">
        <f t="shared" si="1"/>
        <v>5358</v>
      </c>
      <c r="K9" s="256">
        <f t="shared" si="1"/>
        <v>4502</v>
      </c>
      <c r="L9" s="256">
        <f t="shared" si="1"/>
        <v>6081.189979552033</v>
      </c>
      <c r="M9" s="256">
        <f t="shared" si="1"/>
        <v>6903.0535615603803</v>
      </c>
      <c r="N9" s="256">
        <f t="shared" si="1"/>
        <v>8792.0796241586067</v>
      </c>
      <c r="O9" s="245">
        <f>SUM(K9:N9)</f>
        <v>26278.32316527102</v>
      </c>
    </row>
    <row r="10" spans="1:40">
      <c r="B10" s="453" t="s">
        <v>315</v>
      </c>
      <c r="C10" s="452">
        <f t="shared" ref="C10:N10" si="2">C9/C6</f>
        <v>0.2180181923746855</v>
      </c>
      <c r="D10" s="452">
        <f t="shared" si="2"/>
        <v>0.17338638373121132</v>
      </c>
      <c r="E10" s="452">
        <f t="shared" si="2"/>
        <v>0.15865746120719121</v>
      </c>
      <c r="F10" s="452">
        <f t="shared" si="2"/>
        <v>0.13192237124324882</v>
      </c>
      <c r="G10" s="452">
        <f t="shared" si="2"/>
        <v>8.233032430625209E-2</v>
      </c>
      <c r="H10" s="452">
        <f t="shared" si="2"/>
        <v>0.1292128541036838</v>
      </c>
      <c r="I10" s="452">
        <f t="shared" si="2"/>
        <v>0.11063031876532525</v>
      </c>
      <c r="J10" s="452">
        <f t="shared" si="2"/>
        <v>0.11779189658583772</v>
      </c>
      <c r="K10" s="454">
        <f t="shared" si="2"/>
        <v>0.14548392308935207</v>
      </c>
      <c r="L10" s="454">
        <f t="shared" si="2"/>
        <v>0.16043679172964287</v>
      </c>
      <c r="M10" s="454">
        <f t="shared" si="2"/>
        <v>0.17130412372879594</v>
      </c>
      <c r="N10" s="454">
        <f t="shared" si="2"/>
        <v>0.15656632424878261</v>
      </c>
    </row>
    <row r="11" spans="1:40">
      <c r="B11" s="447" t="s">
        <v>313</v>
      </c>
      <c r="C11" s="256">
        <v>4044</v>
      </c>
      <c r="D11" s="256">
        <v>3943</v>
      </c>
      <c r="E11" s="256">
        <v>3659</v>
      </c>
      <c r="F11" s="256">
        <v>4697</v>
      </c>
      <c r="G11" s="256">
        <v>4136</v>
      </c>
      <c r="H11" s="256">
        <v>4539</v>
      </c>
      <c r="I11" s="256">
        <v>3877</v>
      </c>
      <c r="J11" s="256">
        <v>4309</v>
      </c>
      <c r="K11" s="256">
        <v>4199</v>
      </c>
      <c r="L11" s="256">
        <v>4338.1499695671027</v>
      </c>
      <c r="M11" s="256">
        <v>4437.3218514557138</v>
      </c>
      <c r="N11" s="256">
        <v>4922.6590977678288</v>
      </c>
      <c r="O11" s="245">
        <f>SUM(K11:N11)</f>
        <v>17897.130918790645</v>
      </c>
    </row>
    <row r="12" spans="1:40">
      <c r="B12" s="451" t="s">
        <v>370</v>
      </c>
      <c r="C12" s="455">
        <f>C11/C6</f>
        <v>0.13044319721308303</v>
      </c>
      <c r="D12" s="455">
        <f t="shared" ref="D12:N12" si="3">D11/D6</f>
        <v>0.11620984379605069</v>
      </c>
      <c r="E12" s="455">
        <f t="shared" si="3"/>
        <v>0.12505981270079977</v>
      </c>
      <c r="F12" s="455">
        <f t="shared" si="3"/>
        <v>0.12137891826239761</v>
      </c>
      <c r="G12" s="455">
        <f t="shared" si="3"/>
        <v>0.17285188900033432</v>
      </c>
      <c r="H12" s="455">
        <f t="shared" si="3"/>
        <v>0.16940992050162357</v>
      </c>
      <c r="I12" s="455">
        <f t="shared" si="3"/>
        <v>0.13980239434588201</v>
      </c>
      <c r="J12" s="455">
        <f t="shared" si="3"/>
        <v>9.4730362521159892E-2</v>
      </c>
      <c r="K12" s="455">
        <f t="shared" si="3"/>
        <v>0.13569235740830507</v>
      </c>
      <c r="L12" s="455">
        <f t="shared" si="3"/>
        <v>0.11445109682474747</v>
      </c>
      <c r="M12" s="455">
        <f t="shared" si="3"/>
        <v>0.11011525909331607</v>
      </c>
      <c r="N12" s="455">
        <f t="shared" si="3"/>
        <v>8.7661016894065594E-2</v>
      </c>
    </row>
    <row r="13" spans="1:40">
      <c r="B13" s="448" t="s">
        <v>372</v>
      </c>
      <c r="C13" s="127">
        <v>2715</v>
      </c>
      <c r="D13" s="127">
        <v>1940</v>
      </c>
      <c r="E13" s="127">
        <v>983</v>
      </c>
      <c r="F13" s="127">
        <v>408</v>
      </c>
      <c r="G13" s="127">
        <v>-2166</v>
      </c>
      <c r="H13" s="127">
        <v>-1077</v>
      </c>
      <c r="I13" s="127">
        <v>-809</v>
      </c>
      <c r="J13" s="127">
        <v>1049</v>
      </c>
      <c r="K13" s="105">
        <v>303</v>
      </c>
      <c r="L13" s="105">
        <v>1743.0400099849303</v>
      </c>
      <c r="M13" s="105">
        <v>2465.7317101046665</v>
      </c>
      <c r="N13" s="105">
        <v>3869.4205263907779</v>
      </c>
      <c r="O13" s="245">
        <f>SUM(K13:N13)</f>
        <v>8381.1922464803756</v>
      </c>
    </row>
    <row r="14" spans="1:40">
      <c r="B14" s="216" t="s">
        <v>300</v>
      </c>
      <c r="C14" s="215">
        <f>C13/C6</f>
        <v>8.7574995161602484E-2</v>
      </c>
      <c r="D14" s="215">
        <f t="shared" ref="D14:N14" si="4">D13/D6</f>
        <v>5.7176539935160628E-2</v>
      </c>
      <c r="E14" s="215">
        <f t="shared" si="4"/>
        <v>3.3597648506391416E-2</v>
      </c>
      <c r="F14" s="215">
        <f t="shared" si="4"/>
        <v>1.0543452980851228E-2</v>
      </c>
      <c r="G14" s="215">
        <f t="shared" si="4"/>
        <v>-9.0521564694082249E-2</v>
      </c>
      <c r="H14" s="215">
        <f t="shared" si="4"/>
        <v>-4.0197066397939761E-2</v>
      </c>
      <c r="I14" s="215">
        <f t="shared" si="4"/>
        <v>-2.9172075580556758E-2</v>
      </c>
      <c r="J14" s="215">
        <f t="shared" si="4"/>
        <v>2.306153406467782E-2</v>
      </c>
      <c r="K14" s="215">
        <f t="shared" si="4"/>
        <v>9.7915656810470195E-3</v>
      </c>
      <c r="L14" s="215">
        <f t="shared" si="4"/>
        <v>4.5985694904895395E-2</v>
      </c>
      <c r="M14" s="215">
        <f t="shared" si="4"/>
        <v>6.118886463547988E-2</v>
      </c>
      <c r="N14" s="215">
        <f t="shared" si="4"/>
        <v>6.8905307354717005E-2</v>
      </c>
    </row>
    <row r="15" spans="1:40">
      <c r="B15" s="217" t="s">
        <v>373</v>
      </c>
      <c r="C15" s="105">
        <v>249</v>
      </c>
      <c r="D15" s="115">
        <v>-755</v>
      </c>
      <c r="E15" s="115">
        <v>285</v>
      </c>
      <c r="F15" s="115">
        <v>362</v>
      </c>
      <c r="G15" s="105">
        <v>-516</v>
      </c>
      <c r="H15" s="105">
        <v>-494</v>
      </c>
      <c r="I15" s="105">
        <v>-1012</v>
      </c>
      <c r="J15" s="105">
        <v>-1245</v>
      </c>
      <c r="K15" s="114">
        <v>-1367</v>
      </c>
      <c r="L15" s="114">
        <v>-592.75</v>
      </c>
      <c r="M15" s="114">
        <v>-592.75</v>
      </c>
      <c r="N15" s="114">
        <v>-592.75</v>
      </c>
    </row>
    <row r="16" spans="1:40">
      <c r="B16" s="218" t="s">
        <v>374</v>
      </c>
      <c r="C16" s="105">
        <v>181</v>
      </c>
      <c r="D16" s="105">
        <v>205</v>
      </c>
      <c r="E16" s="105">
        <v>254</v>
      </c>
      <c r="F16" s="105">
        <v>313</v>
      </c>
      <c r="G16" s="105">
        <v>262</v>
      </c>
      <c r="H16" s="105">
        <v>349</v>
      </c>
      <c r="I16" s="105">
        <v>230</v>
      </c>
      <c r="J16" s="105">
        <v>242</v>
      </c>
      <c r="K16" s="105">
        <v>296</v>
      </c>
      <c r="L16" s="105">
        <v>259.11111111111109</v>
      </c>
      <c r="M16" s="105">
        <v>259.11111111111109</v>
      </c>
      <c r="N16" s="105">
        <v>259.11111111111109</v>
      </c>
    </row>
    <row r="17" spans="2:14">
      <c r="B17" s="218" t="s">
        <v>375</v>
      </c>
      <c r="C17" s="105">
        <v>-821</v>
      </c>
      <c r="D17" s="105">
        <v>-913</v>
      </c>
      <c r="E17" s="105">
        <v>-1120</v>
      </c>
      <c r="F17" s="105">
        <v>-1307</v>
      </c>
      <c r="G17" s="105">
        <v>-1381</v>
      </c>
      <c r="H17" s="105">
        <v>-1642</v>
      </c>
      <c r="I17" s="105">
        <v>-1558</v>
      </c>
      <c r="J17" s="105">
        <v>-903</v>
      </c>
      <c r="K17" s="105">
        <v>1346</v>
      </c>
      <c r="L17" s="105">
        <v>-934.75</v>
      </c>
      <c r="M17" s="105">
        <v>-934.75</v>
      </c>
      <c r="N17" s="105">
        <v>-934.75</v>
      </c>
    </row>
    <row r="18" spans="2:14">
      <c r="B18" s="218" t="s">
        <v>376</v>
      </c>
      <c r="C18" s="105">
        <v>2780</v>
      </c>
      <c r="D18" s="105">
        <v>1434</v>
      </c>
      <c r="E18" s="105">
        <v>1224</v>
      </c>
      <c r="F18" s="105">
        <v>635</v>
      </c>
      <c r="G18" s="105">
        <v>1685</v>
      </c>
      <c r="H18" s="105">
        <v>1489</v>
      </c>
      <c r="I18" s="105">
        <v>525</v>
      </c>
      <c r="J18" s="105">
        <v>3244</v>
      </c>
      <c r="K18" s="105">
        <v>1117</v>
      </c>
      <c r="L18" s="105">
        <v>1419.125</v>
      </c>
      <c r="M18" s="105">
        <v>1419.125</v>
      </c>
      <c r="N18" s="105">
        <v>1419.125</v>
      </c>
    </row>
    <row r="19" spans="2:14">
      <c r="B19" s="456" t="s">
        <v>377</v>
      </c>
      <c r="C19" s="457">
        <v>-3092</v>
      </c>
      <c r="D19" s="457">
        <v>-1468</v>
      </c>
      <c r="E19" s="457">
        <v>-1290</v>
      </c>
      <c r="F19" s="457">
        <v>-4221</v>
      </c>
      <c r="G19" s="457">
        <v>-3058</v>
      </c>
      <c r="H19" s="457">
        <v>-1734</v>
      </c>
      <c r="I19" s="457">
        <v>-1077</v>
      </c>
      <c r="J19" s="457">
        <v>-4640</v>
      </c>
      <c r="K19" s="457">
        <v>-2376</v>
      </c>
      <c r="L19" s="457">
        <v>-2483</v>
      </c>
      <c r="M19" s="457">
        <v>-2483</v>
      </c>
      <c r="N19" s="457">
        <v>-2483</v>
      </c>
    </row>
    <row r="20" spans="2:14" ht="19.05" customHeight="1">
      <c r="B20" s="449" t="s">
        <v>294</v>
      </c>
      <c r="C20" s="111">
        <f>SUM(C13,C15:C19)</f>
        <v>2012</v>
      </c>
      <c r="D20" s="111">
        <f>D13+SUM(D15:D19)</f>
        <v>443</v>
      </c>
      <c r="E20" s="111">
        <f>SUM(E13,E15:E19)</f>
        <v>336</v>
      </c>
      <c r="F20" s="111">
        <f>SUM(F13,F15:F19)</f>
        <v>-3810</v>
      </c>
      <c r="G20" s="111">
        <f>G13+SUM(G15:G19)</f>
        <v>-5174</v>
      </c>
      <c r="H20" s="111">
        <f>H13+SUM(H15:H19)</f>
        <v>-3109</v>
      </c>
      <c r="I20" s="111">
        <f>I13+SUM(I15:I19)</f>
        <v>-3701</v>
      </c>
      <c r="J20" s="111">
        <f>J13+SUM(J15:J19)</f>
        <v>-2253</v>
      </c>
      <c r="K20" s="111">
        <f>K13+SUM(K15:K19)</f>
        <v>-681</v>
      </c>
      <c r="L20" s="111">
        <f>SUM(L13:L19)</f>
        <v>-589.17789320905376</v>
      </c>
      <c r="M20" s="111">
        <f>SUM(M13:M19)</f>
        <v>133.52901008041317</v>
      </c>
      <c r="N20" s="111">
        <f>SUM(N13:N19)</f>
        <v>1537.225542809244</v>
      </c>
    </row>
    <row r="21" spans="2:14">
      <c r="B21" s="458" t="s">
        <v>196</v>
      </c>
      <c r="C21" s="457">
        <v>606</v>
      </c>
      <c r="D21" s="457">
        <v>222</v>
      </c>
      <c r="E21" s="457">
        <v>130</v>
      </c>
      <c r="F21" s="457">
        <f>411-E21-D21-C21</f>
        <v>-547</v>
      </c>
      <c r="G21" s="457">
        <v>-691</v>
      </c>
      <c r="H21" s="457">
        <v>-641</v>
      </c>
      <c r="I21" s="457">
        <f>-116</f>
        <v>-116</v>
      </c>
      <c r="J21" s="457">
        <f>-3156-SUM(G21:I21)</f>
        <v>-1708</v>
      </c>
      <c r="K21" s="457">
        <v>-392</v>
      </c>
      <c r="L21" s="457">
        <v>0</v>
      </c>
      <c r="M21" s="457">
        <v>0</v>
      </c>
      <c r="N21" s="457">
        <f>2*0.09+198*0.19+636*0.21</f>
        <v>171.36</v>
      </c>
    </row>
    <row r="22" spans="2:14">
      <c r="B22" s="183" t="s">
        <v>378</v>
      </c>
      <c r="C22" s="111">
        <f t="shared" ref="C22:N22" si="5">C20+C21</f>
        <v>2618</v>
      </c>
      <c r="D22" s="111">
        <f t="shared" si="5"/>
        <v>665</v>
      </c>
      <c r="E22" s="111">
        <f t="shared" si="5"/>
        <v>466</v>
      </c>
      <c r="F22" s="111">
        <f t="shared" si="5"/>
        <v>-4357</v>
      </c>
      <c r="G22" s="111">
        <f t="shared" si="5"/>
        <v>-5865</v>
      </c>
      <c r="H22" s="111">
        <f t="shared" si="5"/>
        <v>-3750</v>
      </c>
      <c r="I22" s="111">
        <f t="shared" si="5"/>
        <v>-3817</v>
      </c>
      <c r="J22" s="111">
        <f t="shared" si="5"/>
        <v>-3961</v>
      </c>
      <c r="K22" s="111">
        <f t="shared" si="5"/>
        <v>-1073</v>
      </c>
      <c r="L22" s="111">
        <f t="shared" si="5"/>
        <v>-589.17789320905376</v>
      </c>
      <c r="M22" s="111">
        <f t="shared" si="5"/>
        <v>133.52901008041317</v>
      </c>
      <c r="N22" s="111">
        <f t="shared" si="5"/>
        <v>1708.5855428092441</v>
      </c>
    </row>
    <row r="23" spans="2:14">
      <c r="B23" s="216" t="s">
        <v>370</v>
      </c>
      <c r="C23" s="215">
        <f>C22/C6</f>
        <v>8.4446164763563647E-2</v>
      </c>
      <c r="D23" s="215">
        <f t="shared" ref="D23:N23" si="6">D22/D6</f>
        <v>1.9599174771588564E-2</v>
      </c>
      <c r="E23" s="215">
        <f t="shared" si="6"/>
        <v>1.5927267755827465E-2</v>
      </c>
      <c r="F23" s="215">
        <f t="shared" si="6"/>
        <v>-0.11259270744502158</v>
      </c>
      <c r="G23" s="215">
        <f t="shared" si="6"/>
        <v>-0.24511033099297894</v>
      </c>
      <c r="H23" s="215">
        <f t="shared" si="6"/>
        <v>-0.13996193035494345</v>
      </c>
      <c r="I23" s="215">
        <f t="shared" si="6"/>
        <v>-0.13763882878984565</v>
      </c>
      <c r="J23" s="215">
        <f t="shared" si="6"/>
        <v>-8.7079825004946473E-2</v>
      </c>
      <c r="K23" s="215">
        <f t="shared" si="6"/>
        <v>-3.4674422362255618E-2</v>
      </c>
      <c r="L23" s="215">
        <f t="shared" si="6"/>
        <v>-1.5543966108990712E-2</v>
      </c>
      <c r="M23" s="215">
        <f t="shared" si="6"/>
        <v>3.3136161932123612E-3</v>
      </c>
      <c r="N23" s="215">
        <f t="shared" si="6"/>
        <v>3.0425902577952881E-2</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205E3-8B6F-484A-A771-1AC46C695098}">
  <sheetPr>
    <tabColor rgb="FF203864"/>
  </sheetPr>
  <dimension ref="A1:AY16"/>
  <sheetViews>
    <sheetView showGridLines="0" zoomScale="85" zoomScaleNormal="85" workbookViewId="0">
      <selection activeCell="Q6" sqref="Q6"/>
    </sheetView>
  </sheetViews>
  <sheetFormatPr defaultColWidth="10.7265625" defaultRowHeight="19.8"/>
  <cols>
    <col min="1" max="1" width="1.6328125" style="1" customWidth="1"/>
    <col min="2" max="2" width="11.81640625" style="1" customWidth="1"/>
    <col min="3" max="17" width="9.08984375" style="1" customWidth="1"/>
    <col min="18" max="16384" width="10.7265625" style="1"/>
  </cols>
  <sheetData>
    <row r="1" spans="1:51" s="2" customFormat="1" ht="19.2">
      <c r="A1" s="45" t="s">
        <v>16</v>
      </c>
      <c r="B1" s="3"/>
      <c r="C1" s="3"/>
      <c r="D1" s="3"/>
      <c r="E1" s="3"/>
      <c r="F1" s="4"/>
      <c r="G1" s="4"/>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row>
    <row r="2" spans="1:51" s="2" customFormat="1" ht="19.2">
      <c r="A2" s="6" t="s">
        <v>15</v>
      </c>
      <c r="B2" s="6"/>
      <c r="C2" s="6"/>
      <c r="D2" s="6"/>
      <c r="E2" s="6"/>
      <c r="F2" s="6"/>
      <c r="G2" s="6"/>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row>
    <row r="3" spans="1:51" s="2" customFormat="1">
      <c r="A3" s="46" t="s">
        <v>255</v>
      </c>
      <c r="B3" s="8"/>
      <c r="C3" s="8"/>
      <c r="D3" s="8"/>
      <c r="E3" s="8"/>
      <c r="F3" s="8"/>
      <c r="G3" s="8"/>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row>
    <row r="5" spans="1:51">
      <c r="B5" s="263" t="s">
        <v>21</v>
      </c>
      <c r="C5" s="43" t="s">
        <v>1</v>
      </c>
      <c r="D5" s="43" t="s">
        <v>2</v>
      </c>
      <c r="E5" s="43" t="s">
        <v>3</v>
      </c>
      <c r="F5" s="43" t="s">
        <v>4</v>
      </c>
      <c r="G5" s="43" t="s">
        <v>5</v>
      </c>
      <c r="H5" s="43" t="s">
        <v>6</v>
      </c>
      <c r="I5" s="43" t="s">
        <v>7</v>
      </c>
      <c r="J5" s="43" t="s">
        <v>8</v>
      </c>
      <c r="K5" s="43" t="s">
        <v>9</v>
      </c>
      <c r="L5" s="44" t="s">
        <v>10</v>
      </c>
      <c r="M5" s="44" t="s">
        <v>11</v>
      </c>
      <c r="N5" s="258" t="s">
        <v>12</v>
      </c>
      <c r="O5" s="43">
        <v>2023</v>
      </c>
      <c r="P5" s="43">
        <v>2024</v>
      </c>
      <c r="Q5" s="44" t="s">
        <v>13</v>
      </c>
    </row>
    <row r="6" spans="1:51">
      <c r="B6" s="264" t="s">
        <v>0</v>
      </c>
      <c r="C6" s="55">
        <f>SUM(C8,C10,C12,C14)</f>
        <v>30533</v>
      </c>
      <c r="D6" s="55">
        <f t="shared" ref="D6:Q6" si="0">SUM(D8,D10,D12,D14)</f>
        <v>33327</v>
      </c>
      <c r="E6" s="55">
        <f t="shared" si="0"/>
        <v>28740</v>
      </c>
      <c r="F6" s="55">
        <f t="shared" si="0"/>
        <v>38185</v>
      </c>
      <c r="G6" s="55">
        <f t="shared" si="0"/>
        <v>28116</v>
      </c>
      <c r="H6" s="55">
        <f t="shared" si="0"/>
        <v>28940</v>
      </c>
      <c r="I6" s="55">
        <f t="shared" si="0"/>
        <v>27820</v>
      </c>
      <c r="J6" s="55">
        <f t="shared" si="0"/>
        <v>46429</v>
      </c>
      <c r="K6" s="55">
        <f t="shared" si="0"/>
        <v>30945</v>
      </c>
      <c r="L6" s="55">
        <f t="shared" si="0"/>
        <v>37903.961516505762</v>
      </c>
      <c r="M6" s="55">
        <f t="shared" si="0"/>
        <v>40297.065892524035</v>
      </c>
      <c r="N6" s="259">
        <f>SUM(N8,N10,N12,N14)</f>
        <v>56155.623927071727</v>
      </c>
      <c r="O6" s="55">
        <f t="shared" si="0"/>
        <v>130785</v>
      </c>
      <c r="P6" s="55">
        <f t="shared" si="0"/>
        <v>131305</v>
      </c>
      <c r="Q6" s="55">
        <f t="shared" si="0"/>
        <v>165301.65133610152</v>
      </c>
    </row>
    <row r="7" spans="1:51">
      <c r="B7" s="265" t="s">
        <v>14</v>
      </c>
      <c r="C7" s="58"/>
      <c r="D7" s="58"/>
      <c r="E7" s="58"/>
      <c r="F7" s="58"/>
      <c r="G7" s="87">
        <f>G6/C6-1</f>
        <v>-7.9160252841188217E-2</v>
      </c>
      <c r="H7" s="87">
        <f t="shared" ref="H7:N7" si="1">H6/D6-1</f>
        <v>-0.13163501065202388</v>
      </c>
      <c r="I7" s="87">
        <f t="shared" si="1"/>
        <v>-3.2011134307585287E-2</v>
      </c>
      <c r="J7" s="87">
        <f t="shared" si="1"/>
        <v>0.21589629435642266</v>
      </c>
      <c r="K7" s="87">
        <f t="shared" si="1"/>
        <v>0.10061886470337167</v>
      </c>
      <c r="L7" s="87">
        <f t="shared" si="1"/>
        <v>0.30974296878043406</v>
      </c>
      <c r="M7" s="87">
        <f t="shared" si="1"/>
        <v>0.44849266328267556</v>
      </c>
      <c r="N7" s="260">
        <f t="shared" si="1"/>
        <v>0.20949458155617662</v>
      </c>
      <c r="O7" s="87"/>
      <c r="P7" s="87">
        <f>P6/O6-1</f>
        <v>3.9759911304813045E-3</v>
      </c>
      <c r="Q7" s="87">
        <f>Q6/P6-1</f>
        <v>0.25891360828682486</v>
      </c>
    </row>
    <row r="8" spans="1:51">
      <c r="B8" s="264" t="s">
        <v>19</v>
      </c>
      <c r="C8" s="55">
        <v>13483</v>
      </c>
      <c r="D8" s="55">
        <v>16002</v>
      </c>
      <c r="E8" s="55">
        <v>12585</v>
      </c>
      <c r="F8" s="55">
        <v>23186</v>
      </c>
      <c r="G8" s="55">
        <v>12223</v>
      </c>
      <c r="H8" s="55">
        <v>12224</v>
      </c>
      <c r="I8" s="55">
        <v>11886</v>
      </c>
      <c r="J8" s="55">
        <v>28690</v>
      </c>
      <c r="K8" s="55">
        <v>15992</v>
      </c>
      <c r="L8" s="55">
        <f>신재생에너지!L6</f>
        <v>22002.474946546827</v>
      </c>
      <c r="M8" s="55">
        <f>신재생에너지!M6</f>
        <v>24588.123632238705</v>
      </c>
      <c r="N8" s="259">
        <f>신재생에너지!N6</f>
        <v>40629.036953139032</v>
      </c>
      <c r="O8" s="55">
        <f>SUM(C8:F8)</f>
        <v>65256</v>
      </c>
      <c r="P8" s="55">
        <f>SUM(G8:J8)</f>
        <v>65023</v>
      </c>
      <c r="Q8" s="55">
        <f>SUM(K8:N8)</f>
        <v>103211.63553192456</v>
      </c>
    </row>
    <row r="9" spans="1:51">
      <c r="B9" s="266" t="s">
        <v>18</v>
      </c>
      <c r="C9" s="87">
        <f>C8/C6</f>
        <v>0.441587790259719</v>
      </c>
      <c r="D9" s="87">
        <f t="shared" ref="D9:M9" si="2">D8/D6</f>
        <v>0.48015122873345933</v>
      </c>
      <c r="E9" s="87">
        <f t="shared" si="2"/>
        <v>0.43789144050104384</v>
      </c>
      <c r="F9" s="87">
        <f t="shared" si="2"/>
        <v>0.60720178080398057</v>
      </c>
      <c r="G9" s="87">
        <f t="shared" si="2"/>
        <v>0.43473467065016363</v>
      </c>
      <c r="H9" s="87">
        <f t="shared" si="2"/>
        <v>0.42239115411195577</v>
      </c>
      <c r="I9" s="87">
        <f t="shared" si="2"/>
        <v>0.4272465851905104</v>
      </c>
      <c r="J9" s="87">
        <f t="shared" si="2"/>
        <v>0.61793275754377652</v>
      </c>
      <c r="K9" s="87">
        <f t="shared" si="2"/>
        <v>0.51678784941024403</v>
      </c>
      <c r="L9" s="87">
        <f t="shared" si="2"/>
        <v>0.58047956113942256</v>
      </c>
      <c r="M9" s="87">
        <f t="shared" si="2"/>
        <v>0.61017156181587717</v>
      </c>
      <c r="N9" s="260">
        <f>N8/N6</f>
        <v>0.72350788953753253</v>
      </c>
      <c r="O9" s="87">
        <f t="shared" ref="O9" si="3">O8/O6</f>
        <v>0.49895630232824867</v>
      </c>
      <c r="P9" s="87">
        <f t="shared" ref="P9" si="4">P8/P6</f>
        <v>0.49520581851414647</v>
      </c>
      <c r="Q9" s="87">
        <f t="shared" ref="Q9" si="5">Q8/Q6</f>
        <v>0.62438357207979911</v>
      </c>
    </row>
    <row r="10" spans="1:51">
      <c r="B10" s="225" t="s">
        <v>22</v>
      </c>
      <c r="C10" s="50">
        <v>13475</v>
      </c>
      <c r="D10" s="50">
        <v>13413</v>
      </c>
      <c r="E10" s="50">
        <v>12859</v>
      </c>
      <c r="F10" s="50">
        <v>11227</v>
      </c>
      <c r="G10" s="50">
        <v>12223</v>
      </c>
      <c r="H10" s="50">
        <v>12224</v>
      </c>
      <c r="I10" s="50">
        <v>11886</v>
      </c>
      <c r="J10" s="50">
        <v>11839</v>
      </c>
      <c r="K10" s="50">
        <v>10736</v>
      </c>
      <c r="L10" s="50">
        <f>케미칼!L20</f>
        <v>11633.909307419628</v>
      </c>
      <c r="M10" s="50">
        <f>케미칼!M20</f>
        <v>11239.550699401472</v>
      </c>
      <c r="N10" s="261">
        <f>케미칼!N20</f>
        <v>10875.279261918306</v>
      </c>
      <c r="O10" s="50">
        <f>SUM(C10:F10)</f>
        <v>50974</v>
      </c>
      <c r="P10" s="50">
        <f>SUM(G10:J10)</f>
        <v>48172</v>
      </c>
      <c r="Q10" s="50">
        <f>SUM(K10:N10)</f>
        <v>44484.739268739402</v>
      </c>
    </row>
    <row r="11" spans="1:51">
      <c r="B11" s="267" t="s">
        <v>18</v>
      </c>
      <c r="C11" s="86">
        <f>C10/C6</f>
        <v>0.44132577866570594</v>
      </c>
      <c r="D11" s="86">
        <f t="shared" ref="D11:Q11" si="6">D10/D6</f>
        <v>0.40246646862903951</v>
      </c>
      <c r="E11" s="86">
        <f t="shared" si="6"/>
        <v>0.44742519137091163</v>
      </c>
      <c r="F11" s="86">
        <f t="shared" si="6"/>
        <v>0.29401597485923792</v>
      </c>
      <c r="G11" s="86">
        <f t="shared" si="6"/>
        <v>0.43473467065016363</v>
      </c>
      <c r="H11" s="86">
        <f t="shared" si="6"/>
        <v>0.42239115411195577</v>
      </c>
      <c r="I11" s="86">
        <f t="shared" si="6"/>
        <v>0.4272465851905104</v>
      </c>
      <c r="J11" s="86">
        <f t="shared" si="6"/>
        <v>0.25499149238622415</v>
      </c>
      <c r="K11" s="86">
        <f t="shared" si="6"/>
        <v>0.34693811601227986</v>
      </c>
      <c r="L11" s="86">
        <f t="shared" si="6"/>
        <v>0.30693122412425133</v>
      </c>
      <c r="M11" s="86">
        <f t="shared" si="6"/>
        <v>0.27891734672143087</v>
      </c>
      <c r="N11" s="262">
        <f t="shared" si="6"/>
        <v>0.19366322553982893</v>
      </c>
      <c r="O11" s="86">
        <f t="shared" si="6"/>
        <v>0.38975417670222118</v>
      </c>
      <c r="P11" s="86">
        <f t="shared" si="6"/>
        <v>0.36687102547503903</v>
      </c>
      <c r="Q11" s="86">
        <f t="shared" si="6"/>
        <v>0.26911249167311874</v>
      </c>
      <c r="R11" s="11"/>
    </row>
    <row r="12" spans="1:51">
      <c r="B12" s="264" t="s">
        <v>23</v>
      </c>
      <c r="C12" s="55">
        <v>2535</v>
      </c>
      <c r="D12" s="55">
        <v>2642</v>
      </c>
      <c r="E12" s="55">
        <v>2354</v>
      </c>
      <c r="F12" s="55">
        <v>2358</v>
      </c>
      <c r="G12" s="55">
        <v>2496</v>
      </c>
      <c r="H12" s="55">
        <v>2659</v>
      </c>
      <c r="I12" s="55">
        <v>2546</v>
      </c>
      <c r="J12" s="55">
        <v>2675</v>
      </c>
      <c r="K12" s="55">
        <v>2738</v>
      </c>
      <c r="L12" s="55">
        <f>첨단소재!L6</f>
        <v>2725.4661514281961</v>
      </c>
      <c r="M12" s="55">
        <f>첨단소재!M6</f>
        <v>2871.4903263159545</v>
      </c>
      <c r="N12" s="259">
        <f>첨단소재!N6</f>
        <v>3016.9730069389461</v>
      </c>
      <c r="O12" s="55">
        <f>SUM(C12:F12)</f>
        <v>9889</v>
      </c>
      <c r="P12" s="55">
        <f>SUM(G12:J12)</f>
        <v>10376</v>
      </c>
      <c r="Q12" s="55">
        <f>SUM(K12:N12)</f>
        <v>11351.929484683096</v>
      </c>
    </row>
    <row r="13" spans="1:51">
      <c r="B13" s="268" t="s">
        <v>17</v>
      </c>
      <c r="C13" s="87">
        <f>C12/C6</f>
        <v>8.3024923852880489E-2</v>
      </c>
      <c r="D13" s="87">
        <f t="shared" ref="D13:Q13" si="7">D12/D6</f>
        <v>7.9275062261829746E-2</v>
      </c>
      <c r="E13" s="87">
        <f t="shared" si="7"/>
        <v>8.1906750173973558E-2</v>
      </c>
      <c r="F13" s="87">
        <f t="shared" si="7"/>
        <v>6.1751996857404741E-2</v>
      </c>
      <c r="G13" s="87">
        <f t="shared" si="7"/>
        <v>8.8775074690567654E-2</v>
      </c>
      <c r="H13" s="87">
        <f t="shared" si="7"/>
        <v>9.1879751209398758E-2</v>
      </c>
      <c r="I13" s="87">
        <f t="shared" si="7"/>
        <v>9.1516894320632633E-2</v>
      </c>
      <c r="J13" s="87">
        <f t="shared" si="7"/>
        <v>5.7614852785974287E-2</v>
      </c>
      <c r="K13" s="87">
        <f t="shared" si="7"/>
        <v>8.8479560510583297E-2</v>
      </c>
      <c r="L13" s="87">
        <f t="shared" si="7"/>
        <v>7.1904519801745712E-2</v>
      </c>
      <c r="M13" s="87">
        <f t="shared" si="7"/>
        <v>7.1258049754155353E-2</v>
      </c>
      <c r="N13" s="260">
        <f t="shared" si="7"/>
        <v>5.3725215676653032E-2</v>
      </c>
      <c r="O13" s="87">
        <f t="shared" si="7"/>
        <v>7.5612646710249642E-2</v>
      </c>
      <c r="P13" s="87">
        <f t="shared" si="7"/>
        <v>7.9022124062297708E-2</v>
      </c>
      <c r="Q13" s="87">
        <f t="shared" si="7"/>
        <v>6.8674023477246771E-2</v>
      </c>
    </row>
    <row r="14" spans="1:51">
      <c r="B14" s="264" t="s">
        <v>20</v>
      </c>
      <c r="C14" s="55">
        <v>1040</v>
      </c>
      <c r="D14" s="55">
        <v>1270</v>
      </c>
      <c r="E14" s="55">
        <v>942</v>
      </c>
      <c r="F14" s="55">
        <v>1414</v>
      </c>
      <c r="G14" s="55">
        <v>1174</v>
      </c>
      <c r="H14" s="55">
        <v>1833</v>
      </c>
      <c r="I14" s="55">
        <v>1502</v>
      </c>
      <c r="J14" s="55">
        <v>3225</v>
      </c>
      <c r="K14" s="55">
        <v>1479</v>
      </c>
      <c r="L14" s="55">
        <f>AVERAGE(C14:K14)</f>
        <v>1542.1111111111111</v>
      </c>
      <c r="M14" s="55">
        <f t="shared" ref="M14:N14" si="8">AVERAGE(D14:L14)</f>
        <v>1597.9012345679012</v>
      </c>
      <c r="N14" s="259">
        <f t="shared" si="8"/>
        <v>1634.334705075446</v>
      </c>
      <c r="O14" s="55">
        <f>SUM(C14:F14)</f>
        <v>4666</v>
      </c>
      <c r="P14" s="55">
        <f>SUM(G14:J14)</f>
        <v>7734</v>
      </c>
      <c r="Q14" s="55">
        <f>SUM(K14:N14)</f>
        <v>6253.3470507544589</v>
      </c>
    </row>
    <row r="15" spans="1:51">
      <c r="B15" s="268" t="s">
        <v>17</v>
      </c>
      <c r="C15" s="87">
        <f>C14/C6</f>
        <v>3.4061507221694563E-2</v>
      </c>
      <c r="D15" s="87">
        <f t="shared" ref="D15:Q15" si="9">D14/D6</f>
        <v>3.8107240375671377E-2</v>
      </c>
      <c r="E15" s="87">
        <f t="shared" si="9"/>
        <v>3.2776617954070983E-2</v>
      </c>
      <c r="F15" s="87">
        <f t="shared" si="9"/>
        <v>3.7030247479376721E-2</v>
      </c>
      <c r="G15" s="87">
        <f t="shared" si="9"/>
        <v>4.1755584009105139E-2</v>
      </c>
      <c r="H15" s="87">
        <f t="shared" si="9"/>
        <v>6.3337940566689704E-2</v>
      </c>
      <c r="I15" s="87">
        <f t="shared" si="9"/>
        <v>5.398993529834651E-2</v>
      </c>
      <c r="J15" s="87">
        <f t="shared" si="9"/>
        <v>6.9460897284025075E-2</v>
      </c>
      <c r="K15" s="87">
        <f t="shared" si="9"/>
        <v>4.7794474066892877E-2</v>
      </c>
      <c r="L15" s="87">
        <f t="shared" si="9"/>
        <v>4.0684694934580365E-2</v>
      </c>
      <c r="M15" s="87">
        <f t="shared" si="9"/>
        <v>3.9653041708536549E-2</v>
      </c>
      <c r="N15" s="260">
        <f t="shared" si="9"/>
        <v>2.9103669245985519E-2</v>
      </c>
      <c r="O15" s="87">
        <f t="shared" si="9"/>
        <v>3.5676874259280497E-2</v>
      </c>
      <c r="P15" s="87">
        <f t="shared" si="9"/>
        <v>5.8901031948516813E-2</v>
      </c>
      <c r="Q15" s="87">
        <f t="shared" si="9"/>
        <v>3.7829912769835355E-2</v>
      </c>
    </row>
    <row r="16" spans="1:51">
      <c r="B16" s="10"/>
      <c r="C16" s="10"/>
      <c r="D16" s="10"/>
      <c r="E16" s="10"/>
      <c r="F16" s="10"/>
      <c r="G16" s="10"/>
      <c r="H16" s="10"/>
      <c r="I16" s="10"/>
      <c r="J16" s="10"/>
      <c r="K16" s="10"/>
      <c r="L16" s="10"/>
      <c r="M16" s="10"/>
      <c r="N16" s="10"/>
      <c r="O16" s="10"/>
      <c r="P16" s="10"/>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D69DD-BDE2-4C91-B3F5-E0BA7870C4AC}">
  <sheetPr>
    <tabColor rgb="FFD0CECE"/>
  </sheetPr>
  <dimension ref="A1:AY83"/>
  <sheetViews>
    <sheetView showGridLines="0" zoomScale="85" zoomScaleNormal="85" workbookViewId="0"/>
  </sheetViews>
  <sheetFormatPr defaultColWidth="8.7265625" defaultRowHeight="19.2"/>
  <cols>
    <col min="1" max="1" width="1.6328125" customWidth="1"/>
    <col min="2" max="2" width="17.6328125" customWidth="1"/>
    <col min="3" max="14" width="9.08984375" customWidth="1"/>
    <col min="15" max="15" width="11.36328125" bestFit="1" customWidth="1"/>
    <col min="16" max="16" width="14.6328125" bestFit="1" customWidth="1"/>
  </cols>
  <sheetData>
    <row r="1" spans="1:51" s="2" customFormat="1">
      <c r="A1" s="45" t="s">
        <v>16</v>
      </c>
      <c r="B1" s="3"/>
      <c r="C1" s="3"/>
      <c r="D1" s="3"/>
      <c r="E1" s="3"/>
      <c r="F1" s="4"/>
      <c r="G1" s="4"/>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row>
    <row r="2" spans="1:51" s="2" customFormat="1">
      <c r="A2" s="6" t="s">
        <v>15</v>
      </c>
      <c r="B2" s="6"/>
      <c r="C2" s="6"/>
      <c r="D2" s="6"/>
      <c r="E2" s="6"/>
      <c r="F2" s="6"/>
      <c r="G2" s="6"/>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row>
    <row r="3" spans="1:51" s="2" customFormat="1" ht="19.8">
      <c r="A3" s="46" t="s">
        <v>255</v>
      </c>
      <c r="B3" s="8"/>
      <c r="C3" s="8"/>
      <c r="D3" s="8"/>
      <c r="E3" s="8"/>
      <c r="F3" s="8"/>
      <c r="G3" s="8"/>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row>
    <row r="5" spans="1:51">
      <c r="B5" s="42" t="s">
        <v>21</v>
      </c>
      <c r="C5" s="43" t="s">
        <v>1</v>
      </c>
      <c r="D5" s="43" t="s">
        <v>2</v>
      </c>
      <c r="E5" s="43" t="s">
        <v>3</v>
      </c>
      <c r="F5" s="43" t="s">
        <v>4</v>
      </c>
      <c r="G5" s="43" t="s">
        <v>5</v>
      </c>
      <c r="H5" s="43" t="s">
        <v>6</v>
      </c>
      <c r="I5" s="43" t="s">
        <v>7</v>
      </c>
      <c r="J5" s="43" t="s">
        <v>8</v>
      </c>
      <c r="K5" s="43" t="s">
        <v>9</v>
      </c>
      <c r="L5" s="44" t="s">
        <v>10</v>
      </c>
      <c r="M5" s="44" t="s">
        <v>11</v>
      </c>
      <c r="N5" s="96" t="s">
        <v>12</v>
      </c>
    </row>
    <row r="6" spans="1:51">
      <c r="B6" s="72" t="s">
        <v>19</v>
      </c>
      <c r="C6" s="61">
        <v>13661</v>
      </c>
      <c r="D6" s="61">
        <v>16290</v>
      </c>
      <c r="E6" s="61">
        <v>12799</v>
      </c>
      <c r="F6" s="61">
        <v>23409</v>
      </c>
      <c r="G6" s="61">
        <v>7641</v>
      </c>
      <c r="H6" s="61">
        <v>9802</v>
      </c>
      <c r="I6" s="61">
        <v>11525</v>
      </c>
      <c r="J6" s="61">
        <v>28690</v>
      </c>
      <c r="K6" s="61">
        <v>15992</v>
      </c>
      <c r="L6" s="61">
        <f>L7+L8+L9</f>
        <v>22002.474946546827</v>
      </c>
      <c r="M6" s="61">
        <f t="shared" ref="M6:N6" si="0">M7+M8+M9</f>
        <v>24588.123632238705</v>
      </c>
      <c r="N6" s="61">
        <f t="shared" si="0"/>
        <v>40629.036953139032</v>
      </c>
    </row>
    <row r="7" spans="1:51">
      <c r="B7" s="48" t="s">
        <v>256</v>
      </c>
      <c r="C7" s="50">
        <v>1650</v>
      </c>
      <c r="D7" s="50">
        <v>3250</v>
      </c>
      <c r="E7" s="50">
        <v>4018</v>
      </c>
      <c r="F7" s="50">
        <v>11579</v>
      </c>
      <c r="G7" s="50">
        <v>3427</v>
      </c>
      <c r="H7" s="50">
        <v>4052</v>
      </c>
      <c r="I7" s="50">
        <v>5785</v>
      </c>
      <c r="J7" s="50">
        <v>16336</v>
      </c>
      <c r="K7" s="50">
        <v>4190</v>
      </c>
      <c r="L7" s="50">
        <f>L14</f>
        <v>6307.1322111304371</v>
      </c>
      <c r="M7" s="50">
        <f t="shared" ref="M7:N7" si="1">M14</f>
        <v>8356.8306089374364</v>
      </c>
      <c r="N7" s="50">
        <f t="shared" si="1"/>
        <v>23840.884520261417</v>
      </c>
    </row>
    <row r="8" spans="1:51">
      <c r="B8" s="48" t="s">
        <v>257</v>
      </c>
      <c r="C8" s="50">
        <f>C6-C7</f>
        <v>12011</v>
      </c>
      <c r="D8" s="50">
        <f t="shared" ref="D8:J8" si="2">D6-D7</f>
        <v>13040</v>
      </c>
      <c r="E8" s="50">
        <f t="shared" si="2"/>
        <v>8781</v>
      </c>
      <c r="F8" s="50">
        <f t="shared" si="2"/>
        <v>11830</v>
      </c>
      <c r="G8" s="50">
        <f t="shared" si="2"/>
        <v>4214</v>
      </c>
      <c r="H8" s="50">
        <f t="shared" si="2"/>
        <v>5750</v>
      </c>
      <c r="I8" s="50">
        <f t="shared" si="2"/>
        <v>5740</v>
      </c>
      <c r="J8" s="50">
        <f t="shared" si="2"/>
        <v>12354</v>
      </c>
      <c r="K8" s="50">
        <f>K6-K7-K9</f>
        <v>5866</v>
      </c>
      <c r="L8" s="230">
        <f>L18</f>
        <v>9683.0143476814737</v>
      </c>
      <c r="M8" s="230">
        <f t="shared" ref="M8:N8" si="3">M18</f>
        <v>10142.636247831433</v>
      </c>
      <c r="N8" s="230">
        <f t="shared" si="3"/>
        <v>10623.167269672867</v>
      </c>
    </row>
    <row r="9" spans="1:51">
      <c r="B9" s="56" t="s">
        <v>258</v>
      </c>
      <c r="C9" s="57" t="s">
        <v>261</v>
      </c>
      <c r="D9" s="57" t="s">
        <v>261</v>
      </c>
      <c r="E9" s="57" t="s">
        <v>261</v>
      </c>
      <c r="F9" s="57" t="s">
        <v>261</v>
      </c>
      <c r="G9" s="57" t="s">
        <v>261</v>
      </c>
      <c r="H9" s="57" t="s">
        <v>261</v>
      </c>
      <c r="I9" s="57" t="s">
        <v>261</v>
      </c>
      <c r="J9" s="57" t="s">
        <v>261</v>
      </c>
      <c r="K9" s="58">
        <v>5936</v>
      </c>
      <c r="L9" s="58">
        <f>D27</f>
        <v>6012.3283877349149</v>
      </c>
      <c r="M9" s="58">
        <f t="shared" ref="M9:N9" si="4">E27</f>
        <v>6088.6567754698317</v>
      </c>
      <c r="N9" s="58">
        <f t="shared" si="4"/>
        <v>6164.9851632047466</v>
      </c>
    </row>
    <row r="10" spans="1:51">
      <c r="B10" s="59" t="s">
        <v>260</v>
      </c>
      <c r="C10" s="60">
        <f>C11-C6</f>
        <v>-178</v>
      </c>
      <c r="D10" s="60">
        <f t="shared" ref="D10:K10" si="5">D11-D6</f>
        <v>-288</v>
      </c>
      <c r="E10" s="60">
        <f t="shared" si="5"/>
        <v>-214</v>
      </c>
      <c r="F10" s="60">
        <f t="shared" si="5"/>
        <v>-223</v>
      </c>
      <c r="G10" s="60">
        <f t="shared" si="5"/>
        <v>4582</v>
      </c>
      <c r="H10" s="60">
        <f t="shared" si="5"/>
        <v>2422</v>
      </c>
      <c r="I10" s="60">
        <f t="shared" si="5"/>
        <v>361</v>
      </c>
      <c r="J10" s="60">
        <f t="shared" si="5"/>
        <v>0</v>
      </c>
      <c r="K10" s="60">
        <f t="shared" si="5"/>
        <v>0</v>
      </c>
      <c r="L10" s="72">
        <v>0</v>
      </c>
      <c r="M10" s="72">
        <v>0</v>
      </c>
      <c r="N10" s="72">
        <v>0</v>
      </c>
    </row>
    <row r="11" spans="1:51">
      <c r="B11" s="59" t="s">
        <v>259</v>
      </c>
      <c r="C11" s="61">
        <v>13483</v>
      </c>
      <c r="D11" s="61">
        <v>16002</v>
      </c>
      <c r="E11" s="61">
        <v>12585</v>
      </c>
      <c r="F11" s="61">
        <v>23186</v>
      </c>
      <c r="G11" s="61">
        <v>12223</v>
      </c>
      <c r="H11" s="61">
        <v>12224</v>
      </c>
      <c r="I11" s="61">
        <v>11886</v>
      </c>
      <c r="J11" s="61">
        <v>28690</v>
      </c>
      <c r="K11" s="61">
        <v>15992</v>
      </c>
      <c r="L11" s="61">
        <f>L6</f>
        <v>22002.474946546827</v>
      </c>
      <c r="M11" s="61">
        <f>M6</f>
        <v>24588.123632238705</v>
      </c>
      <c r="N11" s="61">
        <f>N6</f>
        <v>40629.036953139032</v>
      </c>
    </row>
    <row r="13" spans="1:51">
      <c r="B13" s="42" t="s">
        <v>21</v>
      </c>
      <c r="C13" s="43" t="s">
        <v>1</v>
      </c>
      <c r="D13" s="43" t="s">
        <v>2</v>
      </c>
      <c r="E13" s="43" t="s">
        <v>3</v>
      </c>
      <c r="F13" s="43" t="s">
        <v>4</v>
      </c>
      <c r="G13" s="43" t="s">
        <v>5</v>
      </c>
      <c r="H13" s="43" t="s">
        <v>6</v>
      </c>
      <c r="I13" s="43" t="s">
        <v>7</v>
      </c>
      <c r="J13" s="43" t="s">
        <v>8</v>
      </c>
      <c r="K13" s="43" t="s">
        <v>9</v>
      </c>
      <c r="L13" s="44" t="s">
        <v>10</v>
      </c>
      <c r="M13" s="44" t="s">
        <v>11</v>
      </c>
      <c r="N13" s="96" t="s">
        <v>12</v>
      </c>
    </row>
    <row r="14" spans="1:51">
      <c r="B14" s="54" t="s">
        <v>256</v>
      </c>
      <c r="C14" s="55">
        <v>1650</v>
      </c>
      <c r="D14" s="55">
        <v>3250</v>
      </c>
      <c r="E14" s="55">
        <v>4018</v>
      </c>
      <c r="F14" s="55">
        <v>11579</v>
      </c>
      <c r="G14" s="55">
        <v>3427</v>
      </c>
      <c r="H14" s="55">
        <v>4052</v>
      </c>
      <c r="I14" s="55">
        <v>5785</v>
      </c>
      <c r="J14" s="55">
        <v>16336</v>
      </c>
      <c r="K14" s="55">
        <v>4190</v>
      </c>
      <c r="L14" s="55">
        <f>K14*L15/K15</f>
        <v>6307.1322111304371</v>
      </c>
      <c r="M14" s="55">
        <f>L14*M15/L15</f>
        <v>8356.8306089374364</v>
      </c>
      <c r="N14" s="50">
        <f>M14*N15/M15</f>
        <v>23840.884520261417</v>
      </c>
    </row>
    <row r="15" spans="1:51">
      <c r="B15" s="56" t="s">
        <v>262</v>
      </c>
      <c r="C15" s="87">
        <f>C7/SUM($C$7:$F$7)</f>
        <v>8.0499585305166613E-2</v>
      </c>
      <c r="D15" s="87">
        <f t="shared" ref="D15:F15" si="6">D7/SUM($C$7:$F$7)</f>
        <v>0.15855978923744937</v>
      </c>
      <c r="E15" s="87">
        <f t="shared" si="6"/>
        <v>0.19602868712494512</v>
      </c>
      <c r="F15" s="87">
        <f t="shared" si="6"/>
        <v>0.56491193833243891</v>
      </c>
      <c r="G15" s="87">
        <f>G7/SUM($G$7:$J$7)</f>
        <v>0.11577702702702702</v>
      </c>
      <c r="H15" s="87">
        <f t="shared" ref="H15:J15" si="7">H7/SUM($G$7:$J$7)</f>
        <v>0.13689189189189188</v>
      </c>
      <c r="I15" s="87">
        <f t="shared" si="7"/>
        <v>0.19543918918918918</v>
      </c>
      <c r="J15" s="87">
        <f t="shared" si="7"/>
        <v>0.55189189189189192</v>
      </c>
      <c r="K15" s="88">
        <f>AVERAGE(C15,G15)</f>
        <v>9.8138306166096811E-2</v>
      </c>
      <c r="L15" s="88">
        <f t="shared" ref="L15:N15" si="8">AVERAGE(D15,H15)</f>
        <v>0.14772584056467064</v>
      </c>
      <c r="M15" s="88">
        <f t="shared" si="8"/>
        <v>0.19573393815706713</v>
      </c>
      <c r="N15" s="88">
        <f t="shared" si="8"/>
        <v>0.55840191511216541</v>
      </c>
    </row>
    <row r="16" spans="1:51">
      <c r="C16" s="52"/>
      <c r="D16" s="52"/>
      <c r="E16" s="52"/>
      <c r="F16" s="52"/>
      <c r="G16" s="52"/>
      <c r="H16" s="52"/>
      <c r="I16" s="52"/>
      <c r="J16" s="52"/>
      <c r="K16" s="53"/>
    </row>
    <row r="17" spans="2:16">
      <c r="B17" s="42" t="s">
        <v>21</v>
      </c>
      <c r="C17" s="43" t="s">
        <v>1</v>
      </c>
      <c r="D17" s="43" t="s">
        <v>2</v>
      </c>
      <c r="E17" s="43" t="s">
        <v>3</v>
      </c>
      <c r="F17" s="43" t="s">
        <v>4</v>
      </c>
      <c r="G17" s="43" t="s">
        <v>5</v>
      </c>
      <c r="H17" s="43" t="s">
        <v>6</v>
      </c>
      <c r="I17" s="43" t="s">
        <v>7</v>
      </c>
      <c r="J17" s="43" t="s">
        <v>8</v>
      </c>
      <c r="K17" s="43" t="s">
        <v>9</v>
      </c>
      <c r="L17" s="44" t="s">
        <v>10</v>
      </c>
      <c r="M17" s="44" t="s">
        <v>11</v>
      </c>
      <c r="N17" s="96" t="s">
        <v>12</v>
      </c>
    </row>
    <row r="18" spans="2:16">
      <c r="B18" s="47" t="s">
        <v>257</v>
      </c>
      <c r="C18" s="230">
        <v>12011</v>
      </c>
      <c r="D18" s="230">
        <v>13040</v>
      </c>
      <c r="E18" s="230">
        <v>8781</v>
      </c>
      <c r="F18" s="230">
        <v>11830</v>
      </c>
      <c r="G18" s="230">
        <v>4214</v>
      </c>
      <c r="H18" s="230">
        <v>5750</v>
      </c>
      <c r="I18" s="230">
        <v>5740</v>
      </c>
      <c r="J18" s="230">
        <v>12354</v>
      </c>
      <c r="K18" s="230">
        <v>5866</v>
      </c>
      <c r="L18" s="230">
        <f>L19+L22</f>
        <v>9683.0143476814737</v>
      </c>
      <c r="M18" s="230">
        <f t="shared" ref="M18:N18" si="9">M19+M22</f>
        <v>10142.636247831433</v>
      </c>
      <c r="N18" s="230">
        <f t="shared" si="9"/>
        <v>10623.167269672867</v>
      </c>
    </row>
    <row r="19" spans="2:16">
      <c r="B19" s="54" t="s">
        <v>263</v>
      </c>
      <c r="C19" s="55">
        <f>C18-C22</f>
        <v>11545</v>
      </c>
      <c r="D19" s="55">
        <f t="shared" ref="D19:K19" si="10">D18-D22</f>
        <v>12279</v>
      </c>
      <c r="E19" s="55">
        <f t="shared" si="10"/>
        <v>7945</v>
      </c>
      <c r="F19" s="55">
        <f t="shared" si="10"/>
        <v>10156</v>
      </c>
      <c r="G19" s="55">
        <f t="shared" si="10"/>
        <v>3567</v>
      </c>
      <c r="H19" s="55">
        <f t="shared" si="10"/>
        <v>4874</v>
      </c>
      <c r="I19" s="55">
        <f t="shared" si="10"/>
        <v>5155</v>
      </c>
      <c r="J19" s="55">
        <f t="shared" si="10"/>
        <v>11496</v>
      </c>
      <c r="K19" s="55">
        <f t="shared" si="10"/>
        <v>5459</v>
      </c>
      <c r="L19" s="55">
        <f>L20*L21*10</f>
        <v>9040.9634773333346</v>
      </c>
      <c r="M19" s="55">
        <f t="shared" ref="M19:N19" si="11">M20*M21*10</f>
        <v>9540.4502109166679</v>
      </c>
      <c r="N19" s="55">
        <f t="shared" si="11"/>
        <v>9999.0008999999991</v>
      </c>
      <c r="O19" s="233"/>
    </row>
    <row r="20" spans="2:16">
      <c r="B20" s="48" t="s">
        <v>266</v>
      </c>
      <c r="C20" s="228">
        <f>255.660250971286/$O$20</f>
        <v>0.25566025097128597</v>
      </c>
      <c r="D20" s="228">
        <f>303.570750958145/O20</f>
        <v>0.30357075095814501</v>
      </c>
      <c r="E20" s="228">
        <f>380.668148734659/O20</f>
        <v>0.38066814873465898</v>
      </c>
      <c r="F20" s="228">
        <f>1338.56939584892/O20</f>
        <v>1.33856939584892</v>
      </c>
      <c r="G20" s="228">
        <f>1211.25/O20</f>
        <v>1.2112499999999999</v>
      </c>
      <c r="H20" s="228">
        <f>1788.75/O20</f>
        <v>1.7887500000000001</v>
      </c>
      <c r="I20" s="228">
        <f>1871.25/O20</f>
        <v>1.8712500000000001</v>
      </c>
      <c r="J20" s="228">
        <f>1953.75/O20</f>
        <v>1.9537500000000001</v>
      </c>
      <c r="K20" s="228">
        <f>1953.75/O20-C30</f>
        <v>1.5156499999999999</v>
      </c>
      <c r="L20" s="228">
        <f>2100/O20-D30</f>
        <v>1.6562666666666668</v>
      </c>
      <c r="M20" s="228">
        <f>2100/O20-E30</f>
        <v>1.6506333333333334</v>
      </c>
      <c r="N20" s="228">
        <f>2100/O20-F30</f>
        <v>1.645</v>
      </c>
      <c r="O20" s="229">
        <v>1000</v>
      </c>
    </row>
    <row r="21" spans="2:16">
      <c r="B21" s="56" t="s">
        <v>265</v>
      </c>
      <c r="C21" s="231">
        <f>C19/C20/10</f>
        <v>4515.7586899563266</v>
      </c>
      <c r="D21" s="231">
        <f t="shared" ref="D21:K21" si="12">D19/D20/10</f>
        <v>4044.8560875000026</v>
      </c>
      <c r="E21" s="231">
        <f t="shared" si="12"/>
        <v>2087.1197200000006</v>
      </c>
      <c r="F21" s="231">
        <f t="shared" si="12"/>
        <v>758.72046914378097</v>
      </c>
      <c r="G21" s="231">
        <f t="shared" si="12"/>
        <v>294.48916408668731</v>
      </c>
      <c r="H21" s="231">
        <f t="shared" si="12"/>
        <v>272.48078266946192</v>
      </c>
      <c r="I21" s="231">
        <f t="shared" si="12"/>
        <v>275.48430193720776</v>
      </c>
      <c r="J21" s="231">
        <f t="shared" si="12"/>
        <v>588.40690978886755</v>
      </c>
      <c r="K21" s="231">
        <f t="shared" si="12"/>
        <v>360.17550225975657</v>
      </c>
      <c r="L21" s="231">
        <f>0.4*L26</f>
        <v>545.86400000000003</v>
      </c>
      <c r="M21" s="231">
        <f>0.425*M26</f>
        <v>577.98725000000002</v>
      </c>
      <c r="N21" s="231">
        <f>0.45*N26</f>
        <v>607.84199999999998</v>
      </c>
      <c r="O21" s="234">
        <v>100000000</v>
      </c>
      <c r="P21" s="232">
        <v>100000000</v>
      </c>
    </row>
    <row r="22" spans="2:16">
      <c r="B22" s="54" t="s">
        <v>264</v>
      </c>
      <c r="C22" s="55">
        <v>466</v>
      </c>
      <c r="D22" s="55">
        <f>1227-C22</f>
        <v>761</v>
      </c>
      <c r="E22" s="55">
        <f>2063-SUM(C22:D22)</f>
        <v>836</v>
      </c>
      <c r="F22" s="55">
        <f>3737-SUM(C22:E22)</f>
        <v>1674</v>
      </c>
      <c r="G22" s="55">
        <v>647</v>
      </c>
      <c r="H22" s="55">
        <f>1523-G22</f>
        <v>876</v>
      </c>
      <c r="I22" s="55">
        <f>2108-SUM(G22:H22)</f>
        <v>585</v>
      </c>
      <c r="J22" s="55">
        <f>2966-SUM(G22:I22)</f>
        <v>858</v>
      </c>
      <c r="K22" s="55">
        <v>407</v>
      </c>
      <c r="L22" s="89">
        <f>L23*1000000000*L24/100000000</f>
        <v>642.05087034813926</v>
      </c>
      <c r="M22" s="89">
        <f t="shared" ref="M22:N22" si="13">M23*1000000000*M24/100000000</f>
        <v>602.18603691476596</v>
      </c>
      <c r="N22" s="89">
        <f t="shared" si="13"/>
        <v>624.16636967286911</v>
      </c>
      <c r="O22" s="235">
        <f>1000000000</f>
        <v>1000000000</v>
      </c>
    </row>
    <row r="23" spans="2:16">
      <c r="B23" s="48" t="s">
        <v>266</v>
      </c>
      <c r="C23" s="90">
        <f t="shared" ref="C23:J23" si="14">C22*100000000/C24/1000000000</f>
        <v>8.7924528301886795E-2</v>
      </c>
      <c r="D23" s="90">
        <f t="shared" si="14"/>
        <v>0.14863281249999999</v>
      </c>
      <c r="E23" s="90">
        <f t="shared" si="14"/>
        <v>0.17599999999999999</v>
      </c>
      <c r="F23" s="90">
        <f t="shared" si="14"/>
        <v>0.48381502890173411</v>
      </c>
      <c r="G23" s="90">
        <f t="shared" si="14"/>
        <v>0.20345911949685536</v>
      </c>
      <c r="H23" s="90">
        <f t="shared" si="14"/>
        <v>0.29795918367346935</v>
      </c>
      <c r="I23" s="90">
        <f t="shared" si="14"/>
        <v>0.19117647058823528</v>
      </c>
      <c r="J23" s="90">
        <f t="shared" si="14"/>
        <v>0.31428571428571428</v>
      </c>
      <c r="K23" s="90">
        <f>K22*100000000/K24/1000000000</f>
        <v>0.15130111524163567</v>
      </c>
      <c r="L23" s="90">
        <f>AVERAGE(H23:K23)</f>
        <v>0.23868062094726367</v>
      </c>
      <c r="M23" s="90">
        <f t="shared" ref="M23:N23" si="15">AVERAGE(I23:L23)</f>
        <v>0.22386098026571222</v>
      </c>
      <c r="N23" s="90">
        <f t="shared" si="15"/>
        <v>0.23203210768508145</v>
      </c>
      <c r="O23" s="233"/>
    </row>
    <row r="24" spans="2:16">
      <c r="B24" s="56" t="s">
        <v>265</v>
      </c>
      <c r="C24" s="91">
        <v>530</v>
      </c>
      <c r="D24" s="91">
        <v>512</v>
      </c>
      <c r="E24" s="91">
        <v>475</v>
      </c>
      <c r="F24" s="91">
        <v>346</v>
      </c>
      <c r="G24" s="91">
        <v>318</v>
      </c>
      <c r="H24" s="91">
        <v>294</v>
      </c>
      <c r="I24" s="91">
        <v>306</v>
      </c>
      <c r="J24" s="91">
        <v>273</v>
      </c>
      <c r="K24" s="91">
        <v>269</v>
      </c>
      <c r="L24" s="91">
        <f>K24</f>
        <v>269</v>
      </c>
      <c r="M24" s="91">
        <f>K24</f>
        <v>269</v>
      </c>
      <c r="N24" s="91">
        <f>K24</f>
        <v>269</v>
      </c>
    </row>
    <row r="26" spans="2:16">
      <c r="B26" s="94" t="s">
        <v>21</v>
      </c>
      <c r="C26" s="95" t="s">
        <v>9</v>
      </c>
      <c r="D26" s="96" t="s">
        <v>10</v>
      </c>
      <c r="E26" s="96" t="s">
        <v>11</v>
      </c>
      <c r="F26" s="96" t="s">
        <v>12</v>
      </c>
      <c r="L26" s="270">
        <v>1364.66</v>
      </c>
      <c r="M26" s="270">
        <v>1359.97</v>
      </c>
      <c r="N26" s="270">
        <v>1350.76</v>
      </c>
    </row>
    <row r="27" spans="2:16">
      <c r="B27" s="47" t="s">
        <v>258</v>
      </c>
      <c r="C27" s="50">
        <v>5936</v>
      </c>
      <c r="D27" s="50">
        <f>D30*D31</f>
        <v>6012.3283877349149</v>
      </c>
      <c r="E27" s="50">
        <f t="shared" ref="E27:F27" si="16">E30*E31</f>
        <v>6088.6567754698317</v>
      </c>
      <c r="F27" s="50">
        <f t="shared" si="16"/>
        <v>6164.9851632047466</v>
      </c>
    </row>
    <row r="28" spans="2:16">
      <c r="B28" s="92" t="s">
        <v>285</v>
      </c>
      <c r="C28" s="93">
        <v>1.3</v>
      </c>
      <c r="D28" s="93">
        <v>1.3</v>
      </c>
      <c r="E28" s="93">
        <v>1.3</v>
      </c>
      <c r="F28" s="93">
        <v>1.3</v>
      </c>
    </row>
    <row r="29" spans="2:16">
      <c r="B29" s="54" t="s">
        <v>286</v>
      </c>
      <c r="C29" s="97">
        <v>0.33700000000000002</v>
      </c>
      <c r="D29" s="97">
        <v>0.34133333333333332</v>
      </c>
      <c r="E29" s="97">
        <v>0.34566666666666668</v>
      </c>
      <c r="F29" s="97">
        <v>0.35</v>
      </c>
    </row>
    <row r="30" spans="2:16">
      <c r="B30" s="47" t="s">
        <v>287</v>
      </c>
      <c r="C30" s="90">
        <f>C28*C29</f>
        <v>0.43810000000000004</v>
      </c>
      <c r="D30" s="90">
        <f t="shared" ref="D30:F30" si="17">D28*D29</f>
        <v>0.44373333333333331</v>
      </c>
      <c r="E30" s="90">
        <f t="shared" si="17"/>
        <v>0.44936666666666669</v>
      </c>
      <c r="F30" s="90">
        <f t="shared" si="17"/>
        <v>0.45499999999999996</v>
      </c>
    </row>
    <row r="31" spans="2:16">
      <c r="B31" s="92" t="s">
        <v>288</v>
      </c>
      <c r="C31" s="98">
        <f>C27/C30</f>
        <v>13549.417941109334</v>
      </c>
      <c r="D31" s="98">
        <f>C31</f>
        <v>13549.417941109334</v>
      </c>
      <c r="E31" s="98">
        <f>C31</f>
        <v>13549.417941109334</v>
      </c>
      <c r="F31" s="98">
        <f>C31</f>
        <v>13549.417941109334</v>
      </c>
    </row>
    <row r="33" spans="2:18">
      <c r="B33" s="47" t="s">
        <v>380</v>
      </c>
      <c r="C33" s="49"/>
      <c r="D33" s="49"/>
      <c r="E33" s="49"/>
      <c r="F33" s="49"/>
    </row>
    <row r="34" spans="2:18" ht="19.8">
      <c r="B34" s="47" t="s">
        <v>381</v>
      </c>
      <c r="C34" s="47"/>
      <c r="D34" s="47"/>
      <c r="E34" s="47"/>
      <c r="F34" s="47"/>
      <c r="G34" s="169"/>
      <c r="H34" s="168"/>
      <c r="I34" s="168"/>
      <c r="J34" s="168"/>
      <c r="K34" s="168"/>
      <c r="L34" s="168"/>
      <c r="M34" s="168"/>
      <c r="N34" s="168"/>
      <c r="O34" s="168"/>
      <c r="P34" s="168"/>
      <c r="Q34" s="168"/>
      <c r="R34" s="168"/>
    </row>
    <row r="35" spans="2:18" ht="19.8">
      <c r="B35" s="47"/>
      <c r="C35" s="47"/>
      <c r="D35" s="47"/>
      <c r="E35" s="47"/>
      <c r="F35" s="47"/>
      <c r="G35" s="169"/>
      <c r="H35" s="168"/>
      <c r="I35" s="168"/>
      <c r="J35" s="168"/>
      <c r="K35" s="168"/>
      <c r="L35" s="168"/>
      <c r="M35" s="168"/>
      <c r="N35" s="168"/>
      <c r="O35" s="168"/>
      <c r="P35" s="168"/>
      <c r="Q35" s="168"/>
      <c r="R35" s="168"/>
    </row>
    <row r="36" spans="2:18" ht="19.8">
      <c r="B36" s="47"/>
      <c r="C36" s="269"/>
      <c r="D36" s="269"/>
      <c r="E36" s="269"/>
      <c r="F36" s="269"/>
      <c r="G36" s="169"/>
      <c r="H36" s="168"/>
      <c r="I36" s="168"/>
      <c r="J36" s="168"/>
      <c r="K36" s="168"/>
      <c r="L36" s="168"/>
      <c r="M36" s="168"/>
      <c r="N36" s="168"/>
      <c r="O36" s="168"/>
      <c r="P36" s="168"/>
      <c r="Q36" s="168"/>
      <c r="R36" s="168"/>
    </row>
    <row r="37" spans="2:18" ht="19.8">
      <c r="B37" s="47"/>
      <c r="G37" s="169"/>
      <c r="H37" s="168"/>
      <c r="I37" s="168"/>
      <c r="J37" s="168"/>
      <c r="K37" s="168"/>
      <c r="L37" s="168"/>
      <c r="M37" s="168"/>
      <c r="N37" s="168"/>
      <c r="O37" s="168"/>
      <c r="P37" s="168"/>
      <c r="Q37" s="168"/>
      <c r="R37" s="168"/>
    </row>
    <row r="38" spans="2:18" ht="19.8">
      <c r="B38" s="47"/>
      <c r="C38" s="47"/>
      <c r="D38" s="47"/>
      <c r="E38" s="47"/>
      <c r="F38" s="47"/>
      <c r="G38" s="169"/>
      <c r="H38" s="168"/>
      <c r="I38" s="168"/>
      <c r="J38" s="168"/>
      <c r="K38" s="168"/>
      <c r="L38" s="168"/>
      <c r="M38" s="168"/>
      <c r="N38" s="168"/>
      <c r="O38" s="168"/>
      <c r="P38" s="168"/>
      <c r="Q38" s="168"/>
      <c r="R38" s="168"/>
    </row>
    <row r="39" spans="2:18" ht="19.8">
      <c r="B39" s="47"/>
      <c r="C39" s="47"/>
      <c r="D39" s="47"/>
      <c r="E39" s="47"/>
      <c r="F39" s="47"/>
      <c r="G39" s="169"/>
      <c r="H39" s="168"/>
      <c r="I39" s="168"/>
      <c r="J39" s="168"/>
      <c r="K39" s="168"/>
      <c r="L39" s="168"/>
      <c r="M39" s="168"/>
      <c r="N39" s="168"/>
      <c r="O39" s="168"/>
      <c r="P39" s="168"/>
      <c r="Q39" s="168"/>
      <c r="R39" s="168"/>
    </row>
    <row r="40" spans="2:18" ht="19.8">
      <c r="B40" s="47"/>
      <c r="C40" s="47"/>
      <c r="D40" s="47"/>
      <c r="E40" s="47"/>
      <c r="F40" s="47"/>
      <c r="G40" s="169"/>
      <c r="H40" s="168"/>
      <c r="I40" s="168"/>
      <c r="J40" s="168"/>
      <c r="K40" s="168"/>
      <c r="L40" s="168"/>
      <c r="M40" s="168"/>
      <c r="N40" s="168"/>
      <c r="O40" s="168"/>
      <c r="P40" s="168"/>
      <c r="Q40" s="168"/>
      <c r="R40" s="168"/>
    </row>
    <row r="41" spans="2:18" ht="19.8">
      <c r="B41" s="47"/>
      <c r="C41" s="47"/>
      <c r="D41" s="47"/>
      <c r="E41" s="47"/>
      <c r="F41" s="47"/>
      <c r="G41" s="169"/>
      <c r="H41" s="168"/>
      <c r="I41" s="168"/>
      <c r="J41" s="168"/>
      <c r="K41" s="168"/>
      <c r="L41" s="168"/>
      <c r="M41" s="168"/>
      <c r="N41" s="168"/>
      <c r="O41" s="168"/>
      <c r="P41" s="168"/>
      <c r="Q41" s="168"/>
      <c r="R41" s="168"/>
    </row>
    <row r="42" spans="2:18" ht="19.8">
      <c r="B42" s="47"/>
      <c r="C42" s="47"/>
      <c r="D42" s="47"/>
      <c r="E42" s="47"/>
      <c r="F42" s="47"/>
      <c r="G42" s="169"/>
      <c r="H42" s="168"/>
      <c r="I42" s="168"/>
      <c r="J42" s="168"/>
      <c r="K42" s="168"/>
      <c r="L42" s="168"/>
      <c r="M42" s="168"/>
      <c r="N42" s="168"/>
      <c r="O42" s="168"/>
      <c r="P42" s="168"/>
      <c r="Q42" s="168"/>
      <c r="R42" s="168"/>
    </row>
    <row r="43" spans="2:18" ht="19.8">
      <c r="B43" s="47"/>
      <c r="C43" s="47"/>
      <c r="D43" s="47"/>
      <c r="E43" s="47"/>
      <c r="F43" s="47"/>
      <c r="G43" s="169"/>
      <c r="H43" s="168"/>
      <c r="I43" s="168"/>
      <c r="J43" s="168"/>
      <c r="K43" s="168"/>
      <c r="L43" s="168"/>
      <c r="M43" s="168"/>
      <c r="N43" s="168"/>
      <c r="O43" s="168"/>
      <c r="P43" s="168"/>
      <c r="Q43" s="168"/>
      <c r="R43" s="168"/>
    </row>
    <row r="44" spans="2:18" ht="19.8">
      <c r="B44" s="47"/>
      <c r="C44" s="47"/>
      <c r="D44" s="47"/>
      <c r="E44" s="47"/>
      <c r="F44" s="47"/>
      <c r="G44" s="168"/>
      <c r="H44" s="168"/>
      <c r="I44" s="168"/>
      <c r="J44" s="168"/>
      <c r="K44" s="168"/>
      <c r="L44" s="168"/>
      <c r="M44" s="168"/>
      <c r="N44" s="168"/>
      <c r="O44" s="168"/>
      <c r="P44" s="168"/>
      <c r="Q44" s="168"/>
      <c r="R44" s="168"/>
    </row>
    <row r="45" spans="2:18" ht="19.8">
      <c r="B45" s="47"/>
      <c r="C45" s="47"/>
      <c r="D45" s="47"/>
      <c r="E45" s="47"/>
      <c r="F45" s="47"/>
      <c r="G45" s="168"/>
      <c r="H45" s="168"/>
      <c r="I45" s="168"/>
      <c r="J45" s="168"/>
      <c r="K45" s="168"/>
      <c r="L45" s="168"/>
      <c r="M45" s="168"/>
      <c r="N45" s="168"/>
      <c r="O45" s="168"/>
      <c r="P45" s="168"/>
      <c r="Q45" s="168"/>
      <c r="R45" s="168"/>
    </row>
    <row r="46" spans="2:18" ht="19.8">
      <c r="B46" s="47"/>
      <c r="C46" s="47"/>
      <c r="D46" s="47"/>
      <c r="E46" s="47"/>
      <c r="F46" s="47"/>
      <c r="G46" s="168"/>
      <c r="H46" s="168"/>
      <c r="I46" s="168"/>
      <c r="J46" s="168"/>
      <c r="K46" s="168"/>
      <c r="L46" s="168"/>
      <c r="M46" s="168"/>
      <c r="N46" s="168"/>
      <c r="O46" s="168"/>
      <c r="P46" s="168"/>
      <c r="Q46" s="168"/>
      <c r="R46" s="168"/>
    </row>
    <row r="47" spans="2:18" ht="19.8">
      <c r="B47" s="47"/>
      <c r="C47" s="47"/>
      <c r="D47" s="47"/>
      <c r="E47" s="47"/>
      <c r="F47" s="47"/>
      <c r="G47" s="168"/>
      <c r="H47" s="168"/>
      <c r="I47" s="168"/>
      <c r="J47" s="168"/>
      <c r="K47" s="168"/>
      <c r="L47" s="168"/>
      <c r="M47" s="168"/>
      <c r="N47" s="168"/>
      <c r="O47" s="168"/>
      <c r="P47" s="168"/>
      <c r="Q47" s="168"/>
      <c r="R47" s="168"/>
    </row>
    <row r="48" spans="2:18" ht="19.8">
      <c r="B48" s="47"/>
      <c r="C48" s="47"/>
      <c r="D48" s="47"/>
      <c r="E48" s="47"/>
      <c r="F48" s="47"/>
      <c r="G48" s="168"/>
      <c r="H48" s="168"/>
      <c r="I48" s="168"/>
      <c r="J48" s="168"/>
      <c r="K48" s="168"/>
      <c r="L48" s="168"/>
      <c r="M48" s="168"/>
      <c r="N48" s="168"/>
      <c r="O48" s="168"/>
      <c r="P48" s="168"/>
      <c r="Q48" s="168"/>
      <c r="R48" s="168"/>
    </row>
    <row r="49" spans="2:18" ht="19.8">
      <c r="B49" s="168"/>
      <c r="C49" s="168"/>
      <c r="D49" s="168"/>
      <c r="E49" s="168"/>
      <c r="F49" s="168"/>
      <c r="G49" s="168"/>
      <c r="H49" s="168"/>
      <c r="I49" s="168"/>
      <c r="J49" s="168"/>
      <c r="K49" s="168"/>
      <c r="L49" s="168"/>
      <c r="M49" s="168"/>
      <c r="N49" s="168"/>
      <c r="O49" s="168"/>
      <c r="P49" s="168"/>
      <c r="Q49" s="168"/>
      <c r="R49" s="168"/>
    </row>
    <row r="50" spans="2:18" ht="19.8">
      <c r="B50" s="168"/>
      <c r="C50" s="168"/>
      <c r="D50" s="168"/>
      <c r="E50" s="168"/>
      <c r="F50" s="168"/>
      <c r="G50" s="168"/>
      <c r="H50" s="168"/>
      <c r="I50" s="168"/>
      <c r="J50" s="168"/>
      <c r="K50" s="168"/>
      <c r="L50" s="168"/>
      <c r="M50" s="168"/>
      <c r="N50" s="168"/>
      <c r="O50" s="168"/>
      <c r="P50" s="168"/>
      <c r="Q50" s="168"/>
      <c r="R50" s="168"/>
    </row>
    <row r="51" spans="2:18" ht="19.8">
      <c r="B51" s="168"/>
      <c r="C51" s="168"/>
      <c r="D51" s="168"/>
      <c r="E51" s="168"/>
      <c r="F51" s="168"/>
      <c r="G51" s="168"/>
      <c r="H51" s="168"/>
      <c r="I51" s="168"/>
      <c r="J51" s="168"/>
      <c r="K51" s="168"/>
      <c r="L51" s="168"/>
      <c r="M51" s="168"/>
      <c r="N51" s="168"/>
      <c r="O51" s="168"/>
      <c r="P51" s="168"/>
      <c r="Q51" s="168"/>
      <c r="R51" s="168"/>
    </row>
    <row r="52" spans="2:18" ht="19.8">
      <c r="B52" s="168"/>
      <c r="C52" s="168"/>
      <c r="D52" s="168"/>
      <c r="E52" s="168"/>
      <c r="F52" s="168"/>
      <c r="G52" s="168"/>
      <c r="H52" s="168"/>
      <c r="I52" s="168"/>
      <c r="J52" s="168"/>
      <c r="K52" s="168"/>
      <c r="L52" s="168"/>
      <c r="M52" s="168"/>
      <c r="N52" s="168"/>
      <c r="O52" s="168"/>
      <c r="P52" s="168"/>
      <c r="Q52" s="168"/>
      <c r="R52" s="168"/>
    </row>
    <row r="53" spans="2:18" ht="19.8">
      <c r="B53" s="168"/>
      <c r="C53" s="168"/>
      <c r="D53" s="168"/>
      <c r="E53" s="168"/>
      <c r="F53" s="168"/>
      <c r="G53" s="168"/>
      <c r="H53" s="168"/>
      <c r="I53" s="168"/>
      <c r="J53" s="168"/>
      <c r="K53" s="168"/>
      <c r="L53" s="168"/>
      <c r="M53" s="168"/>
      <c r="N53" s="168"/>
      <c r="O53" s="168"/>
      <c r="P53" s="168"/>
      <c r="Q53" s="168"/>
      <c r="R53" s="168"/>
    </row>
    <row r="54" spans="2:18" ht="19.8">
      <c r="B54" s="168"/>
      <c r="C54" s="168"/>
      <c r="D54" s="168"/>
      <c r="E54" s="168"/>
      <c r="F54" s="168"/>
      <c r="G54" s="168"/>
      <c r="H54" s="168"/>
      <c r="I54" s="168"/>
      <c r="J54" s="168"/>
      <c r="K54" s="168"/>
      <c r="L54" s="168"/>
      <c r="M54" s="168"/>
      <c r="N54" s="168"/>
      <c r="O54" s="168"/>
      <c r="P54" s="168"/>
      <c r="Q54" s="168"/>
      <c r="R54" s="168"/>
    </row>
    <row r="55" spans="2:18" ht="19.8">
      <c r="B55" s="168"/>
      <c r="C55" s="168"/>
      <c r="D55" s="168"/>
      <c r="E55" s="168"/>
      <c r="F55" s="168"/>
      <c r="G55" s="168"/>
      <c r="H55" s="168"/>
      <c r="I55" s="168"/>
      <c r="J55" s="168"/>
      <c r="K55" s="168"/>
      <c r="L55" s="168"/>
      <c r="M55" s="168"/>
      <c r="N55" s="168"/>
      <c r="O55" s="168"/>
      <c r="P55" s="168"/>
      <c r="Q55" s="168"/>
      <c r="R55" s="168"/>
    </row>
    <row r="56" spans="2:18" ht="19.8">
      <c r="B56" s="168"/>
      <c r="C56" s="168"/>
      <c r="D56" s="168"/>
      <c r="E56" s="168"/>
      <c r="F56" s="168"/>
      <c r="G56" s="168"/>
      <c r="H56" s="168"/>
      <c r="I56" s="168"/>
      <c r="J56" s="168"/>
      <c r="K56" s="168"/>
      <c r="L56" s="168"/>
      <c r="M56" s="168"/>
      <c r="N56" s="168"/>
      <c r="O56" s="168"/>
      <c r="P56" s="168"/>
      <c r="Q56" s="168"/>
      <c r="R56" s="168"/>
    </row>
    <row r="57" spans="2:18" ht="19.8">
      <c r="B57" s="168"/>
      <c r="C57" s="168"/>
      <c r="D57" s="168"/>
      <c r="E57" s="168"/>
      <c r="F57" s="168"/>
      <c r="G57" s="168"/>
      <c r="H57" s="168"/>
      <c r="I57" s="168"/>
      <c r="J57" s="168"/>
      <c r="K57" s="168"/>
      <c r="L57" s="168"/>
      <c r="M57" s="168"/>
      <c r="N57" s="168"/>
      <c r="O57" s="168"/>
      <c r="P57" s="168"/>
      <c r="Q57" s="168"/>
      <c r="R57" s="168"/>
    </row>
    <row r="58" spans="2:18" ht="19.8">
      <c r="B58" s="168"/>
      <c r="C58" s="168"/>
      <c r="D58" s="168"/>
      <c r="E58" s="168"/>
      <c r="F58" s="168"/>
      <c r="G58" s="168"/>
      <c r="H58" s="168"/>
      <c r="I58" s="168"/>
      <c r="J58" s="168"/>
      <c r="K58" s="168"/>
      <c r="L58" s="168"/>
      <c r="M58" s="168"/>
      <c r="N58" s="168"/>
      <c r="O58" s="168"/>
      <c r="P58" s="168"/>
      <c r="Q58" s="168"/>
      <c r="R58" s="168"/>
    </row>
    <row r="59" spans="2:18" ht="19.8">
      <c r="B59" s="168"/>
      <c r="C59" s="168"/>
      <c r="D59" s="168"/>
      <c r="E59" s="168"/>
      <c r="F59" s="168"/>
      <c r="G59" s="168"/>
      <c r="H59" s="168"/>
      <c r="I59" s="168"/>
      <c r="J59" s="168"/>
      <c r="K59" s="168"/>
      <c r="L59" s="168"/>
      <c r="M59" s="168"/>
      <c r="N59" s="168"/>
      <c r="O59" s="168"/>
      <c r="P59" s="168"/>
      <c r="Q59" s="168"/>
      <c r="R59" s="168"/>
    </row>
    <row r="60" spans="2:18" ht="19.8">
      <c r="B60" s="168"/>
      <c r="C60" s="168"/>
      <c r="D60" s="168"/>
      <c r="E60" s="168"/>
      <c r="F60" s="168"/>
      <c r="G60" s="168"/>
      <c r="H60" s="168"/>
      <c r="I60" s="168"/>
      <c r="J60" s="168"/>
      <c r="K60" s="168"/>
      <c r="L60" s="168"/>
      <c r="M60" s="168"/>
      <c r="N60" s="168"/>
      <c r="O60" s="168"/>
      <c r="P60" s="168"/>
      <c r="Q60" s="168"/>
      <c r="R60" s="168"/>
    </row>
    <row r="61" spans="2:18" ht="19.8">
      <c r="B61" s="168"/>
      <c r="C61" s="168"/>
      <c r="D61" s="168"/>
      <c r="E61" s="168"/>
      <c r="F61" s="168"/>
      <c r="G61" s="168"/>
      <c r="H61" s="168"/>
      <c r="I61" s="168"/>
      <c r="J61" s="168"/>
      <c r="K61" s="168"/>
      <c r="L61" s="168"/>
      <c r="M61" s="168"/>
      <c r="N61" s="168"/>
      <c r="O61" s="168"/>
      <c r="P61" s="168"/>
      <c r="Q61" s="168"/>
      <c r="R61" s="168"/>
    </row>
    <row r="62" spans="2:18" ht="19.8">
      <c r="B62" s="168"/>
      <c r="C62" s="168"/>
      <c r="D62" s="168"/>
      <c r="E62" s="168"/>
      <c r="F62" s="168"/>
      <c r="G62" s="168"/>
      <c r="H62" s="168"/>
      <c r="I62" s="168"/>
      <c r="J62" s="168"/>
      <c r="K62" s="168"/>
      <c r="L62" s="168"/>
      <c r="M62" s="168"/>
      <c r="N62" s="168"/>
      <c r="O62" s="168"/>
      <c r="P62" s="168"/>
      <c r="Q62" s="168"/>
      <c r="R62" s="168"/>
    </row>
    <row r="63" spans="2:18" ht="19.8">
      <c r="B63" s="168"/>
      <c r="C63" s="168"/>
      <c r="D63" s="168"/>
      <c r="E63" s="168"/>
      <c r="F63" s="168"/>
      <c r="G63" s="168"/>
      <c r="H63" s="168"/>
      <c r="I63" s="168"/>
      <c r="J63" s="168"/>
      <c r="K63" s="168"/>
      <c r="L63" s="168"/>
      <c r="M63" s="168"/>
      <c r="N63" s="168"/>
      <c r="O63" s="168"/>
      <c r="P63" s="168"/>
      <c r="Q63" s="168"/>
      <c r="R63" s="168"/>
    </row>
    <row r="64" spans="2:18" ht="19.8">
      <c r="B64" s="168"/>
      <c r="C64" s="168"/>
      <c r="D64" s="168"/>
      <c r="E64" s="168"/>
      <c r="F64" s="168"/>
      <c r="G64" s="168"/>
      <c r="H64" s="168"/>
      <c r="I64" s="168"/>
      <c r="J64" s="168"/>
      <c r="K64" s="168"/>
      <c r="L64" s="168"/>
      <c r="M64" s="168"/>
      <c r="N64" s="168"/>
      <c r="O64" s="168"/>
      <c r="P64" s="168"/>
      <c r="Q64" s="168"/>
      <c r="R64" s="168"/>
    </row>
    <row r="65" spans="2:18" ht="19.8">
      <c r="B65" s="168"/>
      <c r="C65" s="168"/>
      <c r="D65" s="168"/>
      <c r="E65" s="168"/>
      <c r="F65" s="168"/>
      <c r="G65" s="168"/>
      <c r="H65" s="168"/>
      <c r="I65" s="168"/>
      <c r="J65" s="168"/>
      <c r="K65" s="168"/>
      <c r="L65" s="168"/>
      <c r="M65" s="168"/>
      <c r="N65" s="168"/>
      <c r="O65" s="168"/>
      <c r="P65" s="168"/>
      <c r="Q65" s="168"/>
      <c r="R65" s="168"/>
    </row>
    <row r="66" spans="2:18" ht="19.8">
      <c r="B66" s="168"/>
      <c r="C66" s="168"/>
      <c r="D66" s="168"/>
      <c r="E66" s="168"/>
      <c r="F66" s="168"/>
      <c r="G66" s="168"/>
      <c r="H66" s="168"/>
      <c r="I66" s="168"/>
      <c r="J66" s="168"/>
      <c r="K66" s="168"/>
      <c r="L66" s="168"/>
      <c r="M66" s="168"/>
      <c r="N66" s="168"/>
      <c r="O66" s="168"/>
      <c r="P66" s="168"/>
      <c r="Q66" s="168"/>
      <c r="R66" s="168"/>
    </row>
    <row r="67" spans="2:18" ht="19.8">
      <c r="B67" s="168"/>
      <c r="C67" s="168"/>
      <c r="D67" s="168"/>
      <c r="E67" s="168"/>
      <c r="F67" s="168"/>
      <c r="G67" s="168"/>
      <c r="H67" s="168"/>
      <c r="I67" s="168"/>
      <c r="J67" s="168"/>
      <c r="K67" s="168"/>
      <c r="L67" s="168"/>
      <c r="M67" s="168"/>
      <c r="N67" s="168"/>
      <c r="O67" s="168"/>
      <c r="P67" s="168"/>
      <c r="Q67" s="168"/>
      <c r="R67" s="168"/>
    </row>
    <row r="68" spans="2:18" ht="19.8">
      <c r="B68" s="168"/>
      <c r="C68" s="168"/>
      <c r="D68" s="168"/>
      <c r="E68" s="168"/>
      <c r="F68" s="168"/>
      <c r="G68" s="168"/>
      <c r="H68" s="168"/>
      <c r="I68" s="168"/>
      <c r="J68" s="168"/>
      <c r="K68" s="168"/>
      <c r="L68" s="168"/>
      <c r="M68" s="168"/>
      <c r="N68" s="168"/>
      <c r="O68" s="168"/>
      <c r="P68" s="168"/>
      <c r="Q68" s="168"/>
      <c r="R68" s="168"/>
    </row>
    <row r="69" spans="2:18" ht="19.8">
      <c r="B69" s="168"/>
      <c r="C69" s="168"/>
      <c r="D69" s="168"/>
      <c r="E69" s="168"/>
      <c r="F69" s="168"/>
      <c r="G69" s="168"/>
      <c r="H69" s="168"/>
      <c r="I69" s="168"/>
      <c r="J69" s="168"/>
      <c r="K69" s="168"/>
      <c r="L69" s="168"/>
      <c r="M69" s="168"/>
      <c r="N69" s="168"/>
      <c r="O69" s="168"/>
      <c r="P69" s="168"/>
      <c r="Q69" s="168"/>
      <c r="R69" s="168"/>
    </row>
    <row r="70" spans="2:18" ht="19.8">
      <c r="B70" s="168"/>
      <c r="C70" s="168"/>
      <c r="D70" s="168"/>
      <c r="E70" s="168"/>
      <c r="F70" s="168"/>
      <c r="G70" s="168"/>
      <c r="H70" s="168"/>
      <c r="I70" s="168"/>
      <c r="J70" s="168"/>
      <c r="K70" s="168"/>
      <c r="L70" s="168"/>
      <c r="M70" s="168"/>
      <c r="N70" s="168"/>
      <c r="O70" s="168"/>
      <c r="P70" s="168"/>
      <c r="Q70" s="168"/>
      <c r="R70" s="168"/>
    </row>
    <row r="71" spans="2:18" ht="19.8">
      <c r="B71" s="168"/>
      <c r="C71" s="168"/>
      <c r="D71" s="168"/>
      <c r="E71" s="168"/>
      <c r="F71" s="168"/>
      <c r="G71" s="168"/>
      <c r="H71" s="168"/>
      <c r="I71" s="168"/>
      <c r="J71" s="168"/>
      <c r="K71" s="168"/>
      <c r="L71" s="168"/>
      <c r="M71" s="168"/>
      <c r="N71" s="168"/>
      <c r="O71" s="168"/>
      <c r="P71" s="168"/>
      <c r="Q71" s="168"/>
      <c r="R71" s="168"/>
    </row>
    <row r="72" spans="2:18" ht="19.8">
      <c r="B72" s="168"/>
      <c r="C72" s="168"/>
      <c r="D72" s="168"/>
      <c r="E72" s="168"/>
      <c r="F72" s="168"/>
      <c r="G72" s="168"/>
      <c r="H72" s="168"/>
      <c r="I72" s="168"/>
      <c r="J72" s="168"/>
      <c r="K72" s="168"/>
      <c r="L72" s="168"/>
      <c r="M72" s="168"/>
      <c r="N72" s="168"/>
      <c r="O72" s="168"/>
      <c r="P72" s="168"/>
      <c r="Q72" s="168"/>
      <c r="R72" s="168"/>
    </row>
    <row r="73" spans="2:18" ht="19.8">
      <c r="B73" s="168"/>
      <c r="C73" s="168"/>
      <c r="D73" s="168"/>
      <c r="E73" s="168"/>
      <c r="F73" s="168"/>
      <c r="G73" s="168"/>
      <c r="H73" s="168"/>
      <c r="I73" s="168"/>
      <c r="J73" s="168"/>
      <c r="K73" s="168"/>
      <c r="L73" s="168"/>
      <c r="M73" s="168"/>
      <c r="N73" s="168"/>
      <c r="O73" s="168"/>
      <c r="P73" s="168"/>
      <c r="Q73" s="168"/>
      <c r="R73" s="168"/>
    </row>
    <row r="74" spans="2:18" ht="19.8">
      <c r="B74" s="168"/>
      <c r="C74" s="168"/>
      <c r="D74" s="168"/>
      <c r="E74" s="168"/>
      <c r="F74" s="168"/>
      <c r="G74" s="168"/>
      <c r="H74" s="168"/>
      <c r="I74" s="168"/>
      <c r="J74" s="168"/>
      <c r="K74" s="168"/>
      <c r="L74" s="168"/>
      <c r="M74" s="168"/>
      <c r="N74" s="168"/>
      <c r="O74" s="168"/>
      <c r="P74" s="168"/>
      <c r="Q74" s="168"/>
      <c r="R74" s="168"/>
    </row>
    <row r="75" spans="2:18" ht="19.8">
      <c r="B75" s="168"/>
      <c r="C75" s="168"/>
      <c r="D75" s="168"/>
      <c r="E75" s="168"/>
      <c r="F75" s="168"/>
      <c r="G75" s="168"/>
      <c r="H75" s="168"/>
      <c r="I75" s="168"/>
      <c r="J75" s="168"/>
      <c r="K75" s="168"/>
      <c r="L75" s="168"/>
      <c r="M75" s="168"/>
      <c r="N75" s="168"/>
      <c r="O75" s="168"/>
      <c r="P75" s="168"/>
      <c r="Q75" s="168"/>
      <c r="R75" s="168"/>
    </row>
    <row r="76" spans="2:18" ht="19.8">
      <c r="B76" s="168"/>
      <c r="C76" s="168"/>
      <c r="D76" s="168"/>
      <c r="E76" s="168"/>
      <c r="F76" s="168"/>
      <c r="G76" s="168"/>
      <c r="H76" s="168"/>
      <c r="I76" s="168"/>
      <c r="J76" s="168"/>
      <c r="K76" s="168"/>
      <c r="L76" s="168"/>
      <c r="M76" s="168"/>
      <c r="N76" s="168"/>
      <c r="O76" s="168"/>
      <c r="P76" s="168"/>
      <c r="Q76" s="168"/>
      <c r="R76" s="168"/>
    </row>
    <row r="77" spans="2:18" ht="19.8">
      <c r="B77" s="168"/>
      <c r="C77" s="168"/>
      <c r="D77" s="168"/>
      <c r="E77" s="168"/>
      <c r="F77" s="168"/>
      <c r="G77" s="168"/>
      <c r="H77" s="168"/>
      <c r="I77" s="168"/>
      <c r="J77" s="168"/>
      <c r="K77" s="168"/>
      <c r="L77" s="168"/>
      <c r="M77" s="168"/>
      <c r="N77" s="168"/>
      <c r="O77" s="168"/>
      <c r="P77" s="168"/>
      <c r="Q77" s="168"/>
      <c r="R77" s="168"/>
    </row>
    <row r="78" spans="2:18" ht="19.8">
      <c r="B78" s="168"/>
      <c r="C78" s="168"/>
      <c r="D78" s="168"/>
      <c r="E78" s="168"/>
      <c r="F78" s="168"/>
      <c r="G78" s="168"/>
      <c r="H78" s="168"/>
      <c r="I78" s="168"/>
      <c r="J78" s="168"/>
      <c r="K78" s="168"/>
      <c r="L78" s="168"/>
      <c r="M78" s="168"/>
      <c r="N78" s="168"/>
      <c r="O78" s="168"/>
      <c r="P78" s="168"/>
      <c r="Q78" s="168"/>
      <c r="R78" s="168"/>
    </row>
    <row r="79" spans="2:18" ht="19.8">
      <c r="B79" s="168"/>
      <c r="C79" s="168"/>
      <c r="D79" s="168"/>
      <c r="E79" s="168"/>
      <c r="F79" s="168"/>
      <c r="G79" s="168"/>
      <c r="H79" s="168"/>
      <c r="I79" s="168"/>
      <c r="J79" s="168"/>
      <c r="K79" s="168"/>
      <c r="L79" s="168"/>
      <c r="M79" s="168"/>
      <c r="N79" s="168"/>
      <c r="O79" s="168"/>
      <c r="P79" s="168"/>
      <c r="Q79" s="168"/>
      <c r="R79" s="168"/>
    </row>
    <row r="80" spans="2:18" ht="19.8">
      <c r="B80" s="168"/>
      <c r="C80" s="168"/>
      <c r="D80" s="168"/>
      <c r="E80" s="168"/>
      <c r="F80" s="168"/>
      <c r="G80" s="168"/>
      <c r="H80" s="168"/>
      <c r="I80" s="168"/>
      <c r="J80" s="168"/>
      <c r="K80" s="168"/>
      <c r="L80" s="168"/>
      <c r="M80" s="168"/>
      <c r="N80" s="168"/>
      <c r="O80" s="168"/>
      <c r="P80" s="168"/>
      <c r="Q80" s="168"/>
      <c r="R80" s="168"/>
    </row>
    <row r="81" spans="2:18" ht="19.8">
      <c r="B81" s="168"/>
      <c r="C81" s="168"/>
      <c r="D81" s="168"/>
      <c r="E81" s="168"/>
      <c r="F81" s="168"/>
      <c r="G81" s="168"/>
      <c r="H81" s="168"/>
      <c r="I81" s="168"/>
      <c r="J81" s="168"/>
      <c r="K81" s="168"/>
      <c r="L81" s="168"/>
      <c r="M81" s="168"/>
      <c r="N81" s="168"/>
      <c r="O81" s="168"/>
      <c r="P81" s="168"/>
      <c r="Q81" s="168"/>
      <c r="R81" s="168"/>
    </row>
    <row r="82" spans="2:18" ht="19.8">
      <c r="B82" s="168"/>
      <c r="C82" s="168"/>
      <c r="D82" s="168"/>
      <c r="E82" s="168"/>
      <c r="F82" s="168"/>
      <c r="G82" s="168"/>
      <c r="H82" s="168"/>
      <c r="I82" s="168"/>
      <c r="J82" s="168"/>
      <c r="K82" s="168"/>
      <c r="L82" s="168"/>
      <c r="M82" s="168"/>
      <c r="N82" s="168"/>
      <c r="O82" s="168"/>
      <c r="P82" s="168"/>
      <c r="Q82" s="168"/>
      <c r="R82" s="168"/>
    </row>
    <row r="83" spans="2:18" ht="19.8">
      <c r="B83" s="168"/>
      <c r="C83" s="168"/>
      <c r="D83" s="168"/>
      <c r="E83" s="168"/>
      <c r="F83" s="168"/>
      <c r="G83" s="168"/>
      <c r="H83" s="168"/>
      <c r="I83" s="168"/>
      <c r="J83" s="168"/>
      <c r="K83" s="168"/>
      <c r="L83" s="168"/>
      <c r="M83" s="168"/>
      <c r="N83" s="168"/>
      <c r="O83" s="168"/>
      <c r="P83" s="168"/>
      <c r="Q83" s="168"/>
      <c r="R83" s="168"/>
    </row>
  </sheetData>
  <phoneticPr fontId="3" type="noConversion"/>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F844A-1F31-4500-A471-727DE857C722}">
  <sheetPr>
    <tabColor rgb="FFD0CECE"/>
  </sheetPr>
  <dimension ref="A1:AY39"/>
  <sheetViews>
    <sheetView showGridLines="0" zoomScale="85" zoomScaleNormal="85" workbookViewId="0"/>
  </sheetViews>
  <sheetFormatPr defaultColWidth="8.7265625" defaultRowHeight="19.2"/>
  <cols>
    <col min="1" max="1" width="1.6328125" customWidth="1"/>
    <col min="2" max="2" width="13.6328125" bestFit="1" customWidth="1"/>
    <col min="3" max="14" width="9.08984375" customWidth="1"/>
  </cols>
  <sheetData>
    <row r="1" spans="1:51" s="2" customFormat="1">
      <c r="A1" s="45" t="s">
        <v>16</v>
      </c>
      <c r="B1" s="3"/>
      <c r="C1" s="3"/>
      <c r="D1" s="3"/>
      <c r="E1" s="3"/>
      <c r="F1" s="4"/>
      <c r="G1" s="4"/>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row>
    <row r="2" spans="1:51" s="2" customFormat="1">
      <c r="A2" s="6" t="s">
        <v>15</v>
      </c>
      <c r="B2" s="6"/>
      <c r="C2" s="6"/>
      <c r="D2" s="6"/>
      <c r="E2" s="6"/>
      <c r="F2" s="6"/>
      <c r="G2" s="6"/>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row>
    <row r="3" spans="1:51" s="2" customFormat="1" ht="19.8">
      <c r="A3" s="46" t="s">
        <v>255</v>
      </c>
      <c r="B3" s="8"/>
      <c r="C3" s="8"/>
      <c r="D3" s="8"/>
      <c r="E3" s="8"/>
      <c r="F3" s="8"/>
      <c r="G3" s="8"/>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row>
    <row r="5" spans="1:51">
      <c r="B5" s="42" t="s">
        <v>21</v>
      </c>
      <c r="C5" s="43" t="s">
        <v>1</v>
      </c>
      <c r="D5" s="43" t="s">
        <v>2</v>
      </c>
      <c r="E5" s="43" t="s">
        <v>3</v>
      </c>
      <c r="F5" s="43" t="s">
        <v>4</v>
      </c>
      <c r="G5" s="43" t="s">
        <v>5</v>
      </c>
      <c r="H5" s="43" t="s">
        <v>6</v>
      </c>
      <c r="I5" s="43" t="s">
        <v>7</v>
      </c>
      <c r="J5" s="43" t="s">
        <v>8</v>
      </c>
      <c r="K5" s="43" t="s">
        <v>9</v>
      </c>
      <c r="L5" s="44" t="s">
        <v>10</v>
      </c>
      <c r="M5" s="44" t="s">
        <v>11</v>
      </c>
      <c r="N5" s="44" t="s">
        <v>12</v>
      </c>
      <c r="P5" s="64" t="s">
        <v>267</v>
      </c>
    </row>
    <row r="6" spans="1:51">
      <c r="B6" s="47" t="s">
        <v>268</v>
      </c>
      <c r="C6" s="65">
        <f>SUM(C7,C10,C13,C16)</f>
        <v>15885.963697296</v>
      </c>
      <c r="D6" s="65">
        <f t="shared" ref="D6:N6" si="0">SUM(D7,D10,D13,D16)</f>
        <v>13550.1486458</v>
      </c>
      <c r="E6" s="65">
        <f t="shared" si="0"/>
        <v>15191.8998981736</v>
      </c>
      <c r="F6" s="65">
        <f t="shared" si="0"/>
        <v>13299.909292548</v>
      </c>
      <c r="G6" s="65">
        <f t="shared" si="0"/>
        <v>14760.063510280001</v>
      </c>
      <c r="H6" s="65">
        <f t="shared" si="0"/>
        <v>15333.209491612199</v>
      </c>
      <c r="I6" s="65">
        <f t="shared" si="0"/>
        <v>14339.9961193953</v>
      </c>
      <c r="J6" s="65">
        <f t="shared" si="0"/>
        <v>14394.667093125001</v>
      </c>
      <c r="K6" s="65">
        <f t="shared" si="0"/>
        <v>14162.629090681499</v>
      </c>
      <c r="L6" s="65">
        <f t="shared" si="0"/>
        <v>13259.185622854251</v>
      </c>
      <c r="M6" s="65">
        <f t="shared" si="0"/>
        <v>12864.827014836095</v>
      </c>
      <c r="N6" s="65">
        <f t="shared" si="0"/>
        <v>12500.555577352929</v>
      </c>
      <c r="P6" s="47" t="s">
        <v>269</v>
      </c>
    </row>
    <row r="7" spans="1:51">
      <c r="B7" s="54" t="s">
        <v>270</v>
      </c>
      <c r="C7" s="66">
        <f t="shared" ref="C7:K7" si="1">C8*C9*C$23/100000000</f>
        <v>3164.04683028</v>
      </c>
      <c r="D7" s="66">
        <f t="shared" si="1"/>
        <v>2514.5422528050003</v>
      </c>
      <c r="E7" s="66">
        <f t="shared" si="1"/>
        <v>2745.7428037367999</v>
      </c>
      <c r="F7" s="66">
        <f t="shared" si="1"/>
        <v>2581.4839776824001</v>
      </c>
      <c r="G7" s="66">
        <f t="shared" si="1"/>
        <v>3000.3850784402002</v>
      </c>
      <c r="H7" s="66">
        <f t="shared" si="1"/>
        <v>3040.4804356032</v>
      </c>
      <c r="I7" s="66">
        <f t="shared" si="1"/>
        <v>3082.1814144781001</v>
      </c>
      <c r="J7" s="66">
        <f t="shared" si="1"/>
        <v>2935.77737475</v>
      </c>
      <c r="K7" s="66">
        <f t="shared" si="1"/>
        <v>2882.3069705624998</v>
      </c>
      <c r="L7" s="66">
        <v>2744.4281616635585</v>
      </c>
      <c r="M7" s="66">
        <v>2680.1959775890496</v>
      </c>
      <c r="N7" s="66">
        <v>2597.1991771754047</v>
      </c>
      <c r="P7" s="47" t="s">
        <v>271</v>
      </c>
    </row>
    <row r="8" spans="1:51">
      <c r="B8" s="48" t="s">
        <v>272</v>
      </c>
      <c r="C8" s="67">
        <f>229590</f>
        <v>229590</v>
      </c>
      <c r="D8" s="67">
        <f>429000-C8</f>
        <v>199410</v>
      </c>
      <c r="E8" s="67">
        <f>645401-SUM(C8:D8)</f>
        <v>216401</v>
      </c>
      <c r="F8" s="67">
        <f>846000-SUM(C8:E8)</f>
        <v>200599</v>
      </c>
      <c r="G8" s="67">
        <v>218537</v>
      </c>
      <c r="H8" s="67">
        <f>422010-G8</f>
        <v>203473</v>
      </c>
      <c r="I8" s="67">
        <f>626213-SUM(G8:H8)</f>
        <v>204203</v>
      </c>
      <c r="J8" s="67">
        <f>811456-SUM(G8:I8)</f>
        <v>185243</v>
      </c>
      <c r="K8" s="67">
        <v>176201</v>
      </c>
      <c r="L8" s="51">
        <v>180608.08333333334</v>
      </c>
      <c r="M8" s="51">
        <v>175981.76666666666</v>
      </c>
      <c r="N8" s="51">
        <v>171355.45</v>
      </c>
      <c r="P8" s="68"/>
      <c r="Q8" s="68"/>
      <c r="R8" s="68"/>
    </row>
    <row r="9" spans="1:51">
      <c r="B9" s="56" t="s">
        <v>273</v>
      </c>
      <c r="C9" s="69">
        <v>1077</v>
      </c>
      <c r="D9" s="69">
        <v>957</v>
      </c>
      <c r="E9" s="69">
        <v>966</v>
      </c>
      <c r="F9" s="69">
        <v>974</v>
      </c>
      <c r="G9" s="69">
        <v>1031</v>
      </c>
      <c r="H9" s="69">
        <v>1088</v>
      </c>
      <c r="I9" s="69">
        <v>1111</v>
      </c>
      <c r="J9" s="69">
        <v>1130</v>
      </c>
      <c r="K9" s="69">
        <v>1125</v>
      </c>
      <c r="L9" s="70">
        <v>1113.5</v>
      </c>
      <c r="M9" s="70">
        <v>1119.875</v>
      </c>
      <c r="N9" s="70">
        <v>1122.09375</v>
      </c>
    </row>
    <row r="10" spans="1:51">
      <c r="B10" s="54" t="s">
        <v>274</v>
      </c>
      <c r="C10" s="66">
        <f t="shared" ref="C10:K10" si="2">C11*C12*C$23/100000000</f>
        <v>4315.0845481519991</v>
      </c>
      <c r="D10" s="66">
        <f t="shared" si="2"/>
        <v>3032.731569475</v>
      </c>
      <c r="E10" s="66">
        <f t="shared" si="2"/>
        <v>4813.3131077303997</v>
      </c>
      <c r="F10" s="66">
        <f t="shared" si="2"/>
        <v>3592.5618042656001</v>
      </c>
      <c r="G10" s="66">
        <f t="shared" si="2"/>
        <v>4089.6184128800001</v>
      </c>
      <c r="H10" s="66">
        <f t="shared" si="2"/>
        <v>4215.9459521907002</v>
      </c>
      <c r="I10" s="66">
        <f t="shared" si="2"/>
        <v>3877.3307662865996</v>
      </c>
      <c r="J10" s="66">
        <f t="shared" si="2"/>
        <v>3731.8269780000001</v>
      </c>
      <c r="K10" s="66">
        <f t="shared" si="2"/>
        <v>3647.1149218139994</v>
      </c>
      <c r="L10" s="66">
        <v>3568.4403624226502</v>
      </c>
      <c r="M10" s="66">
        <v>3498.9539669393062</v>
      </c>
      <c r="N10" s="66">
        <v>3457.9556988305062</v>
      </c>
    </row>
    <row r="11" spans="1:51">
      <c r="B11" s="48" t="s">
        <v>272</v>
      </c>
      <c r="C11" s="67">
        <f>292728+91351</f>
        <v>384079</v>
      </c>
      <c r="D11" s="67">
        <f>588263+90141-C11</f>
        <v>294325</v>
      </c>
      <c r="E11" s="67">
        <f>857134+267079-SUM(C11:D11)</f>
        <v>445809</v>
      </c>
      <c r="F11" s="67">
        <f>1141189+340328-SUM(C11:E11)</f>
        <v>357304</v>
      </c>
      <c r="G11" s="67">
        <f>309463+89377</f>
        <v>398840</v>
      </c>
      <c r="H11" s="67">
        <f>609287+176646-G11</f>
        <v>387093</v>
      </c>
      <c r="I11" s="67">
        <f>890891+260001-SUM(G11:H11)</f>
        <v>364959</v>
      </c>
      <c r="J11" s="67">
        <f>1166604+338123-SUM(G11:I11)</f>
        <v>353835</v>
      </c>
      <c r="K11" s="67">
        <f>264185+84667</f>
        <v>348852</v>
      </c>
      <c r="L11" s="51">
        <v>363684.75</v>
      </c>
      <c r="M11" s="51">
        <v>357832.6875</v>
      </c>
      <c r="N11" s="51">
        <v>356051.109375</v>
      </c>
    </row>
    <row r="12" spans="1:51">
      <c r="B12" s="56" t="s">
        <v>273</v>
      </c>
      <c r="C12" s="69">
        <v>878</v>
      </c>
      <c r="D12" s="69">
        <v>782</v>
      </c>
      <c r="E12" s="69">
        <v>822</v>
      </c>
      <c r="F12" s="69">
        <v>761</v>
      </c>
      <c r="G12" s="69">
        <v>770</v>
      </c>
      <c r="H12" s="69">
        <v>793</v>
      </c>
      <c r="I12" s="69">
        <v>782</v>
      </c>
      <c r="J12" s="69">
        <v>752</v>
      </c>
      <c r="K12" s="69">
        <v>719</v>
      </c>
      <c r="L12" s="71">
        <v>719</v>
      </c>
      <c r="M12" s="71">
        <v>719</v>
      </c>
      <c r="N12" s="71">
        <v>719</v>
      </c>
    </row>
    <row r="13" spans="1:51">
      <c r="B13" s="54" t="s">
        <v>275</v>
      </c>
      <c r="C13" s="66">
        <f t="shared" ref="C13:K13" si="3">C14*C15*C$23/100000000</f>
        <v>5221.1161023839995</v>
      </c>
      <c r="D13" s="66">
        <f t="shared" si="3"/>
        <v>4442.1365225200007</v>
      </c>
      <c r="E13" s="66">
        <f t="shared" si="3"/>
        <v>4071.0167245440002</v>
      </c>
      <c r="F13" s="66">
        <f t="shared" si="3"/>
        <v>4018.2607871999999</v>
      </c>
      <c r="G13" s="66">
        <f t="shared" si="3"/>
        <v>4146.1119976738</v>
      </c>
      <c r="H13" s="66">
        <f t="shared" si="3"/>
        <v>4598.6339138687999</v>
      </c>
      <c r="I13" s="66">
        <f t="shared" si="3"/>
        <v>4784.9405727685998</v>
      </c>
      <c r="J13" s="66">
        <f t="shared" si="3"/>
        <v>5913.7384432500003</v>
      </c>
      <c r="K13" s="66">
        <f t="shared" si="3"/>
        <v>6042.4421827249998</v>
      </c>
      <c r="L13" s="66">
        <v>5197.6602867600132</v>
      </c>
      <c r="M13" s="66">
        <v>5340.3740136490378</v>
      </c>
      <c r="N13" s="66">
        <v>5440.8031654406132</v>
      </c>
    </row>
    <row r="14" spans="1:51">
      <c r="B14" s="48" t="s">
        <v>272</v>
      </c>
      <c r="C14" s="67">
        <f>871853</f>
        <v>871853</v>
      </c>
      <c r="D14" s="67">
        <f>1795485-C14</f>
        <v>923632</v>
      </c>
      <c r="E14" s="67">
        <f>2676000-SUM(C14:D14)</f>
        <v>880515</v>
      </c>
      <c r="F14" s="67">
        <f>3444000-SUM(C14:E14)</f>
        <v>768000</v>
      </c>
      <c r="G14" s="67">
        <f>862463</f>
        <v>862463</v>
      </c>
      <c r="H14" s="67">
        <f>1734412-G14</f>
        <v>871949</v>
      </c>
      <c r="I14" s="67">
        <f>2635190-SUM(G14:H14)</f>
        <v>900778</v>
      </c>
      <c r="J14" s="67">
        <f>3566000-SUM(G14:I14)</f>
        <v>930810</v>
      </c>
      <c r="K14" s="67">
        <f>874862</f>
        <v>874862</v>
      </c>
      <c r="L14" s="51">
        <v>894599.75</v>
      </c>
      <c r="M14" s="51">
        <v>900262.4375</v>
      </c>
      <c r="N14" s="51">
        <v>900133.546875</v>
      </c>
    </row>
    <row r="15" spans="1:51">
      <c r="B15" s="56" t="s">
        <v>276</v>
      </c>
      <c r="C15" s="69">
        <v>468</v>
      </c>
      <c r="D15" s="69">
        <v>365</v>
      </c>
      <c r="E15" s="69">
        <v>352</v>
      </c>
      <c r="F15" s="69">
        <v>396</v>
      </c>
      <c r="G15" s="69">
        <v>361</v>
      </c>
      <c r="H15" s="69">
        <v>384</v>
      </c>
      <c r="I15" s="69">
        <v>391</v>
      </c>
      <c r="J15" s="69">
        <v>453</v>
      </c>
      <c r="K15" s="69">
        <v>475</v>
      </c>
      <c r="L15" s="71">
        <v>425.75</v>
      </c>
      <c r="M15" s="71">
        <v>436.1875</v>
      </c>
      <c r="N15" s="71">
        <v>447.484375</v>
      </c>
    </row>
    <row r="16" spans="1:51">
      <c r="B16" s="54" t="s">
        <v>277</v>
      </c>
      <c r="C16" s="66">
        <f t="shared" ref="C16:K16" si="4">C17*C18*C$23/100000000</f>
        <v>3185.7162164800002</v>
      </c>
      <c r="D16" s="66">
        <f t="shared" si="4"/>
        <v>3560.7383009999999</v>
      </c>
      <c r="E16" s="66">
        <f t="shared" si="4"/>
        <v>3561.8272621624001</v>
      </c>
      <c r="F16" s="66">
        <f t="shared" si="4"/>
        <v>3107.6027233999998</v>
      </c>
      <c r="G16" s="66">
        <f t="shared" si="4"/>
        <v>3523.9480212860003</v>
      </c>
      <c r="H16" s="66">
        <f t="shared" si="4"/>
        <v>3478.1491899494999</v>
      </c>
      <c r="I16" s="66">
        <f t="shared" si="4"/>
        <v>2595.543365862</v>
      </c>
      <c r="J16" s="66">
        <f t="shared" si="4"/>
        <v>1813.3242971249999</v>
      </c>
      <c r="K16" s="66">
        <f t="shared" si="4"/>
        <v>1590.76501558</v>
      </c>
      <c r="L16" s="66">
        <v>1748.6568120080281</v>
      </c>
      <c r="M16" s="66">
        <v>1345.3030566587015</v>
      </c>
      <c r="N16" s="66">
        <v>1004.5975359064046</v>
      </c>
    </row>
    <row r="17" spans="2:14">
      <c r="B17" s="48" t="s">
        <v>272</v>
      </c>
      <c r="C17" s="67">
        <f>99188</f>
        <v>99188</v>
      </c>
      <c r="D17" s="67">
        <f>219292-C17</f>
        <v>120104</v>
      </c>
      <c r="E17" s="67">
        <f>347750-SUM(C17:D17)</f>
        <v>128458</v>
      </c>
      <c r="F17" s="67">
        <f>465000-SUM(C17:E17)</f>
        <v>117250</v>
      </c>
      <c r="G17" s="67">
        <f>132979</f>
        <v>132979</v>
      </c>
      <c r="H17" s="67">
        <f>258784-G17</f>
        <v>125805</v>
      </c>
      <c r="I17" s="67">
        <f>358810-SUM(G17:H17)</f>
        <v>100026</v>
      </c>
      <c r="J17" s="67">
        <f>432903-SUM(G17:I17)</f>
        <v>74093</v>
      </c>
      <c r="K17" s="67">
        <f>61462</f>
        <v>61462</v>
      </c>
      <c r="L17" s="51">
        <v>78492.277777777781</v>
      </c>
      <c r="M17" s="51">
        <v>63738.09567901236</v>
      </c>
      <c r="N17" s="51">
        <v>50542.142832647456</v>
      </c>
    </row>
    <row r="18" spans="2:14">
      <c r="B18" s="56" t="s">
        <v>273</v>
      </c>
      <c r="C18" s="69">
        <v>2510</v>
      </c>
      <c r="D18" s="69">
        <v>2250</v>
      </c>
      <c r="E18" s="69">
        <v>2111</v>
      </c>
      <c r="F18" s="69">
        <v>2006</v>
      </c>
      <c r="G18" s="69">
        <v>1990</v>
      </c>
      <c r="H18" s="69">
        <v>2013</v>
      </c>
      <c r="I18" s="69">
        <v>1910</v>
      </c>
      <c r="J18" s="69">
        <v>1745</v>
      </c>
      <c r="K18" s="69">
        <v>1780</v>
      </c>
      <c r="L18" s="51">
        <v>1632.5</v>
      </c>
      <c r="M18" s="51">
        <v>1552</v>
      </c>
      <c r="N18" s="51">
        <v>1471.5</v>
      </c>
    </row>
    <row r="19" spans="2:14">
      <c r="B19" s="72" t="s">
        <v>260</v>
      </c>
      <c r="C19" s="73">
        <f>C20-C6</f>
        <v>-2410.9636972959997</v>
      </c>
      <c r="D19" s="73">
        <f t="shared" ref="D19:K19" si="5">D20-D6</f>
        <v>-137.14864579999994</v>
      </c>
      <c r="E19" s="73">
        <f t="shared" si="5"/>
        <v>-2332.8998981736004</v>
      </c>
      <c r="F19" s="73">
        <f t="shared" si="5"/>
        <v>-2072.9092925479999</v>
      </c>
      <c r="G19" s="73">
        <f t="shared" si="5"/>
        <v>-2537.0635102800006</v>
      </c>
      <c r="H19" s="73">
        <f t="shared" si="5"/>
        <v>-3109.2094916121987</v>
      </c>
      <c r="I19" s="73">
        <f t="shared" si="5"/>
        <v>-2453.9961193953004</v>
      </c>
      <c r="J19" s="73">
        <f t="shared" si="5"/>
        <v>-2555.667093125001</v>
      </c>
      <c r="K19" s="73">
        <f t="shared" si="5"/>
        <v>-3426.6290906814993</v>
      </c>
      <c r="L19" s="60">
        <v>-1625.2763154346221</v>
      </c>
      <c r="M19" s="60">
        <v>-1625.2763154346221</v>
      </c>
      <c r="N19" s="60">
        <v>-1625.2763154346221</v>
      </c>
    </row>
    <row r="20" spans="2:14">
      <c r="B20" s="72" t="s">
        <v>259</v>
      </c>
      <c r="C20" s="74">
        <v>13475</v>
      </c>
      <c r="D20" s="74">
        <v>13413</v>
      </c>
      <c r="E20" s="74">
        <v>12859</v>
      </c>
      <c r="F20" s="74">
        <v>11227</v>
      </c>
      <c r="G20" s="74">
        <v>12223</v>
      </c>
      <c r="H20" s="74">
        <v>12224</v>
      </c>
      <c r="I20" s="74">
        <v>11886</v>
      </c>
      <c r="J20" s="74">
        <v>11839</v>
      </c>
      <c r="K20" s="74">
        <v>10736</v>
      </c>
      <c r="L20" s="60">
        <v>11633.909307419628</v>
      </c>
      <c r="M20" s="60">
        <v>11239.550699401472</v>
      </c>
      <c r="N20" s="60">
        <v>10875.279261918306</v>
      </c>
    </row>
    <row r="21" spans="2:14">
      <c r="B21" s="47"/>
      <c r="C21" s="75"/>
      <c r="D21" s="75"/>
      <c r="E21" s="75"/>
      <c r="F21" s="75"/>
      <c r="G21" s="75"/>
      <c r="H21" s="75"/>
      <c r="I21" s="75"/>
      <c r="J21" s="75"/>
      <c r="K21" s="75"/>
      <c r="L21" s="49"/>
      <c r="M21" s="49"/>
      <c r="N21" s="49"/>
    </row>
    <row r="22" spans="2:14">
      <c r="B22" s="42" t="s">
        <v>21</v>
      </c>
      <c r="C22" s="43" t="s">
        <v>1</v>
      </c>
      <c r="D22" s="43" t="s">
        <v>2</v>
      </c>
      <c r="E22" s="43" t="s">
        <v>3</v>
      </c>
      <c r="F22" s="43" t="s">
        <v>4</v>
      </c>
      <c r="G22" s="43" t="s">
        <v>5</v>
      </c>
      <c r="H22" s="43" t="s">
        <v>6</v>
      </c>
      <c r="I22" s="43" t="s">
        <v>7</v>
      </c>
      <c r="J22" s="43" t="s">
        <v>8</v>
      </c>
      <c r="K22" s="43" t="s">
        <v>9</v>
      </c>
      <c r="L22" s="44" t="s">
        <v>10</v>
      </c>
      <c r="M22" s="44" t="s">
        <v>11</v>
      </c>
      <c r="N22" s="44" t="s">
        <v>12</v>
      </c>
    </row>
    <row r="23" spans="2:14">
      <c r="B23" s="72" t="s">
        <v>278</v>
      </c>
      <c r="C23" s="76">
        <v>1279.5999999999999</v>
      </c>
      <c r="D23" s="76">
        <v>1317.65</v>
      </c>
      <c r="E23" s="76">
        <v>1313.48</v>
      </c>
      <c r="F23" s="76">
        <v>1321.24</v>
      </c>
      <c r="G23" s="76">
        <v>1331.66</v>
      </c>
      <c r="H23" s="76">
        <v>1373.43</v>
      </c>
      <c r="I23" s="76">
        <v>1358.57</v>
      </c>
      <c r="J23" s="76">
        <v>1402.5</v>
      </c>
      <c r="K23" s="76">
        <v>1454.05</v>
      </c>
      <c r="L23" s="77">
        <v>1364.66</v>
      </c>
      <c r="M23" s="77">
        <v>1359.97</v>
      </c>
      <c r="N23" s="77">
        <v>1350.76</v>
      </c>
    </row>
    <row r="24" spans="2:14" ht="19.8">
      <c r="B24" s="78"/>
      <c r="C24" s="79"/>
      <c r="D24" s="79"/>
      <c r="E24" s="79"/>
      <c r="F24" s="79"/>
      <c r="G24" s="79"/>
      <c r="H24" s="79"/>
      <c r="I24" s="79"/>
      <c r="J24" s="79"/>
      <c r="K24" s="79"/>
      <c r="L24" s="80"/>
      <c r="M24" s="80"/>
      <c r="N24" s="80"/>
    </row>
    <row r="25" spans="2:14" ht="19.8">
      <c r="B25" s="78"/>
      <c r="C25" s="79"/>
      <c r="D25" s="79"/>
      <c r="E25" s="79"/>
      <c r="F25" s="79"/>
      <c r="G25" s="79"/>
      <c r="H25" s="79"/>
      <c r="I25" s="79"/>
      <c r="J25" s="79"/>
      <c r="K25" s="79"/>
      <c r="L25" s="80"/>
      <c r="M25" s="80"/>
      <c r="N25" s="80"/>
    </row>
    <row r="26" spans="2:14" ht="19.8">
      <c r="B26" s="81"/>
      <c r="C26" s="79"/>
      <c r="D26" s="79"/>
      <c r="E26" s="79"/>
      <c r="F26" s="79"/>
      <c r="G26" s="79"/>
      <c r="H26" s="79"/>
      <c r="I26" s="79"/>
      <c r="J26" s="79"/>
      <c r="K26" s="79"/>
      <c r="L26" s="80"/>
      <c r="M26" s="80"/>
      <c r="N26" s="80"/>
    </row>
    <row r="27" spans="2:14" ht="19.8">
      <c r="B27" s="81"/>
      <c r="C27" s="79"/>
      <c r="D27" s="79"/>
      <c r="E27" s="79"/>
      <c r="F27" s="79"/>
      <c r="G27" s="79"/>
      <c r="H27" s="79"/>
      <c r="I27" s="79"/>
      <c r="J27" s="79"/>
      <c r="K27" s="79"/>
      <c r="L27" s="80"/>
      <c r="M27" s="80"/>
      <c r="N27" s="80"/>
    </row>
    <row r="28" spans="2:14" ht="19.8">
      <c r="B28" s="78"/>
      <c r="C28" s="79"/>
      <c r="D28" s="79"/>
      <c r="E28" s="79"/>
      <c r="F28" s="79"/>
      <c r="G28" s="79"/>
      <c r="H28" s="79"/>
      <c r="I28" s="79"/>
      <c r="J28" s="79"/>
      <c r="K28" s="79"/>
      <c r="L28" s="80"/>
      <c r="M28" s="80"/>
      <c r="N28" s="80"/>
    </row>
    <row r="29" spans="2:14" ht="19.8">
      <c r="B29" s="81"/>
      <c r="C29" s="79"/>
      <c r="D29" s="79"/>
      <c r="E29" s="79"/>
      <c r="F29" s="79"/>
      <c r="G29" s="79"/>
      <c r="H29" s="79"/>
      <c r="I29" s="79"/>
      <c r="J29" s="79"/>
      <c r="K29" s="79"/>
      <c r="L29" s="80"/>
      <c r="M29" s="80"/>
      <c r="N29" s="80"/>
    </row>
    <row r="30" spans="2:14" ht="19.8">
      <c r="B30" s="81"/>
      <c r="C30" s="79"/>
      <c r="D30" s="79"/>
      <c r="E30" s="79"/>
      <c r="F30" s="79"/>
      <c r="G30" s="79"/>
      <c r="H30" s="79"/>
      <c r="I30" s="79"/>
      <c r="J30" s="79"/>
      <c r="K30" s="79"/>
      <c r="L30" s="80"/>
      <c r="M30" s="80"/>
      <c r="N30" s="80"/>
    </row>
    <row r="31" spans="2:14" ht="19.8">
      <c r="B31" s="78"/>
      <c r="C31" s="79"/>
      <c r="D31" s="79"/>
      <c r="E31" s="79"/>
      <c r="F31" s="79"/>
      <c r="G31" s="79"/>
      <c r="H31" s="79"/>
      <c r="I31" s="79"/>
      <c r="J31" s="79"/>
      <c r="K31" s="79"/>
      <c r="L31" s="80"/>
      <c r="M31" s="80"/>
      <c r="N31" s="80"/>
    </row>
    <row r="32" spans="2:14" ht="19.8">
      <c r="B32" s="81"/>
      <c r="C32" s="79"/>
      <c r="D32" s="79"/>
      <c r="E32" s="79"/>
      <c r="F32" s="79"/>
      <c r="G32" s="79"/>
      <c r="H32" s="79"/>
      <c r="I32" s="79"/>
      <c r="J32" s="79"/>
      <c r="K32" s="79"/>
      <c r="L32" s="80"/>
      <c r="M32" s="80"/>
      <c r="N32" s="80"/>
    </row>
    <row r="33" spans="2:14" ht="19.8">
      <c r="B33" s="81"/>
      <c r="C33" s="79"/>
      <c r="D33" s="79"/>
      <c r="E33" s="79"/>
      <c r="F33" s="79"/>
      <c r="G33" s="79"/>
      <c r="H33" s="79"/>
      <c r="I33" s="79"/>
      <c r="J33" s="79"/>
      <c r="K33" s="79"/>
      <c r="L33" s="80"/>
      <c r="M33" s="80"/>
      <c r="N33" s="80"/>
    </row>
    <row r="34" spans="2:14" ht="19.8">
      <c r="B34" s="78"/>
      <c r="C34" s="79"/>
      <c r="D34" s="79"/>
      <c r="E34" s="79"/>
      <c r="F34" s="79"/>
      <c r="G34" s="79"/>
      <c r="H34" s="79"/>
      <c r="I34" s="79"/>
      <c r="J34" s="79"/>
      <c r="K34" s="79"/>
      <c r="L34" s="80"/>
      <c r="M34" s="80"/>
      <c r="N34" s="80"/>
    </row>
    <row r="35" spans="2:14" ht="19.8">
      <c r="B35" s="81"/>
      <c r="C35" s="79"/>
      <c r="D35" s="79"/>
      <c r="E35" s="79"/>
      <c r="F35" s="79"/>
      <c r="G35" s="79"/>
      <c r="H35" s="79"/>
      <c r="I35" s="79"/>
      <c r="J35" s="79"/>
      <c r="K35" s="79"/>
      <c r="L35" s="80"/>
      <c r="M35" s="80"/>
      <c r="N35" s="80"/>
    </row>
    <row r="36" spans="2:14" ht="19.8">
      <c r="B36" s="81"/>
      <c r="C36" s="79"/>
      <c r="D36" s="79"/>
      <c r="E36" s="79"/>
      <c r="F36" s="79"/>
      <c r="G36" s="79"/>
      <c r="H36" s="79"/>
      <c r="I36" s="79"/>
      <c r="J36" s="79"/>
      <c r="K36" s="79"/>
      <c r="L36" s="80"/>
      <c r="M36" s="80"/>
      <c r="N36" s="80"/>
    </row>
    <row r="37" spans="2:14" ht="19.8">
      <c r="B37" s="78"/>
      <c r="C37" s="79"/>
      <c r="D37" s="79"/>
      <c r="E37" s="79"/>
      <c r="F37" s="79"/>
      <c r="G37" s="79"/>
      <c r="H37" s="79"/>
      <c r="I37" s="79"/>
      <c r="J37" s="79"/>
      <c r="K37" s="79"/>
      <c r="L37" s="80"/>
      <c r="M37" s="80"/>
      <c r="N37" s="80"/>
    </row>
    <row r="38" spans="2:14" ht="19.8">
      <c r="B38" s="78"/>
      <c r="C38" s="80"/>
      <c r="D38" s="80"/>
      <c r="E38" s="80"/>
      <c r="F38" s="80"/>
      <c r="G38" s="80"/>
      <c r="H38" s="80"/>
      <c r="I38" s="80"/>
      <c r="J38" s="80"/>
      <c r="K38" s="80"/>
      <c r="L38" s="80"/>
      <c r="M38" s="80"/>
      <c r="N38" s="80"/>
    </row>
    <row r="39" spans="2:14" ht="19.8">
      <c r="B39" s="78"/>
      <c r="C39" s="80"/>
      <c r="D39" s="80"/>
      <c r="E39" s="80"/>
      <c r="F39" s="80"/>
      <c r="G39" s="80"/>
      <c r="H39" s="80"/>
      <c r="I39" s="80"/>
      <c r="J39" s="80"/>
      <c r="K39" s="80"/>
      <c r="L39" s="80"/>
      <c r="M39" s="80"/>
      <c r="N39" s="80"/>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BADE0-123E-4F75-92CF-DD4561347D9F}">
  <sheetPr>
    <tabColor rgb="FFD0CECE"/>
  </sheetPr>
  <dimension ref="A1:AY15"/>
  <sheetViews>
    <sheetView showGridLines="0" zoomScale="85" zoomScaleNormal="85" workbookViewId="0"/>
  </sheetViews>
  <sheetFormatPr defaultColWidth="8.7265625" defaultRowHeight="19.2"/>
  <cols>
    <col min="1" max="1" width="1.6328125" customWidth="1"/>
    <col min="2" max="2" width="10.6328125" customWidth="1"/>
    <col min="3" max="3" width="12.7265625" bestFit="1" customWidth="1"/>
    <col min="4" max="6" width="9.81640625" bestFit="1" customWidth="1"/>
    <col min="7" max="9" width="11" bestFit="1" customWidth="1"/>
    <col min="10" max="10" width="11.36328125" bestFit="1" customWidth="1"/>
    <col min="11" max="11" width="12.7265625" bestFit="1" customWidth="1"/>
    <col min="12" max="14" width="11" bestFit="1" customWidth="1"/>
  </cols>
  <sheetData>
    <row r="1" spans="1:51" s="2" customFormat="1">
      <c r="A1" s="45" t="s">
        <v>16</v>
      </c>
      <c r="B1" s="3"/>
      <c r="C1" s="3"/>
      <c r="D1" s="3"/>
      <c r="E1" s="3"/>
      <c r="F1" s="4"/>
      <c r="G1" s="4"/>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row>
    <row r="2" spans="1:51" s="2" customFormat="1">
      <c r="A2" s="6" t="s">
        <v>15</v>
      </c>
      <c r="B2" s="6"/>
      <c r="C2" s="6"/>
      <c r="D2" s="6"/>
      <c r="E2" s="6"/>
      <c r="F2" s="6"/>
      <c r="G2" s="6"/>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row>
    <row r="3" spans="1:51" s="2" customFormat="1" ht="19.8">
      <c r="A3" s="46" t="s">
        <v>255</v>
      </c>
      <c r="B3" s="8"/>
      <c r="C3" s="8"/>
      <c r="D3" s="8"/>
      <c r="E3" s="8"/>
      <c r="F3" s="8"/>
      <c r="G3" s="8"/>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row>
    <row r="5" spans="1:51">
      <c r="B5" s="82" t="s">
        <v>21</v>
      </c>
      <c r="C5" s="83" t="s">
        <v>1</v>
      </c>
      <c r="D5" s="83" t="s">
        <v>2</v>
      </c>
      <c r="E5" s="83" t="s">
        <v>3</v>
      </c>
      <c r="F5" s="83" t="s">
        <v>4</v>
      </c>
      <c r="G5" s="83" t="s">
        <v>5</v>
      </c>
      <c r="H5" s="83" t="s">
        <v>6</v>
      </c>
      <c r="I5" s="83" t="s">
        <v>7</v>
      </c>
      <c r="J5" s="83" t="s">
        <v>8</v>
      </c>
      <c r="K5" s="83" t="s">
        <v>9</v>
      </c>
      <c r="L5" s="84" t="s">
        <v>10</v>
      </c>
      <c r="M5" s="84" t="s">
        <v>11</v>
      </c>
      <c r="N5" s="84" t="s">
        <v>12</v>
      </c>
      <c r="P5" s="64" t="s">
        <v>267</v>
      </c>
    </row>
    <row r="6" spans="1:51">
      <c r="B6" s="47" t="s">
        <v>23</v>
      </c>
      <c r="C6" s="50">
        <f>C7+C10</f>
        <v>2534.9999999999982</v>
      </c>
      <c r="D6" s="50">
        <f t="shared" ref="D6:K6" si="0">D7+D10</f>
        <v>2641.9999999999964</v>
      </c>
      <c r="E6" s="50">
        <f t="shared" si="0"/>
        <v>2353.9999999999955</v>
      </c>
      <c r="F6" s="50">
        <f t="shared" si="0"/>
        <v>2357.9999999999982</v>
      </c>
      <c r="G6" s="50">
        <f t="shared" si="0"/>
        <v>2495.9999999999927</v>
      </c>
      <c r="H6" s="50">
        <f t="shared" si="0"/>
        <v>2658.9999999999955</v>
      </c>
      <c r="I6" s="50">
        <f t="shared" si="0"/>
        <v>2545.9999999999891</v>
      </c>
      <c r="J6" s="50">
        <f t="shared" si="0"/>
        <v>2674.9999999999882</v>
      </c>
      <c r="K6" s="50">
        <f t="shared" si="0"/>
        <v>2737.9921118500001</v>
      </c>
      <c r="L6" s="50">
        <v>2725.4661514281961</v>
      </c>
      <c r="M6" s="50">
        <v>2871.4903263159545</v>
      </c>
      <c r="N6" s="61">
        <v>3016.9730069389461</v>
      </c>
      <c r="P6" s="47" t="s">
        <v>269</v>
      </c>
    </row>
    <row r="7" spans="1:51">
      <c r="B7" s="54" t="s">
        <v>279</v>
      </c>
      <c r="C7" s="55">
        <f>C8*C9/100000000</f>
        <v>485.14850927804474</v>
      </c>
      <c r="D7" s="55">
        <f t="shared" ref="D7:K7" si="1">D8*D9/100000000</f>
        <v>475.04270976654726</v>
      </c>
      <c r="E7" s="55">
        <f t="shared" si="1"/>
        <v>480.97147647991369</v>
      </c>
      <c r="F7" s="55">
        <f t="shared" si="1"/>
        <v>471.33798206402525</v>
      </c>
      <c r="G7" s="55">
        <f t="shared" si="1"/>
        <v>442.92585400893631</v>
      </c>
      <c r="H7" s="55">
        <f t="shared" si="1"/>
        <v>439.61818798833099</v>
      </c>
      <c r="I7" s="55">
        <f t="shared" si="1"/>
        <v>439.4581686742444</v>
      </c>
      <c r="J7" s="55">
        <f t="shared" si="1"/>
        <v>426.5424620773781</v>
      </c>
      <c r="K7" s="55">
        <f t="shared" si="1"/>
        <v>415.61060370000001</v>
      </c>
      <c r="L7" s="55">
        <v>430.47006149184324</v>
      </c>
      <c r="M7" s="55">
        <v>428.14154277716744</v>
      </c>
      <c r="N7" s="50">
        <v>425.27152979772461</v>
      </c>
      <c r="P7" s="47" t="s">
        <v>271</v>
      </c>
    </row>
    <row r="8" spans="1:51">
      <c r="B8" s="48" t="s">
        <v>280</v>
      </c>
      <c r="C8" s="50">
        <v>14430354.231946601</v>
      </c>
      <c r="D8" s="50">
        <v>14417077.686389901</v>
      </c>
      <c r="E8" s="50">
        <v>14636989.545949901</v>
      </c>
      <c r="F8" s="50">
        <v>14569953.0777133</v>
      </c>
      <c r="G8" s="50">
        <v>13632682.4871941</v>
      </c>
      <c r="H8" s="50">
        <v>13423456.1217811</v>
      </c>
      <c r="I8" s="50">
        <v>13369582.253551699</v>
      </c>
      <c r="J8" s="50">
        <v>12945143.0069007</v>
      </c>
      <c r="K8" s="50">
        <v>12321690</v>
      </c>
      <c r="L8" s="50">
        <v>13014967.845558375</v>
      </c>
      <c r="M8" s="50">
        <v>12912845.776502693</v>
      </c>
      <c r="N8" s="50">
        <v>12798661.657240441</v>
      </c>
    </row>
    <row r="9" spans="1:51">
      <c r="B9" s="56" t="s">
        <v>281</v>
      </c>
      <c r="C9" s="58">
        <v>3362</v>
      </c>
      <c r="D9" s="58">
        <v>3295</v>
      </c>
      <c r="E9" s="58">
        <v>3286</v>
      </c>
      <c r="F9" s="58">
        <v>3235</v>
      </c>
      <c r="G9" s="58">
        <v>3249</v>
      </c>
      <c r="H9" s="58">
        <v>3275</v>
      </c>
      <c r="I9" s="58">
        <v>3287</v>
      </c>
      <c r="J9" s="58">
        <v>3295</v>
      </c>
      <c r="K9" s="58">
        <v>3373</v>
      </c>
      <c r="L9" s="58">
        <v>3307.5</v>
      </c>
      <c r="M9" s="58">
        <v>3315.625</v>
      </c>
      <c r="N9" s="50">
        <v>3322.78125</v>
      </c>
    </row>
    <row r="10" spans="1:51">
      <c r="B10" s="54" t="s">
        <v>282</v>
      </c>
      <c r="C10" s="55">
        <f>C11*C12/100000000</f>
        <v>2049.8514907219533</v>
      </c>
      <c r="D10" s="55">
        <f t="shared" ref="D10:K10" si="2">D11*D12/100000000</f>
        <v>2166.9572902334489</v>
      </c>
      <c r="E10" s="55">
        <f t="shared" si="2"/>
        <v>1873.028523520082</v>
      </c>
      <c r="F10" s="55">
        <f t="shared" si="2"/>
        <v>1886.6620179359727</v>
      </c>
      <c r="G10" s="55">
        <f t="shared" si="2"/>
        <v>2053.0741459910564</v>
      </c>
      <c r="H10" s="55">
        <f t="shared" si="2"/>
        <v>2219.3818120116644</v>
      </c>
      <c r="I10" s="55">
        <f t="shared" si="2"/>
        <v>2106.5418313257446</v>
      </c>
      <c r="J10" s="55">
        <f t="shared" si="2"/>
        <v>2248.4575379226103</v>
      </c>
      <c r="K10" s="55">
        <f t="shared" si="2"/>
        <v>2322.3815081500002</v>
      </c>
      <c r="L10" s="55">
        <v>2294.9960899363527</v>
      </c>
      <c r="M10" s="55">
        <v>2443.3487835387868</v>
      </c>
      <c r="N10" s="55">
        <v>2591.7014771412214</v>
      </c>
    </row>
    <row r="11" spans="1:51">
      <c r="B11" s="48" t="s">
        <v>283</v>
      </c>
      <c r="C11" s="50">
        <v>93814713.534185499</v>
      </c>
      <c r="D11" s="50">
        <v>94379672.919575304</v>
      </c>
      <c r="E11" s="50">
        <v>85021721.448936999</v>
      </c>
      <c r="F11" s="50">
        <v>87874337.1185828</v>
      </c>
      <c r="G11" s="50">
        <v>127758192.034291</v>
      </c>
      <c r="H11" s="50">
        <v>136661441.62633401</v>
      </c>
      <c r="I11" s="50">
        <v>138953946.65737101</v>
      </c>
      <c r="J11" s="50">
        <v>157015191.19571301</v>
      </c>
      <c r="K11" s="50">
        <v>183587471</v>
      </c>
      <c r="L11" s="50">
        <v>181422615.80524525</v>
      </c>
      <c r="M11" s="50">
        <v>193150101.46551675</v>
      </c>
      <c r="N11" s="50">
        <v>204877587.12578827</v>
      </c>
    </row>
    <row r="12" spans="1:51">
      <c r="B12" s="56" t="s">
        <v>284</v>
      </c>
      <c r="C12" s="58">
        <v>2185</v>
      </c>
      <c r="D12" s="58">
        <v>2296</v>
      </c>
      <c r="E12" s="58">
        <v>2203</v>
      </c>
      <c r="F12" s="58">
        <v>2147</v>
      </c>
      <c r="G12" s="58">
        <v>1607</v>
      </c>
      <c r="H12" s="58">
        <v>1624</v>
      </c>
      <c r="I12" s="58">
        <v>1516</v>
      </c>
      <c r="J12" s="58">
        <v>1432</v>
      </c>
      <c r="K12" s="58">
        <v>1265</v>
      </c>
      <c r="L12" s="58">
        <v>1265</v>
      </c>
      <c r="M12" s="58">
        <v>1265</v>
      </c>
      <c r="N12" s="58">
        <v>1265</v>
      </c>
    </row>
    <row r="13" spans="1:51">
      <c r="B13" s="85"/>
      <c r="C13" s="50"/>
      <c r="D13" s="50"/>
      <c r="E13" s="50"/>
      <c r="F13" s="50"/>
      <c r="G13" s="50"/>
      <c r="H13" s="50"/>
      <c r="I13" s="50"/>
      <c r="J13" s="50"/>
      <c r="K13" s="50"/>
      <c r="L13" s="50"/>
      <c r="M13" s="50"/>
      <c r="N13" s="50"/>
    </row>
    <row r="14" spans="1:51">
      <c r="C14" s="62"/>
      <c r="D14" s="62"/>
      <c r="E14" s="62"/>
      <c r="F14" s="62"/>
      <c r="G14" s="62"/>
      <c r="H14" s="62"/>
      <c r="I14" s="62"/>
      <c r="J14" s="62"/>
      <c r="K14" s="62"/>
      <c r="L14" s="62"/>
      <c r="M14" s="62"/>
      <c r="N14" s="62"/>
    </row>
    <row r="15" spans="1:51" ht="19.8">
      <c r="C15" s="62"/>
      <c r="D15" s="62"/>
      <c r="E15" s="62"/>
      <c r="F15" s="62"/>
      <c r="G15" s="62"/>
      <c r="H15" s="62"/>
      <c r="I15" s="62"/>
      <c r="J15" s="62"/>
      <c r="K15" s="63"/>
      <c r="L15" s="62"/>
      <c r="M15" s="62"/>
      <c r="N15" s="62"/>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0891A-2E2F-1D44-8EE4-2B8992B529FE}">
  <sheetPr>
    <tabColor rgb="FF203864"/>
  </sheetPr>
  <dimension ref="A1:AR59"/>
  <sheetViews>
    <sheetView showGridLines="0" topLeftCell="A4" zoomScale="89" zoomScaleNormal="50" workbookViewId="0"/>
  </sheetViews>
  <sheetFormatPr defaultColWidth="7.6328125" defaultRowHeight="17.399999999999999"/>
  <cols>
    <col min="1" max="1" width="7.6328125" style="99" customWidth="1"/>
    <col min="2" max="2" width="13.7265625" style="99" customWidth="1"/>
    <col min="3" max="3" width="7.6328125" style="99"/>
    <col min="4" max="10" width="7.7265625" style="99" bestFit="1" customWidth="1"/>
    <col min="11" max="11" width="8.7265625" style="99" customWidth="1"/>
    <col min="12" max="14" width="8.6328125" style="99" customWidth="1"/>
    <col min="15" max="15" width="7.6328125" style="99"/>
    <col min="16" max="16" width="10.81640625" style="99" customWidth="1"/>
    <col min="17" max="17" width="7.6328125" style="99"/>
    <col min="18" max="18" width="9" style="99" bestFit="1" customWidth="1"/>
    <col min="19" max="16384" width="7.6328125" style="99"/>
  </cols>
  <sheetData>
    <row r="1" spans="1:44" s="149" customFormat="1" ht="18" thickBot="1">
      <c r="A1" s="162" t="s">
        <v>326</v>
      </c>
      <c r="B1" s="161"/>
      <c r="C1" s="158"/>
      <c r="D1" s="158"/>
      <c r="E1" s="158"/>
      <c r="F1" s="158"/>
      <c r="G1" s="158"/>
      <c r="H1" s="158"/>
      <c r="I1" s="158"/>
      <c r="J1" s="158"/>
      <c r="K1" s="158"/>
      <c r="L1" s="158"/>
      <c r="M1" s="158"/>
      <c r="N1" s="158"/>
      <c r="O1" s="160"/>
      <c r="P1" s="158"/>
      <c r="Q1" s="158"/>
      <c r="R1" s="158"/>
      <c r="S1" s="158"/>
      <c r="T1" s="158"/>
      <c r="U1" s="159"/>
      <c r="V1" s="158"/>
      <c r="W1" s="158"/>
      <c r="X1" s="158"/>
      <c r="Y1" s="158"/>
      <c r="Z1" s="158"/>
      <c r="AA1" s="158"/>
      <c r="AB1" s="158"/>
      <c r="AC1" s="158"/>
      <c r="AD1" s="158"/>
      <c r="AE1" s="158"/>
      <c r="AF1" s="158"/>
      <c r="AG1" s="158"/>
      <c r="AH1" s="158"/>
      <c r="AI1" s="158"/>
      <c r="AJ1" s="158"/>
      <c r="AK1" s="158"/>
      <c r="AL1" s="158"/>
      <c r="AM1" s="158"/>
      <c r="AN1" s="158"/>
      <c r="AO1" s="158"/>
      <c r="AP1" s="158"/>
      <c r="AQ1" s="158"/>
      <c r="AR1" s="158"/>
    </row>
    <row r="2" spans="1:44" s="149" customFormat="1" ht="19.2">
      <c r="A2" s="157" t="s">
        <v>15</v>
      </c>
      <c r="B2" s="156"/>
      <c r="C2" s="154"/>
      <c r="D2" s="154"/>
      <c r="E2" s="154"/>
      <c r="F2" s="154"/>
      <c r="G2" s="154"/>
      <c r="H2" s="154"/>
      <c r="I2" s="154"/>
      <c r="J2" s="154"/>
      <c r="K2" s="154"/>
      <c r="L2" s="154"/>
      <c r="M2" s="154"/>
      <c r="N2" s="154"/>
      <c r="O2" s="154"/>
      <c r="P2" s="154"/>
      <c r="Q2" s="154"/>
      <c r="R2" s="154"/>
      <c r="S2" s="154"/>
      <c r="T2" s="154"/>
      <c r="U2" s="155"/>
      <c r="V2" s="154"/>
      <c r="W2" s="154"/>
      <c r="X2" s="154"/>
      <c r="Y2" s="154"/>
      <c r="Z2" s="154"/>
      <c r="AA2" s="154"/>
      <c r="AB2" s="154"/>
      <c r="AC2" s="154"/>
      <c r="AD2" s="154"/>
      <c r="AE2" s="154"/>
      <c r="AF2" s="154"/>
      <c r="AG2" s="154"/>
      <c r="AH2" s="154"/>
      <c r="AI2" s="154"/>
      <c r="AJ2" s="154"/>
      <c r="AK2" s="154"/>
      <c r="AL2" s="154"/>
      <c r="AM2" s="154"/>
      <c r="AN2" s="154"/>
      <c r="AO2" s="154"/>
      <c r="AP2" s="154"/>
      <c r="AQ2" s="154"/>
      <c r="AR2" s="154"/>
    </row>
    <row r="3" spans="1:44" s="149" customFormat="1" ht="18">
      <c r="A3" s="153" t="s">
        <v>325</v>
      </c>
      <c r="B3" s="152"/>
      <c r="C3" s="150"/>
      <c r="D3" s="150"/>
      <c r="E3" s="150"/>
      <c r="F3" s="150"/>
      <c r="G3" s="150"/>
      <c r="H3" s="150"/>
      <c r="I3" s="150"/>
      <c r="J3" s="150"/>
      <c r="K3" s="150"/>
      <c r="L3" s="150"/>
      <c r="M3" s="150"/>
      <c r="N3" s="150"/>
      <c r="O3" s="150"/>
      <c r="P3" s="150"/>
      <c r="Q3" s="150"/>
      <c r="R3" s="150"/>
      <c r="S3" s="150"/>
      <c r="T3" s="150"/>
      <c r="U3" s="151"/>
      <c r="V3" s="150"/>
      <c r="W3" s="150"/>
      <c r="X3" s="150"/>
      <c r="Y3" s="150"/>
      <c r="Z3" s="150"/>
      <c r="AA3" s="150"/>
      <c r="AB3" s="150"/>
      <c r="AC3" s="150"/>
      <c r="AD3" s="150"/>
      <c r="AE3" s="150"/>
      <c r="AF3" s="150"/>
      <c r="AG3" s="150"/>
      <c r="AH3" s="150"/>
      <c r="AI3" s="150"/>
      <c r="AJ3" s="150"/>
      <c r="AK3" s="150"/>
      <c r="AL3" s="150"/>
      <c r="AM3" s="150"/>
      <c r="AN3" s="150"/>
      <c r="AO3" s="150"/>
      <c r="AP3" s="150"/>
      <c r="AQ3" s="150"/>
      <c r="AR3" s="150"/>
    </row>
    <row r="4" spans="1:44" ht="18">
      <c r="B4" s="148"/>
      <c r="P4" s="147"/>
      <c r="Q4" s="139"/>
      <c r="R4" s="139">
        <v>2024</v>
      </c>
      <c r="S4" s="139"/>
      <c r="U4" s="101"/>
    </row>
    <row r="5" spans="1:44">
      <c r="B5" s="135" t="s">
        <v>324</v>
      </c>
      <c r="C5" s="146" t="s">
        <v>1</v>
      </c>
      <c r="D5" s="146" t="s">
        <v>2</v>
      </c>
      <c r="E5" s="146" t="s">
        <v>3</v>
      </c>
      <c r="F5" s="146" t="s">
        <v>4</v>
      </c>
      <c r="G5" s="146" t="s">
        <v>5</v>
      </c>
      <c r="H5" s="146" t="s">
        <v>6</v>
      </c>
      <c r="I5" s="146" t="s">
        <v>7</v>
      </c>
      <c r="J5" s="146" t="s">
        <v>8</v>
      </c>
      <c r="K5" s="146" t="s">
        <v>9</v>
      </c>
      <c r="L5" s="145" t="s">
        <v>323</v>
      </c>
      <c r="M5" s="145" t="s">
        <v>322</v>
      </c>
      <c r="N5" s="145" t="s">
        <v>321</v>
      </c>
      <c r="O5" s="141"/>
      <c r="P5" s="139"/>
      <c r="Q5" s="139"/>
      <c r="R5" s="139"/>
      <c r="S5" s="139"/>
      <c r="U5" s="144" t="s">
        <v>320</v>
      </c>
    </row>
    <row r="6" spans="1:44">
      <c r="B6" s="138" t="s">
        <v>319</v>
      </c>
      <c r="C6" s="137">
        <v>31002</v>
      </c>
      <c r="D6" s="137">
        <v>33930</v>
      </c>
      <c r="E6" s="137">
        <v>29258</v>
      </c>
      <c r="F6" s="137">
        <f>132887-SUM(C6:E6)</f>
        <v>38697</v>
      </c>
      <c r="G6" s="143">
        <v>23928</v>
      </c>
      <c r="H6" s="143">
        <v>26793</v>
      </c>
      <c r="I6" s="143">
        <v>27732</v>
      </c>
      <c r="J6" s="143">
        <f>123940-SUM(G6:I6)</f>
        <v>45487</v>
      </c>
      <c r="K6" s="143">
        <v>30945</v>
      </c>
      <c r="L6" s="137">
        <f>'매출액 추정 ▶'!L6</f>
        <v>37903.961516505762</v>
      </c>
      <c r="M6" s="137">
        <f>'매출액 추정 ▶'!M6</f>
        <v>40297.065892524035</v>
      </c>
      <c r="N6" s="137">
        <f>'매출액 추정 ▶'!N6</f>
        <v>56155.623927071727</v>
      </c>
      <c r="O6" s="141"/>
      <c r="P6" s="139"/>
      <c r="Q6" s="139"/>
      <c r="R6" s="139"/>
      <c r="S6" s="139"/>
      <c r="U6" s="132"/>
    </row>
    <row r="7" spans="1:44">
      <c r="B7" s="138" t="s">
        <v>318</v>
      </c>
      <c r="C7" s="137">
        <v>24243</v>
      </c>
      <c r="D7" s="137">
        <v>28047</v>
      </c>
      <c r="E7" s="137">
        <v>24616</v>
      </c>
      <c r="F7" s="137">
        <v>33592</v>
      </c>
      <c r="G7" s="137">
        <v>21958</v>
      </c>
      <c r="H7" s="137">
        <v>23331</v>
      </c>
      <c r="I7" s="137">
        <v>24664</v>
      </c>
      <c r="J7" s="137">
        <v>40129</v>
      </c>
      <c r="K7" s="137">
        <v>26443</v>
      </c>
      <c r="L7" s="137">
        <f>L44</f>
        <v>31822.771536953729</v>
      </c>
      <c r="M7" s="137">
        <f>M44</f>
        <v>33394.012330963655</v>
      </c>
      <c r="N7" s="137">
        <f>N44</f>
        <v>47363.54430291312</v>
      </c>
      <c r="O7" s="141"/>
      <c r="P7" s="139"/>
      <c r="Q7" s="139"/>
      <c r="R7" s="139"/>
      <c r="S7" s="139"/>
      <c r="U7" s="101"/>
      <c r="W7" s="445"/>
    </row>
    <row r="8" spans="1:44">
      <c r="B8" s="109" t="s">
        <v>317</v>
      </c>
      <c r="C8" s="117">
        <f t="shared" ref="C8:N8" si="0">C7/C6</f>
        <v>0.78198180762531455</v>
      </c>
      <c r="D8" s="117">
        <f t="shared" si="0"/>
        <v>0.82661361626878871</v>
      </c>
      <c r="E8" s="117">
        <f t="shared" si="0"/>
        <v>0.84134253879280885</v>
      </c>
      <c r="F8" s="117">
        <f t="shared" si="0"/>
        <v>0.86807762875675121</v>
      </c>
      <c r="G8" s="117">
        <f t="shared" si="0"/>
        <v>0.91766967569374791</v>
      </c>
      <c r="H8" s="117">
        <f t="shared" si="0"/>
        <v>0.87078714589631623</v>
      </c>
      <c r="I8" s="117">
        <f t="shared" si="0"/>
        <v>0.88936968123467475</v>
      </c>
      <c r="J8" s="117">
        <f t="shared" si="0"/>
        <v>0.88220810341416234</v>
      </c>
      <c r="K8" s="117">
        <f t="shared" si="0"/>
        <v>0.8545160769106479</v>
      </c>
      <c r="L8" s="117">
        <f t="shared" si="0"/>
        <v>0.83956320827035713</v>
      </c>
      <c r="M8" s="117">
        <f t="shared" si="0"/>
        <v>0.828695876271204</v>
      </c>
      <c r="N8" s="117">
        <f t="shared" si="0"/>
        <v>0.84343367575121742</v>
      </c>
      <c r="O8" s="141"/>
      <c r="P8" s="139"/>
      <c r="Q8" s="139"/>
      <c r="R8" s="139"/>
      <c r="S8" s="139"/>
      <c r="U8" s="132"/>
      <c r="W8" s="100"/>
    </row>
    <row r="9" spans="1:44">
      <c r="B9" s="138" t="s">
        <v>316</v>
      </c>
      <c r="C9" s="137">
        <f t="shared" ref="C9:N9" si="1">C6-C7</f>
        <v>6759</v>
      </c>
      <c r="D9" s="137">
        <f t="shared" si="1"/>
        <v>5883</v>
      </c>
      <c r="E9" s="137">
        <f t="shared" si="1"/>
        <v>4642</v>
      </c>
      <c r="F9" s="137">
        <f t="shared" si="1"/>
        <v>5105</v>
      </c>
      <c r="G9" s="137">
        <f t="shared" si="1"/>
        <v>1970</v>
      </c>
      <c r="H9" s="137">
        <f t="shared" si="1"/>
        <v>3462</v>
      </c>
      <c r="I9" s="137">
        <f t="shared" si="1"/>
        <v>3068</v>
      </c>
      <c r="J9" s="137">
        <f t="shared" si="1"/>
        <v>5358</v>
      </c>
      <c r="K9" s="137">
        <f t="shared" si="1"/>
        <v>4502</v>
      </c>
      <c r="L9" s="137">
        <f t="shared" si="1"/>
        <v>6081.189979552033</v>
      </c>
      <c r="M9" s="137">
        <f t="shared" si="1"/>
        <v>6903.0535615603803</v>
      </c>
      <c r="N9" s="137">
        <f t="shared" si="1"/>
        <v>8792.0796241586067</v>
      </c>
      <c r="O9" s="141"/>
      <c r="P9" s="139"/>
      <c r="Q9" s="139"/>
      <c r="R9" s="139"/>
      <c r="S9" s="139"/>
      <c r="U9" s="132"/>
    </row>
    <row r="10" spans="1:44" ht="18" thickBot="1">
      <c r="B10" s="109" t="s">
        <v>315</v>
      </c>
      <c r="C10" s="117">
        <f t="shared" ref="C10:N10" si="2">C9/C6</f>
        <v>0.2180181923746855</v>
      </c>
      <c r="D10" s="117">
        <f t="shared" si="2"/>
        <v>0.17338638373121132</v>
      </c>
      <c r="E10" s="117">
        <f t="shared" si="2"/>
        <v>0.15865746120719121</v>
      </c>
      <c r="F10" s="117">
        <f t="shared" si="2"/>
        <v>0.13192237124324882</v>
      </c>
      <c r="G10" s="117">
        <f t="shared" si="2"/>
        <v>8.233032430625209E-2</v>
      </c>
      <c r="H10" s="117">
        <f t="shared" si="2"/>
        <v>0.1292128541036838</v>
      </c>
      <c r="I10" s="117">
        <f t="shared" si="2"/>
        <v>0.11063031876532525</v>
      </c>
      <c r="J10" s="117">
        <f t="shared" si="2"/>
        <v>0.11779189658583772</v>
      </c>
      <c r="K10" s="142">
        <f t="shared" si="2"/>
        <v>0.14548392308935207</v>
      </c>
      <c r="L10" s="142">
        <f t="shared" si="2"/>
        <v>0.16043679172964287</v>
      </c>
      <c r="M10" s="142">
        <f t="shared" si="2"/>
        <v>0.17130412372879594</v>
      </c>
      <c r="N10" s="142">
        <f t="shared" si="2"/>
        <v>0.15656632424878261</v>
      </c>
      <c r="O10" s="141"/>
      <c r="P10" s="139" t="s">
        <v>314</v>
      </c>
      <c r="Q10" s="163">
        <v>4.3E-3</v>
      </c>
      <c r="R10" s="139"/>
      <c r="S10" s="139"/>
      <c r="U10" s="132"/>
    </row>
    <row r="11" spans="1:44">
      <c r="B11" s="138" t="s">
        <v>313</v>
      </c>
      <c r="C11" s="137">
        <v>4044</v>
      </c>
      <c r="D11" s="137">
        <v>3943</v>
      </c>
      <c r="E11" s="137">
        <v>3659</v>
      </c>
      <c r="F11" s="137">
        <f>16343-C11-D11-E11</f>
        <v>4697</v>
      </c>
      <c r="G11" s="137">
        <v>4136</v>
      </c>
      <c r="H11" s="137">
        <v>4539</v>
      </c>
      <c r="I11" s="137">
        <v>3877</v>
      </c>
      <c r="J11" s="137">
        <f>16861-SUM(G11:I11)</f>
        <v>4309</v>
      </c>
      <c r="K11" s="137">
        <v>4199</v>
      </c>
      <c r="L11" s="137">
        <f>SUM(L12:L21)</f>
        <v>4338.1499695671027</v>
      </c>
      <c r="M11" s="137">
        <f t="shared" ref="M11:N11" si="3">SUM(M12:M21)</f>
        <v>4437.3218514557138</v>
      </c>
      <c r="N11" s="137">
        <f t="shared" si="3"/>
        <v>4922.6590977678288</v>
      </c>
      <c r="O11" s="136"/>
      <c r="P11" s="134" t="s">
        <v>312</v>
      </c>
      <c r="Q11" s="135">
        <v>2023</v>
      </c>
      <c r="R11" s="134">
        <v>2024</v>
      </c>
      <c r="S11" s="133" t="s">
        <v>13</v>
      </c>
      <c r="U11" s="132"/>
    </row>
    <row r="12" spans="1:44">
      <c r="B12" s="113" t="s">
        <v>311</v>
      </c>
      <c r="C12" s="127">
        <v>1266</v>
      </c>
      <c r="D12" s="127">
        <v>1156</v>
      </c>
      <c r="E12" s="127">
        <v>1049</v>
      </c>
      <c r="F12" s="127">
        <f>4924-C12-D12-E12</f>
        <v>1453</v>
      </c>
      <c r="G12" s="127">
        <v>1508</v>
      </c>
      <c r="H12" s="127">
        <v>1500</v>
      </c>
      <c r="I12" s="127">
        <v>1210</v>
      </c>
      <c r="J12" s="127">
        <v>1152</v>
      </c>
      <c r="K12" s="105">
        <v>1213</v>
      </c>
      <c r="L12" s="105">
        <f>K12*(1+$Q$10)</f>
        <v>1218.2158999999999</v>
      </c>
      <c r="M12" s="105">
        <f t="shared" ref="M12:N12" si="4">L12*(1+$Q$10)</f>
        <v>1223.4542283699998</v>
      </c>
      <c r="N12" s="105">
        <f t="shared" si="4"/>
        <v>1228.7150815519908</v>
      </c>
      <c r="O12" s="131"/>
      <c r="P12" s="113" t="s">
        <v>311</v>
      </c>
      <c r="Q12" s="130">
        <f t="shared" ref="Q12:Q21" si="5">SUM(C12:F12)/SUM(C$6:F$6)</f>
        <v>3.7054038393522316E-2</v>
      </c>
      <c r="R12" s="130">
        <f t="shared" ref="R12:R20" si="6">SUM(G12:J12)/SUM(G$6:J$6)</f>
        <v>4.3327416491850894E-2</v>
      </c>
      <c r="S12" s="129">
        <f t="shared" ref="S12:S20" si="7">SUM(K12:N12)/SUM($K$6:$N$6)</f>
        <v>2.9542265128330695E-2</v>
      </c>
      <c r="U12" s="101" t="s">
        <v>350</v>
      </c>
    </row>
    <row r="13" spans="1:44">
      <c r="B13" s="113" t="s">
        <v>310</v>
      </c>
      <c r="C13" s="127">
        <v>98</v>
      </c>
      <c r="D13" s="127">
        <v>72</v>
      </c>
      <c r="E13" s="127">
        <v>67</v>
      </c>
      <c r="F13" s="127">
        <f>302-C13-D13-E13</f>
        <v>65</v>
      </c>
      <c r="G13" s="127">
        <v>77</v>
      </c>
      <c r="H13" s="127">
        <v>71</v>
      </c>
      <c r="I13" s="127">
        <v>75</v>
      </c>
      <c r="J13" s="127">
        <v>76</v>
      </c>
      <c r="K13" s="105">
        <v>69</v>
      </c>
      <c r="L13" s="105">
        <f>K13*(1+(L$12/K$12-1))</f>
        <v>69.296700000000001</v>
      </c>
      <c r="M13" s="105">
        <f>L13*(1+(M$12/L$12-1))</f>
        <v>69.594675809999998</v>
      </c>
      <c r="N13" s="105">
        <f t="shared" ref="N13" si="8">M13*(1+(N$12/M$12-1))</f>
        <v>69.893932915983001</v>
      </c>
      <c r="O13" s="131"/>
      <c r="P13" s="113" t="s">
        <v>310</v>
      </c>
      <c r="Q13" s="130">
        <f t="shared" si="5"/>
        <v>2.2726075537862996E-3</v>
      </c>
      <c r="R13" s="130">
        <f t="shared" si="6"/>
        <v>2.4124576407939325E-3</v>
      </c>
      <c r="S13" s="129">
        <f t="shared" si="7"/>
        <v>1.6804750979841862E-3</v>
      </c>
      <c r="U13" s="101" t="s">
        <v>351</v>
      </c>
    </row>
    <row r="14" spans="1:44">
      <c r="B14" s="113" t="s">
        <v>309</v>
      </c>
      <c r="C14" s="127">
        <v>203</v>
      </c>
      <c r="D14" s="127">
        <v>192</v>
      </c>
      <c r="E14" s="127">
        <v>221</v>
      </c>
      <c r="F14" s="127">
        <f>868-C14-D14-E14</f>
        <v>252</v>
      </c>
      <c r="G14" s="127">
        <v>299</v>
      </c>
      <c r="H14" s="127">
        <v>273</v>
      </c>
      <c r="I14" s="127">
        <v>259</v>
      </c>
      <c r="J14" s="127">
        <v>263</v>
      </c>
      <c r="K14" s="105">
        <v>313</v>
      </c>
      <c r="L14" s="105" cm="1">
        <f t="array" ref="L14">L12*AVERAGE($C14:$J14/AVERAGE($C12:$J12))</f>
        <v>232.18764287934721</v>
      </c>
      <c r="M14" s="105" cm="1">
        <f t="array" ref="M14">M12*AVERAGE($C14:$J14/AVERAGE($C12:$J12))</f>
        <v>233.18604974372838</v>
      </c>
      <c r="N14" s="105" cm="1">
        <f t="array" ref="N14">N12*AVERAGE($C14:$J14/AVERAGE($C12:$J12))</f>
        <v>234.1887497576264</v>
      </c>
      <c r="O14" s="131"/>
      <c r="P14" s="113" t="s">
        <v>309</v>
      </c>
      <c r="Q14" s="130">
        <f t="shared" si="5"/>
        <v>6.531865419491749E-3</v>
      </c>
      <c r="R14" s="130">
        <f t="shared" si="6"/>
        <v>8.8268517024366628E-3</v>
      </c>
      <c r="S14" s="129">
        <f t="shared" si="7"/>
        <v>6.1255434183285773E-3</v>
      </c>
      <c r="U14" s="101" t="s">
        <v>352</v>
      </c>
    </row>
    <row r="15" spans="1:44">
      <c r="B15" s="128" t="s">
        <v>308</v>
      </c>
      <c r="C15" s="127">
        <f>92+3</f>
        <v>95</v>
      </c>
      <c r="D15" s="127">
        <f>103+3</f>
        <v>106</v>
      </c>
      <c r="E15" s="127">
        <f>43+3</f>
        <v>46</v>
      </c>
      <c r="F15" s="127">
        <f>32+2</f>
        <v>34</v>
      </c>
      <c r="G15" s="127">
        <v>89</v>
      </c>
      <c r="H15" s="127">
        <v>103</v>
      </c>
      <c r="I15" s="127">
        <v>98</v>
      </c>
      <c r="J15" s="127">
        <v>95</v>
      </c>
      <c r="K15" s="105">
        <v>208</v>
      </c>
      <c r="L15" s="105">
        <f>L6*AVERAGE($Q15:$R15)</f>
        <v>98.946781634183225</v>
      </c>
      <c r="M15" s="105">
        <f>M6*AVERAGE($Q15:$R15)</f>
        <v>105.19388527844413</v>
      </c>
      <c r="N15" s="105">
        <f>N6*AVERAGE($Q15:$R15)</f>
        <v>146.59201930182596</v>
      </c>
      <c r="O15" s="131"/>
      <c r="P15" s="128" t="s">
        <v>308</v>
      </c>
      <c r="Q15" s="130">
        <f t="shared" si="5"/>
        <v>2.114578551701822E-3</v>
      </c>
      <c r="R15" s="130">
        <f t="shared" si="6"/>
        <v>3.1063417782798129E-3</v>
      </c>
      <c r="S15" s="129">
        <f t="shared" si="7"/>
        <v>3.3800792774804382E-3</v>
      </c>
      <c r="U15" s="101"/>
    </row>
    <row r="16" spans="1:44">
      <c r="B16" s="128" t="s">
        <v>307</v>
      </c>
      <c r="C16" s="127">
        <v>85</v>
      </c>
      <c r="D16" s="127">
        <v>73</v>
      </c>
      <c r="E16" s="127">
        <v>153</v>
      </c>
      <c r="F16" s="127">
        <f>471-C16-D16-E16</f>
        <v>160</v>
      </c>
      <c r="G16" s="127">
        <v>154</v>
      </c>
      <c r="H16" s="127">
        <v>122</v>
      </c>
      <c r="I16" s="127">
        <v>128</v>
      </c>
      <c r="J16" s="127">
        <v>133</v>
      </c>
      <c r="K16" s="105">
        <v>121</v>
      </c>
      <c r="L16" s="105">
        <f>('FA Schedule'!E21-'비용 추정'!K16)/3</f>
        <v>137.05208633650872</v>
      </c>
      <c r="M16" s="105">
        <f>L16</f>
        <v>137.05208633650872</v>
      </c>
      <c r="N16" s="105">
        <f>M16</f>
        <v>137.05208633650872</v>
      </c>
      <c r="O16" s="131"/>
      <c r="P16" s="128" t="s">
        <v>307</v>
      </c>
      <c r="Q16" s="130">
        <f t="shared" si="5"/>
        <v>3.5443647610375732E-3</v>
      </c>
      <c r="R16" s="130">
        <f t="shared" si="6"/>
        <v>4.3327416491850896E-3</v>
      </c>
      <c r="S16" s="129">
        <f t="shared" si="7"/>
        <v>3.2193039495262712E-3</v>
      </c>
      <c r="U16" s="101"/>
    </row>
    <row r="17" spans="2:21">
      <c r="B17" s="128" t="s">
        <v>306</v>
      </c>
      <c r="C17" s="127">
        <v>157</v>
      </c>
      <c r="D17" s="127">
        <v>206</v>
      </c>
      <c r="E17" s="127">
        <v>191</v>
      </c>
      <c r="F17" s="127">
        <f>866-C17-D17-E17</f>
        <v>312</v>
      </c>
      <c r="G17" s="127">
        <v>305</v>
      </c>
      <c r="H17" s="127">
        <v>382</v>
      </c>
      <c r="I17" s="127">
        <v>356</v>
      </c>
      <c r="J17" s="127">
        <v>336</v>
      </c>
      <c r="K17" s="105">
        <v>378</v>
      </c>
      <c r="L17" s="105">
        <f>L6*AVERAGE($Q17:$R17)</f>
        <v>334.3729519984862</v>
      </c>
      <c r="M17" s="105">
        <f>M6*AVERAGE($Q17:$R17)</f>
        <v>355.48392147594501</v>
      </c>
      <c r="N17" s="105">
        <f>N6*AVERAGE($Q17:$R17)</f>
        <v>495.38151139255325</v>
      </c>
      <c r="O17" s="131"/>
      <c r="P17" s="128" t="s">
        <v>306</v>
      </c>
      <c r="Q17" s="130">
        <f t="shared" si="5"/>
        <v>6.5168150383408457E-3</v>
      </c>
      <c r="R17" s="130">
        <f t="shared" si="6"/>
        <v>1.1126351460384057E-2</v>
      </c>
      <c r="S17" s="129">
        <f t="shared" si="7"/>
        <v>9.4568830512679614E-3</v>
      </c>
      <c r="U17" s="101" t="s">
        <v>358</v>
      </c>
    </row>
    <row r="18" spans="2:21">
      <c r="B18" s="128" t="s">
        <v>305</v>
      </c>
      <c r="C18" s="127">
        <v>404</v>
      </c>
      <c r="D18" s="127">
        <v>425</v>
      </c>
      <c r="E18" s="127">
        <v>392</v>
      </c>
      <c r="F18" s="127">
        <f>1625-C18-D18-E18</f>
        <v>404</v>
      </c>
      <c r="G18" s="127">
        <v>287</v>
      </c>
      <c r="H18" s="127">
        <v>333</v>
      </c>
      <c r="I18" s="127">
        <v>279</v>
      </c>
      <c r="J18" s="127">
        <v>337</v>
      </c>
      <c r="K18" s="105">
        <v>330</v>
      </c>
      <c r="L18" s="105">
        <f>K18*(1+(L$6/K$6-1))</f>
        <v>404.21093231368241</v>
      </c>
      <c r="M18" s="105">
        <f t="shared" ref="M18:N18" si="9">L18*(1+(M$6/L$6-1))</f>
        <v>429.7311922615263</v>
      </c>
      <c r="N18" s="105">
        <f t="shared" si="9"/>
        <v>598.84814658050311</v>
      </c>
      <c r="O18" s="131"/>
      <c r="P18" s="128" t="s">
        <v>305</v>
      </c>
      <c r="Q18" s="130">
        <f t="shared" si="5"/>
        <v>1.22284346851084E-2</v>
      </c>
      <c r="R18" s="130">
        <f t="shared" si="6"/>
        <v>9.9725673713086972E-3</v>
      </c>
      <c r="S18" s="129">
        <f t="shared" si="7"/>
        <v>1.0664081434803683E-2</v>
      </c>
      <c r="U18" s="101" t="s">
        <v>353</v>
      </c>
    </row>
    <row r="19" spans="2:21">
      <c r="B19" s="128" t="s">
        <v>304</v>
      </c>
      <c r="C19" s="127">
        <v>251</v>
      </c>
      <c r="D19" s="127">
        <v>253</v>
      </c>
      <c r="E19" s="127">
        <v>256</v>
      </c>
      <c r="F19" s="127">
        <f>1045-C19-D19-E19</f>
        <v>285</v>
      </c>
      <c r="G19" s="127">
        <v>275</v>
      </c>
      <c r="H19" s="127">
        <v>312</v>
      </c>
      <c r="I19" s="127">
        <v>319</v>
      </c>
      <c r="J19" s="127">
        <v>254</v>
      </c>
      <c r="K19" s="105">
        <v>309</v>
      </c>
      <c r="L19" s="105">
        <f>L6*AVERAGE($Q19:$R19)</f>
        <v>326.41359555636836</v>
      </c>
      <c r="M19" s="105">
        <f>M6*AVERAGE($Q19:$R19)</f>
        <v>347.02204313453632</v>
      </c>
      <c r="N19" s="105">
        <f>N6*AVERAGE($Q19:$R19)</f>
        <v>483.58953479743008</v>
      </c>
      <c r="O19" s="131"/>
      <c r="P19" s="128" t="s">
        <v>304</v>
      </c>
      <c r="Q19" s="130">
        <f t="shared" si="5"/>
        <v>7.8638241513466333E-3</v>
      </c>
      <c r="R19" s="130">
        <f t="shared" si="6"/>
        <v>9.35936743585606E-3</v>
      </c>
      <c r="S19" s="129">
        <f t="shared" si="7"/>
        <v>8.868787224076316E-3</v>
      </c>
      <c r="U19" s="101" t="s">
        <v>354</v>
      </c>
    </row>
    <row r="20" spans="2:21">
      <c r="B20" s="128" t="s">
        <v>303</v>
      </c>
      <c r="C20" s="127">
        <v>217</v>
      </c>
      <c r="D20" s="127">
        <v>163</v>
      </c>
      <c r="E20" s="127">
        <v>181</v>
      </c>
      <c r="F20" s="127">
        <f>672-C20-D20-E20</f>
        <v>111</v>
      </c>
      <c r="G20" s="127">
        <v>154</v>
      </c>
      <c r="H20" s="127">
        <v>139</v>
      </c>
      <c r="I20" s="127">
        <v>113</v>
      </c>
      <c r="J20" s="127">
        <v>135</v>
      </c>
      <c r="K20" s="105">
        <v>152</v>
      </c>
      <c r="L20" s="105">
        <f>L6*AVERAGE($Q20:$R20)</f>
        <v>178.56448995963794</v>
      </c>
      <c r="M20" s="105">
        <f>M6*AVERAGE($Q20:$R20)</f>
        <v>189.83833694625957</v>
      </c>
      <c r="N20" s="105">
        <f>N6*AVERAGE($Q20:$R20)</f>
        <v>264.54755502366805</v>
      </c>
      <c r="O20" s="131"/>
      <c r="P20" s="128" t="s">
        <v>303</v>
      </c>
      <c r="Q20" s="130">
        <f t="shared" si="5"/>
        <v>5.0569280667032892E-3</v>
      </c>
      <c r="R20" s="130">
        <f t="shared" si="6"/>
        <v>4.3650153299983861E-3</v>
      </c>
      <c r="S20" s="129">
        <f t="shared" si="7"/>
        <v>4.7485937108610972E-3</v>
      </c>
      <c r="U20" s="101" t="s">
        <v>355</v>
      </c>
    </row>
    <row r="21" spans="2:21" ht="18" thickBot="1">
      <c r="B21" s="128" t="s">
        <v>20</v>
      </c>
      <c r="C21" s="127">
        <f>C11-C12-C13-C14-C15-C16-C17-C18-C19-C20</f>
        <v>1268</v>
      </c>
      <c r="D21" s="127">
        <f>D11-D12-D13--D14-D15-D16--D17-D18-D19-D20</f>
        <v>2093</v>
      </c>
      <c r="E21" s="127">
        <f>E11-E12-E13-E14-E15-E16-E17-E18-E19-E20</f>
        <v>1103</v>
      </c>
      <c r="F21" s="127">
        <f>F11-F12-F13-F14-F15-F16-F17-F18-F19-F20</f>
        <v>1621</v>
      </c>
      <c r="G21" s="127">
        <v>988</v>
      </c>
      <c r="H21" s="127">
        <v>1304</v>
      </c>
      <c r="I21" s="127">
        <v>1040</v>
      </c>
      <c r="J21" s="127">
        <v>1527</v>
      </c>
      <c r="K21" s="105">
        <v>1106</v>
      </c>
      <c r="L21" s="105">
        <f>AVERAGE(C21:K21)</f>
        <v>1338.8888888888889</v>
      </c>
      <c r="M21" s="105">
        <f t="shared" ref="M21:N21" si="10">AVERAGE(D21:L21)</f>
        <v>1346.7654320987654</v>
      </c>
      <c r="N21" s="105">
        <f t="shared" si="10"/>
        <v>1263.8504801097395</v>
      </c>
      <c r="P21" s="126" t="s">
        <v>302</v>
      </c>
      <c r="Q21" s="125">
        <f t="shared" si="5"/>
        <v>4.57907846516213E-2</v>
      </c>
      <c r="R21" s="124">
        <f>SUM(R12:R20)</f>
        <v>9.6829110860093576E-2</v>
      </c>
      <c r="S21" s="123" t="e">
        <f ca="1">SUM(S12:S21)</f>
        <v>#DIV/0!</v>
      </c>
      <c r="U21" s="101" t="s">
        <v>357</v>
      </c>
    </row>
    <row r="22" spans="2:21">
      <c r="B22" s="122" t="s">
        <v>301</v>
      </c>
      <c r="C22" s="121">
        <f t="shared" ref="C22:N22" si="11">C9-C11</f>
        <v>2715</v>
      </c>
      <c r="D22" s="121">
        <f t="shared" si="11"/>
        <v>1940</v>
      </c>
      <c r="E22" s="121">
        <f t="shared" si="11"/>
        <v>983</v>
      </c>
      <c r="F22" s="121">
        <f t="shared" si="11"/>
        <v>408</v>
      </c>
      <c r="G22" s="121">
        <f t="shared" si="11"/>
        <v>-2166</v>
      </c>
      <c r="H22" s="121">
        <f t="shared" si="11"/>
        <v>-1077</v>
      </c>
      <c r="I22" s="121">
        <f t="shared" si="11"/>
        <v>-809</v>
      </c>
      <c r="J22" s="121">
        <f t="shared" si="11"/>
        <v>1049</v>
      </c>
      <c r="K22" s="120">
        <f t="shared" si="11"/>
        <v>303</v>
      </c>
      <c r="L22" s="120">
        <f t="shared" si="11"/>
        <v>1743.0400099849303</v>
      </c>
      <c r="M22" s="120">
        <f t="shared" si="11"/>
        <v>2465.7317101046665</v>
      </c>
      <c r="N22" s="120">
        <f t="shared" si="11"/>
        <v>3869.4205263907779</v>
      </c>
      <c r="U22" s="101"/>
    </row>
    <row r="23" spans="2:21">
      <c r="B23" s="119" t="s">
        <v>300</v>
      </c>
      <c r="C23" s="118">
        <f t="shared" ref="C23:N23" si="12">C22/C6</f>
        <v>8.7574995161602484E-2</v>
      </c>
      <c r="D23" s="117">
        <f t="shared" si="12"/>
        <v>5.7176539935160628E-2</v>
      </c>
      <c r="E23" s="117">
        <f t="shared" si="12"/>
        <v>3.3597648506391416E-2</v>
      </c>
      <c r="F23" s="117">
        <f t="shared" si="12"/>
        <v>1.0543452980851228E-2</v>
      </c>
      <c r="G23" s="117">
        <f t="shared" si="12"/>
        <v>-9.0521564694082249E-2</v>
      </c>
      <c r="H23" s="117">
        <f t="shared" si="12"/>
        <v>-4.0197066397939761E-2</v>
      </c>
      <c r="I23" s="117">
        <f t="shared" si="12"/>
        <v>-2.9172075580556758E-2</v>
      </c>
      <c r="J23" s="117">
        <f t="shared" si="12"/>
        <v>2.306153406467782E-2</v>
      </c>
      <c r="K23" s="117">
        <f t="shared" si="12"/>
        <v>9.7915656810470195E-3</v>
      </c>
      <c r="L23" s="117">
        <f t="shared" si="12"/>
        <v>4.5985694904895395E-2</v>
      </c>
      <c r="M23" s="117">
        <f t="shared" si="12"/>
        <v>6.118886463547988E-2</v>
      </c>
      <c r="N23" s="117">
        <f t="shared" si="12"/>
        <v>6.8905307354717005E-2</v>
      </c>
      <c r="P23" s="165">
        <f>H13/H12</f>
        <v>4.7333333333333331E-2</v>
      </c>
      <c r="Q23" s="166">
        <f>I13/I12</f>
        <v>6.1983471074380167E-2</v>
      </c>
      <c r="R23" s="167">
        <f>J13/J12</f>
        <v>6.5972222222222224E-2</v>
      </c>
      <c r="S23" s="167">
        <f>K13/K12</f>
        <v>5.688375927452597E-2</v>
      </c>
      <c r="U23" s="101"/>
    </row>
    <row r="24" spans="2:21">
      <c r="B24" s="113" t="s">
        <v>299</v>
      </c>
      <c r="C24" s="116">
        <v>249</v>
      </c>
      <c r="D24" s="115">
        <v>-755</v>
      </c>
      <c r="E24" s="115">
        <v>285</v>
      </c>
      <c r="F24" s="115">
        <f>141-SUM(C24:E24)</f>
        <v>362</v>
      </c>
      <c r="G24" s="105">
        <v>-516</v>
      </c>
      <c r="H24" s="105">
        <v>-494</v>
      </c>
      <c r="I24" s="105">
        <v>-1012</v>
      </c>
      <c r="J24" s="105">
        <f>-3267-SUM(G24:I24)</f>
        <v>-1245</v>
      </c>
      <c r="K24" s="114">
        <v>-1367</v>
      </c>
      <c r="L24" s="114">
        <f>AVERAGE(D24:K24)</f>
        <v>-592.75</v>
      </c>
      <c r="M24" s="114">
        <f>L24</f>
        <v>-592.75</v>
      </c>
      <c r="N24" s="114">
        <f>L24</f>
        <v>-592.75</v>
      </c>
      <c r="U24" s="101"/>
    </row>
    <row r="25" spans="2:21">
      <c r="B25" s="113" t="s">
        <v>298</v>
      </c>
      <c r="C25" s="105">
        <v>181</v>
      </c>
      <c r="D25" s="105">
        <v>205</v>
      </c>
      <c r="E25" s="105">
        <v>254</v>
      </c>
      <c r="F25" s="105">
        <f>953-E25-D25-C25</f>
        <v>313</v>
      </c>
      <c r="G25" s="105">
        <v>262</v>
      </c>
      <c r="H25" s="105">
        <v>349</v>
      </c>
      <c r="I25" s="105">
        <v>230</v>
      </c>
      <c r="J25" s="105">
        <f>1083-SUM(G25:I25)</f>
        <v>242</v>
      </c>
      <c r="K25" s="105">
        <v>296</v>
      </c>
      <c r="L25" s="105">
        <f>AVERAGE(C25:K25)</f>
        <v>259.11111111111109</v>
      </c>
      <c r="M25" s="105">
        <f>L25</f>
        <v>259.11111111111109</v>
      </c>
      <c r="N25" s="105">
        <f>M25</f>
        <v>259.11111111111109</v>
      </c>
      <c r="U25" s="101" t="s">
        <v>356</v>
      </c>
    </row>
    <row r="26" spans="2:21">
      <c r="B26" s="113" t="s">
        <v>297</v>
      </c>
      <c r="C26" s="105">
        <v>-821</v>
      </c>
      <c r="D26" s="105">
        <v>-913</v>
      </c>
      <c r="E26" s="105">
        <v>-1120</v>
      </c>
      <c r="F26" s="105">
        <f>-4161-SUM(C26:E26)</f>
        <v>-1307</v>
      </c>
      <c r="G26" s="105">
        <v>-1381</v>
      </c>
      <c r="H26" s="105">
        <v>-1642</v>
      </c>
      <c r="I26" s="105">
        <v>-1558</v>
      </c>
      <c r="J26" s="105">
        <f>-5484-SUM(G26:I26)</f>
        <v>-903</v>
      </c>
      <c r="K26" s="105">
        <v>1346</v>
      </c>
      <c r="L26" s="105">
        <f>AVERAGE(D26:K26)</f>
        <v>-934.75</v>
      </c>
      <c r="M26" s="105">
        <f>L26</f>
        <v>-934.75</v>
      </c>
      <c r="N26" s="105">
        <f>L26</f>
        <v>-934.75</v>
      </c>
      <c r="U26" s="101" t="s">
        <v>404</v>
      </c>
    </row>
    <row r="27" spans="2:21">
      <c r="B27" s="113" t="s">
        <v>296</v>
      </c>
      <c r="C27" s="105">
        <v>2780</v>
      </c>
      <c r="D27" s="105">
        <v>1434</v>
      </c>
      <c r="E27" s="105">
        <v>1224</v>
      </c>
      <c r="F27" s="105">
        <f>6073-E27-D27-C27</f>
        <v>635</v>
      </c>
      <c r="G27" s="105">
        <v>1685</v>
      </c>
      <c r="H27" s="105">
        <v>1489</v>
      </c>
      <c r="I27" s="105">
        <v>525</v>
      </c>
      <c r="J27" s="105">
        <f>6943-SUM(G27:I27)</f>
        <v>3244</v>
      </c>
      <c r="K27" s="105">
        <v>1117</v>
      </c>
      <c r="L27" s="105">
        <f>AVERAGE(D27:K27)</f>
        <v>1419.125</v>
      </c>
      <c r="M27" s="105">
        <f>L27</f>
        <v>1419.125</v>
      </c>
      <c r="N27" s="105">
        <f>L27</f>
        <v>1419.125</v>
      </c>
      <c r="U27" s="101" t="s">
        <v>405</v>
      </c>
    </row>
    <row r="28" spans="2:21">
      <c r="B28" s="113" t="s">
        <v>295</v>
      </c>
      <c r="C28" s="105">
        <v>-3092</v>
      </c>
      <c r="D28" s="105">
        <v>-1468</v>
      </c>
      <c r="E28" s="105">
        <v>-1290</v>
      </c>
      <c r="F28" s="105">
        <f>-10071-SUM(C28:E28)</f>
        <v>-4221</v>
      </c>
      <c r="G28" s="105">
        <v>-3058</v>
      </c>
      <c r="H28" s="105">
        <v>-1734</v>
      </c>
      <c r="I28" s="105">
        <v>-1077</v>
      </c>
      <c r="J28" s="105">
        <f>-10509-SUM(G28:I28)</f>
        <v>-4640</v>
      </c>
      <c r="K28" s="105">
        <v>-2376</v>
      </c>
      <c r="L28" s="105">
        <f>AVERAGE(D28:K28)</f>
        <v>-2483</v>
      </c>
      <c r="M28" s="105">
        <f>L28</f>
        <v>-2483</v>
      </c>
      <c r="N28" s="105">
        <f>L28</f>
        <v>-2483</v>
      </c>
      <c r="U28" s="101" t="s">
        <v>406</v>
      </c>
    </row>
    <row r="29" spans="2:21">
      <c r="B29" s="112" t="s">
        <v>294</v>
      </c>
      <c r="C29" s="111">
        <f>SUM(C22,C24:C28)</f>
        <v>2012</v>
      </c>
      <c r="D29" s="111">
        <f>D22+SUM(D24:D28)</f>
        <v>443</v>
      </c>
      <c r="E29" s="111">
        <f>SUM(E22,E24:E28)</f>
        <v>336</v>
      </c>
      <c r="F29" s="111">
        <f>SUM(F22,F24:F28)</f>
        <v>-3810</v>
      </c>
      <c r="G29" s="111">
        <f>G22+SUM(G24:G28)</f>
        <v>-5174</v>
      </c>
      <c r="H29" s="111">
        <f>H22+SUM(H24:H28)</f>
        <v>-3109</v>
      </c>
      <c r="I29" s="111">
        <f>I22+SUM(I24:I28)</f>
        <v>-3701</v>
      </c>
      <c r="J29" s="111">
        <f>J22+SUM(J24:J28)</f>
        <v>-2253</v>
      </c>
      <c r="K29" s="111">
        <f>K22+SUM(K24:K28)</f>
        <v>-681</v>
      </c>
      <c r="L29" s="111">
        <f>SUM(L22:L28)</f>
        <v>-589.17789320905376</v>
      </c>
      <c r="M29" s="111">
        <f>SUM(M22:M28)</f>
        <v>133.52901008041317</v>
      </c>
      <c r="N29" s="111">
        <f>SUM(N22:N28)</f>
        <v>1537.225542809244</v>
      </c>
      <c r="U29" s="101"/>
    </row>
    <row r="30" spans="2:21">
      <c r="B30" s="110" t="s">
        <v>293</v>
      </c>
      <c r="C30" s="105">
        <v>606</v>
      </c>
      <c r="D30" s="105">
        <v>222</v>
      </c>
      <c r="E30" s="105">
        <v>130</v>
      </c>
      <c r="F30" s="105">
        <f>411-E30-D30-C30</f>
        <v>-547</v>
      </c>
      <c r="G30" s="105">
        <v>-691</v>
      </c>
      <c r="H30" s="105">
        <v>-641</v>
      </c>
      <c r="I30" s="105">
        <f>-116</f>
        <v>-116</v>
      </c>
      <c r="J30" s="105">
        <f>-3156-SUM(G30:I30)</f>
        <v>-1708</v>
      </c>
      <c r="K30" s="105">
        <v>-392</v>
      </c>
      <c r="L30" s="105">
        <v>0</v>
      </c>
      <c r="M30" s="105">
        <v>0</v>
      </c>
      <c r="N30" s="105">
        <f>2*0.09+198*0.19+636*0.21</f>
        <v>171.36</v>
      </c>
      <c r="U30" s="101" t="s">
        <v>549</v>
      </c>
    </row>
    <row r="31" spans="2:21">
      <c r="B31" s="109" t="s">
        <v>292</v>
      </c>
      <c r="C31" s="108">
        <f>C30/C29</f>
        <v>0.30119284294234594</v>
      </c>
      <c r="D31" s="108">
        <f t="shared" ref="D31:K31" si="13">D30/D29</f>
        <v>0.50112866817155755</v>
      </c>
      <c r="E31" s="108">
        <f t="shared" si="13"/>
        <v>0.38690476190476192</v>
      </c>
      <c r="F31" s="108">
        <f t="shared" si="13"/>
        <v>0.14356955380577427</v>
      </c>
      <c r="G31" s="108">
        <f t="shared" si="13"/>
        <v>0.13355237727097025</v>
      </c>
      <c r="H31" s="108">
        <f>H30/H29</f>
        <v>0.20617561917015118</v>
      </c>
      <c r="I31" s="108">
        <f t="shared" si="13"/>
        <v>3.1342880302620911E-2</v>
      </c>
      <c r="J31" s="108">
        <f t="shared" si="13"/>
        <v>0.75810031069684869</v>
      </c>
      <c r="K31" s="108">
        <f t="shared" si="13"/>
        <v>0.57562408223201178</v>
      </c>
      <c r="L31" s="108">
        <v>0</v>
      </c>
      <c r="M31" s="108">
        <f>L31</f>
        <v>0</v>
      </c>
      <c r="N31" s="108">
        <f>N30/N29</f>
        <v>0.1114735575411033</v>
      </c>
      <c r="U31" s="101"/>
    </row>
    <row r="32" spans="2:21" s="100" customFormat="1">
      <c r="B32" s="107" t="s">
        <v>291</v>
      </c>
      <c r="C32" s="106">
        <f t="shared" ref="C32:N32" si="14">C29-C30</f>
        <v>1406</v>
      </c>
      <c r="D32" s="106">
        <f t="shared" si="14"/>
        <v>221</v>
      </c>
      <c r="E32" s="106">
        <f t="shared" si="14"/>
        <v>206</v>
      </c>
      <c r="F32" s="106">
        <f t="shared" si="14"/>
        <v>-3263</v>
      </c>
      <c r="G32" s="106">
        <f t="shared" si="14"/>
        <v>-4483</v>
      </c>
      <c r="H32" s="106">
        <f t="shared" si="14"/>
        <v>-2468</v>
      </c>
      <c r="I32" s="106">
        <f t="shared" si="14"/>
        <v>-3585</v>
      </c>
      <c r="J32" s="106">
        <f t="shared" si="14"/>
        <v>-545</v>
      </c>
      <c r="K32" s="106">
        <f t="shared" si="14"/>
        <v>-289</v>
      </c>
      <c r="L32" s="106">
        <f t="shared" si="14"/>
        <v>-589.17789320905376</v>
      </c>
      <c r="M32" s="106">
        <f t="shared" si="14"/>
        <v>133.52901008041317</v>
      </c>
      <c r="N32" s="106">
        <f t="shared" si="14"/>
        <v>1365.8655428092438</v>
      </c>
      <c r="U32" s="104"/>
    </row>
    <row r="33" spans="2:21" s="100" customFormat="1">
      <c r="B33" s="107" t="s">
        <v>290</v>
      </c>
      <c r="C33" s="106">
        <v>-72</v>
      </c>
      <c r="D33" s="106">
        <v>-12</v>
      </c>
      <c r="E33" s="106"/>
      <c r="F33" s="106">
        <f>-84-SUM(C33:D33)</f>
        <v>0</v>
      </c>
      <c r="G33" s="106"/>
      <c r="H33" s="106">
        <v>-829</v>
      </c>
      <c r="I33" s="106">
        <v>-288</v>
      </c>
      <c r="J33" s="106">
        <f>-2598-SUM(H33:I33)</f>
        <v>-1481</v>
      </c>
      <c r="K33" s="105">
        <v>-13</v>
      </c>
      <c r="L33" s="105">
        <v>0</v>
      </c>
      <c r="M33" s="105">
        <v>0</v>
      </c>
      <c r="N33" s="105">
        <v>0</v>
      </c>
      <c r="U33" s="104"/>
    </row>
    <row r="34" spans="2:21" ht="17.25" customHeight="1">
      <c r="B34" s="103" t="s">
        <v>289</v>
      </c>
      <c r="C34" s="102">
        <f t="shared" ref="C34:N34" si="15">C32+C33</f>
        <v>1334</v>
      </c>
      <c r="D34" s="102">
        <f t="shared" si="15"/>
        <v>209</v>
      </c>
      <c r="E34" s="102">
        <f t="shared" si="15"/>
        <v>206</v>
      </c>
      <c r="F34" s="102">
        <f t="shared" si="15"/>
        <v>-3263</v>
      </c>
      <c r="G34" s="102">
        <f t="shared" si="15"/>
        <v>-4483</v>
      </c>
      <c r="H34" s="102">
        <f t="shared" si="15"/>
        <v>-3297</v>
      </c>
      <c r="I34" s="102">
        <f t="shared" si="15"/>
        <v>-3873</v>
      </c>
      <c r="J34" s="102">
        <f t="shared" si="15"/>
        <v>-2026</v>
      </c>
      <c r="K34" s="102">
        <f t="shared" si="15"/>
        <v>-302</v>
      </c>
      <c r="L34" s="102">
        <f t="shared" si="15"/>
        <v>-589.17789320905376</v>
      </c>
      <c r="M34" s="102">
        <f t="shared" si="15"/>
        <v>133.52901008041317</v>
      </c>
      <c r="N34" s="102">
        <f t="shared" si="15"/>
        <v>1365.8655428092438</v>
      </c>
      <c r="O34" s="100"/>
      <c r="U34" s="101"/>
    </row>
    <row r="35" spans="2:21" s="219" customFormat="1" ht="16.8">
      <c r="B35" s="107" t="s">
        <v>327</v>
      </c>
      <c r="C35" s="105">
        <v>1162</v>
      </c>
      <c r="D35" s="105">
        <f>71</f>
        <v>71</v>
      </c>
      <c r="E35" s="105">
        <v>59</v>
      </c>
      <c r="F35" s="105">
        <f>-2081-SUM(C35:E35)</f>
        <v>-3373</v>
      </c>
      <c r="G35" s="105">
        <v>-4591</v>
      </c>
      <c r="H35" s="105">
        <v>-3671</v>
      </c>
      <c r="I35" s="105">
        <v>-4005</v>
      </c>
      <c r="J35" s="105">
        <f>-14044-SUM(G35:I35)</f>
        <v>-1777</v>
      </c>
      <c r="K35" s="105">
        <v>-445</v>
      </c>
      <c r="L35" s="105">
        <f>L34*L36</f>
        <v>-650.71366363194068</v>
      </c>
      <c r="M35" s="105">
        <f t="shared" ref="M35:N35" si="16">M34*M36</f>
        <v>147.47524024928364</v>
      </c>
      <c r="N35" s="105">
        <f t="shared" si="16"/>
        <v>1508.5212490731899</v>
      </c>
      <c r="P35" s="220"/>
      <c r="Q35" s="220"/>
      <c r="T35" s="223"/>
    </row>
    <row r="36" spans="2:21" s="219" customFormat="1" ht="16.8">
      <c r="B36" s="221" t="s">
        <v>379</v>
      </c>
      <c r="C36" s="118">
        <f t="shared" ref="C36:K36" si="17">C35/C34</f>
        <v>0.8710644677661169</v>
      </c>
      <c r="D36" s="118">
        <f t="shared" si="17"/>
        <v>0.33971291866028708</v>
      </c>
      <c r="E36" s="118">
        <f t="shared" si="17"/>
        <v>0.28640776699029125</v>
      </c>
      <c r="F36" s="118">
        <f t="shared" si="17"/>
        <v>1.0337113086117071</v>
      </c>
      <c r="G36" s="118">
        <f t="shared" si="17"/>
        <v>1.0240910104840508</v>
      </c>
      <c r="H36" s="118">
        <f t="shared" si="17"/>
        <v>1.113436457385502</v>
      </c>
      <c r="I36" s="118">
        <f t="shared" si="17"/>
        <v>1.0340821068938808</v>
      </c>
      <c r="J36" s="118">
        <f t="shared" si="17"/>
        <v>0.87709772951628828</v>
      </c>
      <c r="K36" s="118">
        <f t="shared" si="17"/>
        <v>1.4735099337748345</v>
      </c>
      <c r="L36" s="118">
        <f>AVERAGE(G36:K36)</f>
        <v>1.1044434476109113</v>
      </c>
      <c r="M36" s="118">
        <f>L36</f>
        <v>1.1044434476109113</v>
      </c>
      <c r="N36" s="118">
        <f>L36</f>
        <v>1.1044434476109113</v>
      </c>
      <c r="P36" s="220"/>
      <c r="Q36" s="220"/>
      <c r="T36" s="223"/>
    </row>
    <row r="37" spans="2:21" s="219" customFormat="1" ht="16.8">
      <c r="B37" s="107" t="s">
        <v>328</v>
      </c>
      <c r="C37" s="105">
        <v>172</v>
      </c>
      <c r="D37" s="105">
        <f>137</f>
        <v>137</v>
      </c>
      <c r="E37" s="105">
        <v>147</v>
      </c>
      <c r="F37" s="105">
        <f>528-SUM(C37:E37)</f>
        <v>72</v>
      </c>
      <c r="G37" s="105">
        <v>107</v>
      </c>
      <c r="H37" s="105">
        <v>373</v>
      </c>
      <c r="I37" s="105">
        <v>129</v>
      </c>
      <c r="J37" s="105">
        <f>354-SUM(G37:I37)</f>
        <v>-255</v>
      </c>
      <c r="K37" s="105">
        <v>143</v>
      </c>
      <c r="L37" s="105">
        <f>L34*L38</f>
        <v>58.917789320905378</v>
      </c>
      <c r="M37" s="105">
        <f t="shared" ref="M37:N37" si="18">M34*M38</f>
        <v>-13.352901008041318</v>
      </c>
      <c r="N37" s="105">
        <f t="shared" si="18"/>
        <v>-136.58655428092439</v>
      </c>
      <c r="P37" s="220"/>
      <c r="Q37" s="220"/>
      <c r="T37" s="223"/>
    </row>
    <row r="38" spans="2:21">
      <c r="B38" s="222" t="s">
        <v>379</v>
      </c>
      <c r="C38" s="118">
        <f t="shared" ref="C38:K38" si="19">C37/C34</f>
        <v>0.12893553223388307</v>
      </c>
      <c r="D38" s="118">
        <f t="shared" si="19"/>
        <v>0.65550239234449759</v>
      </c>
      <c r="E38" s="118">
        <f t="shared" si="19"/>
        <v>0.71359223300970875</v>
      </c>
      <c r="F38" s="118">
        <f t="shared" si="19"/>
        <v>-2.2065583818571866E-2</v>
      </c>
      <c r="G38" s="118">
        <f t="shared" si="19"/>
        <v>-2.38679455721615E-2</v>
      </c>
      <c r="H38" s="118">
        <f t="shared" si="19"/>
        <v>-0.11313315134971186</v>
      </c>
      <c r="I38" s="118">
        <f t="shared" si="19"/>
        <v>-3.3307513555383424E-2</v>
      </c>
      <c r="J38" s="118">
        <f t="shared" si="19"/>
        <v>0.12586377097729518</v>
      </c>
      <c r="K38" s="118">
        <f t="shared" si="19"/>
        <v>-0.47350993377483441</v>
      </c>
      <c r="L38" s="224">
        <v>-0.1</v>
      </c>
      <c r="M38" s="224">
        <v>-0.1</v>
      </c>
      <c r="N38" s="224">
        <v>-0.1</v>
      </c>
    </row>
    <row r="41" spans="2:21">
      <c r="C41" s="140"/>
      <c r="D41" s="140"/>
      <c r="E41" s="140"/>
      <c r="F41" s="140"/>
      <c r="G41" s="140"/>
      <c r="H41" s="140"/>
      <c r="I41" s="140"/>
      <c r="J41" s="140"/>
      <c r="K41" s="140"/>
    </row>
    <row r="42" spans="2:21">
      <c r="B42" s="135" t="s">
        <v>324</v>
      </c>
      <c r="C42" s="146" t="s">
        <v>1</v>
      </c>
      <c r="D42" s="146" t="s">
        <v>2</v>
      </c>
      <c r="E42" s="146" t="s">
        <v>3</v>
      </c>
      <c r="F42" s="146" t="s">
        <v>4</v>
      </c>
      <c r="G42" s="146" t="s">
        <v>5</v>
      </c>
      <c r="H42" s="146" t="s">
        <v>6</v>
      </c>
      <c r="I42" s="146" t="s">
        <v>7</v>
      </c>
      <c r="J42" s="146" t="s">
        <v>8</v>
      </c>
      <c r="K42" s="146" t="s">
        <v>9</v>
      </c>
      <c r="L42" s="145" t="s">
        <v>323</v>
      </c>
      <c r="M42" s="145" t="s">
        <v>322</v>
      </c>
      <c r="N42" s="145" t="s">
        <v>321</v>
      </c>
    </row>
    <row r="43" spans="2:21">
      <c r="B43" s="138" t="s">
        <v>403</v>
      </c>
      <c r="C43" s="137">
        <v>31002</v>
      </c>
      <c r="D43" s="137">
        <v>33930</v>
      </c>
      <c r="E43" s="137">
        <v>29258</v>
      </c>
      <c r="F43" s="137">
        <v>38697</v>
      </c>
      <c r="G43" s="143">
        <v>23928</v>
      </c>
      <c r="H43" s="143">
        <v>26793</v>
      </c>
      <c r="I43" s="143">
        <v>27732</v>
      </c>
      <c r="J43" s="143">
        <v>45487</v>
      </c>
      <c r="K43" s="143">
        <v>30945</v>
      </c>
      <c r="L43" s="137">
        <v>37903.961516505762</v>
      </c>
      <c r="M43" s="137">
        <v>40297.065892524035</v>
      </c>
      <c r="N43" s="137">
        <v>56155.623927071727</v>
      </c>
    </row>
    <row r="44" spans="2:21">
      <c r="B44" s="138" t="s">
        <v>318</v>
      </c>
      <c r="C44" s="137">
        <v>24243</v>
      </c>
      <c r="D44" s="137">
        <v>28047</v>
      </c>
      <c r="E44" s="137">
        <v>24616</v>
      </c>
      <c r="F44" s="137">
        <v>33592</v>
      </c>
      <c r="G44" s="137">
        <v>21958</v>
      </c>
      <c r="H44" s="137">
        <v>23331</v>
      </c>
      <c r="I44" s="137">
        <v>24664</v>
      </c>
      <c r="J44" s="137">
        <v>40129</v>
      </c>
      <c r="K44" s="137">
        <v>26443</v>
      </c>
      <c r="L44" s="137">
        <f>L45-L47</f>
        <v>31822.771536953729</v>
      </c>
      <c r="M44" s="137">
        <f t="shared" ref="M44:N44" si="20">M45-M47</f>
        <v>33394.012330963655</v>
      </c>
      <c r="N44" s="137">
        <f t="shared" si="20"/>
        <v>47363.54430291312</v>
      </c>
    </row>
    <row r="45" spans="2:21">
      <c r="B45" s="112" t="s">
        <v>401</v>
      </c>
      <c r="C45" s="256">
        <f>C44+C47</f>
        <v>24472</v>
      </c>
      <c r="D45" s="256">
        <f t="shared" ref="D45:K45" si="21">D44+D47</f>
        <v>28327</v>
      </c>
      <c r="E45" s="256">
        <f t="shared" si="21"/>
        <v>24966</v>
      </c>
      <c r="F45" s="256">
        <f t="shared" si="21"/>
        <v>34830</v>
      </c>
      <c r="G45" s="256">
        <f t="shared" si="21"/>
        <v>22924</v>
      </c>
      <c r="H45" s="256">
        <f t="shared" si="21"/>
        <v>24799</v>
      </c>
      <c r="I45" s="256">
        <f t="shared" si="21"/>
        <v>25880</v>
      </c>
      <c r="J45" s="256">
        <f t="shared" si="21"/>
        <v>42030</v>
      </c>
      <c r="K45" s="256">
        <f t="shared" si="21"/>
        <v>28282</v>
      </c>
      <c r="L45" s="256">
        <f>L43*L46</f>
        <v>33828.821736953731</v>
      </c>
      <c r="M45" s="256">
        <f t="shared" ref="M45:N45" si="22">M43*M46</f>
        <v>35461.417985421154</v>
      </c>
      <c r="N45" s="256">
        <f t="shared" si="22"/>
        <v>49416.949055823119</v>
      </c>
    </row>
    <row r="46" spans="2:21">
      <c r="B46" s="112" t="s">
        <v>402</v>
      </c>
      <c r="C46" s="257">
        <f>C45/C43</f>
        <v>0.78936842784336492</v>
      </c>
      <c r="D46" s="257">
        <f t="shared" ref="D46:K46" si="23">D45/D43</f>
        <v>0.83486590038314179</v>
      </c>
      <c r="E46" s="257">
        <f t="shared" si="23"/>
        <v>0.85330507895276508</v>
      </c>
      <c r="F46" s="257">
        <f t="shared" si="23"/>
        <v>0.90006977285060863</v>
      </c>
      <c r="G46" s="257">
        <f>G45/G43</f>
        <v>0.95804078903376799</v>
      </c>
      <c r="H46" s="257">
        <f>H45/H43</f>
        <v>0.92557757623259806</v>
      </c>
      <c r="I46" s="257">
        <f t="shared" si="23"/>
        <v>0.93321794317034468</v>
      </c>
      <c r="J46" s="257">
        <f t="shared" si="23"/>
        <v>0.92400026381163847</v>
      </c>
      <c r="K46" s="257">
        <f t="shared" si="23"/>
        <v>0.91394409436096302</v>
      </c>
      <c r="L46" s="257">
        <f>AVERAGE(C46:K46)</f>
        <v>0.8924877607376881</v>
      </c>
      <c r="M46" s="257">
        <v>0.88</v>
      </c>
      <c r="N46" s="257">
        <v>0.88</v>
      </c>
    </row>
    <row r="47" spans="2:21">
      <c r="B47" s="112" t="s">
        <v>329</v>
      </c>
      <c r="C47" s="256">
        <v>229</v>
      </c>
      <c r="D47" s="256">
        <v>280</v>
      </c>
      <c r="E47" s="256">
        <v>350</v>
      </c>
      <c r="F47" s="256">
        <v>1238</v>
      </c>
      <c r="G47" s="256">
        <v>966</v>
      </c>
      <c r="H47" s="256">
        <v>1468</v>
      </c>
      <c r="I47" s="256">
        <v>1216</v>
      </c>
      <c r="J47" s="256">
        <v>1901</v>
      </c>
      <c r="K47" s="256">
        <v>1839</v>
      </c>
      <c r="L47" s="417">
        <v>2006.0501999999999</v>
      </c>
      <c r="M47" s="417">
        <v>2067.4056544575001</v>
      </c>
      <c r="N47" s="417">
        <v>2053.4047529099998</v>
      </c>
    </row>
    <row r="49" spans="3:16">
      <c r="C49" s="169"/>
      <c r="D49" s="169"/>
      <c r="E49" s="169"/>
      <c r="F49" s="169"/>
      <c r="G49" s="169"/>
      <c r="H49" s="169"/>
      <c r="I49" s="169"/>
      <c r="J49" s="169"/>
      <c r="K49" s="169"/>
      <c r="L49" s="226"/>
      <c r="M49" s="226"/>
      <c r="N49" s="226"/>
    </row>
    <row r="50" spans="3:16">
      <c r="C50" s="100"/>
      <c r="D50" s="100"/>
      <c r="E50" s="100"/>
      <c r="F50" s="100"/>
      <c r="G50" s="100"/>
      <c r="H50" s="100"/>
      <c r="I50" s="100"/>
      <c r="J50" s="100"/>
      <c r="K50" s="100"/>
      <c r="L50" s="100"/>
      <c r="M50" s="100"/>
      <c r="N50" s="100"/>
    </row>
    <row r="51" spans="3:16">
      <c r="C51" s="164"/>
      <c r="D51" s="164"/>
      <c r="E51" s="164"/>
      <c r="F51" s="164"/>
      <c r="G51" s="164"/>
      <c r="H51" s="164"/>
      <c r="I51" s="164"/>
      <c r="J51" s="164"/>
      <c r="K51" s="164"/>
      <c r="L51" s="227"/>
      <c r="M51" s="227"/>
      <c r="N51" s="227"/>
    </row>
    <row r="52" spans="3:16">
      <c r="I52" s="227">
        <f>AVERAGE(C46:F46,H46:K46)</f>
        <v>0.88429363220067814</v>
      </c>
    </row>
    <row r="53" spans="3:16">
      <c r="K53" s="227"/>
    </row>
    <row r="59" spans="3:16">
      <c r="P59" s="99" t="s">
        <v>553</v>
      </c>
    </row>
  </sheetData>
  <phoneticPr fontId="3"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391C-FD4B-4F4B-89DC-62FBFC8BBD72}">
  <sheetPr>
    <tabColor rgb="FFD0CECE"/>
  </sheetPr>
  <dimension ref="C3:S43"/>
  <sheetViews>
    <sheetView showGridLines="0" zoomScale="85" zoomScaleNormal="85" workbookViewId="0"/>
  </sheetViews>
  <sheetFormatPr defaultColWidth="10.7265625" defaultRowHeight="19.8"/>
  <cols>
    <col min="1" max="2" width="2.81640625" style="168" customWidth="1"/>
    <col min="3" max="3" width="6.26953125" style="168" customWidth="1"/>
    <col min="4" max="4" width="11.26953125" style="168" customWidth="1"/>
    <col min="5" max="5" width="10.81640625" style="168" customWidth="1"/>
    <col min="6" max="6" width="10.7265625" style="168" customWidth="1"/>
    <col min="7" max="16" width="10.7265625" style="168"/>
    <col min="17" max="19" width="10.7265625" style="169"/>
    <col min="20" max="16384" width="10.7265625" style="168"/>
  </cols>
  <sheetData>
    <row r="3" spans="3:19">
      <c r="C3" s="502" t="s">
        <v>324</v>
      </c>
      <c r="D3" s="503"/>
      <c r="E3" s="146" t="s">
        <v>1</v>
      </c>
      <c r="F3" s="146" t="s">
        <v>2</v>
      </c>
      <c r="G3" s="146" t="s">
        <v>3</v>
      </c>
      <c r="H3" s="146" t="s">
        <v>4</v>
      </c>
      <c r="I3" s="146" t="s">
        <v>5</v>
      </c>
      <c r="J3" s="146" t="s">
        <v>6</v>
      </c>
      <c r="K3" s="146" t="s">
        <v>7</v>
      </c>
      <c r="L3" s="146" t="s">
        <v>8</v>
      </c>
      <c r="M3" s="189" t="s">
        <v>9</v>
      </c>
      <c r="N3" s="145" t="s">
        <v>323</v>
      </c>
      <c r="O3" s="145" t="s">
        <v>322</v>
      </c>
      <c r="P3" s="210" t="s">
        <v>321</v>
      </c>
      <c r="Q3" s="195">
        <v>2023</v>
      </c>
      <c r="R3" s="195">
        <v>2024</v>
      </c>
      <c r="S3" s="196" t="s">
        <v>13</v>
      </c>
    </row>
    <row r="4" spans="3:19" ht="20.399999999999999" thickBot="1">
      <c r="C4" s="202" t="s">
        <v>343</v>
      </c>
      <c r="D4" s="201"/>
      <c r="E4" s="171">
        <v>229</v>
      </c>
      <c r="F4" s="171">
        <v>280</v>
      </c>
      <c r="G4" s="171">
        <v>350</v>
      </c>
      <c r="H4" s="171">
        <v>1238</v>
      </c>
      <c r="I4" s="171">
        <v>966</v>
      </c>
      <c r="J4" s="171">
        <v>1468</v>
      </c>
      <c r="K4" s="171">
        <v>1216</v>
      </c>
      <c r="L4" s="171">
        <v>1901</v>
      </c>
      <c r="M4" s="177">
        <v>1839</v>
      </c>
      <c r="N4" s="209">
        <f>N20*F32*N27*N5/100000000</f>
        <v>2006.0501999999999</v>
      </c>
      <c r="O4" s="209">
        <f>O20*O27*F32*O5/100000000+O24*O28*F32*O5/1000000000+O25*O29*F32*O5/1000000000</f>
        <v>2067.4056544575001</v>
      </c>
      <c r="P4" s="211">
        <f>P20*P27*F32*P5/100000000+P24*P28*F32*P5/1000000000+P25*P29*F32*P5/1000000000</f>
        <v>2053.4047529099998</v>
      </c>
      <c r="Q4" s="171">
        <f>SUM(E4:H4)</f>
        <v>2097</v>
      </c>
      <c r="R4" s="171">
        <f>SUM(I4:L4)</f>
        <v>5551</v>
      </c>
      <c r="S4" s="209">
        <f>SUM(M4:P4)</f>
        <v>7965.8606073674991</v>
      </c>
    </row>
    <row r="5" spans="3:19" ht="20.399999999999999" thickTop="1">
      <c r="C5" s="173" t="s">
        <v>332</v>
      </c>
      <c r="D5" s="178"/>
      <c r="E5" s="174">
        <v>1279.5999999999999</v>
      </c>
      <c r="F5" s="174">
        <v>1317.65</v>
      </c>
      <c r="G5" s="174">
        <v>1313.48</v>
      </c>
      <c r="H5" s="174">
        <v>1321.24</v>
      </c>
      <c r="I5" s="174">
        <v>1331.66</v>
      </c>
      <c r="J5" s="174">
        <v>1373.43</v>
      </c>
      <c r="K5" s="174">
        <v>1358.57</v>
      </c>
      <c r="L5" s="174">
        <v>1402.5</v>
      </c>
      <c r="M5" s="178">
        <v>1454.05</v>
      </c>
      <c r="N5" s="174">
        <v>1364.66</v>
      </c>
      <c r="O5" s="174">
        <v>1359.97</v>
      </c>
      <c r="P5" s="178">
        <v>1350.76</v>
      </c>
      <c r="Q5" s="174"/>
      <c r="R5" s="174"/>
      <c r="S5" s="174"/>
    </row>
    <row r="6" spans="3:19">
      <c r="C6" s="172" t="s">
        <v>333</v>
      </c>
      <c r="D6" s="179"/>
      <c r="E6" s="169"/>
      <c r="F6" s="169"/>
      <c r="G6" s="169"/>
      <c r="H6" s="169"/>
      <c r="I6" s="169"/>
      <c r="J6" s="169"/>
      <c r="K6" s="169"/>
      <c r="L6" s="169"/>
      <c r="M6" s="181"/>
      <c r="N6" s="169"/>
      <c r="O6" s="169"/>
      <c r="P6" s="181"/>
    </row>
    <row r="7" spans="3:19">
      <c r="C7" s="180" t="s">
        <v>334</v>
      </c>
      <c r="D7" s="181" t="s">
        <v>341</v>
      </c>
      <c r="E7" s="169">
        <f>E8</f>
        <v>425</v>
      </c>
      <c r="F7" s="169">
        <f>F8</f>
        <v>425</v>
      </c>
      <c r="G7" s="169">
        <f>G8+G9</f>
        <v>1275</v>
      </c>
      <c r="H7" s="169">
        <f>H8+H9</f>
        <v>1275</v>
      </c>
      <c r="I7" s="169">
        <v>1275</v>
      </c>
      <c r="J7" s="169">
        <v>2100</v>
      </c>
      <c r="K7" s="169">
        <v>2100</v>
      </c>
      <c r="L7" s="169">
        <v>2100</v>
      </c>
      <c r="M7" s="181">
        <v>2100</v>
      </c>
      <c r="N7" s="169">
        <f>SUM(N8:N10)</f>
        <v>2100</v>
      </c>
      <c r="O7" s="169">
        <v>2100</v>
      </c>
      <c r="P7" s="181">
        <v>2100</v>
      </c>
      <c r="Q7" s="169">
        <f>SUM(E7:H7)</f>
        <v>3400</v>
      </c>
      <c r="R7" s="169">
        <f>SUM(I7:L7)</f>
        <v>7575</v>
      </c>
      <c r="S7" s="169">
        <f>SUM(M7:P7)</f>
        <v>8400</v>
      </c>
    </row>
    <row r="8" spans="3:19">
      <c r="C8" s="180"/>
      <c r="D8" s="181" t="s">
        <v>336</v>
      </c>
      <c r="E8" s="169">
        <v>425</v>
      </c>
      <c r="F8" s="169">
        <v>425</v>
      </c>
      <c r="G8" s="169">
        <v>425</v>
      </c>
      <c r="H8" s="169">
        <v>425</v>
      </c>
      <c r="I8" s="169">
        <v>425</v>
      </c>
      <c r="J8" s="169">
        <v>425</v>
      </c>
      <c r="K8" s="169">
        <v>425</v>
      </c>
      <c r="L8" s="169">
        <v>425</v>
      </c>
      <c r="M8" s="181">
        <v>425</v>
      </c>
      <c r="N8" s="169">
        <v>425</v>
      </c>
      <c r="O8" s="169">
        <v>425</v>
      </c>
      <c r="P8" s="181">
        <v>425</v>
      </c>
      <c r="Q8" s="169">
        <f>SUM(E8:H8)</f>
        <v>1700</v>
      </c>
      <c r="R8" s="169">
        <f>SUM(I8:L8)</f>
        <v>1700</v>
      </c>
      <c r="S8" s="169">
        <f>SUM(M8:P8)</f>
        <v>1700</v>
      </c>
    </row>
    <row r="9" spans="3:19">
      <c r="C9" s="169"/>
      <c r="D9" s="181" t="s">
        <v>337</v>
      </c>
      <c r="E9" s="187" t="s">
        <v>342</v>
      </c>
      <c r="F9" s="187" t="s">
        <v>342</v>
      </c>
      <c r="G9" s="169">
        <v>850</v>
      </c>
      <c r="H9" s="169">
        <v>850</v>
      </c>
      <c r="I9" s="169">
        <v>850</v>
      </c>
      <c r="J9" s="169">
        <v>850</v>
      </c>
      <c r="K9" s="169">
        <v>850</v>
      </c>
      <c r="L9" s="169">
        <v>850</v>
      </c>
      <c r="M9" s="181">
        <v>850</v>
      </c>
      <c r="N9" s="169">
        <v>850</v>
      </c>
      <c r="O9" s="169">
        <v>850</v>
      </c>
      <c r="P9" s="181">
        <v>850</v>
      </c>
      <c r="Q9" s="169">
        <f>SUM(G9:H9)</f>
        <v>1700</v>
      </c>
      <c r="R9" s="169">
        <f>SUM(I9:L9)</f>
        <v>3400</v>
      </c>
      <c r="S9" s="169">
        <f>SUM(M9:P9)</f>
        <v>3400</v>
      </c>
    </row>
    <row r="10" spans="3:19">
      <c r="C10" s="169"/>
      <c r="D10" s="181" t="s">
        <v>338</v>
      </c>
      <c r="E10" s="187" t="s">
        <v>342</v>
      </c>
      <c r="F10" s="187" t="s">
        <v>342</v>
      </c>
      <c r="G10" s="187" t="s">
        <v>342</v>
      </c>
      <c r="H10" s="187" t="s">
        <v>342</v>
      </c>
      <c r="I10" s="170" t="s">
        <v>342</v>
      </c>
      <c r="J10" s="169">
        <v>825</v>
      </c>
      <c r="K10" s="169">
        <v>825</v>
      </c>
      <c r="L10" s="169">
        <v>825</v>
      </c>
      <c r="M10" s="181">
        <v>825</v>
      </c>
      <c r="N10" s="169">
        <v>825</v>
      </c>
      <c r="O10" s="169">
        <v>825</v>
      </c>
      <c r="P10" s="181">
        <v>825</v>
      </c>
      <c r="Q10" s="187" t="s">
        <v>342</v>
      </c>
      <c r="R10" s="169">
        <f>SUM(J10:L10)</f>
        <v>2475</v>
      </c>
      <c r="S10" s="169">
        <f>SUM(M10:P10)</f>
        <v>3300</v>
      </c>
    </row>
    <row r="11" spans="3:19">
      <c r="C11" s="180" t="s">
        <v>335</v>
      </c>
      <c r="D11" s="181" t="s">
        <v>338</v>
      </c>
      <c r="E11" s="187" t="s">
        <v>342</v>
      </c>
      <c r="F11" s="187" t="s">
        <v>342</v>
      </c>
      <c r="G11" s="187" t="s">
        <v>342</v>
      </c>
      <c r="H11" s="187" t="s">
        <v>342</v>
      </c>
      <c r="I11" s="170" t="s">
        <v>342</v>
      </c>
      <c r="J11" s="170" t="s">
        <v>342</v>
      </c>
      <c r="K11" s="170" t="s">
        <v>342</v>
      </c>
      <c r="L11" s="170" t="s">
        <v>342</v>
      </c>
      <c r="M11" s="190" t="s">
        <v>342</v>
      </c>
      <c r="N11" s="170" t="s">
        <v>342</v>
      </c>
      <c r="O11" s="169">
        <v>825</v>
      </c>
      <c r="P11" s="181">
        <v>825</v>
      </c>
      <c r="Q11" s="187" t="s">
        <v>342</v>
      </c>
      <c r="R11" s="187" t="s">
        <v>342</v>
      </c>
      <c r="S11" s="169">
        <f>SUM(O11:P11)</f>
        <v>1650</v>
      </c>
    </row>
    <row r="12" spans="3:19">
      <c r="C12" s="175" t="s">
        <v>331</v>
      </c>
      <c r="D12" s="182" t="s">
        <v>338</v>
      </c>
      <c r="E12" s="197" t="s">
        <v>342</v>
      </c>
      <c r="F12" s="188" t="s">
        <v>342</v>
      </c>
      <c r="G12" s="188" t="s">
        <v>342</v>
      </c>
      <c r="H12" s="188" t="s">
        <v>342</v>
      </c>
      <c r="I12" s="186" t="s">
        <v>342</v>
      </c>
      <c r="J12" s="186" t="s">
        <v>342</v>
      </c>
      <c r="K12" s="186" t="s">
        <v>342</v>
      </c>
      <c r="L12" s="186" t="s">
        <v>342</v>
      </c>
      <c r="M12" s="191" t="s">
        <v>342</v>
      </c>
      <c r="N12" s="186" t="s">
        <v>342</v>
      </c>
      <c r="O12" s="176">
        <v>825</v>
      </c>
      <c r="P12" s="182">
        <v>825</v>
      </c>
      <c r="Q12" s="188" t="s">
        <v>342</v>
      </c>
      <c r="R12" s="188" t="s">
        <v>342</v>
      </c>
      <c r="S12" s="176">
        <f>SUM(O12:P12)</f>
        <v>1650</v>
      </c>
    </row>
    <row r="13" spans="3:19">
      <c r="C13" s="172" t="s">
        <v>339</v>
      </c>
      <c r="D13" s="181"/>
      <c r="E13" s="169"/>
      <c r="F13" s="169"/>
      <c r="G13" s="184">
        <f>35000000000/$D$27/$F$32/G5/G7</f>
        <v>0.29856325390953653</v>
      </c>
      <c r="H13" s="184">
        <f>123800000000/$D$27/$F$32/H5/H7</f>
        <v>1.0498583496854281</v>
      </c>
      <c r="I13" s="169"/>
      <c r="J13" s="169"/>
      <c r="K13" s="169"/>
      <c r="L13" s="169"/>
      <c r="M13" s="181"/>
      <c r="N13" s="169"/>
      <c r="O13" s="169"/>
      <c r="P13" s="181"/>
    </row>
    <row r="14" spans="3:19">
      <c r="C14" s="180" t="s">
        <v>334</v>
      </c>
      <c r="D14" s="181" t="s">
        <v>336</v>
      </c>
      <c r="E14" s="184">
        <f>22900000000/$D$27/$F$32/E5/E7</f>
        <v>0.60155353169714265</v>
      </c>
      <c r="F14" s="184">
        <f>28000000000/$D$27/$F$32/F5/F7</f>
        <v>0.71428411990151797</v>
      </c>
      <c r="I14" s="184">
        <v>0.95</v>
      </c>
      <c r="J14" s="184">
        <v>0.95</v>
      </c>
      <c r="K14" s="184">
        <v>0.95</v>
      </c>
      <c r="L14" s="184">
        <v>0.95</v>
      </c>
      <c r="M14" s="192">
        <v>0.95</v>
      </c>
      <c r="N14" s="184">
        <v>1</v>
      </c>
      <c r="O14" s="184">
        <v>1</v>
      </c>
      <c r="P14" s="192">
        <v>1</v>
      </c>
    </row>
    <row r="15" spans="3:19">
      <c r="C15" s="180"/>
      <c r="D15" s="181" t="s">
        <v>337</v>
      </c>
      <c r="E15" s="203" t="s">
        <v>342</v>
      </c>
      <c r="F15" s="203" t="s">
        <v>342</v>
      </c>
      <c r="G15" s="169"/>
      <c r="H15" s="169"/>
      <c r="I15" s="184">
        <v>0.95</v>
      </c>
      <c r="J15" s="184">
        <v>0.95</v>
      </c>
      <c r="K15" s="184">
        <v>0.95</v>
      </c>
      <c r="L15" s="184">
        <v>0.95</v>
      </c>
      <c r="M15" s="192">
        <v>0.95</v>
      </c>
      <c r="N15" s="184">
        <v>1</v>
      </c>
      <c r="O15" s="184">
        <v>1</v>
      </c>
      <c r="P15" s="192">
        <v>1</v>
      </c>
    </row>
    <row r="16" spans="3:19">
      <c r="C16" s="180"/>
      <c r="D16" s="181" t="s">
        <v>338</v>
      </c>
      <c r="E16" s="203" t="s">
        <v>342</v>
      </c>
      <c r="F16" s="203" t="s">
        <v>342</v>
      </c>
      <c r="G16" s="203" t="s">
        <v>342</v>
      </c>
      <c r="H16" s="203" t="s">
        <v>342</v>
      </c>
      <c r="I16" s="187" t="s">
        <v>342</v>
      </c>
      <c r="J16" s="184">
        <v>0.7</v>
      </c>
      <c r="K16" s="184">
        <v>0.8</v>
      </c>
      <c r="L16" s="184">
        <v>0.9</v>
      </c>
      <c r="M16" s="192">
        <v>0.9</v>
      </c>
      <c r="N16" s="184">
        <v>1</v>
      </c>
      <c r="O16" s="184">
        <v>1</v>
      </c>
      <c r="P16" s="192">
        <v>1</v>
      </c>
    </row>
    <row r="17" spans="3:19">
      <c r="C17" s="180" t="s">
        <v>335</v>
      </c>
      <c r="D17" s="181" t="s">
        <v>338</v>
      </c>
      <c r="E17" s="187" t="s">
        <v>342</v>
      </c>
      <c r="F17" s="187" t="s">
        <v>342</v>
      </c>
      <c r="G17" s="187" t="s">
        <v>342</v>
      </c>
      <c r="H17" s="187" t="s">
        <v>342</v>
      </c>
      <c r="I17" s="187" t="s">
        <v>342</v>
      </c>
      <c r="J17" s="187" t="s">
        <v>342</v>
      </c>
      <c r="K17" s="187" t="s">
        <v>342</v>
      </c>
      <c r="L17" s="187" t="s">
        <v>342</v>
      </c>
      <c r="M17" s="193" t="s">
        <v>342</v>
      </c>
      <c r="N17" s="187" t="s">
        <v>342</v>
      </c>
      <c r="O17" s="184">
        <v>0.7</v>
      </c>
      <c r="P17" s="192">
        <v>0.7</v>
      </c>
    </row>
    <row r="18" spans="3:19">
      <c r="C18" s="175" t="s">
        <v>331</v>
      </c>
      <c r="D18" s="182" t="s">
        <v>338</v>
      </c>
      <c r="E18" s="197" t="s">
        <v>342</v>
      </c>
      <c r="F18" s="188" t="s">
        <v>342</v>
      </c>
      <c r="G18" s="188" t="s">
        <v>342</v>
      </c>
      <c r="H18" s="188" t="s">
        <v>342</v>
      </c>
      <c r="I18" s="188" t="s">
        <v>342</v>
      </c>
      <c r="J18" s="188" t="s">
        <v>342</v>
      </c>
      <c r="K18" s="188" t="s">
        <v>342</v>
      </c>
      <c r="L18" s="188" t="s">
        <v>342</v>
      </c>
      <c r="M18" s="194" t="s">
        <v>342</v>
      </c>
      <c r="N18" s="188" t="s">
        <v>342</v>
      </c>
      <c r="O18" s="185">
        <v>0.7</v>
      </c>
      <c r="P18" s="212">
        <v>0.7</v>
      </c>
      <c r="Q18" s="185"/>
      <c r="R18" s="185"/>
      <c r="S18" s="185"/>
    </row>
    <row r="19" spans="3:19">
      <c r="C19" s="172" t="s">
        <v>330</v>
      </c>
      <c r="D19" s="181"/>
      <c r="E19" s="169"/>
      <c r="F19" s="169"/>
      <c r="G19" s="169"/>
      <c r="H19" s="169"/>
      <c r="I19" s="169"/>
      <c r="J19" s="169"/>
      <c r="K19" s="169"/>
      <c r="L19" s="169"/>
      <c r="M19" s="181"/>
      <c r="N19" s="169"/>
      <c r="O19" s="169"/>
      <c r="P19" s="181"/>
    </row>
    <row r="20" spans="3:19">
      <c r="C20" s="180" t="s">
        <v>334</v>
      </c>
      <c r="D20" s="181" t="s">
        <v>341</v>
      </c>
      <c r="E20" s="205">
        <f>E21</f>
        <v>255.66025097128562</v>
      </c>
      <c r="F20" s="207">
        <f>F21</f>
        <v>303.57075095814514</v>
      </c>
      <c r="G20" s="205">
        <f>G7*G13</f>
        <v>380.6681487346591</v>
      </c>
      <c r="H20" s="205">
        <f>H7*H13</f>
        <v>1338.5693958489207</v>
      </c>
      <c r="I20" s="169">
        <f>SUM(I21:I22)</f>
        <v>1211.25</v>
      </c>
      <c r="J20" s="169">
        <f t="shared" ref="J20:P20" si="0">SUM(J21:J23)</f>
        <v>1788.75</v>
      </c>
      <c r="K20" s="169">
        <f t="shared" si="0"/>
        <v>1871.25</v>
      </c>
      <c r="L20" s="169">
        <f t="shared" si="0"/>
        <v>1953.75</v>
      </c>
      <c r="M20" s="181">
        <f t="shared" si="0"/>
        <v>1953.75</v>
      </c>
      <c r="N20" s="169">
        <f t="shared" si="0"/>
        <v>2100</v>
      </c>
      <c r="O20" s="169">
        <f t="shared" si="0"/>
        <v>2100</v>
      </c>
      <c r="P20" s="181">
        <f t="shared" si="0"/>
        <v>2100</v>
      </c>
      <c r="Q20" s="205">
        <f>SUM(E20:H20)</f>
        <v>2278.4685465130106</v>
      </c>
      <c r="R20" s="169">
        <f>SUM(I20:L20)</f>
        <v>6825</v>
      </c>
      <c r="S20" s="169">
        <f>SUM(M20:P20)</f>
        <v>8253.75</v>
      </c>
    </row>
    <row r="21" spans="3:19">
      <c r="C21" s="180"/>
      <c r="D21" s="181" t="s">
        <v>336</v>
      </c>
      <c r="E21" s="206">
        <f>E8*E14</f>
        <v>255.66025097128562</v>
      </c>
      <c r="F21" s="206">
        <f>F8*F14</f>
        <v>303.57075095814514</v>
      </c>
      <c r="G21" s="204"/>
      <c r="H21" s="204"/>
      <c r="I21" s="169">
        <f>I8*I14</f>
        <v>403.75</v>
      </c>
      <c r="J21" s="169">
        <f t="shared" ref="J21:M21" si="1">J8*J14</f>
        <v>403.75</v>
      </c>
      <c r="K21" s="169">
        <f t="shared" si="1"/>
        <v>403.75</v>
      </c>
      <c r="L21" s="169">
        <f t="shared" si="1"/>
        <v>403.75</v>
      </c>
      <c r="M21" s="181">
        <f t="shared" si="1"/>
        <v>403.75</v>
      </c>
      <c r="N21" s="169">
        <f t="shared" ref="N21:O23" si="2">N8*N14</f>
        <v>425</v>
      </c>
      <c r="O21" s="169">
        <f t="shared" si="2"/>
        <v>425</v>
      </c>
      <c r="P21" s="181">
        <f>P8</f>
        <v>425</v>
      </c>
    </row>
    <row r="22" spans="3:19">
      <c r="C22" s="180"/>
      <c r="D22" s="181" t="s">
        <v>337</v>
      </c>
      <c r="E22" s="203" t="s">
        <v>342</v>
      </c>
      <c r="F22" s="203" t="s">
        <v>342</v>
      </c>
      <c r="G22" s="203" t="s">
        <v>342</v>
      </c>
      <c r="H22" s="203" t="s">
        <v>342</v>
      </c>
      <c r="I22" s="169">
        <f t="shared" ref="I22:M22" si="3">I9*I15</f>
        <v>807.5</v>
      </c>
      <c r="J22" s="169">
        <f t="shared" si="3"/>
        <v>807.5</v>
      </c>
      <c r="K22" s="169">
        <f t="shared" si="3"/>
        <v>807.5</v>
      </c>
      <c r="L22" s="169">
        <f t="shared" si="3"/>
        <v>807.5</v>
      </c>
      <c r="M22" s="181">
        <f t="shared" si="3"/>
        <v>807.5</v>
      </c>
      <c r="N22" s="169">
        <f t="shared" si="2"/>
        <v>850</v>
      </c>
      <c r="O22" s="169">
        <f t="shared" si="2"/>
        <v>850</v>
      </c>
      <c r="P22" s="181">
        <f>P9</f>
        <v>850</v>
      </c>
    </row>
    <row r="23" spans="3:19">
      <c r="C23" s="180"/>
      <c r="D23" s="181" t="s">
        <v>338</v>
      </c>
      <c r="E23" s="187" t="s">
        <v>342</v>
      </c>
      <c r="F23" s="187" t="s">
        <v>342</v>
      </c>
      <c r="G23" s="187" t="s">
        <v>342</v>
      </c>
      <c r="H23" s="187" t="s">
        <v>342</v>
      </c>
      <c r="I23" s="170" t="s">
        <v>342</v>
      </c>
      <c r="J23" s="170">
        <f>J10*J16</f>
        <v>577.5</v>
      </c>
      <c r="K23" s="170">
        <f>K10*K16</f>
        <v>660</v>
      </c>
      <c r="L23" s="170">
        <f>L10*L16</f>
        <v>742.5</v>
      </c>
      <c r="M23" s="190">
        <f>M10*M16</f>
        <v>742.5</v>
      </c>
      <c r="N23" s="169">
        <f t="shared" si="2"/>
        <v>825</v>
      </c>
      <c r="O23" s="169">
        <f t="shared" si="2"/>
        <v>825</v>
      </c>
      <c r="P23" s="181">
        <f>P10*P16</f>
        <v>825</v>
      </c>
    </row>
    <row r="24" spans="3:19">
      <c r="C24" s="180" t="s">
        <v>335</v>
      </c>
      <c r="D24" s="181" t="s">
        <v>338</v>
      </c>
      <c r="E24" s="187" t="s">
        <v>342</v>
      </c>
      <c r="F24" s="187" t="s">
        <v>342</v>
      </c>
      <c r="G24" s="187" t="s">
        <v>342</v>
      </c>
      <c r="H24" s="187" t="s">
        <v>342</v>
      </c>
      <c r="I24" s="170" t="s">
        <v>342</v>
      </c>
      <c r="J24" s="170" t="s">
        <v>342</v>
      </c>
      <c r="K24" s="170" t="s">
        <v>342</v>
      </c>
      <c r="L24" s="170" t="s">
        <v>342</v>
      </c>
      <c r="M24" s="190" t="s">
        <v>342</v>
      </c>
      <c r="N24" s="169"/>
      <c r="O24" s="169">
        <f>O11*O17</f>
        <v>577.5</v>
      </c>
      <c r="P24" s="181">
        <f>P11*P17</f>
        <v>577.5</v>
      </c>
    </row>
    <row r="25" spans="3:19">
      <c r="C25" s="175" t="s">
        <v>331</v>
      </c>
      <c r="D25" s="182" t="s">
        <v>338</v>
      </c>
      <c r="E25" s="197" t="s">
        <v>342</v>
      </c>
      <c r="F25" s="188" t="s">
        <v>342</v>
      </c>
      <c r="G25" s="188" t="s">
        <v>342</v>
      </c>
      <c r="H25" s="188" t="s">
        <v>342</v>
      </c>
      <c r="I25" s="186" t="s">
        <v>342</v>
      </c>
      <c r="J25" s="186" t="s">
        <v>342</v>
      </c>
      <c r="K25" s="186" t="s">
        <v>342</v>
      </c>
      <c r="L25" s="186" t="s">
        <v>342</v>
      </c>
      <c r="M25" s="191" t="s">
        <v>342</v>
      </c>
      <c r="N25" s="176"/>
      <c r="O25" s="176">
        <f>O12*O18</f>
        <v>577.5</v>
      </c>
      <c r="P25" s="182">
        <f>P12*P18</f>
        <v>577.5</v>
      </c>
      <c r="Q25" s="176"/>
      <c r="R25" s="176"/>
      <c r="S25" s="176"/>
    </row>
    <row r="26" spans="3:19" ht="20.399999999999999" thickBot="1">
      <c r="C26" s="172" t="s">
        <v>340</v>
      </c>
      <c r="D26" s="181"/>
      <c r="E26" s="169"/>
      <c r="F26" s="169"/>
      <c r="G26" s="169"/>
      <c r="H26" s="169"/>
      <c r="I26" s="169"/>
      <c r="J26" s="169"/>
      <c r="K26" s="169"/>
      <c r="L26" s="169"/>
      <c r="M26" s="208"/>
      <c r="N26" s="169"/>
      <c r="O26" s="169"/>
      <c r="P26" s="181"/>
    </row>
    <row r="27" spans="3:19">
      <c r="C27" s="169" t="s">
        <v>334</v>
      </c>
      <c r="D27" s="198">
        <v>7.0000000000000007E-2</v>
      </c>
      <c r="E27" s="169">
        <f>D27</f>
        <v>7.0000000000000007E-2</v>
      </c>
      <c r="F27" s="169">
        <f t="shared" ref="F27:S27" si="4">E27</f>
        <v>7.0000000000000007E-2</v>
      </c>
      <c r="G27" s="169">
        <f t="shared" si="4"/>
        <v>7.0000000000000007E-2</v>
      </c>
      <c r="H27" s="169">
        <f t="shared" si="4"/>
        <v>7.0000000000000007E-2</v>
      </c>
      <c r="I27" s="169">
        <f t="shared" si="4"/>
        <v>7.0000000000000007E-2</v>
      </c>
      <c r="J27" s="169">
        <f t="shared" si="4"/>
        <v>7.0000000000000007E-2</v>
      </c>
      <c r="K27" s="169">
        <f t="shared" si="4"/>
        <v>7.0000000000000007E-2</v>
      </c>
      <c r="L27" s="169">
        <f t="shared" si="4"/>
        <v>7.0000000000000007E-2</v>
      </c>
      <c r="M27" s="181">
        <f t="shared" si="4"/>
        <v>7.0000000000000007E-2</v>
      </c>
      <c r="N27" s="169">
        <f t="shared" si="4"/>
        <v>7.0000000000000007E-2</v>
      </c>
      <c r="O27" s="169">
        <f t="shared" si="4"/>
        <v>7.0000000000000007E-2</v>
      </c>
      <c r="P27" s="181">
        <f t="shared" si="4"/>
        <v>7.0000000000000007E-2</v>
      </c>
      <c r="Q27" s="169">
        <f t="shared" si="4"/>
        <v>7.0000000000000007E-2</v>
      </c>
      <c r="R27" s="169">
        <f t="shared" si="4"/>
        <v>7.0000000000000007E-2</v>
      </c>
      <c r="S27" s="169">
        <f t="shared" si="4"/>
        <v>7.0000000000000007E-2</v>
      </c>
    </row>
    <row r="28" spans="3:19">
      <c r="C28" s="169" t="s">
        <v>335</v>
      </c>
      <c r="D28" s="199">
        <v>0.04</v>
      </c>
      <c r="E28" s="169">
        <f>D28</f>
        <v>0.04</v>
      </c>
      <c r="F28" s="169">
        <f t="shared" ref="F28:S28" si="5">E28</f>
        <v>0.04</v>
      </c>
      <c r="G28" s="169">
        <f t="shared" si="5"/>
        <v>0.04</v>
      </c>
      <c r="H28" s="169">
        <f t="shared" si="5"/>
        <v>0.04</v>
      </c>
      <c r="I28" s="169">
        <f t="shared" si="5"/>
        <v>0.04</v>
      </c>
      <c r="J28" s="169">
        <f t="shared" si="5"/>
        <v>0.04</v>
      </c>
      <c r="K28" s="169">
        <f t="shared" si="5"/>
        <v>0.04</v>
      </c>
      <c r="L28" s="169">
        <f t="shared" si="5"/>
        <v>0.04</v>
      </c>
      <c r="M28" s="181">
        <f t="shared" si="5"/>
        <v>0.04</v>
      </c>
      <c r="N28" s="169">
        <f t="shared" si="5"/>
        <v>0.04</v>
      </c>
      <c r="O28" s="169">
        <f t="shared" si="5"/>
        <v>0.04</v>
      </c>
      <c r="P28" s="181">
        <f t="shared" si="5"/>
        <v>0.04</v>
      </c>
      <c r="Q28" s="169">
        <f t="shared" si="5"/>
        <v>0.04</v>
      </c>
      <c r="R28" s="169">
        <f t="shared" si="5"/>
        <v>0.04</v>
      </c>
      <c r="S28" s="169">
        <f t="shared" si="5"/>
        <v>0.04</v>
      </c>
    </row>
    <row r="29" spans="3:19" ht="20.399999999999999" thickBot="1">
      <c r="C29" s="176" t="s">
        <v>331</v>
      </c>
      <c r="D29" s="200">
        <v>4.6899999999999997E-2</v>
      </c>
      <c r="E29" s="176">
        <f>D29</f>
        <v>4.6899999999999997E-2</v>
      </c>
      <c r="F29" s="176">
        <f t="shared" ref="F29:S29" si="6">E29</f>
        <v>4.6899999999999997E-2</v>
      </c>
      <c r="G29" s="176">
        <f t="shared" si="6"/>
        <v>4.6899999999999997E-2</v>
      </c>
      <c r="H29" s="176">
        <f t="shared" si="6"/>
        <v>4.6899999999999997E-2</v>
      </c>
      <c r="I29" s="176">
        <f t="shared" si="6"/>
        <v>4.6899999999999997E-2</v>
      </c>
      <c r="J29" s="176">
        <f t="shared" si="6"/>
        <v>4.6899999999999997E-2</v>
      </c>
      <c r="K29" s="176">
        <f t="shared" si="6"/>
        <v>4.6899999999999997E-2</v>
      </c>
      <c r="L29" s="176">
        <f t="shared" si="6"/>
        <v>4.6899999999999997E-2</v>
      </c>
      <c r="M29" s="182">
        <f t="shared" si="6"/>
        <v>4.6899999999999997E-2</v>
      </c>
      <c r="N29" s="176">
        <f t="shared" si="6"/>
        <v>4.6899999999999997E-2</v>
      </c>
      <c r="O29" s="176">
        <f t="shared" si="6"/>
        <v>4.6899999999999997E-2</v>
      </c>
      <c r="P29" s="182">
        <f t="shared" si="6"/>
        <v>4.6899999999999997E-2</v>
      </c>
      <c r="Q29" s="176">
        <f t="shared" si="6"/>
        <v>4.6899999999999997E-2</v>
      </c>
      <c r="R29" s="176">
        <f t="shared" si="6"/>
        <v>4.6899999999999997E-2</v>
      </c>
      <c r="S29" s="176">
        <f t="shared" si="6"/>
        <v>4.6899999999999997E-2</v>
      </c>
    </row>
    <row r="30" spans="3:19">
      <c r="C30" s="169" t="s">
        <v>347</v>
      </c>
      <c r="D30" s="169"/>
      <c r="E30" s="169"/>
      <c r="F30" s="169"/>
      <c r="G30" s="169"/>
      <c r="H30" s="169"/>
      <c r="I30" s="169"/>
      <c r="J30" s="169"/>
      <c r="K30" s="169"/>
      <c r="L30" s="169"/>
      <c r="M30" s="169"/>
      <c r="N30" s="169"/>
      <c r="O30" s="169"/>
      <c r="P30" s="169"/>
    </row>
    <row r="31" spans="3:19">
      <c r="C31" s="169"/>
      <c r="D31" s="169"/>
      <c r="E31" s="169" t="s">
        <v>344</v>
      </c>
      <c r="F31" s="169"/>
      <c r="G31" s="169" t="s">
        <v>349</v>
      </c>
      <c r="H31" s="169" t="s">
        <v>348</v>
      </c>
      <c r="I31" s="169"/>
      <c r="J31" s="169"/>
      <c r="K31" s="169"/>
      <c r="L31" s="169"/>
      <c r="M31" s="169"/>
      <c r="N31" s="169"/>
      <c r="O31" s="169"/>
      <c r="P31" s="169"/>
    </row>
    <row r="32" spans="3:19">
      <c r="C32" s="169"/>
      <c r="D32" s="169"/>
      <c r="E32" s="169" t="s">
        <v>345</v>
      </c>
      <c r="F32" s="204">
        <v>1000000</v>
      </c>
      <c r="G32" s="169"/>
      <c r="H32" s="184">
        <f>E4*D27/F32/E5</f>
        <v>1.2527352297592999E-8</v>
      </c>
      <c r="I32" s="169"/>
      <c r="J32" s="169"/>
      <c r="K32" s="169"/>
      <c r="L32" s="169"/>
      <c r="M32" s="169"/>
      <c r="N32" s="169"/>
      <c r="O32" s="169"/>
      <c r="P32" s="169"/>
    </row>
    <row r="33" spans="3:16">
      <c r="C33" s="169"/>
      <c r="D33" s="169"/>
      <c r="E33" s="169" t="s">
        <v>346</v>
      </c>
      <c r="F33" s="204">
        <v>1000000000</v>
      </c>
      <c r="G33" s="169"/>
      <c r="H33" s="184"/>
      <c r="I33" s="169"/>
      <c r="J33" s="169"/>
      <c r="K33" s="169"/>
      <c r="L33" s="169"/>
      <c r="M33" s="169"/>
      <c r="N33" s="169"/>
      <c r="O33" s="169"/>
      <c r="P33" s="169"/>
    </row>
    <row r="34" spans="3:16">
      <c r="C34" s="169"/>
      <c r="D34" s="169"/>
      <c r="E34" s="169"/>
      <c r="F34" s="169"/>
      <c r="G34" s="169"/>
      <c r="H34" s="169"/>
      <c r="I34" s="169"/>
      <c r="J34" s="169"/>
      <c r="K34" s="169"/>
      <c r="L34" s="169"/>
      <c r="M34" s="169"/>
      <c r="N34" s="169"/>
      <c r="O34" s="169"/>
      <c r="P34" s="169"/>
    </row>
    <row r="35" spans="3:16">
      <c r="C35" s="169"/>
      <c r="D35" s="169"/>
      <c r="F35" s="169">
        <f>F33/F32</f>
        <v>1000</v>
      </c>
      <c r="G35" s="169"/>
      <c r="H35" s="169"/>
      <c r="I35" s="169"/>
      <c r="J35" s="169"/>
      <c r="K35" s="169"/>
      <c r="L35" s="169"/>
      <c r="M35" s="169"/>
      <c r="N35" s="169"/>
      <c r="O35" s="169"/>
      <c r="P35" s="169"/>
    </row>
    <row r="36" spans="3:16">
      <c r="C36" s="169"/>
      <c r="D36" s="169"/>
      <c r="E36" s="169"/>
      <c r="F36" s="169"/>
      <c r="G36" s="169"/>
      <c r="H36" s="169"/>
      <c r="I36" s="169"/>
      <c r="J36" s="169"/>
      <c r="K36" s="169"/>
      <c r="L36" s="169"/>
      <c r="M36" s="169"/>
      <c r="N36" s="169"/>
      <c r="O36" s="169"/>
      <c r="P36" s="169"/>
    </row>
    <row r="37" spans="3:16">
      <c r="C37" s="169"/>
      <c r="D37" s="169"/>
      <c r="E37" s="169"/>
      <c r="F37" s="169"/>
      <c r="G37" s="169"/>
      <c r="H37" s="169"/>
      <c r="I37" s="169"/>
      <c r="J37" s="169"/>
      <c r="K37" s="169"/>
      <c r="L37" s="169"/>
      <c r="M37" s="169"/>
      <c r="N37" s="169"/>
      <c r="O37" s="169"/>
      <c r="P37" s="169"/>
    </row>
    <row r="38" spans="3:16">
      <c r="C38" s="169"/>
      <c r="D38" s="169"/>
      <c r="E38" s="169"/>
      <c r="F38" s="169"/>
      <c r="G38" s="169"/>
      <c r="H38" s="169"/>
      <c r="I38" s="169"/>
      <c r="J38" s="169"/>
      <c r="K38" s="169"/>
      <c r="L38" s="169"/>
      <c r="M38" s="169"/>
      <c r="N38" s="169"/>
      <c r="O38" s="169"/>
      <c r="P38" s="169"/>
    </row>
    <row r="39" spans="3:16">
      <c r="C39" s="169"/>
      <c r="D39" s="169"/>
      <c r="E39" s="169"/>
      <c r="F39" s="169"/>
      <c r="G39" s="169"/>
      <c r="H39" s="169"/>
      <c r="I39" s="169"/>
      <c r="J39" s="169"/>
      <c r="K39" s="169"/>
      <c r="L39" s="169"/>
      <c r="M39" s="169"/>
      <c r="N39" s="169"/>
      <c r="O39" s="169"/>
      <c r="P39" s="169"/>
    </row>
    <row r="40" spans="3:16">
      <c r="C40" s="169"/>
      <c r="D40" s="169"/>
      <c r="E40" s="169"/>
      <c r="F40" s="169"/>
      <c r="G40" s="169"/>
      <c r="H40" s="169"/>
      <c r="I40" s="169"/>
      <c r="J40" s="169"/>
      <c r="K40" s="169"/>
      <c r="L40" s="169"/>
      <c r="M40" s="169"/>
      <c r="N40" s="169"/>
      <c r="O40" s="169"/>
      <c r="P40" s="169"/>
    </row>
    <row r="41" spans="3:16">
      <c r="C41" s="169"/>
      <c r="D41" s="169"/>
      <c r="E41" s="169"/>
      <c r="F41" s="169"/>
      <c r="G41" s="169"/>
      <c r="H41" s="169"/>
      <c r="I41" s="169"/>
      <c r="J41" s="169"/>
      <c r="K41" s="169"/>
      <c r="L41" s="169"/>
      <c r="M41" s="169"/>
      <c r="N41" s="169"/>
      <c r="O41" s="169"/>
      <c r="P41" s="169"/>
    </row>
    <row r="42" spans="3:16">
      <c r="C42" s="169"/>
      <c r="D42" s="169"/>
      <c r="E42" s="169"/>
      <c r="F42" s="169"/>
      <c r="G42" s="169"/>
      <c r="H42" s="169"/>
      <c r="I42" s="169"/>
      <c r="J42" s="169"/>
      <c r="K42" s="169"/>
      <c r="L42" s="169"/>
      <c r="M42" s="169"/>
      <c r="N42" s="169"/>
      <c r="O42" s="169"/>
      <c r="P42" s="169"/>
    </row>
    <row r="43" spans="3:16">
      <c r="C43" s="169"/>
      <c r="D43" s="169"/>
      <c r="E43" s="169"/>
      <c r="F43" s="169"/>
      <c r="G43" s="169"/>
      <c r="H43" s="169"/>
      <c r="I43" s="169"/>
      <c r="J43" s="169"/>
      <c r="K43" s="169"/>
      <c r="L43" s="169"/>
      <c r="M43" s="169"/>
      <c r="N43" s="169"/>
      <c r="O43" s="169"/>
      <c r="P43" s="169"/>
    </row>
  </sheetData>
  <mergeCells count="1">
    <mergeCell ref="C3:D3"/>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2A196-4FC0-BB46-80A1-72FB3B80C964}">
  <sheetPr>
    <tabColor rgb="FFD0CECE"/>
  </sheetPr>
  <dimension ref="B1:Z60"/>
  <sheetViews>
    <sheetView showGridLines="0" topLeftCell="A3" zoomScale="85" zoomScaleNormal="85" workbookViewId="0">
      <selection activeCell="A3" sqref="A3"/>
    </sheetView>
  </sheetViews>
  <sheetFormatPr defaultColWidth="7.6328125" defaultRowHeight="17.55" customHeight="1"/>
  <cols>
    <col min="1" max="1" width="2.08984375" style="271" customWidth="1"/>
    <col min="2" max="2" width="16" style="271" customWidth="1"/>
    <col min="3" max="5" width="7.81640625" style="271" bestFit="1" customWidth="1"/>
    <col min="6" max="6" width="8.6328125" style="271" bestFit="1" customWidth="1"/>
    <col min="7" max="7" width="3.7265625" style="271" customWidth="1"/>
    <col min="8" max="8" width="16" style="271" customWidth="1"/>
    <col min="9" max="9" width="8" style="271" bestFit="1" customWidth="1"/>
    <col min="10" max="12" width="8.6328125" style="271" bestFit="1" customWidth="1"/>
    <col min="13" max="13" width="10.7265625" style="271" hidden="1" customWidth="1"/>
    <col min="14" max="14" width="15.36328125" style="271" hidden="1" customWidth="1"/>
    <col min="15" max="15" width="3.6328125" style="271" hidden="1" customWidth="1"/>
    <col min="16" max="16" width="5.36328125" style="271" hidden="1" customWidth="1"/>
    <col min="17" max="17" width="16.81640625" style="271" hidden="1" customWidth="1"/>
    <col min="18" max="19" width="7.7265625" style="271" hidden="1" customWidth="1"/>
    <col min="20" max="21" width="8.26953125" style="271" hidden="1" customWidth="1"/>
    <col min="22" max="22" width="2.36328125" style="271" hidden="1" customWidth="1"/>
    <col min="23" max="23" width="11" style="271" hidden="1" customWidth="1"/>
    <col min="24" max="24" width="0" style="271" hidden="1" customWidth="1"/>
    <col min="25" max="25" width="11.7265625" style="271" hidden="1" customWidth="1"/>
    <col min="26" max="28" width="0" style="271" hidden="1" customWidth="1"/>
    <col min="29" max="16384" width="7.6328125" style="271"/>
  </cols>
  <sheetData>
    <row r="1" spans="2:26" ht="17.55" hidden="1" customHeight="1">
      <c r="B1" s="271" t="s">
        <v>548</v>
      </c>
      <c r="C1" s="406" t="s">
        <v>547</v>
      </c>
      <c r="D1" s="406"/>
      <c r="E1" s="405" t="s">
        <v>546</v>
      </c>
      <c r="F1" s="405"/>
      <c r="H1" s="271" t="s">
        <v>545</v>
      </c>
    </row>
    <row r="2" spans="2:26" ht="17.55" hidden="1" customHeight="1">
      <c r="C2" s="404" t="s">
        <v>544</v>
      </c>
      <c r="D2" s="403"/>
      <c r="E2" s="402" t="s">
        <v>543</v>
      </c>
      <c r="F2" s="401"/>
      <c r="H2" s="271" t="s">
        <v>542</v>
      </c>
    </row>
    <row r="3" spans="2:26" ht="17.55" customHeight="1">
      <c r="B3" s="271" t="s">
        <v>493</v>
      </c>
      <c r="H3" s="271" t="s">
        <v>541</v>
      </c>
    </row>
    <row r="4" spans="2:26" ht="17.55" customHeight="1" thickBot="1">
      <c r="B4" s="327" t="s">
        <v>540</v>
      </c>
      <c r="C4" s="326">
        <v>2022</v>
      </c>
      <c r="D4" s="326">
        <v>2023</v>
      </c>
      <c r="E4" s="326">
        <v>2024</v>
      </c>
      <c r="F4" s="326" t="s">
        <v>456</v>
      </c>
      <c r="G4" s="273"/>
      <c r="H4" s="327" t="s">
        <v>539</v>
      </c>
      <c r="I4" s="326">
        <v>2022</v>
      </c>
      <c r="J4" s="326">
        <v>2023</v>
      </c>
      <c r="K4" s="326">
        <v>2024</v>
      </c>
      <c r="L4" s="326" t="s">
        <v>456</v>
      </c>
      <c r="M4" s="279"/>
      <c r="P4" s="400"/>
      <c r="Q4" s="399"/>
      <c r="R4" s="504" t="s">
        <v>538</v>
      </c>
      <c r="S4" s="505"/>
      <c r="T4" s="506" t="s">
        <v>537</v>
      </c>
      <c r="U4" s="507"/>
      <c r="W4" s="398" t="s">
        <v>536</v>
      </c>
      <c r="Z4" s="271" t="s">
        <v>535</v>
      </c>
    </row>
    <row r="5" spans="2:26" ht="17.55" customHeight="1" thickBot="1">
      <c r="B5" s="274" t="s">
        <v>403</v>
      </c>
      <c r="C5" s="407">
        <f>131307.5288752/10</f>
        <v>13130.752887519999</v>
      </c>
      <c r="D5" s="407">
        <f>130785.3618047/10</f>
        <v>13078.536180470001</v>
      </c>
      <c r="E5" s="409">
        <f>123940.2364901/10</f>
        <v>12394.02364901</v>
      </c>
      <c r="F5" s="409">
        <v>16530.2</v>
      </c>
      <c r="G5" s="273"/>
      <c r="H5" s="276" t="s">
        <v>534</v>
      </c>
      <c r="I5" s="280">
        <v>8573.2999999999993</v>
      </c>
      <c r="J5" s="430">
        <v>9797.4</v>
      </c>
      <c r="K5" s="430">
        <v>10883</v>
      </c>
      <c r="L5" s="431">
        <f>SUM(L6:L9)</f>
        <v>8596.2925493716357</v>
      </c>
      <c r="M5" s="279"/>
      <c r="P5" s="397" t="s">
        <v>533</v>
      </c>
      <c r="Q5" s="396"/>
      <c r="R5" s="395">
        <v>2022</v>
      </c>
      <c r="S5" s="394">
        <v>2023</v>
      </c>
      <c r="T5" s="393">
        <v>2024</v>
      </c>
      <c r="U5" s="392">
        <v>2025</v>
      </c>
    </row>
    <row r="6" spans="2:26" ht="17.55" customHeight="1">
      <c r="B6" s="276" t="s">
        <v>369</v>
      </c>
      <c r="C6" s="408">
        <f>107317.5326426/10</f>
        <v>10731.75326426</v>
      </c>
      <c r="D6" s="408">
        <f>109132.408346/10</f>
        <v>10913.240834599999</v>
      </c>
      <c r="E6" s="410">
        <f>110081.6832241/10</f>
        <v>11008.16832241</v>
      </c>
      <c r="F6" s="411">
        <f>F5-F7</f>
        <v>13902.400000000001</v>
      </c>
      <c r="G6" s="273"/>
      <c r="H6" s="334" t="s">
        <v>532</v>
      </c>
      <c r="I6" s="277">
        <v>2548</v>
      </c>
      <c r="J6" s="419">
        <v>1958</v>
      </c>
      <c r="K6" s="419">
        <v>2184</v>
      </c>
      <c r="L6" s="418">
        <f>F52</f>
        <v>2660.4999999999995</v>
      </c>
      <c r="M6" s="279"/>
      <c r="P6" s="373" t="s">
        <v>531</v>
      </c>
      <c r="Q6" s="377"/>
      <c r="R6" s="391">
        <f>C10</f>
        <v>923.72665426000003</v>
      </c>
      <c r="S6" s="390">
        <f>D10</f>
        <v>579.23702752999998</v>
      </c>
      <c r="T6" s="390">
        <f>E10</f>
        <v>-300.23795995</v>
      </c>
      <c r="U6" s="389">
        <f>F10</f>
        <v>838.1</v>
      </c>
      <c r="W6" s="271" t="s">
        <v>530</v>
      </c>
    </row>
    <row r="7" spans="2:26" ht="17.55" customHeight="1">
      <c r="B7" s="276" t="s">
        <v>371</v>
      </c>
      <c r="C7" s="408">
        <f>C5-C6</f>
        <v>2398.9996232599988</v>
      </c>
      <c r="D7" s="408">
        <f t="shared" ref="D7:E7" si="0">D5-D6</f>
        <v>2165.2953458700013</v>
      </c>
      <c r="E7" s="408">
        <f t="shared" si="0"/>
        <v>1385.8553265999999</v>
      </c>
      <c r="F7" s="411">
        <v>2627.8</v>
      </c>
      <c r="G7" s="273"/>
      <c r="H7" s="334" t="s">
        <v>529</v>
      </c>
      <c r="I7" s="277">
        <v>2055</v>
      </c>
      <c r="J7" s="419">
        <v>2023</v>
      </c>
      <c r="K7" s="419">
        <f>2305+374</f>
        <v>2679</v>
      </c>
      <c r="L7" s="418">
        <f>U19</f>
        <v>2810.5439969036925</v>
      </c>
      <c r="M7" s="279"/>
      <c r="P7" s="388"/>
      <c r="Q7" s="372" t="s">
        <v>528</v>
      </c>
      <c r="R7" s="387">
        <f>R8/R6</f>
        <v>0.21867941026539151</v>
      </c>
      <c r="S7" s="386">
        <f>S8/S6</f>
        <v>7.0955408661044786E-2</v>
      </c>
      <c r="T7" s="386">
        <f>T8/T6</f>
        <v>1.0511662151333507</v>
      </c>
      <c r="U7" s="385">
        <f>-U8/U6</f>
        <v>0.26369168356997968</v>
      </c>
      <c r="W7" s="271" t="s">
        <v>527</v>
      </c>
    </row>
    <row r="8" spans="2:26" ht="17.55" customHeight="1" thickBot="1">
      <c r="B8" s="274" t="s">
        <v>526</v>
      </c>
      <c r="C8" s="407">
        <f>14752.72969/10</f>
        <v>1475.2729690000001</v>
      </c>
      <c r="D8" s="407">
        <f>15860.5831833/10</f>
        <v>1586.05831833</v>
      </c>
      <c r="E8" s="409">
        <f>16860.9328654/10</f>
        <v>1686.0932865399998</v>
      </c>
      <c r="F8" s="412">
        <f>F7-F9</f>
        <v>1789.7000000000003</v>
      </c>
      <c r="G8" s="273"/>
      <c r="H8" s="334" t="s">
        <v>525</v>
      </c>
      <c r="I8" s="277">
        <v>3060</v>
      </c>
      <c r="J8" s="419">
        <v>3447</v>
      </c>
      <c r="K8" s="419">
        <v>4258</v>
      </c>
      <c r="L8" s="418">
        <f>U20</f>
        <v>3047.1013698630136</v>
      </c>
      <c r="M8" s="279"/>
      <c r="P8" s="384" t="s">
        <v>524</v>
      </c>
      <c r="Q8" s="383" t="s">
        <v>523</v>
      </c>
      <c r="R8" s="382">
        <f>C15</f>
        <v>202</v>
      </c>
      <c r="S8" s="381">
        <f>D15</f>
        <v>41.1</v>
      </c>
      <c r="T8" s="381">
        <f>E15</f>
        <v>-315.60000000000002</v>
      </c>
      <c r="U8" s="380">
        <f>F15</f>
        <v>-221</v>
      </c>
      <c r="W8" s="271" t="s">
        <v>522</v>
      </c>
    </row>
    <row r="9" spans="2:26" ht="17.55" customHeight="1">
      <c r="B9" s="276" t="s">
        <v>521</v>
      </c>
      <c r="C9" s="278">
        <f>C10</f>
        <v>923.72665426000003</v>
      </c>
      <c r="D9" s="278">
        <f>D10</f>
        <v>579.23702752999998</v>
      </c>
      <c r="E9" s="411">
        <f>E10</f>
        <v>-300.23795995</v>
      </c>
      <c r="F9" s="411">
        <f>F10</f>
        <v>838.1</v>
      </c>
      <c r="G9" s="273"/>
      <c r="H9" s="334" t="s">
        <v>520</v>
      </c>
      <c r="I9" s="277">
        <v>909</v>
      </c>
      <c r="J9" s="419">
        <f>J5-SUM(J6:J8)</f>
        <v>2369.3999999999996</v>
      </c>
      <c r="K9" s="419">
        <v>1762</v>
      </c>
      <c r="L9" s="418">
        <f>N10-SUM(L6:L8)</f>
        <v>78.147182604929185</v>
      </c>
      <c r="M9" s="279"/>
      <c r="P9" s="367"/>
      <c r="Q9" s="379" t="s">
        <v>519</v>
      </c>
      <c r="R9" s="365"/>
      <c r="S9" s="364"/>
      <c r="T9" s="364"/>
      <c r="U9" s="363"/>
    </row>
    <row r="10" spans="2:26" ht="17.55" customHeight="1" thickBot="1">
      <c r="B10" s="274" t="s">
        <v>372</v>
      </c>
      <c r="C10" s="378">
        <f>9237.2665426/10</f>
        <v>923.72665426000003</v>
      </c>
      <c r="D10" s="378">
        <f>5792.3702753/10</f>
        <v>579.23702752999998</v>
      </c>
      <c r="E10" s="412">
        <f>-3002.3795995/10</f>
        <v>-300.23795995</v>
      </c>
      <c r="F10" s="412">
        <v>838.1</v>
      </c>
      <c r="G10" s="273"/>
      <c r="H10" s="276" t="s">
        <v>518</v>
      </c>
      <c r="I10" s="280">
        <v>13634.4</v>
      </c>
      <c r="J10" s="430">
        <f>SUM(J11:J13)+1517</f>
        <v>14993</v>
      </c>
      <c r="K10" s="430">
        <v>19154</v>
      </c>
      <c r="L10" s="431">
        <f>SUM(L11:L13)</f>
        <v>17497.166666666664</v>
      </c>
      <c r="M10" s="441"/>
      <c r="N10" s="442">
        <f>N14-L10</f>
        <v>8596.2925493716357</v>
      </c>
      <c r="P10" s="373" t="s">
        <v>517</v>
      </c>
      <c r="Q10" s="377"/>
      <c r="R10" s="376">
        <f>R6-R8</f>
        <v>721.72665426000003</v>
      </c>
      <c r="S10" s="375">
        <f>S6-S8</f>
        <v>538.13702752999995</v>
      </c>
      <c r="T10" s="375">
        <f>T6-T8</f>
        <v>15.362040050000019</v>
      </c>
      <c r="U10" s="374">
        <f>U6-U8</f>
        <v>1059.0999999999999</v>
      </c>
    </row>
    <row r="11" spans="2:26" ht="17.55" customHeight="1">
      <c r="B11" s="276" t="s">
        <v>516</v>
      </c>
      <c r="C11" s="411">
        <v>-355</v>
      </c>
      <c r="D11" s="278">
        <f>D10-D12-D13-D14</f>
        <v>560.23702752999998</v>
      </c>
      <c r="E11" s="278">
        <f>E10-E12-E13-E14</f>
        <v>1047.76204005</v>
      </c>
      <c r="F11" s="411">
        <f>F10-F12-F13-F14</f>
        <v>921.2</v>
      </c>
      <c r="G11" s="273"/>
      <c r="H11" s="334" t="s">
        <v>515</v>
      </c>
      <c r="I11" s="277">
        <v>4197</v>
      </c>
      <c r="J11" s="419">
        <v>4653</v>
      </c>
      <c r="K11" s="419">
        <v>5434</v>
      </c>
      <c r="L11" s="418">
        <f>AVERAGE(I11:K11)</f>
        <v>4761.333333333333</v>
      </c>
      <c r="M11" s="279"/>
      <c r="P11" s="373"/>
      <c r="Q11" s="372" t="s">
        <v>514</v>
      </c>
      <c r="R11" s="371"/>
      <c r="S11" s="370">
        <f>S10/R10-1</f>
        <v>-0.25437556676944129</v>
      </c>
      <c r="T11" s="370">
        <f>T10/S10-1</f>
        <v>-0.97145329300139338</v>
      </c>
      <c r="U11" s="369">
        <f>U10/T10-1</f>
        <v>67.942666244383247</v>
      </c>
    </row>
    <row r="12" spans="2:26" ht="17.55" customHeight="1">
      <c r="B12" s="276" t="s">
        <v>513</v>
      </c>
      <c r="C12" s="411">
        <v>30</v>
      </c>
      <c r="D12" s="320">
        <v>95.3</v>
      </c>
      <c r="E12" s="413">
        <v>108.3</v>
      </c>
      <c r="F12" s="413">
        <v>107.3</v>
      </c>
      <c r="G12" s="273"/>
      <c r="H12" s="334" t="s">
        <v>512</v>
      </c>
      <c r="I12" s="277">
        <v>6879</v>
      </c>
      <c r="J12" s="419">
        <v>7050</v>
      </c>
      <c r="K12" s="419">
        <v>10727</v>
      </c>
      <c r="L12" s="418">
        <f>U37</f>
        <v>11011.5</v>
      </c>
      <c r="M12" s="279"/>
      <c r="P12" s="367"/>
      <c r="Q12" s="366" t="s">
        <v>511</v>
      </c>
      <c r="R12" s="365">
        <f>R25</f>
        <v>257.40000000000009</v>
      </c>
      <c r="S12" s="364">
        <f>S25</f>
        <v>-839.30000000000018</v>
      </c>
      <c r="T12" s="364">
        <f>T25</f>
        <v>1418.7000000000003</v>
      </c>
      <c r="U12" s="363">
        <f>U25</f>
        <v>447.90281739507236</v>
      </c>
    </row>
    <row r="13" spans="2:26" ht="17.55" customHeight="1" thickBot="1">
      <c r="B13" s="274" t="s">
        <v>510</v>
      </c>
      <c r="C13" s="414">
        <v>-102</v>
      </c>
      <c r="D13" s="330">
        <v>25.6</v>
      </c>
      <c r="E13" s="414">
        <v>-32.700000000000003</v>
      </c>
      <c r="F13" s="414">
        <v>-31.5</v>
      </c>
      <c r="G13" s="273"/>
      <c r="H13" s="334" t="s">
        <v>509</v>
      </c>
      <c r="I13" s="277">
        <v>1644</v>
      </c>
      <c r="J13" s="419">
        <v>1773</v>
      </c>
      <c r="K13" s="419">
        <v>1756</v>
      </c>
      <c r="L13" s="418">
        <f>AVERAGE(I13:K13)</f>
        <v>1724.3333333333333</v>
      </c>
      <c r="M13" s="368" t="s">
        <v>508</v>
      </c>
      <c r="N13" s="368" t="s">
        <v>507</v>
      </c>
      <c r="P13" s="367"/>
      <c r="Q13" s="366" t="s">
        <v>506</v>
      </c>
      <c r="R13" s="365">
        <f>R38</f>
        <v>3701.9</v>
      </c>
      <c r="S13" s="364">
        <f>S38</f>
        <v>1673.7</v>
      </c>
      <c r="T13" s="364">
        <f>T38</f>
        <v>4412.7</v>
      </c>
      <c r="U13" s="363">
        <f>U38</f>
        <v>3010.6</v>
      </c>
    </row>
    <row r="14" spans="2:26" ht="17.55" customHeight="1" thickBot="1">
      <c r="B14" s="276" t="s">
        <v>505</v>
      </c>
      <c r="C14" s="413">
        <v>569</v>
      </c>
      <c r="D14" s="320">
        <f>D15+D16</f>
        <v>-101.9</v>
      </c>
      <c r="E14" s="320">
        <f>E15+E16</f>
        <v>-1423.6</v>
      </c>
      <c r="F14" s="413">
        <f>F16+F15</f>
        <v>-158.9</v>
      </c>
      <c r="G14" s="273"/>
      <c r="H14" s="274" t="s">
        <v>504</v>
      </c>
      <c r="I14" s="429">
        <f>I5+I10+1624</f>
        <v>23831.699999999997</v>
      </c>
      <c r="J14" s="429">
        <f>J10+J5</f>
        <v>24790.400000000001</v>
      </c>
      <c r="K14" s="429">
        <f>K10+K5</f>
        <v>30037</v>
      </c>
      <c r="L14" s="432">
        <f>L10+L5</f>
        <v>26093.4592160383</v>
      </c>
      <c r="M14" s="275">
        <f>K22+K28</f>
        <v>30036.9</v>
      </c>
      <c r="N14" s="275">
        <f>L22+L28</f>
        <v>26093.4592160383</v>
      </c>
      <c r="O14" s="362"/>
      <c r="P14" s="361" t="s">
        <v>503</v>
      </c>
      <c r="Q14" s="360"/>
      <c r="R14" s="359">
        <f>R12+R13</f>
        <v>3959.3</v>
      </c>
      <c r="S14" s="357">
        <f>S12+S13</f>
        <v>834.39999999999986</v>
      </c>
      <c r="T14" s="357">
        <f>T12+T13</f>
        <v>5831.4</v>
      </c>
      <c r="U14" s="356">
        <f>U12+U13</f>
        <v>3458.5028173950723</v>
      </c>
    </row>
    <row r="15" spans="2:26" ht="17.55" customHeight="1">
      <c r="B15" s="276" t="s">
        <v>502</v>
      </c>
      <c r="C15" s="413">
        <v>202</v>
      </c>
      <c r="D15" s="320">
        <v>41.1</v>
      </c>
      <c r="E15" s="320">
        <v>-315.60000000000002</v>
      </c>
      <c r="F15" s="413">
        <v>-221</v>
      </c>
      <c r="G15" s="273"/>
      <c r="H15" s="276" t="s">
        <v>501</v>
      </c>
      <c r="I15" s="280">
        <v>6808.5</v>
      </c>
      <c r="J15" s="280">
        <v>8734.1</v>
      </c>
      <c r="K15" s="431">
        <v>11707.6</v>
      </c>
      <c r="L15" s="431">
        <f>SUM(L16:L18)</f>
        <v>8717.7425493716346</v>
      </c>
      <c r="M15" s="279"/>
      <c r="P15" s="361" t="s">
        <v>500</v>
      </c>
      <c r="Q15" s="360"/>
      <c r="R15" s="359">
        <f>R10-R14</f>
        <v>-3237.5733457400001</v>
      </c>
      <c r="S15" s="357">
        <f>S10-S14</f>
        <v>-296.26297246999991</v>
      </c>
      <c r="T15" s="357">
        <f>T10-T14</f>
        <v>-5816.0379599499993</v>
      </c>
      <c r="U15" s="356">
        <f>U10-U14</f>
        <v>-2399.4028173950724</v>
      </c>
    </row>
    <row r="16" spans="2:26" ht="17.55" customHeight="1">
      <c r="B16" s="276" t="s">
        <v>499</v>
      </c>
      <c r="C16" s="413">
        <v>247</v>
      </c>
      <c r="D16" s="320">
        <v>-143</v>
      </c>
      <c r="E16" s="415">
        <v>-1108</v>
      </c>
      <c r="F16" s="413">
        <v>62.1</v>
      </c>
      <c r="G16" s="273"/>
      <c r="H16" s="334" t="s">
        <v>498</v>
      </c>
      <c r="I16" s="277">
        <v>2780.6</v>
      </c>
      <c r="J16" s="277">
        <v>3974.9</v>
      </c>
      <c r="K16" s="418">
        <v>4023.2</v>
      </c>
      <c r="L16" s="418">
        <f>U22</f>
        <v>2495.942549371634</v>
      </c>
      <c r="M16" s="279"/>
      <c r="P16" s="361" t="s">
        <v>497</v>
      </c>
      <c r="Q16" s="360"/>
      <c r="R16" s="359">
        <f>C25</f>
        <v>-787.2</v>
      </c>
      <c r="S16" s="358">
        <f>D25</f>
        <v>-1872.5</v>
      </c>
      <c r="T16" s="357">
        <v>-2759.1</v>
      </c>
      <c r="U16" s="356">
        <f>U15-U9*(1-U7)</f>
        <v>-2399.4028173950724</v>
      </c>
    </row>
    <row r="17" spans="2:23" ht="17.55" customHeight="1" thickBot="1">
      <c r="B17" s="274" t="s">
        <v>496</v>
      </c>
      <c r="C17" s="414">
        <v>19</v>
      </c>
      <c r="D17" s="330">
        <v>-8.4</v>
      </c>
      <c r="E17" s="330">
        <v>-259.8</v>
      </c>
      <c r="F17" s="330">
        <v>-1.3</v>
      </c>
      <c r="G17" s="273"/>
      <c r="H17" s="334" t="s">
        <v>495</v>
      </c>
      <c r="I17" s="277">
        <f>I15-I16-I18</f>
        <v>3951.6</v>
      </c>
      <c r="J17" s="277">
        <f>J15-J16-J18</f>
        <v>4578.9000000000005</v>
      </c>
      <c r="K17" s="418">
        <f>K15-K16-K18</f>
        <v>7266.3</v>
      </c>
      <c r="L17" s="418">
        <f>AVERAGE(J17:K17)</f>
        <v>5922.6</v>
      </c>
      <c r="M17" s="279"/>
      <c r="V17" s="355"/>
    </row>
    <row r="18" spans="2:23" ht="17.55" customHeight="1">
      <c r="B18" s="276" t="s">
        <v>378</v>
      </c>
      <c r="C18" s="411">
        <v>366</v>
      </c>
      <c r="D18" s="278">
        <f>D16+D17</f>
        <v>-151.4</v>
      </c>
      <c r="E18" s="278">
        <f>E16+E17</f>
        <v>-1367.8</v>
      </c>
      <c r="F18" s="411">
        <v>60.8</v>
      </c>
      <c r="G18" s="273"/>
      <c r="H18" s="334" t="s">
        <v>494</v>
      </c>
      <c r="I18" s="277">
        <v>76.3</v>
      </c>
      <c r="J18" s="277">
        <v>180.3</v>
      </c>
      <c r="K18" s="418">
        <v>418.1</v>
      </c>
      <c r="L18" s="418">
        <f>AVERAGE(J18:K18)</f>
        <v>299.20000000000005</v>
      </c>
      <c r="M18" s="354" t="s">
        <v>493</v>
      </c>
      <c r="N18" s="353"/>
      <c r="P18" s="352" t="s">
        <v>492</v>
      </c>
      <c r="Q18" s="351"/>
      <c r="R18" s="350">
        <v>2022</v>
      </c>
      <c r="S18" s="350">
        <v>2023</v>
      </c>
      <c r="T18" s="349">
        <v>2024</v>
      </c>
      <c r="U18" s="348">
        <v>2025</v>
      </c>
    </row>
    <row r="19" spans="2:23" ht="17.55" customHeight="1">
      <c r="B19" s="276" t="s">
        <v>481</v>
      </c>
      <c r="C19" s="413">
        <v>359</v>
      </c>
      <c r="D19" s="320">
        <v>-208.1</v>
      </c>
      <c r="E19" s="320">
        <v>-1404.4</v>
      </c>
      <c r="F19" s="413">
        <v>-77</v>
      </c>
      <c r="G19" s="273"/>
      <c r="H19" s="276" t="s">
        <v>491</v>
      </c>
      <c r="I19" s="280">
        <v>5685.4</v>
      </c>
      <c r="J19" s="280">
        <v>6776.1</v>
      </c>
      <c r="K19" s="431">
        <v>7722.4</v>
      </c>
      <c r="L19" s="431">
        <f>SUM(L20:L21)</f>
        <v>6731.0666666666657</v>
      </c>
      <c r="M19" s="342" t="s">
        <v>490</v>
      </c>
      <c r="N19" s="347">
        <v>171892536</v>
      </c>
      <c r="P19" s="346"/>
      <c r="Q19" s="345" t="s">
        <v>489</v>
      </c>
      <c r="R19" s="344">
        <f t="shared" ref="R19:T20" si="1">I7</f>
        <v>2055</v>
      </c>
      <c r="S19" s="344">
        <f t="shared" si="1"/>
        <v>2023</v>
      </c>
      <c r="T19" s="343">
        <f t="shared" si="1"/>
        <v>2679</v>
      </c>
      <c r="U19" s="437">
        <f>U28*F5/365</f>
        <v>2810.5439969036925</v>
      </c>
    </row>
    <row r="20" spans="2:23" ht="17.55" customHeight="1" thickBot="1">
      <c r="B20" s="274" t="s">
        <v>477</v>
      </c>
      <c r="C20" s="414">
        <v>7</v>
      </c>
      <c r="D20" s="330">
        <v>52.8</v>
      </c>
      <c r="E20" s="330">
        <v>35.4</v>
      </c>
      <c r="F20" s="414">
        <v>17.2</v>
      </c>
      <c r="G20" s="273"/>
      <c r="H20" s="334" t="s">
        <v>488</v>
      </c>
      <c r="I20" s="277">
        <f>I19-I21</f>
        <v>5681.5999999999995</v>
      </c>
      <c r="J20" s="277">
        <f>J19-J21</f>
        <v>6773.2000000000007</v>
      </c>
      <c r="K20" s="418">
        <f>K19-K21</f>
        <v>7714.4</v>
      </c>
      <c r="L20" s="418">
        <f>AVERAGE(I20:K20)</f>
        <v>6723.0666666666657</v>
      </c>
      <c r="M20" s="342" t="s">
        <v>487</v>
      </c>
      <c r="N20" s="435">
        <f>N21+(K17+K20-K6-K11)</f>
        <v>12244.7</v>
      </c>
      <c r="P20" s="288"/>
      <c r="Q20" s="306" t="s">
        <v>486</v>
      </c>
      <c r="R20" s="309">
        <f t="shared" si="1"/>
        <v>3060</v>
      </c>
      <c r="S20" s="309">
        <f t="shared" si="1"/>
        <v>3447</v>
      </c>
      <c r="T20" s="308">
        <f t="shared" si="1"/>
        <v>4258</v>
      </c>
      <c r="U20" s="438">
        <f>U29*F6/365</f>
        <v>3047.1013698630136</v>
      </c>
    </row>
    <row r="21" spans="2:23" ht="17.55" customHeight="1">
      <c r="B21" s="276" t="s">
        <v>485</v>
      </c>
      <c r="C21" s="411">
        <v>584.79999999999995</v>
      </c>
      <c r="D21" s="411">
        <v>-67</v>
      </c>
      <c r="E21" s="411">
        <v>756.9</v>
      </c>
      <c r="F21" s="278">
        <f>F18+788.6</f>
        <v>849.4</v>
      </c>
      <c r="G21" s="273"/>
      <c r="H21" s="334" t="s">
        <v>484</v>
      </c>
      <c r="I21" s="277">
        <v>3.8</v>
      </c>
      <c r="J21" s="277">
        <v>2.9</v>
      </c>
      <c r="K21" s="277">
        <v>8</v>
      </c>
      <c r="L21" s="277">
        <f>K21</f>
        <v>8</v>
      </c>
      <c r="M21" s="342" t="s">
        <v>483</v>
      </c>
      <c r="N21" s="341">
        <v>4882</v>
      </c>
      <c r="P21" s="313"/>
      <c r="Q21" s="337" t="s">
        <v>482</v>
      </c>
      <c r="R21" s="335">
        <f>SUM(R19:R20)</f>
        <v>5115</v>
      </c>
      <c r="S21" s="335">
        <f>SUM(S19:S20)</f>
        <v>5470</v>
      </c>
      <c r="T21" s="335">
        <f>SUM(T19:T20)</f>
        <v>6937</v>
      </c>
      <c r="U21" s="439">
        <f>SUM(U19:U20)</f>
        <v>5857.6453667667065</v>
      </c>
    </row>
    <row r="22" spans="2:23" ht="17.55" customHeight="1" thickBot="1">
      <c r="B22" s="276" t="s">
        <v>481</v>
      </c>
      <c r="C22" s="413">
        <v>580.5</v>
      </c>
      <c r="D22" s="413">
        <v>-124.9</v>
      </c>
      <c r="E22" s="413">
        <v>648</v>
      </c>
      <c r="F22" s="320">
        <f>F21*0.92</f>
        <v>781.44799999999998</v>
      </c>
      <c r="G22" s="273"/>
      <c r="H22" s="274" t="s">
        <v>480</v>
      </c>
      <c r="I22" s="329">
        <f>SUM(I19,I15)+1441</f>
        <v>13934.9</v>
      </c>
      <c r="J22" s="329">
        <f>SUM(J19,J15)</f>
        <v>15510.2</v>
      </c>
      <c r="K22" s="432">
        <f>SUM(K19,K15)</f>
        <v>19430</v>
      </c>
      <c r="L22" s="432">
        <f>SUM(L19,L15)</f>
        <v>15448.8092160383</v>
      </c>
      <c r="M22" s="342" t="s">
        <v>479</v>
      </c>
      <c r="N22" s="341">
        <v>28500</v>
      </c>
      <c r="P22" s="288"/>
      <c r="Q22" s="306" t="s">
        <v>478</v>
      </c>
      <c r="R22" s="309">
        <f>I16</f>
        <v>2780.6</v>
      </c>
      <c r="S22" s="309">
        <f>J16</f>
        <v>3974.9</v>
      </c>
      <c r="T22" s="308">
        <f>K16</f>
        <v>4023.2</v>
      </c>
      <c r="U22" s="438">
        <f>U30*F6/365</f>
        <v>2495.942549371634</v>
      </c>
    </row>
    <row r="23" spans="2:23" ht="17.55" customHeight="1">
      <c r="B23" s="276" t="s">
        <v>477</v>
      </c>
      <c r="C23" s="413">
        <v>4.3</v>
      </c>
      <c r="D23" s="413">
        <v>57.8</v>
      </c>
      <c r="E23" s="413">
        <v>108.9</v>
      </c>
      <c r="F23" s="320">
        <f>F21-F22</f>
        <v>67.951999999999998</v>
      </c>
      <c r="G23" s="273"/>
      <c r="H23" s="276" t="s">
        <v>476</v>
      </c>
      <c r="I23" s="280">
        <v>8920.6</v>
      </c>
      <c r="J23" s="280">
        <v>8117.2</v>
      </c>
      <c r="K23" s="431">
        <v>9449.7000000000007</v>
      </c>
      <c r="L23" s="431">
        <f>K23+(L26-K26)</f>
        <v>9484.5</v>
      </c>
      <c r="M23" s="340"/>
      <c r="P23" s="339"/>
      <c r="Q23" s="338" t="s">
        <v>475</v>
      </c>
      <c r="R23" s="336">
        <f>SUM(R22)</f>
        <v>2780.6</v>
      </c>
      <c r="S23" s="336">
        <f>SUM(S22)</f>
        <v>3974.9</v>
      </c>
      <c r="T23" s="336">
        <f>SUM(T22)</f>
        <v>4023.2</v>
      </c>
      <c r="U23" s="440">
        <f>SUM(U22)</f>
        <v>2495.942549371634</v>
      </c>
    </row>
    <row r="24" spans="2:23" ht="17.55" customHeight="1">
      <c r="B24" s="276" t="s">
        <v>474</v>
      </c>
      <c r="C24" s="413">
        <v>1599</v>
      </c>
      <c r="D24" s="413">
        <v>1283</v>
      </c>
      <c r="E24" s="320">
        <f>E10+E33</f>
        <v>419.56204004999995</v>
      </c>
      <c r="F24" s="320">
        <f>F10+F33</f>
        <v>1848.6</v>
      </c>
      <c r="G24" s="273"/>
      <c r="H24" s="334" t="s">
        <v>473</v>
      </c>
      <c r="I24" s="277">
        <v>978.2</v>
      </c>
      <c r="J24" s="277">
        <v>888.6</v>
      </c>
      <c r="K24" s="418">
        <v>828.6</v>
      </c>
      <c r="L24" s="418">
        <f>AVERAGE(I24:K24)</f>
        <v>898.4666666666667</v>
      </c>
      <c r="M24" s="279"/>
      <c r="P24" s="288" t="s">
        <v>472</v>
      </c>
      <c r="Q24" s="306"/>
      <c r="R24" s="308">
        <f>R21-R23</f>
        <v>2334.4</v>
      </c>
      <c r="S24" s="308">
        <f>S21-S23</f>
        <v>1495.1</v>
      </c>
      <c r="T24" s="308">
        <f>T21-T23</f>
        <v>2913.8</v>
      </c>
      <c r="U24" s="438">
        <f>U21-U23</f>
        <v>3361.7028173950725</v>
      </c>
    </row>
    <row r="25" spans="2:23" ht="17.55" customHeight="1">
      <c r="B25" s="276" t="s">
        <v>471</v>
      </c>
      <c r="C25" s="320">
        <v>-787.2</v>
      </c>
      <c r="D25" s="320">
        <v>-1872.5</v>
      </c>
      <c r="E25" s="320">
        <f>T16</f>
        <v>-2759.1</v>
      </c>
      <c r="F25" s="320">
        <f>U16</f>
        <v>-2399.4028173950724</v>
      </c>
      <c r="G25" s="273"/>
      <c r="H25" s="334" t="s">
        <v>470</v>
      </c>
      <c r="I25" s="277">
        <v>2320.1</v>
      </c>
      <c r="J25" s="277">
        <v>1496.3</v>
      </c>
      <c r="K25" s="418">
        <v>1562.4</v>
      </c>
      <c r="L25" s="418">
        <f>AVERAGE(I25:K25)</f>
        <v>1792.9333333333332</v>
      </c>
      <c r="M25" s="279"/>
      <c r="P25" s="313" t="s">
        <v>469</v>
      </c>
      <c r="Q25" s="337"/>
      <c r="R25" s="335">
        <f>R24-2077</f>
        <v>257.40000000000009</v>
      </c>
      <c r="S25" s="336">
        <f>S24-R24</f>
        <v>-839.30000000000018</v>
      </c>
      <c r="T25" s="335">
        <f>T24-S24</f>
        <v>1418.7000000000003</v>
      </c>
      <c r="U25" s="439">
        <f>U24-T24</f>
        <v>447.90281739507236</v>
      </c>
    </row>
    <row r="26" spans="2:23" ht="17.55" customHeight="1">
      <c r="B26" s="276" t="s">
        <v>468</v>
      </c>
      <c r="C26" s="413">
        <f>C24/C5*100</f>
        <v>12.177519550457419</v>
      </c>
      <c r="D26" s="413">
        <f>D24/D5*100</f>
        <v>9.8099663624120748</v>
      </c>
      <c r="E26" s="320">
        <f>E24/E5*100</f>
        <v>3.3851963811890373</v>
      </c>
      <c r="F26" s="320">
        <f>F24/F5*100</f>
        <v>11.183167777764332</v>
      </c>
      <c r="G26" s="273"/>
      <c r="H26" s="334" t="s">
        <v>467</v>
      </c>
      <c r="I26" s="277">
        <v>5561.4</v>
      </c>
      <c r="J26" s="277">
        <v>5609.4</v>
      </c>
      <c r="K26" s="418">
        <v>4123.3999999999996</v>
      </c>
      <c r="L26" s="418">
        <f>K26+(F18+F48)</f>
        <v>4158.2</v>
      </c>
      <c r="M26" s="279"/>
      <c r="P26" s="294" t="s">
        <v>437</v>
      </c>
      <c r="Q26" s="293"/>
      <c r="R26" s="333"/>
      <c r="S26" s="333"/>
      <c r="T26" s="333"/>
      <c r="U26" s="332"/>
    </row>
    <row r="27" spans="2:23" ht="17.55" customHeight="1">
      <c r="B27" s="276" t="s">
        <v>466</v>
      </c>
      <c r="C27" s="413">
        <f>C10/C5*100</f>
        <v>7.0348338908879118</v>
      </c>
      <c r="D27" s="413">
        <f>D10/D5*100</f>
        <v>4.4289132937902238</v>
      </c>
      <c r="E27" s="413">
        <f>E10/E5*100</f>
        <v>-2.4224413996013485</v>
      </c>
      <c r="F27" s="413">
        <f>F10/F5*100</f>
        <v>5.0701140942033369</v>
      </c>
      <c r="G27" s="273"/>
      <c r="H27" s="276" t="s">
        <v>465</v>
      </c>
      <c r="I27" s="280">
        <v>976.3</v>
      </c>
      <c r="J27" s="280">
        <v>1163.0999999999999</v>
      </c>
      <c r="K27" s="431">
        <v>1157.2</v>
      </c>
      <c r="L27" s="431">
        <f>AVERAGE(J27:K27)</f>
        <v>1160.1500000000001</v>
      </c>
      <c r="M27" s="279"/>
      <c r="P27" s="313" t="s">
        <v>464</v>
      </c>
      <c r="Q27" s="306"/>
      <c r="R27" s="306"/>
      <c r="S27" s="306"/>
      <c r="T27" s="306"/>
      <c r="U27" s="331"/>
    </row>
    <row r="28" spans="2:23" ht="17.55" customHeight="1" thickBot="1">
      <c r="B28" s="274" t="s">
        <v>463</v>
      </c>
      <c r="C28" s="414">
        <f>C18/C5*100</f>
        <v>2.7873496907238371</v>
      </c>
      <c r="D28" s="414">
        <f>D18/D5*100</f>
        <v>-1.1576219074584475</v>
      </c>
      <c r="E28" s="414">
        <f>E18/E5*100</f>
        <v>-11.035964096367172</v>
      </c>
      <c r="F28" s="414">
        <f>F18/F5*100</f>
        <v>0.36781164172242314</v>
      </c>
      <c r="G28" s="273"/>
      <c r="H28" s="274" t="s">
        <v>462</v>
      </c>
      <c r="I28" s="329">
        <f>SUM(I27,I23)</f>
        <v>9896.9</v>
      </c>
      <c r="J28" s="329">
        <f>SUM(J27,J23)</f>
        <v>9280.2999999999993</v>
      </c>
      <c r="K28" s="432">
        <f>SUM(K27,K23)</f>
        <v>10606.900000000001</v>
      </c>
      <c r="L28" s="432">
        <f>SUM(L27,L23)</f>
        <v>10644.65</v>
      </c>
      <c r="M28" s="279"/>
      <c r="P28" s="288"/>
      <c r="Q28" s="306" t="s">
        <v>461</v>
      </c>
      <c r="R28" s="325">
        <f t="shared" ref="R28:T30" si="2">I43</f>
        <v>55.052790346907997</v>
      </c>
      <c r="S28" s="325">
        <f t="shared" si="2"/>
        <v>61.86440677966101</v>
      </c>
      <c r="T28" s="324">
        <f t="shared" si="2"/>
        <v>69.259962049335869</v>
      </c>
      <c r="U28" s="324">
        <f>AVERAGE(R28:T28)</f>
        <v>62.059053058634959</v>
      </c>
      <c r="W28" s="271">
        <f>1-S28/R28</f>
        <v>-0.12372881355932175</v>
      </c>
    </row>
    <row r="29" spans="2:23" ht="17.55" customHeight="1">
      <c r="B29" s="328"/>
      <c r="C29" s="420">
        <v>116</v>
      </c>
      <c r="D29" s="420">
        <v>518</v>
      </c>
      <c r="E29" s="420">
        <v>638</v>
      </c>
      <c r="F29" s="328"/>
      <c r="G29" s="273"/>
      <c r="H29" s="328"/>
      <c r="I29" s="328"/>
      <c r="J29" s="328"/>
      <c r="K29" s="328"/>
      <c r="L29" s="328"/>
      <c r="M29" s="279"/>
      <c r="P29" s="288"/>
      <c r="Q29" s="306" t="s">
        <v>460</v>
      </c>
      <c r="R29" s="325">
        <f t="shared" si="2"/>
        <v>73.588709677419359</v>
      </c>
      <c r="S29" s="325">
        <f t="shared" si="2"/>
        <v>90.796019900497527</v>
      </c>
      <c r="T29" s="324">
        <f t="shared" si="2"/>
        <v>113.35403726708074</v>
      </c>
      <c r="U29" s="324">
        <v>80</v>
      </c>
    </row>
    <row r="30" spans="2:23" ht="17.55" customHeight="1" thickBot="1">
      <c r="B30" s="327" t="s">
        <v>459</v>
      </c>
      <c r="C30" s="326">
        <v>2022</v>
      </c>
      <c r="D30" s="326">
        <v>2023</v>
      </c>
      <c r="E30" s="326" t="s">
        <v>457</v>
      </c>
      <c r="F30" s="326" t="s">
        <v>456</v>
      </c>
      <c r="G30" s="273"/>
      <c r="H30" s="327" t="s">
        <v>458</v>
      </c>
      <c r="I30" s="326">
        <v>2022</v>
      </c>
      <c r="J30" s="326">
        <v>2023</v>
      </c>
      <c r="K30" s="326" t="s">
        <v>457</v>
      </c>
      <c r="L30" s="326" t="s">
        <v>456</v>
      </c>
      <c r="M30" s="279"/>
      <c r="P30" s="288"/>
      <c r="Q30" s="306" t="s">
        <v>455</v>
      </c>
      <c r="R30" s="325">
        <f t="shared" si="2"/>
        <v>50.624133148404994</v>
      </c>
      <c r="S30" s="325">
        <f t="shared" si="2"/>
        <v>51.192145862552593</v>
      </c>
      <c r="T30" s="324">
        <f t="shared" si="2"/>
        <v>65.529622980251347</v>
      </c>
      <c r="U30" s="324">
        <f>T30</f>
        <v>65.529622980251347</v>
      </c>
    </row>
    <row r="31" spans="2:23" ht="17.55" customHeight="1">
      <c r="B31" s="276" t="s">
        <v>454</v>
      </c>
      <c r="C31" s="278">
        <f>SUM(C32,C33,C37:C39)</f>
        <v>116.00000000000011</v>
      </c>
      <c r="D31" s="278">
        <f>SUM(D32,D33,D37:D39)</f>
        <v>518</v>
      </c>
      <c r="E31" s="278">
        <f>SUM(E32,E33,E37:E39)</f>
        <v>638</v>
      </c>
      <c r="F31" s="278">
        <f>SUM(F32,F33,F36:F39)</f>
        <v>1745.5</v>
      </c>
      <c r="G31" s="273"/>
      <c r="H31" s="276" t="s">
        <v>453</v>
      </c>
      <c r="I31" s="277">
        <v>23.1</v>
      </c>
      <c r="J31" s="277" t="s">
        <v>556</v>
      </c>
      <c r="K31" s="418" t="s">
        <v>556</v>
      </c>
      <c r="L31" s="418">
        <f>$N$22/L34</f>
        <v>80.574626249999994</v>
      </c>
      <c r="M31" s="279"/>
      <c r="P31" s="284"/>
      <c r="Q31" s="323" t="s">
        <v>452</v>
      </c>
      <c r="R31" s="322">
        <f>SUM(R28:R29)-R30</f>
        <v>78.017366875922349</v>
      </c>
      <c r="S31" s="322">
        <f>SUM(S28:S29)-S30</f>
        <v>101.46828081760594</v>
      </c>
      <c r="T31" s="322">
        <f>SUM(T28:T29)-T30</f>
        <v>117.08437633616525</v>
      </c>
      <c r="U31" s="321">
        <f>SUM(U28:U29)-U30</f>
        <v>76.529430078383612</v>
      </c>
    </row>
    <row r="32" spans="2:23" ht="17.55" customHeight="1">
      <c r="B32" s="276" t="s">
        <v>378</v>
      </c>
      <c r="C32" s="320">
        <f>C18</f>
        <v>366</v>
      </c>
      <c r="D32" s="320">
        <f>D18</f>
        <v>-151.4</v>
      </c>
      <c r="E32" s="320">
        <f>E18</f>
        <v>-1367.8</v>
      </c>
      <c r="F32" s="320">
        <f>F18</f>
        <v>60.8</v>
      </c>
      <c r="G32" s="273"/>
      <c r="H32" s="276" t="s">
        <v>451</v>
      </c>
      <c r="I32" s="277">
        <v>0.9</v>
      </c>
      <c r="J32" s="277">
        <v>0.9</v>
      </c>
      <c r="K32" s="418">
        <v>0.3</v>
      </c>
      <c r="L32" s="418">
        <f>$N$22/L35</f>
        <v>0.46022530341533069</v>
      </c>
      <c r="M32" s="279"/>
      <c r="P32" s="306"/>
      <c r="Q32" s="306"/>
      <c r="R32" s="306"/>
      <c r="S32" s="306"/>
      <c r="T32" s="319"/>
      <c r="U32" s="306"/>
    </row>
    <row r="33" spans="2:21" ht="17.55" customHeight="1" thickBot="1">
      <c r="B33" s="276" t="s">
        <v>555</v>
      </c>
      <c r="C33" s="277">
        <f>SUM(C34:C36)</f>
        <v>675.30000000000007</v>
      </c>
      <c r="D33" s="277">
        <f>SUM(D34:D36)</f>
        <v>681.3</v>
      </c>
      <c r="E33" s="419">
        <f>SUM(E34:E36)</f>
        <v>719.8</v>
      </c>
      <c r="F33" s="419">
        <f>SUM(F34:F36)</f>
        <v>1010.5</v>
      </c>
      <c r="G33" s="273"/>
      <c r="H33" s="274" t="s">
        <v>450</v>
      </c>
      <c r="I33" s="433">
        <v>9</v>
      </c>
      <c r="J33" s="433">
        <v>12.1</v>
      </c>
      <c r="K33" s="434">
        <v>35.299999999999997</v>
      </c>
      <c r="L33" s="434">
        <f>N20/F24</f>
        <v>6.6237693389592129</v>
      </c>
      <c r="M33" s="279"/>
      <c r="P33" s="318" t="s">
        <v>440</v>
      </c>
      <c r="Q33" s="317"/>
      <c r="R33" s="316">
        <v>2022</v>
      </c>
      <c r="S33" s="316">
        <v>2023</v>
      </c>
      <c r="T33" s="315">
        <v>2024</v>
      </c>
      <c r="U33" s="314">
        <v>2025</v>
      </c>
    </row>
    <row r="34" spans="2:21" ht="17.55" customHeight="1">
      <c r="B34" s="425" t="s">
        <v>550</v>
      </c>
      <c r="C34" s="415">
        <v>570</v>
      </c>
      <c r="D34" s="415">
        <v>579</v>
      </c>
      <c r="E34" s="415">
        <v>576</v>
      </c>
      <c r="F34" s="415">
        <v>883.3</v>
      </c>
      <c r="G34" s="426"/>
      <c r="H34" s="425" t="s">
        <v>449</v>
      </c>
      <c r="I34" s="415">
        <v>1864</v>
      </c>
      <c r="J34" s="415">
        <v>-1172</v>
      </c>
      <c r="K34" s="415">
        <v>-8050</v>
      </c>
      <c r="L34" s="415">
        <f>F18*1000000000/N19</f>
        <v>353.70936641483956</v>
      </c>
      <c r="M34" s="279"/>
      <c r="P34" s="313"/>
      <c r="Q34" s="306" t="s">
        <v>395</v>
      </c>
      <c r="R34" s="312">
        <f>R36+R37-R35</f>
        <v>5948.9</v>
      </c>
      <c r="S34" s="312">
        <f>R37</f>
        <v>6879</v>
      </c>
      <c r="T34" s="311">
        <f>S37</f>
        <v>7050</v>
      </c>
      <c r="U34" s="310">
        <f>T37</f>
        <v>10022.1</v>
      </c>
    </row>
    <row r="35" spans="2:21" ht="17.55" customHeight="1">
      <c r="B35" s="425" t="s">
        <v>551</v>
      </c>
      <c r="C35" s="415">
        <v>65.099999999999994</v>
      </c>
      <c r="D35" s="415">
        <v>38</v>
      </c>
      <c r="E35" s="415">
        <v>66</v>
      </c>
      <c r="F35" s="415">
        <v>53.2</v>
      </c>
      <c r="G35" s="426"/>
      <c r="H35" s="425" t="s">
        <v>448</v>
      </c>
      <c r="I35" s="415">
        <v>46957</v>
      </c>
      <c r="J35" s="415">
        <v>45654</v>
      </c>
      <c r="K35" s="415">
        <v>54793</v>
      </c>
      <c r="L35" s="415">
        <f>L28*1000000000/N19</f>
        <v>61926.190908021745</v>
      </c>
      <c r="M35" s="279"/>
      <c r="P35" s="288"/>
      <c r="Q35" s="306" t="s">
        <v>447</v>
      </c>
      <c r="R35" s="309">
        <v>2316</v>
      </c>
      <c r="S35" s="309">
        <v>1000.1</v>
      </c>
      <c r="T35" s="308">
        <v>3692.4</v>
      </c>
      <c r="U35" s="307">
        <v>2000</v>
      </c>
    </row>
    <row r="36" spans="2:21" ht="17.55" customHeight="1" thickBot="1">
      <c r="B36" s="425" t="s">
        <v>554</v>
      </c>
      <c r="C36" s="415">
        <v>40.200000000000003</v>
      </c>
      <c r="D36" s="415">
        <v>64.3</v>
      </c>
      <c r="E36" s="415">
        <v>77.8</v>
      </c>
      <c r="F36" s="415">
        <v>74</v>
      </c>
      <c r="G36" s="426"/>
      <c r="H36" s="427" t="s">
        <v>446</v>
      </c>
      <c r="I36" s="416">
        <v>0</v>
      </c>
      <c r="J36" s="416">
        <v>300</v>
      </c>
      <c r="K36" s="416">
        <v>300</v>
      </c>
      <c r="L36" s="416">
        <v>300</v>
      </c>
      <c r="M36" s="279"/>
      <c r="P36" s="288"/>
      <c r="Q36" s="306" t="s">
        <v>445</v>
      </c>
      <c r="R36" s="305">
        <v>1385.9</v>
      </c>
      <c r="S36" s="305">
        <v>673.6</v>
      </c>
      <c r="T36" s="304">
        <v>720.3</v>
      </c>
      <c r="U36" s="303">
        <v>1010.6</v>
      </c>
    </row>
    <row r="37" spans="2:21" ht="17.55" customHeight="1">
      <c r="B37" s="425" t="s">
        <v>552</v>
      </c>
      <c r="C37" s="415">
        <v>-1626</v>
      </c>
      <c r="D37" s="415">
        <v>-499</v>
      </c>
      <c r="E37" s="415">
        <v>134</v>
      </c>
      <c r="F37" s="415">
        <f>AVERAGE(C37:E37)</f>
        <v>-663.66666666666663</v>
      </c>
      <c r="G37" s="426"/>
      <c r="H37" s="425" t="s">
        <v>444</v>
      </c>
      <c r="I37" s="415">
        <v>0</v>
      </c>
      <c r="J37" s="415">
        <v>-24.4</v>
      </c>
      <c r="K37" s="415">
        <f>-E48/E18*100</f>
        <v>-10.089194326655944</v>
      </c>
      <c r="L37" s="415">
        <f>-F48/F18*100</f>
        <v>42.763157894736842</v>
      </c>
      <c r="M37" s="279"/>
      <c r="P37" s="284"/>
      <c r="Q37" s="302" t="s">
        <v>443</v>
      </c>
      <c r="R37" s="301">
        <f>I12</f>
        <v>6879</v>
      </c>
      <c r="S37" s="301">
        <f>J12</f>
        <v>7050</v>
      </c>
      <c r="T37" s="300">
        <f>T34+T35-T36</f>
        <v>10022.1</v>
      </c>
      <c r="U37" s="299">
        <f>U34+U35-U36</f>
        <v>11011.5</v>
      </c>
    </row>
    <row r="38" spans="2:21" ht="17.55" customHeight="1">
      <c r="B38" s="425" t="s">
        <v>442</v>
      </c>
      <c r="C38" s="415">
        <v>-219</v>
      </c>
      <c r="D38" s="415">
        <v>-498</v>
      </c>
      <c r="E38" s="415">
        <v>-71.8</v>
      </c>
      <c r="F38" s="415">
        <f>-F15</f>
        <v>221</v>
      </c>
      <c r="G38" s="426"/>
      <c r="H38" s="425" t="s">
        <v>441</v>
      </c>
      <c r="I38" s="415">
        <v>0</v>
      </c>
      <c r="J38" s="415">
        <v>0.8</v>
      </c>
      <c r="K38" s="415">
        <f>-E48/N21*100</f>
        <v>2.8267103646046698</v>
      </c>
      <c r="L38" s="415">
        <f>-F48/N21*100</f>
        <v>0.53256861941827116</v>
      </c>
      <c r="M38" s="279"/>
      <c r="P38" s="298" t="s">
        <v>440</v>
      </c>
      <c r="Q38" s="297"/>
      <c r="R38" s="296">
        <f>R35+R36</f>
        <v>3701.9</v>
      </c>
      <c r="S38" s="296">
        <f>S35+S36</f>
        <v>1673.7</v>
      </c>
      <c r="T38" s="296">
        <f>T35+T36</f>
        <v>4412.7</v>
      </c>
      <c r="U38" s="295">
        <f>U35+U36</f>
        <v>3010.6</v>
      </c>
    </row>
    <row r="39" spans="2:21" ht="17.55" customHeight="1" thickBot="1">
      <c r="B39" s="443" t="s">
        <v>439</v>
      </c>
      <c r="C39" s="444">
        <f>C29-C32-C33-C37-C38</f>
        <v>919.69999999999993</v>
      </c>
      <c r="D39" s="444">
        <f>D29-D32-D33-D37-D38</f>
        <v>985.1</v>
      </c>
      <c r="E39" s="444">
        <f>E29-E32-E33-E37-E38</f>
        <v>1223.8</v>
      </c>
      <c r="F39" s="444">
        <f>AVERAGE(C39:E39)</f>
        <v>1042.8666666666666</v>
      </c>
      <c r="G39" s="426"/>
      <c r="H39" s="425" t="s">
        <v>438</v>
      </c>
      <c r="I39" s="415">
        <f>(C5/10217-1)*100</f>
        <v>28.518673656846417</v>
      </c>
      <c r="J39" s="415">
        <f>(D5/C5-1)*100</f>
        <v>-0.39766727389735079</v>
      </c>
      <c r="K39" s="436">
        <f>(E5/D5-1)*100</f>
        <v>-5.2338619705940337</v>
      </c>
      <c r="L39" s="436">
        <f>(F5/E5-1)*100</f>
        <v>33.37234515701757</v>
      </c>
      <c r="M39" s="279"/>
      <c r="P39" s="294" t="s">
        <v>437</v>
      </c>
      <c r="Q39" s="293"/>
      <c r="R39" s="292"/>
      <c r="S39" s="292"/>
      <c r="T39" s="292"/>
      <c r="U39" s="291"/>
    </row>
    <row r="40" spans="2:21" ht="17.55" customHeight="1">
      <c r="B40" s="425" t="s">
        <v>436</v>
      </c>
      <c r="C40" s="408">
        <v>-1477</v>
      </c>
      <c r="D40" s="408">
        <v>-2799</v>
      </c>
      <c r="E40" s="408">
        <v>-3287</v>
      </c>
      <c r="F40" s="408">
        <f>SUM(F41:F44)</f>
        <v>-2521.0000000000005</v>
      </c>
      <c r="G40" s="426"/>
      <c r="H40" s="425" t="s">
        <v>435</v>
      </c>
      <c r="I40" s="415">
        <f>(C24/743.4-1)*100</f>
        <v>115.09281678773205</v>
      </c>
      <c r="J40" s="415">
        <f>(D24/C24-1)*100</f>
        <v>-19.762351469668538</v>
      </c>
      <c r="K40" s="436">
        <f>(E24/D24-1)*100</f>
        <v>-67.298360089633675</v>
      </c>
      <c r="L40" s="436">
        <f>(F24/E24-1)*100</f>
        <v>340.60230038439585</v>
      </c>
      <c r="M40" s="279"/>
      <c r="P40" s="289"/>
      <c r="Q40" s="287" t="s">
        <v>434</v>
      </c>
      <c r="R40" s="286">
        <f>R38/C5</f>
        <v>0.28192595136859488</v>
      </c>
      <c r="S40" s="286">
        <f>S38/D5</f>
        <v>0.12797303741830934</v>
      </c>
      <c r="T40" s="286">
        <f>T38/E5</f>
        <v>0.35603449896212469</v>
      </c>
      <c r="U40" s="290">
        <f>U38/F5</f>
        <v>0.18212725798840909</v>
      </c>
    </row>
    <row r="41" spans="2:21" ht="17.55" customHeight="1">
      <c r="B41" s="425" t="s">
        <v>433</v>
      </c>
      <c r="C41" s="415">
        <v>-889</v>
      </c>
      <c r="D41" s="415">
        <v>-2359</v>
      </c>
      <c r="E41" s="415">
        <f>-3344</f>
        <v>-3344</v>
      </c>
      <c r="F41" s="415">
        <f>AVERAGE(C41:E41)</f>
        <v>-2197.3333333333335</v>
      </c>
      <c r="G41" s="426"/>
      <c r="H41" s="425" t="s">
        <v>432</v>
      </c>
      <c r="I41" s="415">
        <f>(C10/703.5-1)*100</f>
        <v>31.304428466240243</v>
      </c>
      <c r="J41" s="415">
        <f>(D10/C10-1)*100</f>
        <v>-37.293459611812509</v>
      </c>
      <c r="K41" s="436">
        <f>(E10/D10-1)*100</f>
        <v>-151.83335071486775</v>
      </c>
      <c r="L41" s="436">
        <f>(F10/-E10-1)*100</f>
        <v>179.14524870192051</v>
      </c>
      <c r="M41" s="279"/>
      <c r="P41" s="289"/>
      <c r="Q41" s="287" t="s">
        <v>431</v>
      </c>
      <c r="R41" s="286">
        <f>R35/C5</f>
        <v>0.17637983288842643</v>
      </c>
      <c r="S41" s="286">
        <f>S35/D5</f>
        <v>7.6468802486736681E-2</v>
      </c>
      <c r="T41" s="285">
        <v>0.1</v>
      </c>
      <c r="U41" s="285">
        <v>0.08</v>
      </c>
    </row>
    <row r="42" spans="2:21" ht="17.55" customHeight="1" thickBot="1">
      <c r="B42" s="425" t="s">
        <v>430</v>
      </c>
      <c r="C42" s="415">
        <v>-37</v>
      </c>
      <c r="D42" s="415">
        <v>-18</v>
      </c>
      <c r="E42" s="415">
        <v>-21</v>
      </c>
      <c r="F42" s="415">
        <f>AVERAGE(C42:E42)</f>
        <v>-25.333333333333332</v>
      </c>
      <c r="G42" s="426"/>
      <c r="H42" s="427" t="s">
        <v>429</v>
      </c>
      <c r="I42" s="416">
        <v>-43.5</v>
      </c>
      <c r="J42" s="416" t="s">
        <v>557</v>
      </c>
      <c r="K42" s="416" t="s">
        <v>558</v>
      </c>
      <c r="L42" s="416" t="s">
        <v>559</v>
      </c>
      <c r="M42" s="279"/>
      <c r="P42" s="288"/>
      <c r="Q42" s="287" t="s">
        <v>428</v>
      </c>
      <c r="R42" s="286">
        <f>R36/C5</f>
        <v>0.10554611848016847</v>
      </c>
      <c r="S42" s="286">
        <f>S36/D5</f>
        <v>5.1504234931572669E-2</v>
      </c>
      <c r="T42" s="285">
        <v>0.02</v>
      </c>
      <c r="U42" s="285">
        <v>0.02</v>
      </c>
    </row>
    <row r="43" spans="2:21" ht="17.55" customHeight="1">
      <c r="B43" s="425" t="s">
        <v>427</v>
      </c>
      <c r="C43" s="415">
        <v>-120</v>
      </c>
      <c r="D43" s="415">
        <v>160</v>
      </c>
      <c r="E43" s="415">
        <v>-107</v>
      </c>
      <c r="F43" s="415">
        <f>AVERAGE(C43:E43)</f>
        <v>-22.333333333333332</v>
      </c>
      <c r="G43" s="426"/>
      <c r="H43" s="425" t="s">
        <v>426</v>
      </c>
      <c r="I43" s="415">
        <f>365/6.63</f>
        <v>55.052790346907997</v>
      </c>
      <c r="J43" s="415">
        <f>365/5.9</f>
        <v>61.86440677966101</v>
      </c>
      <c r="K43" s="415">
        <f>365/5.27</f>
        <v>69.259962049335869</v>
      </c>
      <c r="L43" s="415">
        <f>U28</f>
        <v>62.059053058634959</v>
      </c>
      <c r="M43" s="279"/>
      <c r="P43" s="284"/>
      <c r="Q43" s="283" t="s">
        <v>425</v>
      </c>
      <c r="R43" s="282">
        <f>R36/R37</f>
        <v>0.20146823666230559</v>
      </c>
      <c r="S43" s="282">
        <f>S36/S37</f>
        <v>9.5546099290780145E-2</v>
      </c>
      <c r="T43" s="282">
        <f>T36/T37</f>
        <v>7.187116472595563E-2</v>
      </c>
      <c r="U43" s="281">
        <f>U36/U37</f>
        <v>9.1776778822140498E-2</v>
      </c>
    </row>
    <row r="44" spans="2:21" ht="17.55" customHeight="1" thickBot="1">
      <c r="B44" s="427" t="s">
        <v>424</v>
      </c>
      <c r="C44" s="416">
        <f>C40-SUM(C41:C43)</f>
        <v>-431</v>
      </c>
      <c r="D44" s="416">
        <f t="shared" ref="D44" si="3">D40-SUM(D41:D43)</f>
        <v>-582</v>
      </c>
      <c r="E44" s="416">
        <f>E40-SUM(E41:E43)</f>
        <v>185</v>
      </c>
      <c r="F44" s="416">
        <f>AVERAGE(C44:E44)</f>
        <v>-276</v>
      </c>
      <c r="G44" s="426"/>
      <c r="H44" s="425" t="s">
        <v>423</v>
      </c>
      <c r="I44" s="415">
        <f>365/4.96</f>
        <v>73.588709677419359</v>
      </c>
      <c r="J44" s="415">
        <f>365/4.02</f>
        <v>90.796019900497527</v>
      </c>
      <c r="K44" s="415">
        <f>365/3.22</f>
        <v>113.35403726708074</v>
      </c>
      <c r="L44" s="415">
        <f>U29</f>
        <v>80</v>
      </c>
      <c r="M44" s="279"/>
    </row>
    <row r="45" spans="2:21" ht="17.55" customHeight="1" thickBot="1">
      <c r="B45" s="425" t="s">
        <v>422</v>
      </c>
      <c r="C45" s="408">
        <v>2322</v>
      </c>
      <c r="D45" s="408">
        <v>1609</v>
      </c>
      <c r="E45" s="408">
        <f>SUM(E46:E49)</f>
        <v>2676</v>
      </c>
      <c r="F45" s="408">
        <f>SUM(F46:F49)</f>
        <v>1252</v>
      </c>
      <c r="G45" s="426"/>
      <c r="H45" s="427" t="s">
        <v>421</v>
      </c>
      <c r="I45" s="416">
        <f>365/7.21</f>
        <v>50.624133148404994</v>
      </c>
      <c r="J45" s="416">
        <f>365/7.13</f>
        <v>51.192145862552593</v>
      </c>
      <c r="K45" s="416">
        <f>365/5.57</f>
        <v>65.529622980251347</v>
      </c>
      <c r="L45" s="416">
        <f>U30</f>
        <v>65.529622980251347</v>
      </c>
      <c r="M45" s="279"/>
    </row>
    <row r="46" spans="2:21" ht="17.55" customHeight="1">
      <c r="B46" s="425" t="s">
        <v>420</v>
      </c>
      <c r="C46" s="415">
        <v>1566</v>
      </c>
      <c r="D46" s="415">
        <v>1784</v>
      </c>
      <c r="E46" s="415">
        <v>3485</v>
      </c>
      <c r="F46" s="415">
        <f>AVERAGE(C46:D46)</f>
        <v>1675</v>
      </c>
      <c r="G46" s="426"/>
      <c r="H46" s="425" t="s">
        <v>419</v>
      </c>
      <c r="I46" s="415">
        <v>1.7</v>
      </c>
      <c r="J46" s="415">
        <f>D18/J14*100</f>
        <v>-0.61072027881760682</v>
      </c>
      <c r="K46" s="415">
        <f>E18/K14*100</f>
        <v>-4.553717082265206</v>
      </c>
      <c r="L46" s="415">
        <f>F18/L14*100</f>
        <v>0.23300858462886126</v>
      </c>
      <c r="M46" s="279"/>
    </row>
    <row r="47" spans="2:21" ht="17.55" customHeight="1">
      <c r="B47" s="425" t="s">
        <v>418</v>
      </c>
      <c r="C47" s="415">
        <v>317</v>
      </c>
      <c r="D47" s="415">
        <v>-913</v>
      </c>
      <c r="E47" s="415">
        <v>66</v>
      </c>
      <c r="F47" s="415">
        <f>AVERAGE(D47:E47)</f>
        <v>-423.5</v>
      </c>
      <c r="G47" s="426"/>
      <c r="H47" s="425" t="s">
        <v>417</v>
      </c>
      <c r="I47" s="415">
        <v>4.2</v>
      </c>
      <c r="J47" s="415">
        <f>D18/J28*100</f>
        <v>-1.6314127776041725</v>
      </c>
      <c r="K47" s="415">
        <f>E18/K28*100</f>
        <v>-12.895379422828535</v>
      </c>
      <c r="L47" s="415">
        <f>F18/L28*100</f>
        <v>0.57117894904952249</v>
      </c>
    </row>
    <row r="48" spans="2:21" ht="17.55" customHeight="1" thickBot="1">
      <c r="B48" s="425" t="s">
        <v>416</v>
      </c>
      <c r="C48" s="415">
        <v>0</v>
      </c>
      <c r="D48" s="415">
        <v>-52</v>
      </c>
      <c r="E48" s="415">
        <v>-138</v>
      </c>
      <c r="F48" s="415">
        <f>AVERAGE(C48:D48)</f>
        <v>-26</v>
      </c>
      <c r="G48" s="426"/>
      <c r="H48" s="427" t="s">
        <v>415</v>
      </c>
      <c r="I48" s="416">
        <v>5.6</v>
      </c>
      <c r="J48" s="416">
        <v>7.1</v>
      </c>
      <c r="K48" s="416">
        <f>T10/(K7+K8+K12)*100</f>
        <v>8.6968070935235606E-2</v>
      </c>
      <c r="L48" s="416">
        <f>U10/(L7+L8+L12)*100</f>
        <v>6.2783263584087337</v>
      </c>
    </row>
    <row r="49" spans="2:12" ht="17.55" customHeight="1" thickBot="1">
      <c r="B49" s="427" t="s">
        <v>414</v>
      </c>
      <c r="C49" s="416">
        <f>C45-C46-C47</f>
        <v>439</v>
      </c>
      <c r="D49" s="416">
        <f>D45-D46-D47-D48</f>
        <v>790</v>
      </c>
      <c r="E49" s="416">
        <v>-737</v>
      </c>
      <c r="F49" s="416">
        <f>AVERAGE(D49:E49)</f>
        <v>26.5</v>
      </c>
      <c r="G49" s="426"/>
      <c r="H49" s="425" t="s">
        <v>413</v>
      </c>
      <c r="I49" s="415">
        <f>I22/I28*100</f>
        <v>140.80065475047743</v>
      </c>
      <c r="J49" s="415">
        <f>J22/J28*100</f>
        <v>167.13037294052998</v>
      </c>
      <c r="K49" s="415">
        <f>K22/K28*100</f>
        <v>183.18264525921805</v>
      </c>
      <c r="L49" s="415">
        <f>L22/L28*100</f>
        <v>145.13214822505483</v>
      </c>
    </row>
    <row r="50" spans="2:12" ht="17.55" customHeight="1">
      <c r="B50" s="425" t="s">
        <v>412</v>
      </c>
      <c r="C50" s="408">
        <v>965</v>
      </c>
      <c r="D50" s="408">
        <v>-658</v>
      </c>
      <c r="E50" s="408">
        <v>226</v>
      </c>
      <c r="F50" s="408">
        <f>SUM(F45,F40,F31)</f>
        <v>476.49999999999955</v>
      </c>
      <c r="G50" s="426"/>
      <c r="H50" s="425" t="s">
        <v>411</v>
      </c>
      <c r="I50" s="415">
        <f>I5/I15</f>
        <v>1.2592054050084451</v>
      </c>
      <c r="J50" s="415">
        <f>J5/J15*100</f>
        <v>112.17412211905059</v>
      </c>
      <c r="K50" s="415">
        <f>K5/K15*100</f>
        <v>92.956711879462901</v>
      </c>
      <c r="L50" s="415">
        <f>L5/L15*100</f>
        <v>98.606864112903253</v>
      </c>
    </row>
    <row r="51" spans="2:12" ht="17.55" customHeight="1">
      <c r="B51" s="425" t="s">
        <v>410</v>
      </c>
      <c r="C51" s="415">
        <v>1652</v>
      </c>
      <c r="D51" s="415">
        <v>2616</v>
      </c>
      <c r="E51" s="415">
        <v>1958</v>
      </c>
      <c r="F51" s="415">
        <f>E52</f>
        <v>2184</v>
      </c>
      <c r="G51" s="426"/>
      <c r="H51" s="425" t="s">
        <v>409</v>
      </c>
      <c r="I51" s="415">
        <f>(I5-I8)/I15*100</f>
        <v>80.97672027612542</v>
      </c>
      <c r="J51" s="415">
        <f>(J5-J8)/J15*100</f>
        <v>72.708121042809211</v>
      </c>
      <c r="K51" s="415">
        <f>(K5-K8)/K15*100</f>
        <v>56.587174143291527</v>
      </c>
      <c r="L51" s="415">
        <f>(L5-L8)/L15*100</f>
        <v>63.653992396329727</v>
      </c>
    </row>
    <row r="52" spans="2:12" ht="17.55" customHeight="1" thickBot="1">
      <c r="B52" s="427" t="s">
        <v>408</v>
      </c>
      <c r="C52" s="416">
        <v>2616</v>
      </c>
      <c r="D52" s="416">
        <v>1958</v>
      </c>
      <c r="E52" s="416">
        <v>2184</v>
      </c>
      <c r="F52" s="416">
        <f>F51+F50</f>
        <v>2660.4999999999995</v>
      </c>
      <c r="G52" s="426"/>
      <c r="H52" s="427" t="s">
        <v>407</v>
      </c>
      <c r="I52" s="416">
        <f>I28/I14*100</f>
        <v>41.528300540876231</v>
      </c>
      <c r="J52" s="416">
        <f>J28/J14*100</f>
        <v>37.435055505356907</v>
      </c>
      <c r="K52" s="416">
        <f>K28/K14*100</f>
        <v>35.312780903552287</v>
      </c>
      <c r="L52" s="416">
        <f>L28/L14*100</f>
        <v>40.794322867921181</v>
      </c>
    </row>
    <row r="53" spans="2:12" ht="17.55" customHeight="1">
      <c r="B53" s="424"/>
      <c r="C53" s="424"/>
      <c r="D53" s="424"/>
      <c r="E53" s="424"/>
      <c r="F53" s="424"/>
      <c r="G53" s="426"/>
      <c r="H53" s="428"/>
      <c r="I53" s="428"/>
      <c r="J53" s="428"/>
      <c r="K53" s="428"/>
      <c r="L53" s="428"/>
    </row>
    <row r="54" spans="2:12" ht="17.55" customHeight="1">
      <c r="B54" s="272"/>
      <c r="C54" s="423"/>
      <c r="D54" s="423"/>
      <c r="E54" s="423"/>
      <c r="F54" s="423"/>
      <c r="G54" s="421"/>
      <c r="H54" s="422"/>
      <c r="I54" s="422"/>
      <c r="J54" s="422"/>
      <c r="K54" s="422"/>
      <c r="L54" s="422"/>
    </row>
    <row r="55" spans="2:12" ht="17.55" customHeight="1">
      <c r="G55" s="272"/>
    </row>
    <row r="57" spans="2:12" ht="17.55" customHeight="1">
      <c r="E57" s="424"/>
    </row>
    <row r="60" spans="2:12" ht="17.55" customHeight="1">
      <c r="F60" s="424"/>
    </row>
  </sheetData>
  <mergeCells count="2">
    <mergeCell ref="R4:S4"/>
    <mergeCell ref="T4:U4"/>
  </mergeCells>
  <phoneticPr fontId="3" type="noConversion"/>
  <hyperlinks>
    <hyperlink ref="W4" r:id="rId1" display="https://brunch.co.kr/@heong-seok/29" xr:uid="{EF115A37-E3EE-0340-A6E9-098B590F652A}"/>
  </hyperlink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B92D-50C5-C441-A812-06915FCA7B17}">
  <sheetPr>
    <tabColor rgb="FFD0CECE"/>
  </sheetPr>
  <dimension ref="A1:AY30"/>
  <sheetViews>
    <sheetView showGridLines="0" zoomScale="75" zoomScaleNormal="100" workbookViewId="0">
      <selection activeCell="J7" sqref="J7"/>
    </sheetView>
  </sheetViews>
  <sheetFormatPr defaultColWidth="8.7265625" defaultRowHeight="18" customHeight="1"/>
  <cols>
    <col min="1" max="1" width="1.6328125" customWidth="1"/>
    <col min="2" max="2" width="15.6328125" style="168" customWidth="1"/>
    <col min="3" max="5" width="8.7265625" style="63"/>
    <col min="6" max="6" width="8.7265625" style="168"/>
    <col min="7" max="7" width="20.6328125" style="168" customWidth="1"/>
    <col min="8" max="11" width="8.7265625" style="168"/>
  </cols>
  <sheetData>
    <row r="1" spans="1:51" s="2" customFormat="1" ht="18" customHeight="1">
      <c r="A1" s="45" t="s">
        <v>16</v>
      </c>
      <c r="B1" s="254"/>
      <c r="C1" s="255"/>
      <c r="D1" s="255"/>
      <c r="E1" s="255"/>
      <c r="F1" s="254"/>
      <c r="G1" s="254"/>
      <c r="H1" s="253"/>
      <c r="I1" s="253"/>
      <c r="J1" s="253"/>
      <c r="K1" s="253"/>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row>
    <row r="2" spans="1:51" s="2" customFormat="1" ht="18" customHeight="1">
      <c r="A2" s="6" t="s">
        <v>15</v>
      </c>
      <c r="B2" s="251"/>
      <c r="C2" s="252"/>
      <c r="D2" s="252"/>
      <c r="E2" s="252"/>
      <c r="F2" s="251"/>
      <c r="G2" s="251"/>
      <c r="H2" s="250"/>
      <c r="I2" s="250"/>
      <c r="J2" s="250"/>
      <c r="K2" s="250"/>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row>
    <row r="3" spans="1:51" s="2" customFormat="1" ht="18" customHeight="1">
      <c r="A3" s="46" t="s">
        <v>255</v>
      </c>
      <c r="B3" s="248"/>
      <c r="C3" s="249"/>
      <c r="D3" s="249"/>
      <c r="E3" s="249"/>
      <c r="F3" s="248"/>
      <c r="G3" s="248"/>
      <c r="H3" s="247"/>
      <c r="I3" s="247"/>
      <c r="J3" s="247"/>
      <c r="K3" s="247"/>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row>
    <row r="5" spans="1:51" ht="18" customHeight="1">
      <c r="B5" s="246" t="s">
        <v>21</v>
      </c>
      <c r="C5" s="243">
        <v>2023</v>
      </c>
      <c r="D5" s="243">
        <v>2024</v>
      </c>
      <c r="E5" s="242" t="s">
        <v>13</v>
      </c>
      <c r="G5" s="246" t="s">
        <v>21</v>
      </c>
      <c r="H5" s="240">
        <v>2023</v>
      </c>
      <c r="I5" s="240">
        <v>2024</v>
      </c>
      <c r="J5" s="239" t="s">
        <v>13</v>
      </c>
      <c r="L5" s="246" t="s">
        <v>21</v>
      </c>
      <c r="M5" s="240">
        <v>2023</v>
      </c>
      <c r="N5" s="240">
        <v>2024</v>
      </c>
      <c r="O5" s="239" t="s">
        <v>13</v>
      </c>
    </row>
    <row r="6" spans="1:51" ht="18" customHeight="1">
      <c r="B6" s="236" t="s">
        <v>400</v>
      </c>
      <c r="C6" s="50">
        <f>C16</f>
        <v>70498</v>
      </c>
      <c r="D6" s="50">
        <v>107270</v>
      </c>
      <c r="E6" s="50">
        <f>E16</f>
        <v>129147.55782898075</v>
      </c>
      <c r="G6" s="236" t="s">
        <v>399</v>
      </c>
      <c r="H6" s="50">
        <f t="shared" ref="H6:J7" si="0">C13+C20+C27</f>
        <v>10001</v>
      </c>
      <c r="I6" s="50">
        <f t="shared" si="0"/>
        <v>36924</v>
      </c>
      <c r="J6" s="50">
        <f t="shared" si="0"/>
        <v>29562.29018384725</v>
      </c>
      <c r="L6" s="47" t="s">
        <v>319</v>
      </c>
      <c r="M6" s="50">
        <f>'[1]매출액 추정 ▶'!O6</f>
        <v>130785</v>
      </c>
      <c r="N6" s="50">
        <f>'[1]매출액 추정 ▶'!P6</f>
        <v>131305</v>
      </c>
      <c r="O6" s="245">
        <f>'매출액 추정 ▶'!Q6</f>
        <v>165301.65133610152</v>
      </c>
    </row>
    <row r="7" spans="1:51" ht="18" customHeight="1">
      <c r="B7" s="236" t="s">
        <v>398</v>
      </c>
      <c r="C7" s="50">
        <v>17226</v>
      </c>
      <c r="D7" s="50">
        <v>17557</v>
      </c>
      <c r="E7" s="50">
        <f>E23</f>
        <v>17871.764802389702</v>
      </c>
      <c r="G7" s="236" t="s">
        <v>397</v>
      </c>
      <c r="H7" s="50">
        <f t="shared" si="0"/>
        <v>6736</v>
      </c>
      <c r="I7" s="50">
        <f t="shared" si="0"/>
        <v>7203</v>
      </c>
      <c r="J7" s="50">
        <f t="shared" si="0"/>
        <v>10105.584279634664</v>
      </c>
      <c r="M7" s="245"/>
      <c r="N7" s="245"/>
      <c r="O7" s="245"/>
    </row>
    <row r="8" spans="1:51" ht="18" customHeight="1">
      <c r="B8" s="236" t="s">
        <v>396</v>
      </c>
      <c r="C8" s="50">
        <v>2265</v>
      </c>
      <c r="D8" s="50">
        <v>2950</v>
      </c>
      <c r="E8" s="50">
        <f>E30</f>
        <v>2665.3832728421312</v>
      </c>
      <c r="G8" s="236"/>
      <c r="H8" s="50"/>
      <c r="I8" s="50"/>
      <c r="J8" s="50"/>
    </row>
    <row r="9" spans="1:51" ht="18" customHeight="1">
      <c r="B9" s="236"/>
      <c r="C9" s="232"/>
      <c r="D9" s="232"/>
      <c r="E9" s="232"/>
    </row>
    <row r="10" spans="1:51" ht="18" customHeight="1">
      <c r="B10" s="236"/>
      <c r="C10" s="232"/>
      <c r="D10" s="232"/>
      <c r="E10" s="232"/>
    </row>
    <row r="11" spans="1:51" ht="18" customHeight="1">
      <c r="B11" s="241" t="s">
        <v>21</v>
      </c>
      <c r="C11" s="243">
        <v>2023</v>
      </c>
      <c r="D11" s="243">
        <v>2024</v>
      </c>
      <c r="E11" s="242" t="s">
        <v>13</v>
      </c>
      <c r="G11" s="241" t="s">
        <v>389</v>
      </c>
      <c r="H11" s="240">
        <v>2023</v>
      </c>
      <c r="I11" s="240">
        <v>2024</v>
      </c>
      <c r="J11" s="239" t="s">
        <v>13</v>
      </c>
    </row>
    <row r="12" spans="1:51" ht="18" customHeight="1">
      <c r="B12" s="236" t="s">
        <v>395</v>
      </c>
      <c r="C12" s="75">
        <v>68829</v>
      </c>
      <c r="D12" s="75">
        <f>C16</f>
        <v>70498</v>
      </c>
      <c r="E12" s="75">
        <f>D16</f>
        <v>107270</v>
      </c>
      <c r="G12" s="47" t="s">
        <v>387</v>
      </c>
      <c r="H12" s="244">
        <f>C13/M6</f>
        <v>7.0222120273731703E-2</v>
      </c>
      <c r="I12" s="244">
        <f>D13/N6</f>
        <v>0.26722516278892655</v>
      </c>
      <c r="J12" s="237">
        <f>AVERAGE(H12:I12)</f>
        <v>0.16872364153132913</v>
      </c>
    </row>
    <row r="13" spans="1:51" ht="18" customHeight="1">
      <c r="B13" s="48" t="s">
        <v>386</v>
      </c>
      <c r="C13" s="75">
        <f>9177+7</f>
        <v>9184</v>
      </c>
      <c r="D13" s="75">
        <v>35088</v>
      </c>
      <c r="E13" s="75">
        <f>O6*J12</f>
        <v>27890.296564569147</v>
      </c>
      <c r="G13" s="47" t="s">
        <v>394</v>
      </c>
      <c r="H13" s="244">
        <f>C14/C12</f>
        <v>8.2944689011899053E-2</v>
      </c>
      <c r="I13" s="244">
        <f>D14/D12</f>
        <v>8.1746999914891205E-2</v>
      </c>
      <c r="J13" s="237">
        <f>AVERAGE(H13:I13)</f>
        <v>8.2345844463395129E-2</v>
      </c>
    </row>
    <row r="14" spans="1:51" ht="18" customHeight="1">
      <c r="B14" s="48" t="s">
        <v>384</v>
      </c>
      <c r="C14" s="75">
        <f>5705+4</f>
        <v>5709</v>
      </c>
      <c r="D14" s="75">
        <v>5763</v>
      </c>
      <c r="E14" s="75">
        <f>E12*J13</f>
        <v>8833.2387355883948</v>
      </c>
    </row>
    <row r="15" spans="1:51" ht="18" customHeight="1">
      <c r="B15" s="48" t="s">
        <v>383</v>
      </c>
      <c r="C15" s="75">
        <f>C16-C12-C13+C14</f>
        <v>-1806</v>
      </c>
      <c r="D15" s="75">
        <f>D16-D12-D13+D14</f>
        <v>7447</v>
      </c>
      <c r="E15" s="75">
        <f>AVERAGE(C15:D15)</f>
        <v>2820.5</v>
      </c>
    </row>
    <row r="16" spans="1:51" ht="18" customHeight="1">
      <c r="B16" s="236" t="s">
        <v>393</v>
      </c>
      <c r="C16" s="75">
        <v>70498</v>
      </c>
      <c r="D16" s="75">
        <v>107270</v>
      </c>
      <c r="E16" s="50">
        <f>E12+E13-E14+E15</f>
        <v>129147.55782898075</v>
      </c>
    </row>
    <row r="17" spans="2:10" ht="18" customHeight="1">
      <c r="B17" s="236"/>
      <c r="C17" s="232"/>
      <c r="D17" s="232"/>
      <c r="E17" s="232"/>
    </row>
    <row r="18" spans="2:10" ht="18" customHeight="1">
      <c r="B18" s="241" t="s">
        <v>21</v>
      </c>
      <c r="C18" s="243">
        <v>2023</v>
      </c>
      <c r="D18" s="243">
        <v>2024</v>
      </c>
      <c r="E18" s="242" t="s">
        <v>13</v>
      </c>
      <c r="G18" s="241" t="s">
        <v>389</v>
      </c>
      <c r="H18" s="240">
        <v>2023</v>
      </c>
      <c r="I18" s="240">
        <v>2024</v>
      </c>
      <c r="J18" s="239" t="s">
        <v>13</v>
      </c>
    </row>
    <row r="19" spans="2:10" ht="18" customHeight="1">
      <c r="B19" s="236" t="s">
        <v>392</v>
      </c>
      <c r="C19" s="50">
        <f>16444+55</f>
        <v>16499</v>
      </c>
      <c r="D19" s="50">
        <v>17726</v>
      </c>
      <c r="E19" s="50">
        <f>D23</f>
        <v>17557</v>
      </c>
      <c r="G19" s="47" t="s">
        <v>387</v>
      </c>
      <c r="H19" s="244">
        <f>C20/M6</f>
        <v>1.1851512023550101E-3</v>
      </c>
      <c r="I19" s="244">
        <f>D20/N6</f>
        <v>1.4393968241879593E-3</v>
      </c>
      <c r="J19" s="237">
        <f>AVERAGE(H19:I19)</f>
        <v>1.3122740132714846E-3</v>
      </c>
    </row>
    <row r="20" spans="2:10" ht="18" customHeight="1">
      <c r="B20" s="48" t="s">
        <v>386</v>
      </c>
      <c r="C20" s="50">
        <f>113+42</f>
        <v>155</v>
      </c>
      <c r="D20" s="50">
        <v>189</v>
      </c>
      <c r="E20" s="50">
        <f>O6*J19</f>
        <v>216.92106139922961</v>
      </c>
      <c r="G20" s="47" t="s">
        <v>391</v>
      </c>
      <c r="H20" s="244">
        <f>C21/C19</f>
        <v>2.3274137826534941E-2</v>
      </c>
      <c r="I20" s="244">
        <f>D21/D19</f>
        <v>3.7346271014329233E-2</v>
      </c>
      <c r="J20" s="237">
        <f>AVERAGE(H20:I20)</f>
        <v>3.0310204420432085E-2</v>
      </c>
    </row>
    <row r="21" spans="2:10" ht="18" customHeight="1">
      <c r="B21" s="48" t="s">
        <v>384</v>
      </c>
      <c r="C21" s="50">
        <f>378+6</f>
        <v>384</v>
      </c>
      <c r="D21" s="50">
        <v>662</v>
      </c>
      <c r="E21" s="50">
        <f>E19*J20</f>
        <v>532.15625900952614</v>
      </c>
    </row>
    <row r="22" spans="2:10" ht="18" customHeight="1">
      <c r="B22" s="48" t="s">
        <v>383</v>
      </c>
      <c r="C22" s="50">
        <f>C23-C19-C20+C21</f>
        <v>956</v>
      </c>
      <c r="D22" s="50">
        <f>D23-D19-D20+D21</f>
        <v>304</v>
      </c>
      <c r="E22" s="50">
        <f>AVERAGE(C22:D22)</f>
        <v>630</v>
      </c>
    </row>
    <row r="23" spans="2:10" ht="18" customHeight="1">
      <c r="B23" s="236" t="s">
        <v>390</v>
      </c>
      <c r="C23" s="50">
        <v>17226</v>
      </c>
      <c r="D23" s="50">
        <v>17557</v>
      </c>
      <c r="E23" s="50">
        <f>E19+E20-E21+E22</f>
        <v>17871.764802389702</v>
      </c>
    </row>
    <row r="25" spans="2:10" ht="18" customHeight="1">
      <c r="B25" s="241" t="s">
        <v>21</v>
      </c>
      <c r="C25" s="243">
        <v>2023</v>
      </c>
      <c r="D25" s="243">
        <v>2024</v>
      </c>
      <c r="E25" s="242" t="s">
        <v>13</v>
      </c>
      <c r="G25" s="241" t="s">
        <v>389</v>
      </c>
      <c r="H25" s="240">
        <v>2023</v>
      </c>
      <c r="I25" s="240">
        <v>2024</v>
      </c>
      <c r="J25" s="239" t="s">
        <v>13</v>
      </c>
    </row>
    <row r="26" spans="2:10" ht="18" customHeight="1">
      <c r="B26" s="236" t="s">
        <v>388</v>
      </c>
      <c r="C26" s="75">
        <f>4059+2</f>
        <v>4061</v>
      </c>
      <c r="D26" s="75">
        <v>2265</v>
      </c>
      <c r="E26" s="75">
        <f>D30</f>
        <v>2950</v>
      </c>
      <c r="G26" s="47" t="s">
        <v>387</v>
      </c>
      <c r="H26" s="238">
        <f>C27/M6</f>
        <v>5.0617425545743016E-3</v>
      </c>
      <c r="I26" s="238">
        <f>D27/N6</f>
        <v>1.254331518220936E-2</v>
      </c>
      <c r="J26" s="237">
        <f>AVERAGE(H26:I26)</f>
        <v>8.8025288683918311E-3</v>
      </c>
    </row>
    <row r="27" spans="2:10" ht="18" customHeight="1">
      <c r="B27" s="48" t="s">
        <v>386</v>
      </c>
      <c r="C27" s="75">
        <f>660+2</f>
        <v>662</v>
      </c>
      <c r="D27" s="75">
        <v>1647</v>
      </c>
      <c r="E27" s="75">
        <f>O6*J26</f>
        <v>1455.0725578788747</v>
      </c>
      <c r="G27" s="47" t="s">
        <v>385</v>
      </c>
      <c r="H27" s="238">
        <f>C28/C26</f>
        <v>0.15833538537306083</v>
      </c>
      <c r="I27" s="238">
        <f>D28/D26</f>
        <v>0.34348785871964682</v>
      </c>
      <c r="J27" s="237">
        <f>AVERAGE(H27:I27)</f>
        <v>0.25091162204635381</v>
      </c>
    </row>
    <row r="28" spans="2:10" ht="18" customHeight="1">
      <c r="B28" s="48" t="s">
        <v>384</v>
      </c>
      <c r="C28" s="75">
        <f>641+2</f>
        <v>643</v>
      </c>
      <c r="D28" s="75">
        <v>778</v>
      </c>
      <c r="E28" s="75">
        <f>E26*J27</f>
        <v>740.18928503674374</v>
      </c>
    </row>
    <row r="29" spans="2:10" ht="18" customHeight="1">
      <c r="B29" s="48" t="s">
        <v>383</v>
      </c>
      <c r="C29" s="75">
        <f>C30-C26-C27+C28</f>
        <v>-1815</v>
      </c>
      <c r="D29" s="75">
        <f>D30-D26-D27+D28</f>
        <v>-184</v>
      </c>
      <c r="E29" s="75">
        <f>AVERAGE(C29:D29)</f>
        <v>-999.5</v>
      </c>
    </row>
    <row r="30" spans="2:10" ht="18" customHeight="1">
      <c r="B30" s="236" t="s">
        <v>382</v>
      </c>
      <c r="C30" s="75">
        <v>2265</v>
      </c>
      <c r="D30" s="75">
        <v>2950</v>
      </c>
      <c r="E30" s="50">
        <f>E26+E27-E28+E29</f>
        <v>2665.3832728421312</v>
      </c>
    </row>
  </sheetData>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4F71-43EE-4EC9-964C-BBA6A0B95F24}">
  <sheetPr>
    <tabColor rgb="FF203864"/>
  </sheetPr>
  <dimension ref="A1:B19"/>
  <sheetViews>
    <sheetView showGridLines="0" zoomScaleNormal="100" workbookViewId="0"/>
  </sheetViews>
  <sheetFormatPr defaultColWidth="7.453125" defaultRowHeight="17.399999999999999"/>
  <cols>
    <col min="1" max="16384" width="7.453125" style="496"/>
  </cols>
  <sheetData>
    <row r="1" spans="1:2" s="492" customFormat="1" ht="36">
      <c r="A1" s="490" t="s">
        <v>595</v>
      </c>
      <c r="B1" s="491"/>
    </row>
    <row r="2" spans="1:2" s="493" customFormat="1" ht="13.2"/>
    <row r="3" spans="1:2" s="495" customFormat="1" ht="22.8">
      <c r="A3" s="494" t="s">
        <v>596</v>
      </c>
    </row>
    <row r="5" spans="1:2" ht="19.8">
      <c r="B5" s="497" t="s">
        <v>588</v>
      </c>
    </row>
    <row r="6" spans="1:2" ht="76.8">
      <c r="B6" s="498" t="s">
        <v>589</v>
      </c>
    </row>
    <row r="7" spans="1:2" ht="76.8">
      <c r="B7" s="498" t="s">
        <v>590</v>
      </c>
    </row>
    <row r="8" spans="1:2" ht="18">
      <c r="B8" s="499"/>
    </row>
    <row r="9" spans="1:2" ht="18">
      <c r="B9" s="499"/>
    </row>
    <row r="10" spans="1:2" ht="18">
      <c r="B10" s="499"/>
    </row>
    <row r="11" spans="1:2" ht="18">
      <c r="B11" s="499"/>
    </row>
    <row r="12" spans="1:2" ht="18">
      <c r="B12" s="499"/>
    </row>
    <row r="13" spans="1:2" ht="18">
      <c r="B13" s="499"/>
    </row>
    <row r="14" spans="1:2" ht="18">
      <c r="B14" s="499"/>
    </row>
    <row r="17" spans="2:2">
      <c r="B17" s="500" t="s">
        <v>591</v>
      </c>
    </row>
    <row r="18" spans="2:2">
      <c r="B18" s="501" t="s">
        <v>592</v>
      </c>
    </row>
    <row r="19" spans="2:2">
      <c r="B19" s="501" t="s">
        <v>593</v>
      </c>
    </row>
  </sheetData>
  <phoneticPr fontId="3"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1449A-B6B5-4F66-A234-E3186EC024F5}">
  <sheetPr codeName="Sheet1">
    <tabColor rgb="FFD0CECE"/>
  </sheetPr>
  <dimension ref="A1:P85"/>
  <sheetViews>
    <sheetView showGridLines="0" workbookViewId="0"/>
  </sheetViews>
  <sheetFormatPr defaultColWidth="8.7265625" defaultRowHeight="19.2"/>
  <cols>
    <col min="2" max="2" width="44" bestFit="1" customWidth="1"/>
    <col min="3" max="3" width="6.6328125" bestFit="1" customWidth="1"/>
    <col min="4" max="16" width="9.26953125" bestFit="1" customWidth="1"/>
  </cols>
  <sheetData>
    <row r="1" spans="1:16">
      <c r="B1" s="13" t="s">
        <v>121</v>
      </c>
    </row>
    <row r="2" spans="1:16">
      <c r="A2" s="14" t="s">
        <v>122</v>
      </c>
      <c r="B2" s="14"/>
      <c r="C2" s="14"/>
      <c r="D2" s="14"/>
      <c r="E2" s="14"/>
      <c r="F2" s="14"/>
      <c r="G2" s="14"/>
      <c r="H2" s="14"/>
      <c r="I2" s="14"/>
      <c r="J2" s="14"/>
      <c r="K2" s="14"/>
      <c r="L2" s="14"/>
      <c r="M2" s="14"/>
      <c r="N2" s="14"/>
      <c r="O2" s="14"/>
      <c r="P2" s="14"/>
    </row>
    <row r="3" spans="1:16">
      <c r="A3" s="15" t="s">
        <v>26</v>
      </c>
      <c r="B3" s="15" t="s">
        <v>129</v>
      </c>
      <c r="C3" s="15"/>
      <c r="D3" s="15"/>
      <c r="E3" s="15"/>
      <c r="F3" s="15"/>
      <c r="G3" s="15"/>
      <c r="H3" s="15"/>
      <c r="I3" s="15"/>
      <c r="J3" s="15"/>
      <c r="K3" s="15"/>
      <c r="L3" s="15"/>
      <c r="M3" s="15"/>
      <c r="N3" s="15"/>
      <c r="O3" s="15"/>
      <c r="P3" s="15"/>
    </row>
    <row r="4" spans="1:16">
      <c r="A4" s="15" t="s">
        <v>27</v>
      </c>
      <c r="B4" s="19" t="s">
        <v>119</v>
      </c>
      <c r="C4" s="15" t="s">
        <v>123</v>
      </c>
      <c r="D4" s="15" t="s">
        <v>118</v>
      </c>
      <c r="E4" s="15"/>
      <c r="F4" s="15"/>
      <c r="G4" s="15"/>
      <c r="H4" s="15"/>
      <c r="I4" s="15"/>
      <c r="J4" s="15"/>
      <c r="K4" s="15"/>
      <c r="L4" s="15"/>
      <c r="M4" s="15"/>
      <c r="N4" s="15"/>
      <c r="O4" s="15"/>
      <c r="P4" s="15"/>
    </row>
    <row r="5" spans="1:16">
      <c r="A5" s="15" t="s">
        <v>28</v>
      </c>
      <c r="B5" s="31" t="s">
        <v>115</v>
      </c>
      <c r="C5" s="15" t="s">
        <v>124</v>
      </c>
      <c r="D5" s="15"/>
      <c r="E5" s="15"/>
      <c r="F5" s="15"/>
      <c r="G5" s="15"/>
      <c r="H5" s="15"/>
      <c r="I5" s="15"/>
      <c r="J5" s="15"/>
      <c r="K5" s="15"/>
      <c r="L5" s="15"/>
      <c r="M5" s="15"/>
      <c r="N5" s="15"/>
      <c r="O5" s="15"/>
      <c r="P5" s="15"/>
    </row>
    <row r="6" spans="1:16">
      <c r="A6" s="15" t="s">
        <v>29</v>
      </c>
      <c r="B6" s="24" t="s">
        <v>116</v>
      </c>
      <c r="C6" s="15"/>
      <c r="D6" s="15"/>
      <c r="E6" s="15"/>
      <c r="F6" s="15"/>
      <c r="G6" s="15"/>
      <c r="H6" s="15"/>
      <c r="I6" s="15"/>
      <c r="J6" s="15"/>
      <c r="K6" s="15"/>
      <c r="L6" s="15"/>
      <c r="M6" s="15"/>
      <c r="N6" s="15"/>
      <c r="O6" s="15"/>
      <c r="P6" s="15"/>
    </row>
    <row r="7" spans="1:16">
      <c r="A7" s="15" t="s">
        <v>30</v>
      </c>
      <c r="B7" s="23" t="s">
        <v>117</v>
      </c>
      <c r="C7" s="24" t="s">
        <v>45</v>
      </c>
      <c r="D7" s="15"/>
      <c r="E7" s="15"/>
      <c r="F7" s="15"/>
      <c r="G7" s="15"/>
      <c r="H7" s="15"/>
      <c r="I7" s="15"/>
      <c r="J7" s="15"/>
      <c r="K7" s="15"/>
      <c r="L7" s="15"/>
      <c r="M7" s="15"/>
      <c r="N7" s="15"/>
      <c r="O7" s="15"/>
      <c r="P7" s="15"/>
    </row>
    <row r="8" spans="1:16">
      <c r="A8" s="32" t="s">
        <v>112</v>
      </c>
      <c r="B8" s="33">
        <v>2022</v>
      </c>
      <c r="C8" s="34" t="s">
        <v>120</v>
      </c>
      <c r="D8" s="32"/>
      <c r="E8" s="32"/>
      <c r="F8" s="32"/>
      <c r="G8" s="32"/>
      <c r="H8" s="32"/>
      <c r="I8" s="32"/>
      <c r="J8" s="32"/>
      <c r="K8" s="32"/>
      <c r="L8" s="32"/>
      <c r="M8" s="32"/>
      <c r="N8" s="32"/>
      <c r="O8" s="32"/>
      <c r="P8" s="32"/>
    </row>
    <row r="9" spans="1:16">
      <c r="A9" s="35" t="s">
        <v>31</v>
      </c>
      <c r="B9" s="35" t="s">
        <v>32</v>
      </c>
      <c r="C9" s="35" t="s">
        <v>33</v>
      </c>
      <c r="D9" s="35" t="s">
        <v>125</v>
      </c>
      <c r="E9" s="35" t="s">
        <v>126</v>
      </c>
      <c r="F9" s="35" t="s">
        <v>127</v>
      </c>
      <c r="G9" s="35" t="s">
        <v>128</v>
      </c>
      <c r="H9" s="35" t="s">
        <v>34</v>
      </c>
      <c r="I9" s="35" t="s">
        <v>35</v>
      </c>
      <c r="J9" s="35" t="s">
        <v>36</v>
      </c>
      <c r="K9" s="35" t="s">
        <v>37</v>
      </c>
      <c r="L9" s="35" t="s">
        <v>38</v>
      </c>
      <c r="M9" s="35" t="s">
        <v>39</v>
      </c>
      <c r="N9" s="35" t="s">
        <v>40</v>
      </c>
      <c r="O9" s="35" t="s">
        <v>41</v>
      </c>
      <c r="P9" s="35" t="s">
        <v>42</v>
      </c>
    </row>
    <row r="10" spans="1:16">
      <c r="A10" s="18"/>
      <c r="B10" s="18"/>
      <c r="C10" s="18"/>
      <c r="D10" s="18" t="s">
        <v>43</v>
      </c>
      <c r="E10" s="18" t="s">
        <v>43</v>
      </c>
      <c r="F10" s="18" t="s">
        <v>43</v>
      </c>
      <c r="G10" s="18" t="s">
        <v>43</v>
      </c>
      <c r="H10" s="18" t="s">
        <v>43</v>
      </c>
      <c r="I10" s="18" t="s">
        <v>43</v>
      </c>
      <c r="J10" s="18" t="s">
        <v>43</v>
      </c>
      <c r="K10" s="18" t="s">
        <v>43</v>
      </c>
      <c r="L10" s="18" t="s">
        <v>43</v>
      </c>
      <c r="M10" s="18" t="s">
        <v>43</v>
      </c>
      <c r="N10" s="18" t="s">
        <v>43</v>
      </c>
      <c r="O10" s="18" t="s">
        <v>43</v>
      </c>
      <c r="P10" s="18" t="s">
        <v>43</v>
      </c>
    </row>
    <row r="11" spans="1:16">
      <c r="A11" s="28">
        <v>4001190010</v>
      </c>
      <c r="B11" s="28" t="s">
        <v>44</v>
      </c>
      <c r="C11" s="28" t="s">
        <v>45</v>
      </c>
      <c r="D11" s="29">
        <v>211504.66466939999</v>
      </c>
      <c r="E11" s="29">
        <v>224844.06346969999</v>
      </c>
      <c r="F11" s="29">
        <v>238877.58509070001</v>
      </c>
      <c r="G11" s="29">
        <v>238318.84433679999</v>
      </c>
      <c r="H11" s="29">
        <v>221294.07462309999</v>
      </c>
      <c r="I11" s="29">
        <v>232311.34046390001</v>
      </c>
      <c r="J11" s="29">
        <v>249664.12717779999</v>
      </c>
      <c r="K11" s="29">
        <v>247904.23705500001</v>
      </c>
      <c r="L11" s="29">
        <v>269021.8018589</v>
      </c>
      <c r="M11" s="29">
        <v>291517.29005060002</v>
      </c>
      <c r="N11" s="29">
        <v>294091.63341900002</v>
      </c>
      <c r="O11" s="29">
        <v>300368.31374110002</v>
      </c>
      <c r="P11" s="29">
        <v>304814.84000000003</v>
      </c>
    </row>
    <row r="12" spans="1:16">
      <c r="A12" s="28">
        <v>4001190240</v>
      </c>
      <c r="B12" s="28" t="s">
        <v>46</v>
      </c>
      <c r="C12" s="28" t="s">
        <v>45</v>
      </c>
      <c r="D12" s="29">
        <v>64924.188349299999</v>
      </c>
      <c r="E12" s="29">
        <v>74329.040997699994</v>
      </c>
      <c r="F12" s="29">
        <v>84009.350269300005</v>
      </c>
      <c r="G12" s="29">
        <v>85732.954346600003</v>
      </c>
      <c r="H12" s="29">
        <v>77362.553666599997</v>
      </c>
      <c r="I12" s="29">
        <v>82136.597177200005</v>
      </c>
      <c r="J12" s="29">
        <v>91159.490953800007</v>
      </c>
      <c r="K12" s="29">
        <v>97973.720636099999</v>
      </c>
      <c r="L12" s="29">
        <v>100983.84436620001</v>
      </c>
      <c r="M12" s="29">
        <v>95576.242669200001</v>
      </c>
      <c r="N12" s="29">
        <v>94046.216130700006</v>
      </c>
      <c r="O12" s="29">
        <v>108826.6502525</v>
      </c>
      <c r="P12" s="29">
        <v>105772.39</v>
      </c>
    </row>
    <row r="13" spans="1:16">
      <c r="A13" s="28">
        <v>4001190250</v>
      </c>
      <c r="B13" s="28" t="s">
        <v>47</v>
      </c>
      <c r="C13" s="28" t="s">
        <v>45</v>
      </c>
      <c r="D13" s="29">
        <v>24155.084491099999</v>
      </c>
      <c r="E13" s="29">
        <v>29715.657315699998</v>
      </c>
      <c r="F13" s="29">
        <v>34745.678236500004</v>
      </c>
      <c r="G13" s="29">
        <v>30601.078318700002</v>
      </c>
      <c r="H13" s="29">
        <v>32070.131264399999</v>
      </c>
      <c r="I13" s="29">
        <v>32446.197920099999</v>
      </c>
      <c r="J13" s="29">
        <v>33107.4299722</v>
      </c>
      <c r="K13" s="29">
        <v>34474.813064499998</v>
      </c>
      <c r="L13" s="29">
        <v>38030.839373299998</v>
      </c>
      <c r="M13" s="29">
        <v>40314.553994599999</v>
      </c>
      <c r="N13" s="29">
        <v>43491.069411600001</v>
      </c>
      <c r="O13" s="29">
        <v>42575.477146500001</v>
      </c>
      <c r="P13" s="29">
        <v>44180.31</v>
      </c>
    </row>
    <row r="14" spans="1:16">
      <c r="A14" s="28">
        <v>4001190260</v>
      </c>
      <c r="B14" s="28" t="s">
        <v>48</v>
      </c>
      <c r="C14" s="28" t="s">
        <v>45</v>
      </c>
      <c r="D14" s="29"/>
      <c r="E14" s="29"/>
      <c r="F14" s="29"/>
      <c r="G14" s="29"/>
      <c r="H14" s="29"/>
      <c r="I14" s="29"/>
      <c r="J14" s="29"/>
      <c r="K14" s="29"/>
      <c r="L14" s="29"/>
      <c r="M14" s="29"/>
      <c r="N14" s="29"/>
      <c r="O14" s="29"/>
      <c r="P14" s="29"/>
    </row>
    <row r="15" spans="1:16">
      <c r="A15" s="28">
        <v>4001190270</v>
      </c>
      <c r="B15" s="28" t="s">
        <v>49</v>
      </c>
      <c r="C15" s="28" t="s">
        <v>45</v>
      </c>
      <c r="D15" s="29">
        <v>2545.0980500000001</v>
      </c>
      <c r="E15" s="29">
        <v>2439.2425600000001</v>
      </c>
      <c r="F15" s="29">
        <v>2606.1840299999999</v>
      </c>
      <c r="G15" s="29">
        <v>2561.2984299999998</v>
      </c>
      <c r="H15" s="29">
        <v>4071.0908599999998</v>
      </c>
      <c r="I15" s="29">
        <v>1816.67976</v>
      </c>
      <c r="J15" s="29">
        <v>2254.8182609999999</v>
      </c>
      <c r="K15" s="29">
        <v>3681.6372537000002</v>
      </c>
      <c r="L15" s="29">
        <v>2422.1047800000001</v>
      </c>
      <c r="M15" s="29">
        <v>2448.0468900000001</v>
      </c>
      <c r="N15" s="29">
        <v>2796.4288700000002</v>
      </c>
      <c r="O15" s="29">
        <v>3737.3692999999998</v>
      </c>
      <c r="P15" s="29">
        <v>5134.17</v>
      </c>
    </row>
    <row r="16" spans="1:16">
      <c r="A16" s="28">
        <v>4001190300</v>
      </c>
      <c r="B16" s="28" t="s">
        <v>50</v>
      </c>
      <c r="C16" s="28" t="s">
        <v>45</v>
      </c>
      <c r="D16" s="29">
        <v>19448.575489999999</v>
      </c>
      <c r="E16" s="29">
        <v>19509.982080000002</v>
      </c>
      <c r="F16" s="29">
        <v>19708.857489999999</v>
      </c>
      <c r="G16" s="29">
        <v>22798.06755</v>
      </c>
      <c r="H16" s="29">
        <v>17206.79982</v>
      </c>
      <c r="I16" s="29">
        <v>19135.374759999999</v>
      </c>
      <c r="J16" s="29">
        <v>19995.3639</v>
      </c>
      <c r="K16" s="29">
        <v>31876.679789999998</v>
      </c>
      <c r="L16" s="29">
        <v>23667.346219999999</v>
      </c>
      <c r="M16" s="29">
        <v>24655.044839999999</v>
      </c>
      <c r="N16" s="29">
        <v>19137.432059999999</v>
      </c>
      <c r="O16" s="29">
        <v>29675.510709999999</v>
      </c>
      <c r="P16" s="29">
        <v>25446.77</v>
      </c>
    </row>
    <row r="17" spans="1:16">
      <c r="A17" s="28">
        <v>4001113900</v>
      </c>
      <c r="B17" s="28" t="s">
        <v>51</v>
      </c>
      <c r="C17" s="28" t="s">
        <v>45</v>
      </c>
      <c r="D17" s="29">
        <v>33.9804052</v>
      </c>
      <c r="E17" s="29">
        <v>158.28790799999999</v>
      </c>
      <c r="F17" s="29">
        <v>282.48834529999999</v>
      </c>
      <c r="G17" s="29">
        <v>179.4630793</v>
      </c>
      <c r="H17" s="29">
        <v>175.48916370000001</v>
      </c>
      <c r="I17" s="29">
        <v>335.87122140000002</v>
      </c>
      <c r="J17" s="29">
        <v>675.82239530000004</v>
      </c>
      <c r="K17" s="29">
        <v>415.72736370000001</v>
      </c>
      <c r="L17" s="29">
        <v>381.6243394</v>
      </c>
      <c r="M17" s="29">
        <v>260.31286269999998</v>
      </c>
      <c r="N17" s="29">
        <v>339.82812150000001</v>
      </c>
      <c r="O17" s="29">
        <v>553.13091259999999</v>
      </c>
      <c r="P17" s="29">
        <v>555.49</v>
      </c>
    </row>
    <row r="18" spans="1:16">
      <c r="A18" s="28">
        <v>4001180995</v>
      </c>
      <c r="B18" s="28" t="s">
        <v>52</v>
      </c>
      <c r="C18" s="28" t="s">
        <v>45</v>
      </c>
      <c r="D18" s="29">
        <v>257.96039000000002</v>
      </c>
      <c r="E18" s="29">
        <v>280.88353999999998</v>
      </c>
      <c r="F18" s="29">
        <v>567.76372000000003</v>
      </c>
      <c r="G18" s="29">
        <v>626.43122000000005</v>
      </c>
      <c r="H18" s="29">
        <v>615.44632999999999</v>
      </c>
      <c r="I18" s="29">
        <v>854.90409</v>
      </c>
      <c r="J18" s="29">
        <v>1274.4749099999999</v>
      </c>
      <c r="K18" s="29">
        <v>3759.2225800000001</v>
      </c>
      <c r="L18" s="29">
        <v>3808.81576</v>
      </c>
      <c r="M18" s="29">
        <v>3682.87165</v>
      </c>
      <c r="N18" s="29">
        <v>3583.0598500000001</v>
      </c>
      <c r="O18" s="29">
        <v>3806.8755299999998</v>
      </c>
      <c r="P18" s="29">
        <v>4440.84</v>
      </c>
    </row>
    <row r="19" spans="1:16">
      <c r="A19" s="28">
        <v>4001113903</v>
      </c>
      <c r="B19" s="28" t="s">
        <v>53</v>
      </c>
      <c r="C19" s="28" t="s">
        <v>45</v>
      </c>
      <c r="D19" s="29">
        <v>0.60007999999999995</v>
      </c>
      <c r="E19" s="29">
        <v>0.61506000000000005</v>
      </c>
      <c r="F19" s="29">
        <v>0.49703999999999998</v>
      </c>
      <c r="G19" s="29">
        <v>0.72445000000000004</v>
      </c>
      <c r="H19" s="29"/>
      <c r="I19" s="29"/>
      <c r="J19" s="29"/>
      <c r="K19" s="29"/>
      <c r="L19" s="29"/>
      <c r="M19" s="29"/>
      <c r="N19" s="29"/>
      <c r="O19" s="29"/>
      <c r="P19" s="29"/>
    </row>
    <row r="20" spans="1:16">
      <c r="A20" s="28">
        <v>4001113904</v>
      </c>
      <c r="B20" s="28" t="s">
        <v>54</v>
      </c>
      <c r="C20" s="28" t="s">
        <v>45</v>
      </c>
      <c r="D20" s="29">
        <v>40.46519</v>
      </c>
      <c r="E20" s="29">
        <v>24.316700000000001</v>
      </c>
      <c r="F20" s="29">
        <v>35.071570000000001</v>
      </c>
      <c r="G20" s="29">
        <v>29.940380000000001</v>
      </c>
      <c r="H20" s="29">
        <v>43.190869999999997</v>
      </c>
      <c r="I20" s="29">
        <v>25.419650000000001</v>
      </c>
      <c r="J20" s="29">
        <v>21.3355</v>
      </c>
      <c r="K20" s="29">
        <v>17.32413</v>
      </c>
      <c r="L20" s="29">
        <v>17.32413</v>
      </c>
      <c r="M20" s="29">
        <v>13.886279999999999</v>
      </c>
      <c r="N20" s="29">
        <v>10.79468</v>
      </c>
      <c r="O20" s="29">
        <v>11.43374</v>
      </c>
      <c r="P20" s="29">
        <v>11.43</v>
      </c>
    </row>
    <row r="21" spans="1:16">
      <c r="A21" s="28">
        <v>4001190340</v>
      </c>
      <c r="B21" s="28" t="s">
        <v>55</v>
      </c>
      <c r="C21" s="28" t="s">
        <v>45</v>
      </c>
      <c r="D21" s="29">
        <v>3420.4793800000002</v>
      </c>
      <c r="E21" s="29">
        <v>3764.2677399999998</v>
      </c>
      <c r="F21" s="29">
        <v>3809.4842800000001</v>
      </c>
      <c r="G21" s="29">
        <v>3079.6142500000001</v>
      </c>
      <c r="H21" s="29">
        <v>3113.6415900000002</v>
      </c>
      <c r="I21" s="29">
        <v>3813.6613200000002</v>
      </c>
      <c r="J21" s="29">
        <v>5061.1175899999998</v>
      </c>
      <c r="K21" s="29">
        <v>4167.76973</v>
      </c>
      <c r="L21" s="29">
        <v>4313.4763499999999</v>
      </c>
      <c r="M21" s="29">
        <v>5407.58392</v>
      </c>
      <c r="N21" s="29">
        <v>3922.3525199999999</v>
      </c>
      <c r="O21" s="29">
        <v>5650.0175900000004</v>
      </c>
      <c r="P21" s="29">
        <v>6196.02</v>
      </c>
    </row>
    <row r="22" spans="1:16">
      <c r="A22" s="28">
        <v>4001190370</v>
      </c>
      <c r="B22" s="28" t="s">
        <v>56</v>
      </c>
      <c r="C22" s="28" t="s">
        <v>45</v>
      </c>
      <c r="D22" s="29">
        <v>14948.1673753</v>
      </c>
      <c r="E22" s="29">
        <v>18435.788089999998</v>
      </c>
      <c r="F22" s="29">
        <v>22253.3255355</v>
      </c>
      <c r="G22" s="29">
        <v>25483.796600000001</v>
      </c>
      <c r="H22" s="29">
        <v>20064.587609099999</v>
      </c>
      <c r="I22" s="29">
        <v>23708.4884528</v>
      </c>
      <c r="J22" s="29">
        <v>28769.128432199999</v>
      </c>
      <c r="K22" s="29">
        <v>19580.546729999998</v>
      </c>
      <c r="L22" s="29">
        <v>28342.3134168</v>
      </c>
      <c r="M22" s="29">
        <v>18793.9422438</v>
      </c>
      <c r="N22" s="29">
        <v>20319.332293300002</v>
      </c>
      <c r="O22" s="29">
        <v>21843.805929999999</v>
      </c>
      <c r="P22" s="29">
        <v>19350.849999999999</v>
      </c>
    </row>
    <row r="23" spans="1:16">
      <c r="A23" s="28">
        <v>4001114130</v>
      </c>
      <c r="B23" s="28" t="s">
        <v>57</v>
      </c>
      <c r="C23" s="28" t="s">
        <v>45</v>
      </c>
      <c r="D23" s="29">
        <v>73.777500000000003</v>
      </c>
      <c r="E23" s="29"/>
      <c r="F23" s="29"/>
      <c r="G23" s="29">
        <v>372.54006570000001</v>
      </c>
      <c r="H23" s="29">
        <v>2.1761658000000002</v>
      </c>
      <c r="I23" s="29"/>
      <c r="J23" s="29"/>
      <c r="K23" s="29"/>
      <c r="L23" s="29"/>
      <c r="M23" s="29"/>
      <c r="N23" s="29">
        <v>445.91833000000003</v>
      </c>
      <c r="O23" s="29">
        <v>973.02938380000001</v>
      </c>
      <c r="P23" s="29">
        <v>456.51</v>
      </c>
    </row>
    <row r="24" spans="1:16">
      <c r="A24" s="28">
        <v>4001190020</v>
      </c>
      <c r="B24" s="28" t="s">
        <v>58</v>
      </c>
      <c r="C24" s="28" t="s">
        <v>45</v>
      </c>
      <c r="D24" s="29">
        <v>131782.74166880001</v>
      </c>
      <c r="E24" s="29">
        <v>134301.8164254</v>
      </c>
      <c r="F24" s="29">
        <v>139446.55004860001</v>
      </c>
      <c r="G24" s="29">
        <v>136343.74756719999</v>
      </c>
      <c r="H24" s="29">
        <v>127761.7479833</v>
      </c>
      <c r="I24" s="29">
        <v>132503.03338129999</v>
      </c>
      <c r="J24" s="29">
        <v>141771.10579920001</v>
      </c>
      <c r="K24" s="29">
        <v>149930.51641879999</v>
      </c>
      <c r="L24" s="29">
        <v>147215.89671259999</v>
      </c>
      <c r="M24" s="29">
        <v>172347.36775890001</v>
      </c>
      <c r="N24" s="29">
        <v>177469.82534770001</v>
      </c>
      <c r="O24" s="29">
        <v>191541.6634886</v>
      </c>
      <c r="P24" s="29">
        <v>199042.45</v>
      </c>
    </row>
    <row r="25" spans="1:16">
      <c r="A25" s="28">
        <v>4001190030</v>
      </c>
      <c r="B25" s="28" t="s">
        <v>59</v>
      </c>
      <c r="C25" s="28" t="s">
        <v>45</v>
      </c>
      <c r="D25" s="29">
        <v>67091.977958100004</v>
      </c>
      <c r="E25" s="29">
        <v>68155.502375600001</v>
      </c>
      <c r="F25" s="29">
        <v>69386.193166199999</v>
      </c>
      <c r="G25" s="29">
        <v>68794.515173499996</v>
      </c>
      <c r="H25" s="29">
        <v>60758.755308699998</v>
      </c>
      <c r="I25" s="29">
        <v>63817.770774700002</v>
      </c>
      <c r="J25" s="29">
        <v>69659.499548000007</v>
      </c>
      <c r="K25" s="29">
        <v>70497.834550200001</v>
      </c>
      <c r="L25" s="29">
        <v>75607.798512699999</v>
      </c>
      <c r="M25" s="29">
        <v>93123.824312700002</v>
      </c>
      <c r="N25" s="29">
        <v>98090.678220999995</v>
      </c>
      <c r="O25" s="29">
        <v>107269.6353485</v>
      </c>
      <c r="P25" s="29">
        <v>111827.15</v>
      </c>
    </row>
    <row r="26" spans="1:16">
      <c r="A26" s="28">
        <v>4001190070</v>
      </c>
      <c r="B26" s="28" t="s">
        <v>60</v>
      </c>
      <c r="C26" s="28" t="s">
        <v>45</v>
      </c>
      <c r="D26" s="29">
        <v>15738.573329999999</v>
      </c>
      <c r="E26" s="29">
        <v>15716.15122</v>
      </c>
      <c r="F26" s="29">
        <v>16684.939750000001</v>
      </c>
      <c r="G26" s="29">
        <v>16444.376230000002</v>
      </c>
      <c r="H26" s="29">
        <v>17418.073609999999</v>
      </c>
      <c r="I26" s="29">
        <v>17197.1927</v>
      </c>
      <c r="J26" s="29">
        <v>17405.410599999999</v>
      </c>
      <c r="K26" s="29">
        <v>17725.760979999999</v>
      </c>
      <c r="L26" s="29">
        <v>18143.11118</v>
      </c>
      <c r="M26" s="29">
        <v>17641.346570000002</v>
      </c>
      <c r="N26" s="29">
        <v>17786.49826</v>
      </c>
      <c r="O26" s="29">
        <v>17557.42569</v>
      </c>
      <c r="P26" s="29">
        <v>18089.580000000002</v>
      </c>
    </row>
    <row r="27" spans="1:16">
      <c r="A27" s="28">
        <v>4001190110</v>
      </c>
      <c r="B27" s="28" t="s">
        <v>61</v>
      </c>
      <c r="C27" s="28" t="s">
        <v>45</v>
      </c>
      <c r="D27" s="29"/>
      <c r="E27" s="29"/>
      <c r="F27" s="29"/>
      <c r="G27" s="29"/>
      <c r="H27" s="29"/>
      <c r="I27" s="29"/>
      <c r="J27" s="29"/>
      <c r="K27" s="29"/>
      <c r="L27" s="29"/>
      <c r="M27" s="29"/>
      <c r="N27" s="29"/>
      <c r="O27" s="29"/>
      <c r="P27" s="29"/>
    </row>
    <row r="28" spans="1:16">
      <c r="A28" s="28">
        <v>4001190120</v>
      </c>
      <c r="B28" s="28" t="s">
        <v>62</v>
      </c>
      <c r="C28" s="28" t="s">
        <v>45</v>
      </c>
      <c r="D28" s="29">
        <v>2126.0418798000001</v>
      </c>
      <c r="E28" s="29">
        <v>2098.9892448000001</v>
      </c>
      <c r="F28" s="29">
        <v>2087.0015014000001</v>
      </c>
      <c r="G28" s="29">
        <v>1997.6283100999999</v>
      </c>
      <c r="H28" s="29">
        <v>1857.6481847</v>
      </c>
      <c r="I28" s="29">
        <v>1887.0452762</v>
      </c>
      <c r="J28" s="29">
        <v>1888.6470804</v>
      </c>
      <c r="K28" s="29">
        <v>1916.6697793000001</v>
      </c>
      <c r="L28" s="29">
        <v>1049.6517124</v>
      </c>
      <c r="M28" s="29">
        <v>1932.0538521000001</v>
      </c>
      <c r="N28" s="29">
        <v>1931.7483658000001</v>
      </c>
      <c r="O28" s="29">
        <v>1965.6831941</v>
      </c>
      <c r="P28" s="29">
        <v>1962.72</v>
      </c>
    </row>
    <row r="29" spans="1:16">
      <c r="A29" s="28">
        <v>4001190130</v>
      </c>
      <c r="B29" s="28" t="s">
        <v>63</v>
      </c>
      <c r="C29" s="28" t="s">
        <v>45</v>
      </c>
      <c r="D29" s="29">
        <v>3262.0602159</v>
      </c>
      <c r="E29" s="29">
        <v>3411.1251643000001</v>
      </c>
      <c r="F29" s="29">
        <v>4121.4418818000004</v>
      </c>
      <c r="G29" s="29">
        <v>4520.2169481999999</v>
      </c>
      <c r="H29" s="29">
        <v>4358.5598612000003</v>
      </c>
      <c r="I29" s="29">
        <v>4102.0292929999996</v>
      </c>
      <c r="J29" s="29">
        <v>4037.2981497000001</v>
      </c>
      <c r="K29" s="29">
        <v>4935.4425491000002</v>
      </c>
      <c r="L29" s="29">
        <v>3055.6185227000001</v>
      </c>
      <c r="M29" s="29">
        <v>3197.4427799</v>
      </c>
      <c r="N29" s="29">
        <v>2703.6908950000002</v>
      </c>
      <c r="O29" s="29">
        <v>5034.9009452</v>
      </c>
      <c r="P29" s="29">
        <v>5946.03</v>
      </c>
    </row>
    <row r="30" spans="1:16">
      <c r="A30" s="28">
        <v>4001111660</v>
      </c>
      <c r="B30" s="28" t="s">
        <v>64</v>
      </c>
      <c r="C30" s="28" t="s">
        <v>45</v>
      </c>
      <c r="D30" s="29">
        <v>37554.508719400001</v>
      </c>
      <c r="E30" s="29">
        <v>38804.034635999997</v>
      </c>
      <c r="F30" s="29">
        <v>40651.043672599997</v>
      </c>
      <c r="G30" s="29">
        <v>37446.275603100003</v>
      </c>
      <c r="H30" s="29">
        <v>37719.566981299999</v>
      </c>
      <c r="I30" s="29">
        <v>38827.800688199997</v>
      </c>
      <c r="J30" s="29">
        <v>41380.260044299997</v>
      </c>
      <c r="K30" s="29">
        <v>41597.179147299998</v>
      </c>
      <c r="L30" s="29">
        <v>40901.779941000001</v>
      </c>
      <c r="M30" s="29">
        <v>47289.260539299998</v>
      </c>
      <c r="N30" s="29">
        <v>47952.519142899997</v>
      </c>
      <c r="O30" s="29">
        <v>49304.474154299998</v>
      </c>
      <c r="P30" s="29">
        <v>50818.44</v>
      </c>
    </row>
    <row r="31" spans="1:16">
      <c r="A31" s="28">
        <v>4001190160</v>
      </c>
      <c r="B31" s="28" t="s">
        <v>65</v>
      </c>
      <c r="C31" s="28" t="s">
        <v>45</v>
      </c>
      <c r="D31" s="29">
        <v>53.922841200000001</v>
      </c>
      <c r="E31" s="29">
        <v>56.5253771</v>
      </c>
      <c r="F31" s="29">
        <v>40.8438382</v>
      </c>
      <c r="G31" s="29">
        <v>62.156102300000001</v>
      </c>
      <c r="H31" s="29">
        <v>1155.4051712</v>
      </c>
      <c r="I31" s="29">
        <v>1413.1941096</v>
      </c>
      <c r="J31" s="29">
        <v>2733.4154331999998</v>
      </c>
      <c r="K31" s="29">
        <v>6885.4541499999996</v>
      </c>
      <c r="L31" s="29">
        <v>962.72926199999995</v>
      </c>
      <c r="M31" s="29">
        <v>937.8731593</v>
      </c>
      <c r="N31" s="29">
        <v>964.84257660000003</v>
      </c>
      <c r="O31" s="29">
        <v>1460.1683317</v>
      </c>
      <c r="P31" s="29">
        <v>1338.11</v>
      </c>
    </row>
    <row r="32" spans="1:16">
      <c r="A32" s="28">
        <v>4001112490</v>
      </c>
      <c r="B32" s="28" t="s">
        <v>66</v>
      </c>
      <c r="C32" s="28" t="s">
        <v>45</v>
      </c>
      <c r="D32" s="29">
        <v>1419.7466234000001</v>
      </c>
      <c r="E32" s="29">
        <v>1321.7939676000001</v>
      </c>
      <c r="F32" s="29">
        <v>1583.7561314</v>
      </c>
      <c r="G32" s="29">
        <v>2012.9172778</v>
      </c>
      <c r="H32" s="29">
        <v>1487.2939875</v>
      </c>
      <c r="I32" s="29">
        <v>1372.9938850999999</v>
      </c>
      <c r="J32" s="29">
        <v>1207.901926</v>
      </c>
      <c r="K32" s="29">
        <v>1842.9538786000001</v>
      </c>
      <c r="L32" s="29">
        <v>2688.7374857999998</v>
      </c>
      <c r="M32" s="29">
        <v>2416.6080560999999</v>
      </c>
      <c r="N32" s="29">
        <v>2084.2145817999999</v>
      </c>
      <c r="O32" s="29">
        <v>2893.6628630999999</v>
      </c>
      <c r="P32" s="29">
        <v>3459.99</v>
      </c>
    </row>
    <row r="33" spans="1:16">
      <c r="A33" s="28">
        <v>4001112500</v>
      </c>
      <c r="B33" s="28" t="s">
        <v>67</v>
      </c>
      <c r="C33" s="28" t="s">
        <v>45</v>
      </c>
      <c r="D33" s="29"/>
      <c r="E33" s="29"/>
      <c r="F33" s="29"/>
      <c r="G33" s="29"/>
      <c r="H33" s="29"/>
      <c r="I33" s="29"/>
      <c r="J33" s="29"/>
      <c r="K33" s="29"/>
      <c r="L33" s="29"/>
      <c r="M33" s="29"/>
      <c r="N33" s="29"/>
      <c r="O33" s="29"/>
      <c r="P33" s="29"/>
    </row>
    <row r="34" spans="1:16">
      <c r="A34" s="28">
        <v>4001180575</v>
      </c>
      <c r="B34" s="28" t="s">
        <v>52</v>
      </c>
      <c r="C34" s="28" t="s">
        <v>45</v>
      </c>
      <c r="D34" s="29"/>
      <c r="E34" s="29"/>
      <c r="F34" s="29"/>
      <c r="G34" s="29"/>
      <c r="H34" s="29"/>
      <c r="I34" s="29"/>
      <c r="J34" s="29"/>
      <c r="K34" s="29"/>
      <c r="L34" s="29"/>
      <c r="M34" s="29"/>
      <c r="N34" s="29"/>
      <c r="O34" s="29"/>
      <c r="P34" s="29"/>
    </row>
    <row r="35" spans="1:16">
      <c r="A35" s="28">
        <v>4001112503</v>
      </c>
      <c r="B35" s="28" t="s">
        <v>53</v>
      </c>
      <c r="C35" s="28" t="s">
        <v>45</v>
      </c>
      <c r="D35" s="29"/>
      <c r="E35" s="29"/>
      <c r="F35" s="29"/>
      <c r="G35" s="29"/>
      <c r="H35" s="29"/>
      <c r="I35" s="29"/>
      <c r="J35" s="29"/>
      <c r="K35" s="29"/>
      <c r="L35" s="29"/>
      <c r="M35" s="29"/>
      <c r="N35" s="29"/>
      <c r="O35" s="29"/>
      <c r="P35" s="29"/>
    </row>
    <row r="36" spans="1:16">
      <c r="A36" s="28">
        <v>4001112504</v>
      </c>
      <c r="B36" s="28" t="s">
        <v>54</v>
      </c>
      <c r="C36" s="28" t="s">
        <v>45</v>
      </c>
      <c r="D36" s="29"/>
      <c r="E36" s="29"/>
      <c r="F36" s="29"/>
      <c r="G36" s="29"/>
      <c r="H36" s="29"/>
      <c r="I36" s="29"/>
      <c r="J36" s="29"/>
      <c r="K36" s="29"/>
      <c r="L36" s="29"/>
      <c r="M36" s="29"/>
      <c r="N36" s="29"/>
      <c r="O36" s="29"/>
      <c r="P36" s="29"/>
    </row>
    <row r="37" spans="1:16">
      <c r="A37" s="28">
        <v>4001190200</v>
      </c>
      <c r="B37" s="28" t="s">
        <v>68</v>
      </c>
      <c r="C37" s="28" t="s">
        <v>45</v>
      </c>
      <c r="D37" s="29">
        <v>4535.9101025</v>
      </c>
      <c r="E37" s="29">
        <v>4737.6944432999999</v>
      </c>
      <c r="F37" s="29">
        <v>4891.3301144999996</v>
      </c>
      <c r="G37" s="29">
        <v>5065.6619160999999</v>
      </c>
      <c r="H37" s="29">
        <v>3006.4448803999999</v>
      </c>
      <c r="I37" s="29">
        <v>3885.0066572999999</v>
      </c>
      <c r="J37" s="29">
        <v>3458.6730210000001</v>
      </c>
      <c r="K37" s="29">
        <v>4529.2213811000001</v>
      </c>
      <c r="L37" s="29">
        <v>4806.4700999999995</v>
      </c>
      <c r="M37" s="29">
        <v>5808.9584819000002</v>
      </c>
      <c r="N37" s="29">
        <v>5955.6333058</v>
      </c>
      <c r="O37" s="29">
        <v>6055.7129500000001</v>
      </c>
      <c r="P37" s="29">
        <v>5600.43</v>
      </c>
    </row>
    <row r="38" spans="1:16">
      <c r="A38" s="28">
        <v>4001112880</v>
      </c>
      <c r="B38" s="28" t="s">
        <v>69</v>
      </c>
      <c r="C38" s="28" t="s">
        <v>45</v>
      </c>
      <c r="D38" s="29">
        <v>14797.7346512</v>
      </c>
      <c r="E38" s="29">
        <v>16213.2060466</v>
      </c>
      <c r="F38" s="29">
        <v>15421.684772799999</v>
      </c>
      <c r="G38" s="29">
        <v>16242.1424229</v>
      </c>
      <c r="H38" s="29">
        <v>16169.772973200001</v>
      </c>
      <c r="I38" s="29">
        <v>17671.7099055</v>
      </c>
      <c r="J38" s="29">
        <v>16733.530424799999</v>
      </c>
      <c r="K38" s="29"/>
      <c r="L38" s="29">
        <v>20822.060780200001</v>
      </c>
      <c r="M38" s="29">
        <v>23593.679622399999</v>
      </c>
      <c r="N38" s="29">
        <v>22575.591940599999</v>
      </c>
      <c r="O38" s="29"/>
      <c r="P38" s="29"/>
    </row>
    <row r="39" spans="1:16">
      <c r="A39" s="28">
        <v>4001190440</v>
      </c>
      <c r="B39" s="28" t="s">
        <v>70</v>
      </c>
      <c r="C39" s="28" t="s">
        <v>45</v>
      </c>
      <c r="D39" s="29">
        <v>128015.0495728</v>
      </c>
      <c r="E39" s="29">
        <v>133642.57089890001</v>
      </c>
      <c r="F39" s="29">
        <v>142439.98270570001</v>
      </c>
      <c r="G39" s="29">
        <v>139349.72874349999</v>
      </c>
      <c r="H39" s="29">
        <v>127692.87394600001</v>
      </c>
      <c r="I39" s="29">
        <v>138106.13146020001</v>
      </c>
      <c r="J39" s="29">
        <v>154278.80977610001</v>
      </c>
      <c r="K39" s="29">
        <v>155101.8696261</v>
      </c>
      <c r="L39" s="29">
        <v>182830.57834869999</v>
      </c>
      <c r="M39" s="29">
        <v>193381.6051442</v>
      </c>
      <c r="N39" s="29">
        <v>193738.66096060001</v>
      </c>
      <c r="O39" s="29">
        <v>194299.75219649999</v>
      </c>
      <c r="P39" s="29">
        <v>200421.89</v>
      </c>
    </row>
    <row r="40" spans="1:16">
      <c r="A40" s="28">
        <v>4001190610</v>
      </c>
      <c r="B40" s="28" t="s">
        <v>71</v>
      </c>
      <c r="C40" s="28" t="s">
        <v>45</v>
      </c>
      <c r="D40" s="29">
        <v>61959.341703500002</v>
      </c>
      <c r="E40" s="29">
        <v>65002.732909999999</v>
      </c>
      <c r="F40" s="29">
        <v>73337.627689700006</v>
      </c>
      <c r="G40" s="29">
        <v>68084.914304200007</v>
      </c>
      <c r="H40" s="29">
        <v>59171.1217741</v>
      </c>
      <c r="I40" s="29">
        <v>59986.5540845</v>
      </c>
      <c r="J40" s="29">
        <v>67541.363124099997</v>
      </c>
      <c r="K40" s="29">
        <v>87341.103253900001</v>
      </c>
      <c r="L40" s="29">
        <v>96241.103531400004</v>
      </c>
      <c r="M40" s="29">
        <v>101470.3532959</v>
      </c>
      <c r="N40" s="29">
        <v>103913.9462433</v>
      </c>
      <c r="O40" s="29">
        <v>117075.5234133</v>
      </c>
      <c r="P40" s="29">
        <v>121396.94</v>
      </c>
    </row>
    <row r="41" spans="1:16">
      <c r="A41" s="28">
        <v>4001181470</v>
      </c>
      <c r="B41" s="28" t="s">
        <v>72</v>
      </c>
      <c r="C41" s="28" t="s">
        <v>45</v>
      </c>
      <c r="D41" s="29"/>
      <c r="E41" s="29"/>
      <c r="F41" s="29"/>
      <c r="G41" s="29"/>
      <c r="H41" s="29"/>
      <c r="I41" s="29"/>
      <c r="J41" s="29"/>
      <c r="K41" s="29"/>
      <c r="L41" s="29"/>
      <c r="M41" s="29"/>
      <c r="N41" s="29"/>
      <c r="O41" s="29"/>
      <c r="P41" s="29"/>
    </row>
    <row r="42" spans="1:16">
      <c r="A42" s="28">
        <v>4001121700</v>
      </c>
      <c r="B42" s="28" t="s">
        <v>73</v>
      </c>
      <c r="C42" s="28" t="s">
        <v>45</v>
      </c>
      <c r="D42" s="29">
        <v>22995.043369999999</v>
      </c>
      <c r="E42" s="29"/>
      <c r="F42" s="29">
        <v>29650.62658</v>
      </c>
      <c r="G42" s="29">
        <v>24430.176670000001</v>
      </c>
      <c r="H42" s="29">
        <v>21500.439040000001</v>
      </c>
      <c r="I42" s="29">
        <v>25222.400269999998</v>
      </c>
      <c r="J42" s="29">
        <v>31257.319759999998</v>
      </c>
      <c r="K42" s="29">
        <v>29470.51701</v>
      </c>
      <c r="L42" s="29">
        <v>42009.108899999999</v>
      </c>
      <c r="M42" s="29">
        <v>47414.68735</v>
      </c>
      <c r="N42" s="29">
        <v>53601.701939999999</v>
      </c>
      <c r="O42" s="29">
        <v>51098.996449999999</v>
      </c>
      <c r="P42" s="29">
        <v>63349.760000000002</v>
      </c>
    </row>
    <row r="43" spans="1:16">
      <c r="A43" s="28">
        <v>4001190620</v>
      </c>
      <c r="B43" s="28" t="s">
        <v>74</v>
      </c>
      <c r="C43" s="28" t="s">
        <v>45</v>
      </c>
      <c r="D43" s="29">
        <v>7095.9515700000002</v>
      </c>
      <c r="E43" s="29">
        <v>30509.836630000002</v>
      </c>
      <c r="F43" s="29">
        <v>7948.6322</v>
      </c>
      <c r="G43" s="29">
        <v>5597.9287299999996</v>
      </c>
      <c r="H43" s="29">
        <v>5694.6937200000002</v>
      </c>
      <c r="I43" s="29">
        <v>4905.4457400000001</v>
      </c>
      <c r="J43" s="29">
        <v>5368.1805100000001</v>
      </c>
      <c r="K43" s="29">
        <v>8411.4675700000007</v>
      </c>
      <c r="L43" s="29">
        <v>13285.05413</v>
      </c>
      <c r="M43" s="29">
        <v>13639.77349</v>
      </c>
      <c r="N43" s="29">
        <v>12960.45487</v>
      </c>
      <c r="O43" s="29">
        <v>11891.668659999999</v>
      </c>
      <c r="P43" s="29">
        <v>8746.64</v>
      </c>
    </row>
    <row r="44" spans="1:16">
      <c r="A44" s="28">
        <v>4001190630</v>
      </c>
      <c r="B44" s="28" t="s">
        <v>75</v>
      </c>
      <c r="C44" s="28" t="s">
        <v>45</v>
      </c>
      <c r="D44" s="29">
        <v>2157.1948000000002</v>
      </c>
      <c r="E44" s="29">
        <v>2256.9874399999999</v>
      </c>
      <c r="F44" s="29">
        <v>2208.2597999999998</v>
      </c>
      <c r="G44" s="29">
        <v>1960.59671</v>
      </c>
      <c r="H44" s="29">
        <v>1789.01566</v>
      </c>
      <c r="I44" s="29">
        <v>1686.2972</v>
      </c>
      <c r="J44" s="29">
        <v>1993.3360399999999</v>
      </c>
      <c r="K44" s="29">
        <v>1786.9206999999999</v>
      </c>
      <c r="L44" s="29">
        <v>1206.86023</v>
      </c>
      <c r="M44" s="29">
        <v>1201.93821</v>
      </c>
      <c r="N44" s="29">
        <v>1178.73098</v>
      </c>
      <c r="O44" s="29">
        <v>1261.83161</v>
      </c>
      <c r="P44" s="29">
        <v>1204.8</v>
      </c>
    </row>
    <row r="45" spans="1:16">
      <c r="A45" s="28">
        <v>4001190660</v>
      </c>
      <c r="B45" s="28" t="s">
        <v>76</v>
      </c>
      <c r="C45" s="28" t="s">
        <v>45</v>
      </c>
      <c r="D45" s="29">
        <v>25314.95276</v>
      </c>
      <c r="E45" s="29">
        <v>25945.254809999999</v>
      </c>
      <c r="F45" s="29">
        <v>25372.382430000001</v>
      </c>
      <c r="G45" s="29">
        <v>27805.790379999999</v>
      </c>
      <c r="H45" s="29">
        <v>23027.2739</v>
      </c>
      <c r="I45" s="29">
        <v>22397.600330000001</v>
      </c>
      <c r="J45" s="29">
        <v>20694.180980000001</v>
      </c>
      <c r="K45" s="29">
        <v>39749.172939999997</v>
      </c>
      <c r="L45" s="29">
        <v>32103.44282</v>
      </c>
      <c r="M45" s="29">
        <v>29855.046989999999</v>
      </c>
      <c r="N45" s="29">
        <v>27722.558710000001</v>
      </c>
      <c r="O45" s="29">
        <v>40231.556049999999</v>
      </c>
      <c r="P45" s="29">
        <v>36322.01</v>
      </c>
    </row>
    <row r="46" spans="1:16">
      <c r="A46" s="28">
        <v>4001190680</v>
      </c>
      <c r="B46" s="28" t="s">
        <v>77</v>
      </c>
      <c r="C46" s="28" t="s">
        <v>45</v>
      </c>
      <c r="D46" s="29"/>
      <c r="E46" s="29"/>
      <c r="F46" s="29"/>
      <c r="G46" s="29"/>
      <c r="H46" s="29"/>
      <c r="I46" s="29"/>
      <c r="J46" s="29"/>
      <c r="K46" s="29"/>
      <c r="L46" s="29"/>
      <c r="M46" s="29"/>
      <c r="N46" s="29"/>
      <c r="O46" s="29"/>
      <c r="P46" s="29"/>
    </row>
    <row r="47" spans="1:16">
      <c r="A47" s="28">
        <v>4001122460</v>
      </c>
      <c r="B47" s="28" t="s">
        <v>78</v>
      </c>
      <c r="C47" s="28" t="s">
        <v>45</v>
      </c>
      <c r="D47" s="29">
        <v>542.0633795</v>
      </c>
      <c r="E47" s="29">
        <v>504.69922179999998</v>
      </c>
      <c r="F47" s="29">
        <v>544.75030930000003</v>
      </c>
      <c r="G47" s="29">
        <v>478.34553570000003</v>
      </c>
      <c r="H47" s="29">
        <v>510.26430149999999</v>
      </c>
      <c r="I47" s="29">
        <v>469.52064489999998</v>
      </c>
      <c r="J47" s="29">
        <v>441.77248350000002</v>
      </c>
      <c r="K47" s="29">
        <v>430.30940040000002</v>
      </c>
      <c r="L47" s="29">
        <v>445.28343139999998</v>
      </c>
      <c r="M47" s="29">
        <v>431.76666790000002</v>
      </c>
      <c r="N47" s="29">
        <v>431.85102749999999</v>
      </c>
      <c r="O47" s="29">
        <v>693.68458220000002</v>
      </c>
      <c r="P47" s="29">
        <v>686.73</v>
      </c>
    </row>
    <row r="48" spans="1:16">
      <c r="A48" s="28">
        <v>4001122560</v>
      </c>
      <c r="B48" s="28" t="s">
        <v>79</v>
      </c>
      <c r="C48" s="28" t="s">
        <v>45</v>
      </c>
      <c r="D48" s="29">
        <v>692.71297619999996</v>
      </c>
      <c r="E48" s="29">
        <v>2154.4293676000002</v>
      </c>
      <c r="F48" s="29">
        <v>2778.4541119</v>
      </c>
      <c r="G48" s="29">
        <v>3856.3242952999999</v>
      </c>
      <c r="H48" s="29">
        <v>2127.8038775</v>
      </c>
      <c r="I48" s="29">
        <v>370.25456000000003</v>
      </c>
      <c r="J48" s="29">
        <v>378.84413970000003</v>
      </c>
      <c r="K48" s="29">
        <v>430.46784259999998</v>
      </c>
      <c r="L48" s="29">
        <v>363.87975349999999</v>
      </c>
      <c r="M48" s="29">
        <v>338.40051729999999</v>
      </c>
      <c r="N48" s="29">
        <v>172.49797419999999</v>
      </c>
      <c r="O48" s="29">
        <v>360.76762280000003</v>
      </c>
      <c r="P48" s="29">
        <v>320.75</v>
      </c>
    </row>
    <row r="49" spans="1:16">
      <c r="A49" s="28">
        <v>4001122561</v>
      </c>
      <c r="B49" s="28" t="s">
        <v>80</v>
      </c>
      <c r="C49" s="28" t="s">
        <v>45</v>
      </c>
      <c r="D49" s="29">
        <v>3010.1784699999998</v>
      </c>
      <c r="E49" s="29">
        <v>3534.7119200000002</v>
      </c>
      <c r="F49" s="29">
        <v>4655.8208500000001</v>
      </c>
      <c r="G49" s="29">
        <v>3179.1231299999999</v>
      </c>
      <c r="H49" s="29">
        <v>3681.8295600000001</v>
      </c>
      <c r="I49" s="29">
        <v>4292.69877</v>
      </c>
      <c r="J49" s="29">
        <v>6702.0061599999999</v>
      </c>
      <c r="K49" s="29">
        <v>5259.1314499999999</v>
      </c>
      <c r="L49" s="29">
        <v>6248.9151000000002</v>
      </c>
      <c r="M49" s="29">
        <v>7806.1076599999997</v>
      </c>
      <c r="N49" s="29">
        <v>7097.4111300000004</v>
      </c>
      <c r="O49" s="29">
        <v>7128.8845300000003</v>
      </c>
      <c r="P49" s="29">
        <v>7591.94</v>
      </c>
    </row>
    <row r="50" spans="1:16">
      <c r="A50" s="28">
        <v>4001122562</v>
      </c>
      <c r="B50" s="28" t="s">
        <v>81</v>
      </c>
      <c r="C50" s="28" t="s">
        <v>45</v>
      </c>
      <c r="D50" s="29">
        <v>12.9947</v>
      </c>
      <c r="E50" s="29">
        <v>12.65898</v>
      </c>
      <c r="F50" s="29">
        <v>13.51149</v>
      </c>
      <c r="G50" s="29">
        <v>13.52275</v>
      </c>
      <c r="H50" s="29"/>
      <c r="I50" s="29"/>
      <c r="J50" s="29"/>
      <c r="K50" s="29"/>
      <c r="L50" s="29"/>
      <c r="M50" s="29"/>
      <c r="N50" s="29"/>
      <c r="O50" s="29"/>
      <c r="P50" s="29"/>
    </row>
    <row r="51" spans="1:16">
      <c r="A51" s="28">
        <v>4001122563</v>
      </c>
      <c r="B51" s="28" t="s">
        <v>82</v>
      </c>
      <c r="C51" s="28" t="s">
        <v>45</v>
      </c>
      <c r="D51" s="29"/>
      <c r="E51" s="29"/>
      <c r="F51" s="29"/>
      <c r="G51" s="29"/>
      <c r="H51" s="29"/>
      <c r="I51" s="29"/>
      <c r="J51" s="29"/>
      <c r="K51" s="29"/>
      <c r="L51" s="29"/>
      <c r="M51" s="29"/>
      <c r="N51" s="29"/>
      <c r="O51" s="29"/>
      <c r="P51" s="29"/>
    </row>
    <row r="52" spans="1:16">
      <c r="A52" s="28">
        <v>4001190690</v>
      </c>
      <c r="B52" s="28" t="s">
        <v>83</v>
      </c>
      <c r="C52" s="28" t="s">
        <v>45</v>
      </c>
      <c r="D52" s="29">
        <v>138.24967000000001</v>
      </c>
      <c r="E52" s="29">
        <v>84.154529999999994</v>
      </c>
      <c r="F52" s="29">
        <v>165.18992</v>
      </c>
      <c r="G52" s="29">
        <v>763.10608999999999</v>
      </c>
      <c r="H52" s="29">
        <v>839.80172000000005</v>
      </c>
      <c r="I52" s="29">
        <v>642.33657000000005</v>
      </c>
      <c r="J52" s="29">
        <v>705.72304999999994</v>
      </c>
      <c r="K52" s="29">
        <v>1803.11635</v>
      </c>
      <c r="L52" s="29">
        <v>578.55916999999999</v>
      </c>
      <c r="M52" s="29">
        <v>782.63241000000005</v>
      </c>
      <c r="N52" s="29">
        <v>748.73960999999997</v>
      </c>
      <c r="O52" s="29">
        <v>4180.97739</v>
      </c>
      <c r="P52" s="29">
        <v>3174.31</v>
      </c>
    </row>
    <row r="53" spans="1:16">
      <c r="A53" s="28">
        <v>4001122680</v>
      </c>
      <c r="B53" s="28" t="s">
        <v>84</v>
      </c>
      <c r="C53" s="28" t="s">
        <v>45</v>
      </c>
      <c r="D53" s="29"/>
      <c r="E53" s="29"/>
      <c r="F53" s="29"/>
      <c r="G53" s="29"/>
      <c r="H53" s="29"/>
      <c r="I53" s="29"/>
      <c r="J53" s="29"/>
      <c r="K53" s="29"/>
      <c r="L53" s="29"/>
      <c r="M53" s="29"/>
      <c r="N53" s="29"/>
      <c r="O53" s="29">
        <v>227.1565104</v>
      </c>
      <c r="P53" s="29"/>
    </row>
    <row r="54" spans="1:16">
      <c r="A54" s="28">
        <v>4001190450</v>
      </c>
      <c r="B54" s="28" t="s">
        <v>85</v>
      </c>
      <c r="C54" s="28" t="s">
        <v>45</v>
      </c>
      <c r="D54" s="29">
        <v>52995.372677899999</v>
      </c>
      <c r="E54" s="29">
        <v>54185.559810400002</v>
      </c>
      <c r="F54" s="29">
        <v>55478.561322900001</v>
      </c>
      <c r="G54" s="29">
        <v>56854.320764600001</v>
      </c>
      <c r="H54" s="29">
        <v>54166.6238428</v>
      </c>
      <c r="I54" s="29">
        <v>62337.316798400003</v>
      </c>
      <c r="J54" s="29">
        <v>71930.821351899998</v>
      </c>
      <c r="K54" s="29">
        <v>67760.766372099999</v>
      </c>
      <c r="L54" s="29">
        <v>69800.932959900005</v>
      </c>
      <c r="M54" s="29">
        <v>72362.098389999999</v>
      </c>
      <c r="N54" s="29">
        <v>71888.610757999995</v>
      </c>
      <c r="O54" s="29">
        <v>77224.2287832</v>
      </c>
      <c r="P54" s="29">
        <v>79024.95</v>
      </c>
    </row>
    <row r="55" spans="1:16">
      <c r="A55" s="28">
        <v>4001190460</v>
      </c>
      <c r="B55" s="28" t="s">
        <v>86</v>
      </c>
      <c r="C55" s="28" t="s">
        <v>45</v>
      </c>
      <c r="D55" s="29">
        <v>19602.09762</v>
      </c>
      <c r="E55" s="29">
        <v>18193.933649999999</v>
      </c>
      <c r="F55" s="29">
        <v>18849.5219</v>
      </c>
      <c r="G55" s="29">
        <v>20473.07447</v>
      </c>
      <c r="H55" s="29">
        <v>21112.94901</v>
      </c>
      <c r="I55" s="29">
        <v>23151.584849999999</v>
      </c>
      <c r="J55" s="29">
        <v>28683.25834</v>
      </c>
      <c r="K55" s="29">
        <v>23874.658630000002</v>
      </c>
      <c r="L55" s="29">
        <v>21602.660400000001</v>
      </c>
      <c r="M55" s="29">
        <v>19143.036899999999</v>
      </c>
      <c r="N55" s="29">
        <v>21885.882430000001</v>
      </c>
      <c r="O55" s="29">
        <v>21914.192139999999</v>
      </c>
      <c r="P55" s="29">
        <v>21658.33</v>
      </c>
    </row>
    <row r="56" spans="1:16">
      <c r="A56" s="28">
        <v>4001190470</v>
      </c>
      <c r="B56" s="28" t="s">
        <v>87</v>
      </c>
      <c r="C56" s="28" t="s">
        <v>45</v>
      </c>
      <c r="D56" s="29">
        <v>17113.47307</v>
      </c>
      <c r="E56" s="29">
        <v>18494.144899999999</v>
      </c>
      <c r="F56" s="29">
        <v>20036.853419999999</v>
      </c>
      <c r="G56" s="29">
        <v>21580.551579999999</v>
      </c>
      <c r="H56" s="29">
        <v>22313.195</v>
      </c>
      <c r="I56" s="29">
        <v>28795.01597</v>
      </c>
      <c r="J56" s="29">
        <v>33037.719060000003</v>
      </c>
      <c r="K56" s="29">
        <v>31786.230810000001</v>
      </c>
      <c r="L56" s="29">
        <v>37578.579700000002</v>
      </c>
      <c r="M56" s="29">
        <v>39391.353040000002</v>
      </c>
      <c r="N56" s="29">
        <v>36030.778879999998</v>
      </c>
      <c r="O56" s="29">
        <v>42314.499409999997</v>
      </c>
      <c r="P56" s="29">
        <v>44137.1</v>
      </c>
    </row>
    <row r="57" spans="1:16">
      <c r="A57" s="28">
        <v>4001190480</v>
      </c>
      <c r="B57" s="28" t="s">
        <v>88</v>
      </c>
      <c r="C57" s="28" t="s">
        <v>45</v>
      </c>
      <c r="D57" s="29">
        <v>4783.0012699999997</v>
      </c>
      <c r="E57" s="29">
        <v>4573.7378500000004</v>
      </c>
      <c r="F57" s="29">
        <v>4719.7987899999998</v>
      </c>
      <c r="G57" s="29">
        <v>5806.7797399999999</v>
      </c>
      <c r="H57" s="29">
        <v>2534.54025</v>
      </c>
      <c r="I57" s="29">
        <v>2502.84926</v>
      </c>
      <c r="J57" s="29">
        <v>2325.4250000000002</v>
      </c>
      <c r="K57" s="29">
        <v>2406.6020199999998</v>
      </c>
      <c r="L57" s="29">
        <v>2659.2123799999999</v>
      </c>
      <c r="M57" s="29">
        <v>3604.1005799999998</v>
      </c>
      <c r="N57" s="29">
        <v>3874.3342499999999</v>
      </c>
      <c r="O57" s="29">
        <v>4106.0831600000001</v>
      </c>
      <c r="P57" s="29">
        <v>4263.18</v>
      </c>
    </row>
    <row r="58" spans="1:16">
      <c r="A58" s="28">
        <v>4001190500</v>
      </c>
      <c r="B58" s="28" t="s">
        <v>89</v>
      </c>
      <c r="C58" s="28" t="s">
        <v>45</v>
      </c>
      <c r="D58" s="29">
        <v>2033.2853500000001</v>
      </c>
      <c r="E58" s="29">
        <v>2122.4930199999999</v>
      </c>
      <c r="F58" s="29">
        <v>797.48722999999995</v>
      </c>
      <c r="G58" s="29">
        <v>929.36519999999996</v>
      </c>
      <c r="H58" s="29">
        <v>1083.94192</v>
      </c>
      <c r="I58" s="29">
        <v>1018.7331799999999</v>
      </c>
      <c r="J58" s="29">
        <v>880.25135999999998</v>
      </c>
      <c r="K58" s="29">
        <v>2751.6272300000001</v>
      </c>
      <c r="L58" s="29">
        <v>1059.7660599999999</v>
      </c>
      <c r="M58" s="29">
        <v>1137.251</v>
      </c>
      <c r="N58" s="29">
        <v>1111.8410899999999</v>
      </c>
      <c r="O58" s="29">
        <v>944.22468000000003</v>
      </c>
      <c r="P58" s="29">
        <v>941.47</v>
      </c>
    </row>
    <row r="59" spans="1:16">
      <c r="A59" s="28">
        <v>4001190570</v>
      </c>
      <c r="B59" s="28" t="s">
        <v>90</v>
      </c>
      <c r="C59" s="28" t="s">
        <v>45</v>
      </c>
      <c r="D59" s="29">
        <v>4987.3951920999998</v>
      </c>
      <c r="E59" s="29">
        <v>5140.7456916000001</v>
      </c>
      <c r="F59" s="29">
        <v>5233.6221790999998</v>
      </c>
      <c r="G59" s="29">
        <v>4268.1570693000003</v>
      </c>
      <c r="H59" s="29">
        <v>3786.2896638000002</v>
      </c>
      <c r="I59" s="29">
        <v>3801.0005993999998</v>
      </c>
      <c r="J59" s="29">
        <v>3909.7916319999999</v>
      </c>
      <c r="K59" s="29">
        <v>3866.4054884000002</v>
      </c>
      <c r="L59" s="29">
        <v>3975.1790959999998</v>
      </c>
      <c r="M59" s="29">
        <v>4041.9223763</v>
      </c>
      <c r="N59" s="29">
        <v>4133.7721529999999</v>
      </c>
      <c r="O59" s="29">
        <v>3860.3993587</v>
      </c>
      <c r="P59" s="29">
        <v>3894.51</v>
      </c>
    </row>
    <row r="60" spans="1:16">
      <c r="A60" s="28">
        <v>4001121280</v>
      </c>
      <c r="B60" s="28" t="s">
        <v>91</v>
      </c>
      <c r="C60" s="28" t="s">
        <v>45</v>
      </c>
      <c r="D60" s="29">
        <v>1182.5081133000001</v>
      </c>
      <c r="E60" s="29">
        <v>1221.2044192999999</v>
      </c>
      <c r="F60" s="29">
        <v>1302.8863074000001</v>
      </c>
      <c r="G60" s="29">
        <v>1275.0870592000001</v>
      </c>
      <c r="H60" s="29">
        <v>1288.5116075999999</v>
      </c>
      <c r="I60" s="29">
        <v>1312.948218</v>
      </c>
      <c r="J60" s="29">
        <v>1316.7439128999999</v>
      </c>
      <c r="K60" s="29">
        <v>1339.1039034999999</v>
      </c>
      <c r="L60" s="29">
        <v>1380.4777681999999</v>
      </c>
      <c r="M60" s="29">
        <v>1411.1685313999999</v>
      </c>
      <c r="N60" s="29">
        <v>1421.9505108999999</v>
      </c>
      <c r="O60" s="29">
        <v>1564.0288906999999</v>
      </c>
      <c r="P60" s="29">
        <v>1587.22</v>
      </c>
    </row>
    <row r="61" spans="1:16">
      <c r="A61" s="28">
        <v>4001121380</v>
      </c>
      <c r="B61" s="28" t="s">
        <v>92</v>
      </c>
      <c r="C61" s="28" t="s">
        <v>45</v>
      </c>
      <c r="D61" s="29">
        <v>3224.2594970999999</v>
      </c>
      <c r="E61" s="29">
        <v>4367.9892030000001</v>
      </c>
      <c r="F61" s="29">
        <v>4465.6608979000002</v>
      </c>
      <c r="G61" s="29">
        <v>2297.1821691999999</v>
      </c>
      <c r="H61" s="29">
        <v>1974.3681313</v>
      </c>
      <c r="I61" s="29">
        <v>1660.4401871</v>
      </c>
      <c r="J61" s="29">
        <v>1684.6787300999999</v>
      </c>
      <c r="K61" s="29">
        <v>1698.6856421</v>
      </c>
      <c r="L61" s="29">
        <v>1487.4276408000001</v>
      </c>
      <c r="M61" s="29">
        <v>3484.5995935000001</v>
      </c>
      <c r="N61" s="29">
        <v>3267.2385112000002</v>
      </c>
      <c r="O61" s="29">
        <v>2320.4565275</v>
      </c>
      <c r="P61" s="29">
        <v>2334.7199999999998</v>
      </c>
    </row>
    <row r="62" spans="1:16">
      <c r="A62" s="28">
        <v>4001181370</v>
      </c>
      <c r="B62" s="28" t="s">
        <v>93</v>
      </c>
      <c r="C62" s="28" t="s">
        <v>45</v>
      </c>
      <c r="D62" s="29"/>
      <c r="E62" s="29"/>
      <c r="F62" s="29"/>
      <c r="G62" s="29"/>
      <c r="H62" s="29"/>
      <c r="I62" s="29"/>
      <c r="J62" s="29"/>
      <c r="K62" s="29"/>
      <c r="L62" s="29"/>
      <c r="M62" s="29"/>
      <c r="N62" s="29"/>
      <c r="O62" s="29"/>
      <c r="P62" s="29"/>
    </row>
    <row r="63" spans="1:16">
      <c r="A63" s="28">
        <v>4001121401</v>
      </c>
      <c r="B63" s="28" t="s">
        <v>80</v>
      </c>
      <c r="C63" s="28" t="s">
        <v>45</v>
      </c>
      <c r="D63" s="29"/>
      <c r="E63" s="29">
        <v>11.53782</v>
      </c>
      <c r="F63" s="29">
        <v>9.5256600000000002</v>
      </c>
      <c r="G63" s="29">
        <v>186.21457000000001</v>
      </c>
      <c r="H63" s="29">
        <v>34.60331</v>
      </c>
      <c r="I63" s="29">
        <v>66.689909999999998</v>
      </c>
      <c r="J63" s="29">
        <v>65.514979999999994</v>
      </c>
      <c r="K63" s="29">
        <v>8.2368299999999994</v>
      </c>
      <c r="L63" s="29">
        <v>7.1109200000000001</v>
      </c>
      <c r="M63" s="29">
        <v>100.30324</v>
      </c>
      <c r="N63" s="29">
        <v>118.92315000000001</v>
      </c>
      <c r="O63" s="29">
        <v>118.79349999999999</v>
      </c>
      <c r="P63" s="29">
        <v>129.18</v>
      </c>
    </row>
    <row r="64" spans="1:16">
      <c r="A64" s="28">
        <v>4001121402</v>
      </c>
      <c r="B64" s="28" t="s">
        <v>81</v>
      </c>
      <c r="C64" s="28" t="s">
        <v>45</v>
      </c>
      <c r="D64" s="29"/>
      <c r="E64" s="29"/>
      <c r="F64" s="29"/>
      <c r="G64" s="29"/>
      <c r="H64" s="29"/>
      <c r="I64" s="29"/>
      <c r="J64" s="29"/>
      <c r="K64" s="29"/>
      <c r="L64" s="29"/>
      <c r="M64" s="29"/>
      <c r="N64" s="29"/>
      <c r="O64" s="29">
        <v>1.3081100000000001</v>
      </c>
      <c r="P64" s="29">
        <v>1.94</v>
      </c>
    </row>
    <row r="65" spans="1:16">
      <c r="A65" s="28">
        <v>4001121403</v>
      </c>
      <c r="B65" s="28" t="s">
        <v>82</v>
      </c>
      <c r="C65" s="28" t="s">
        <v>45</v>
      </c>
      <c r="D65" s="29"/>
      <c r="E65" s="29"/>
      <c r="F65" s="29"/>
      <c r="G65" s="29"/>
      <c r="H65" s="29"/>
      <c r="I65" s="29"/>
      <c r="J65" s="29"/>
      <c r="K65" s="29"/>
      <c r="L65" s="29"/>
      <c r="M65" s="29"/>
      <c r="N65" s="29"/>
      <c r="O65" s="29"/>
      <c r="P65" s="29"/>
    </row>
    <row r="66" spans="1:16">
      <c r="A66" s="28">
        <v>4001190580</v>
      </c>
      <c r="B66" s="28" t="s">
        <v>94</v>
      </c>
      <c r="C66" s="28" t="s">
        <v>45</v>
      </c>
      <c r="D66" s="29">
        <v>69.352574300000001</v>
      </c>
      <c r="E66" s="29">
        <v>59.773260000000001</v>
      </c>
      <c r="F66" s="29">
        <v>63.204929999999997</v>
      </c>
      <c r="G66" s="29">
        <v>37.908900000000003</v>
      </c>
      <c r="H66" s="29">
        <v>38.22495</v>
      </c>
      <c r="I66" s="29">
        <v>28.05462</v>
      </c>
      <c r="J66" s="29">
        <v>27.43835</v>
      </c>
      <c r="K66" s="29">
        <v>29.215810000000001</v>
      </c>
      <c r="L66" s="29">
        <v>50.518990000000002</v>
      </c>
      <c r="M66" s="29">
        <v>48.363129999999998</v>
      </c>
      <c r="N66" s="29">
        <v>43.889780000000002</v>
      </c>
      <c r="O66" s="29">
        <v>80.242999999999995</v>
      </c>
      <c r="P66" s="29">
        <v>77.3</v>
      </c>
    </row>
    <row r="67" spans="1:16">
      <c r="A67" s="28">
        <v>4001121620</v>
      </c>
      <c r="B67" s="28" t="s">
        <v>95</v>
      </c>
      <c r="C67" s="28" t="s">
        <v>45</v>
      </c>
      <c r="D67" s="29">
        <v>13060.335191300001</v>
      </c>
      <c r="E67" s="29">
        <v>14454.278178500001</v>
      </c>
      <c r="F67" s="29">
        <v>13623.7936931</v>
      </c>
      <c r="G67" s="29">
        <v>14410.4936746</v>
      </c>
      <c r="H67" s="29">
        <v>14355.1283291</v>
      </c>
      <c r="I67" s="29">
        <v>15782.260577200001</v>
      </c>
      <c r="J67" s="29">
        <v>14806.625300199999</v>
      </c>
      <c r="K67" s="29"/>
      <c r="L67" s="29">
        <v>16788.5418574</v>
      </c>
      <c r="M67" s="29">
        <v>19549.153454399999</v>
      </c>
      <c r="N67" s="29">
        <v>17936.103959299999</v>
      </c>
      <c r="O67" s="29"/>
      <c r="P67" s="29"/>
    </row>
    <row r="68" spans="1:16">
      <c r="A68" s="28">
        <v>4001190380</v>
      </c>
      <c r="B68" s="28" t="s">
        <v>96</v>
      </c>
      <c r="C68" s="28" t="s">
        <v>45</v>
      </c>
      <c r="D68" s="29">
        <v>83489.615096599999</v>
      </c>
      <c r="E68" s="29">
        <v>91201.492570899994</v>
      </c>
      <c r="F68" s="29">
        <v>96437.602385100006</v>
      </c>
      <c r="G68" s="29">
        <v>98969.115593299997</v>
      </c>
      <c r="H68" s="29">
        <v>93601.200677100001</v>
      </c>
      <c r="I68" s="29">
        <v>94205.209003800002</v>
      </c>
      <c r="J68" s="29">
        <v>95385.317401699998</v>
      </c>
      <c r="K68" s="29">
        <v>92802.367428800004</v>
      </c>
      <c r="L68" s="29">
        <v>86191.223510199998</v>
      </c>
      <c r="M68" s="29">
        <v>98135.684906299997</v>
      </c>
      <c r="N68" s="29">
        <v>100352.97245840001</v>
      </c>
      <c r="O68" s="29">
        <v>106068.5615446</v>
      </c>
      <c r="P68" s="29">
        <v>104392.95</v>
      </c>
    </row>
    <row r="69" spans="1:16">
      <c r="A69" s="28">
        <v>4001130010</v>
      </c>
      <c r="B69" s="28" t="s">
        <v>97</v>
      </c>
      <c r="C69" s="28" t="s">
        <v>98</v>
      </c>
      <c r="D69" s="29">
        <v>300000000</v>
      </c>
      <c r="E69" s="29">
        <v>300000000</v>
      </c>
      <c r="F69" s="29">
        <v>300000000</v>
      </c>
      <c r="G69" s="29">
        <v>300000000</v>
      </c>
      <c r="H69" s="29">
        <v>300000000</v>
      </c>
      <c r="I69" s="29">
        <v>300000000</v>
      </c>
      <c r="J69" s="29">
        <v>300000000</v>
      </c>
      <c r="K69" s="29">
        <v>300000000</v>
      </c>
      <c r="L69" s="29">
        <v>300000000</v>
      </c>
      <c r="M69" s="29">
        <v>300000000</v>
      </c>
      <c r="N69" s="29">
        <v>300000000</v>
      </c>
      <c r="O69" s="29">
        <v>300000000</v>
      </c>
      <c r="P69" s="29">
        <v>300000000</v>
      </c>
    </row>
    <row r="70" spans="1:16">
      <c r="A70" s="28">
        <v>4001130020</v>
      </c>
      <c r="B70" s="28" t="s">
        <v>99</v>
      </c>
      <c r="C70" s="28" t="s">
        <v>100</v>
      </c>
      <c r="D70" s="29">
        <v>5000</v>
      </c>
      <c r="E70" s="29">
        <v>5000</v>
      </c>
      <c r="F70" s="29">
        <v>5000</v>
      </c>
      <c r="G70" s="29">
        <v>5000</v>
      </c>
      <c r="H70" s="29">
        <v>5000</v>
      </c>
      <c r="I70" s="29">
        <v>5000</v>
      </c>
      <c r="J70" s="29">
        <v>5000</v>
      </c>
      <c r="K70" s="29">
        <v>5000</v>
      </c>
      <c r="L70" s="29">
        <v>5000</v>
      </c>
      <c r="M70" s="29">
        <v>5000</v>
      </c>
      <c r="N70" s="29">
        <v>5000</v>
      </c>
      <c r="O70" s="29">
        <v>5000</v>
      </c>
      <c r="P70" s="29">
        <v>5000</v>
      </c>
    </row>
    <row r="71" spans="1:16">
      <c r="A71" s="28">
        <v>4001130030</v>
      </c>
      <c r="B71" s="28" t="s">
        <v>101</v>
      </c>
      <c r="C71" s="28" t="s">
        <v>98</v>
      </c>
      <c r="D71" s="29">
        <v>192402234</v>
      </c>
      <c r="E71" s="29">
        <v>192402234</v>
      </c>
      <c r="F71" s="29">
        <v>192402234</v>
      </c>
      <c r="G71" s="29">
        <v>192402234</v>
      </c>
      <c r="H71" s="29">
        <v>174467885</v>
      </c>
      <c r="I71" s="29">
        <v>174467885</v>
      </c>
      <c r="J71" s="29">
        <v>174467885</v>
      </c>
      <c r="K71" s="29">
        <v>174467885</v>
      </c>
      <c r="L71" s="29">
        <v>174467885</v>
      </c>
      <c r="M71" s="29">
        <v>174467885</v>
      </c>
      <c r="N71" s="29">
        <v>174467885</v>
      </c>
      <c r="O71" s="29">
        <v>174467885</v>
      </c>
      <c r="P71" s="29">
        <v>174467885</v>
      </c>
    </row>
    <row r="72" spans="1:16">
      <c r="A72" s="28">
        <v>4001130040</v>
      </c>
      <c r="B72" s="28" t="s">
        <v>102</v>
      </c>
      <c r="C72" s="28" t="s">
        <v>98</v>
      </c>
      <c r="D72" s="29">
        <v>191278497</v>
      </c>
      <c r="E72" s="29">
        <v>191278497</v>
      </c>
      <c r="F72" s="29">
        <v>191278497</v>
      </c>
      <c r="G72" s="29">
        <v>191278497</v>
      </c>
      <c r="H72" s="29">
        <v>171892536</v>
      </c>
      <c r="I72" s="29">
        <v>171892536</v>
      </c>
      <c r="J72" s="29">
        <v>171892536</v>
      </c>
      <c r="K72" s="29">
        <v>171892536</v>
      </c>
      <c r="L72" s="29">
        <v>171892536</v>
      </c>
      <c r="M72" s="29">
        <v>171892536</v>
      </c>
      <c r="N72" s="29">
        <v>171892536</v>
      </c>
      <c r="O72" s="29">
        <v>171892536</v>
      </c>
      <c r="P72" s="29">
        <v>171892536</v>
      </c>
    </row>
    <row r="73" spans="1:16">
      <c r="A73" s="28">
        <v>4001130050</v>
      </c>
      <c r="B73" s="28" t="s">
        <v>103</v>
      </c>
      <c r="C73" s="28" t="s">
        <v>98</v>
      </c>
      <c r="D73" s="29">
        <v>1123737</v>
      </c>
      <c r="E73" s="29">
        <v>1123737</v>
      </c>
      <c r="F73" s="29">
        <v>1123737</v>
      </c>
      <c r="G73" s="29">
        <v>1123737</v>
      </c>
      <c r="H73" s="29">
        <v>2575349</v>
      </c>
      <c r="I73" s="29">
        <v>2575349</v>
      </c>
      <c r="J73" s="29">
        <v>2575349</v>
      </c>
      <c r="K73" s="29">
        <v>2575349</v>
      </c>
      <c r="L73" s="29">
        <v>2575349</v>
      </c>
      <c r="M73" s="29">
        <v>2575349</v>
      </c>
      <c r="N73" s="29">
        <v>2575349</v>
      </c>
      <c r="O73" s="29">
        <v>2575349</v>
      </c>
      <c r="P73" s="29">
        <v>2575349</v>
      </c>
    </row>
    <row r="74" spans="1:16">
      <c r="A74" s="28">
        <v>4001190390</v>
      </c>
      <c r="B74" s="28" t="s">
        <v>104</v>
      </c>
      <c r="C74" s="28" t="s">
        <v>45</v>
      </c>
      <c r="D74" s="29">
        <v>82817.531614000007</v>
      </c>
      <c r="E74" s="29">
        <v>88169.653434499996</v>
      </c>
      <c r="F74" s="29">
        <v>93169.869854799996</v>
      </c>
      <c r="G74" s="29">
        <v>89205.709923999995</v>
      </c>
      <c r="H74" s="29">
        <v>84075.978040000002</v>
      </c>
      <c r="I74" s="29">
        <v>83435.930115399999</v>
      </c>
      <c r="J74" s="29">
        <v>84409.010690099996</v>
      </c>
      <c r="K74" s="29">
        <v>81171.665825499993</v>
      </c>
      <c r="L74" s="29">
        <v>74823.554731900003</v>
      </c>
      <c r="M74" s="29">
        <v>86562.962727100006</v>
      </c>
      <c r="N74" s="29">
        <v>88709.992077699993</v>
      </c>
      <c r="O74" s="29">
        <v>94496.5011409</v>
      </c>
      <c r="P74" s="29">
        <v>92856.76</v>
      </c>
    </row>
    <row r="75" spans="1:16">
      <c r="A75" s="28">
        <v>4001130070</v>
      </c>
      <c r="B75" s="28" t="s">
        <v>105</v>
      </c>
      <c r="C75" s="28" t="s">
        <v>45</v>
      </c>
      <c r="D75" s="29">
        <v>9782.4065499999997</v>
      </c>
      <c r="E75" s="29">
        <v>9782.4065499999997</v>
      </c>
      <c r="F75" s="29">
        <v>9782.4065499999997</v>
      </c>
      <c r="G75" s="29">
        <v>9782.4065499999997</v>
      </c>
      <c r="H75" s="29">
        <v>8885.6890999999996</v>
      </c>
      <c r="I75" s="29">
        <v>8885.6890999999996</v>
      </c>
      <c r="J75" s="29">
        <v>8885.6890999999996</v>
      </c>
      <c r="K75" s="29">
        <v>8885.6890999999996</v>
      </c>
      <c r="L75" s="29">
        <v>8885.6890999999996</v>
      </c>
      <c r="M75" s="29">
        <v>8885.6890999999996</v>
      </c>
      <c r="N75" s="29">
        <v>8885.6890999999996</v>
      </c>
      <c r="O75" s="29">
        <v>8885.6890999999996</v>
      </c>
      <c r="P75" s="29">
        <v>8885.69</v>
      </c>
    </row>
    <row r="76" spans="1:16">
      <c r="A76" s="28">
        <v>4001130670</v>
      </c>
      <c r="B76" s="28" t="s">
        <v>106</v>
      </c>
      <c r="C76" s="28" t="s">
        <v>45</v>
      </c>
      <c r="D76" s="29"/>
      <c r="E76" s="29"/>
      <c r="F76" s="29"/>
      <c r="G76" s="29"/>
      <c r="H76" s="29"/>
      <c r="I76" s="29"/>
      <c r="J76" s="29"/>
      <c r="K76" s="29"/>
      <c r="L76" s="29"/>
      <c r="M76" s="29"/>
      <c r="N76" s="29">
        <v>6967.9413999999997</v>
      </c>
      <c r="O76" s="29">
        <v>6967.9413999999997</v>
      </c>
      <c r="P76" s="29">
        <v>6967.94</v>
      </c>
    </row>
    <row r="77" spans="1:16">
      <c r="A77" s="28">
        <v>4001190400</v>
      </c>
      <c r="B77" s="28" t="s">
        <v>107</v>
      </c>
      <c r="C77" s="28" t="s">
        <v>45</v>
      </c>
      <c r="D77" s="29">
        <v>19552.1068094</v>
      </c>
      <c r="E77" s="29">
        <v>21771.9477391</v>
      </c>
      <c r="F77" s="29">
        <v>21480.396636699999</v>
      </c>
      <c r="G77" s="29">
        <v>23200.511320500002</v>
      </c>
      <c r="H77" s="29">
        <v>15539.6753235</v>
      </c>
      <c r="I77" s="29">
        <v>15492.9561104</v>
      </c>
      <c r="J77" s="29">
        <v>15535.458027000001</v>
      </c>
      <c r="K77" s="29">
        <v>14962.939721000001</v>
      </c>
      <c r="L77" s="29">
        <v>14813.165110899999</v>
      </c>
      <c r="M77" s="29">
        <v>15437.4541962</v>
      </c>
      <c r="N77" s="29">
        <v>15397.047381099999</v>
      </c>
      <c r="O77" s="29">
        <v>15624.210465599999</v>
      </c>
      <c r="P77" s="29">
        <v>15658.82</v>
      </c>
    </row>
    <row r="78" spans="1:16">
      <c r="A78" s="28">
        <v>4001190420</v>
      </c>
      <c r="B78" s="28" t="s">
        <v>108</v>
      </c>
      <c r="C78" s="28" t="s">
        <v>45</v>
      </c>
      <c r="D78" s="29">
        <v>-885.25238000000002</v>
      </c>
      <c r="E78" s="29">
        <v>-842.21416380000005</v>
      </c>
      <c r="F78" s="29">
        <v>-842.31130169999994</v>
      </c>
      <c r="G78" s="29">
        <v>-1541.5393988000001</v>
      </c>
      <c r="H78" s="29">
        <v>-1301.1042795000001</v>
      </c>
      <c r="I78" s="29">
        <v>-1398.5502667999999</v>
      </c>
      <c r="J78" s="29">
        <v>-1441.0996911</v>
      </c>
      <c r="K78" s="29">
        <v>-1350.8221186000001</v>
      </c>
      <c r="L78" s="29">
        <v>-1346.3775501</v>
      </c>
      <c r="M78" s="29">
        <v>-1355.5930122</v>
      </c>
      <c r="N78" s="29">
        <v>-1478.3255472000001</v>
      </c>
      <c r="O78" s="29">
        <v>-1503.7150687000001</v>
      </c>
      <c r="P78" s="29">
        <v>-1502.42</v>
      </c>
    </row>
    <row r="79" spans="1:16">
      <c r="A79" s="28">
        <v>4001130360</v>
      </c>
      <c r="B79" s="28" t="s">
        <v>109</v>
      </c>
      <c r="C79" s="28" t="s">
        <v>45</v>
      </c>
      <c r="D79" s="29">
        <v>2408.298859</v>
      </c>
      <c r="E79" s="29">
        <v>2853.4948144</v>
      </c>
      <c r="F79" s="29">
        <v>6359.1851038000004</v>
      </c>
      <c r="G79" s="29">
        <v>2150.2770169</v>
      </c>
      <c r="H79" s="29">
        <v>4001.4465399999999</v>
      </c>
      <c r="I79" s="29">
        <v>3440.4004811999998</v>
      </c>
      <c r="J79" s="29">
        <v>4308.7033646999998</v>
      </c>
      <c r="K79" s="29">
        <v>2579.5864207</v>
      </c>
      <c r="L79" s="29">
        <v>4186.1736684999996</v>
      </c>
      <c r="M79" s="29">
        <v>16822.9129498</v>
      </c>
      <c r="N79" s="29">
        <v>15615.2889115</v>
      </c>
      <c r="O79" s="29">
        <v>23198.022620600001</v>
      </c>
      <c r="P79" s="29">
        <v>22755.94</v>
      </c>
    </row>
    <row r="80" spans="1:16">
      <c r="A80" s="28">
        <v>4001130470</v>
      </c>
      <c r="B80" s="28" t="s">
        <v>110</v>
      </c>
      <c r="C80" s="28" t="s">
        <v>45</v>
      </c>
      <c r="D80" s="29">
        <v>51959.971779599997</v>
      </c>
      <c r="E80" s="29">
        <v>54604.018494900003</v>
      </c>
      <c r="F80" s="29">
        <v>56390.192866099998</v>
      </c>
      <c r="G80" s="29">
        <v>55614.054435400001</v>
      </c>
      <c r="H80" s="29">
        <v>56950.271359999999</v>
      </c>
      <c r="I80" s="29">
        <v>57015.434690499998</v>
      </c>
      <c r="J80" s="29">
        <v>57120.259889399997</v>
      </c>
      <c r="K80" s="29">
        <v>56094.272702299997</v>
      </c>
      <c r="L80" s="29">
        <v>48284.904399999999</v>
      </c>
      <c r="M80" s="29">
        <v>46772.499493199997</v>
      </c>
      <c r="N80" s="29">
        <v>43322.350832299999</v>
      </c>
      <c r="O80" s="29">
        <v>41324.352623300001</v>
      </c>
      <c r="P80" s="29">
        <v>40090.79</v>
      </c>
    </row>
    <row r="81" spans="1:16">
      <c r="A81" s="28">
        <v>4001130640</v>
      </c>
      <c r="B81" s="28" t="s">
        <v>111</v>
      </c>
      <c r="C81" s="28" t="s">
        <v>45</v>
      </c>
      <c r="D81" s="29">
        <v>672.08348260000002</v>
      </c>
      <c r="E81" s="29">
        <v>3031.8391363999999</v>
      </c>
      <c r="F81" s="29">
        <v>3267.7325301999999</v>
      </c>
      <c r="G81" s="29">
        <v>9763.4056693000002</v>
      </c>
      <c r="H81" s="29">
        <v>9525.22264</v>
      </c>
      <c r="I81" s="29">
        <v>10769.2788884</v>
      </c>
      <c r="J81" s="29">
        <v>10976.3067116</v>
      </c>
      <c r="K81" s="29">
        <v>11630.7016033</v>
      </c>
      <c r="L81" s="29">
        <v>11367.6687783</v>
      </c>
      <c r="M81" s="29">
        <v>11572.722179300001</v>
      </c>
      <c r="N81" s="29">
        <v>11642.980380700001</v>
      </c>
      <c r="O81" s="29">
        <v>11572.060403699999</v>
      </c>
      <c r="P81" s="29">
        <v>11536.19</v>
      </c>
    </row>
    <row r="82" spans="1:16">
      <c r="A82" s="12"/>
      <c r="B82" s="12"/>
      <c r="C82" s="12"/>
      <c r="D82" s="29"/>
      <c r="E82" s="29"/>
      <c r="F82" s="29"/>
      <c r="G82" s="29"/>
      <c r="H82" s="29"/>
      <c r="I82" s="29"/>
      <c r="J82" s="29"/>
      <c r="K82" s="29"/>
      <c r="L82" s="29"/>
      <c r="M82" s="29"/>
      <c r="N82" s="29"/>
      <c r="O82" s="29"/>
      <c r="P82" s="29"/>
    </row>
    <row r="83" spans="1:16">
      <c r="D83" s="30"/>
      <c r="E83" s="30"/>
      <c r="F83" s="30"/>
      <c r="G83" s="30"/>
      <c r="H83" s="30"/>
      <c r="I83" s="30"/>
      <c r="J83" s="30"/>
      <c r="K83" s="30"/>
      <c r="L83" s="30"/>
      <c r="M83" s="30"/>
      <c r="N83" s="30"/>
      <c r="O83" s="30"/>
      <c r="P83" s="30"/>
    </row>
    <row r="84" spans="1:16">
      <c r="D84" s="30"/>
      <c r="E84" s="30"/>
      <c r="F84" s="30"/>
      <c r="G84" s="30"/>
      <c r="H84" s="30"/>
      <c r="I84" s="30"/>
      <c r="J84" s="30"/>
      <c r="K84" s="30"/>
      <c r="L84" s="30"/>
      <c r="M84" s="30"/>
      <c r="N84" s="30"/>
      <c r="O84" s="30"/>
      <c r="P84" s="30"/>
    </row>
    <row r="85" spans="1:16">
      <c r="D85" s="30"/>
      <c r="E85" s="30"/>
      <c r="F85" s="30"/>
      <c r="G85" s="30"/>
      <c r="H85" s="30"/>
      <c r="I85" s="30"/>
      <c r="J85" s="30"/>
      <c r="K85" s="30"/>
      <c r="L85" s="30"/>
      <c r="M85" s="30"/>
      <c r="N85" s="30"/>
      <c r="O85" s="30"/>
      <c r="P85" s="30"/>
    </row>
  </sheetData>
  <phoneticPr fontId="3" type="noConversion"/>
  <conditionalFormatting sqref="B1">
    <cfRule type="expression" dxfId="5" priority="1" stopIfTrue="1">
      <formula>MID($B$1, 15, 10)-TODAY() &lt; 0</formula>
    </cfRule>
  </conditionalFormatting>
  <dataValidations count="7">
    <dataValidation type="list" allowBlank="1" showInputMessage="1" sqref="B5" xr:uid="{8123C7F6-649A-41C1-801C-34931E974CFF}">
      <formula1>"전체,재무상태표,손익계산서,현금흐름표,자본금변동표"</formula1>
    </dataValidation>
    <dataValidation type="list" allowBlank="1" showInputMessage="1" sqref="B6" xr:uid="{8E1F66BA-1495-40BA-8995-E2DFD245431D}">
      <formula1>"상세(총액),상세(순액),요약,약식"</formula1>
    </dataValidation>
    <dataValidation type="list" allowBlank="1" showInputMessage="1" sqref="B7" xr:uid="{F2DDA52F-E88B-4CCD-A163-950A6A787147}">
      <formula1>"결산,누적분기,당분기"</formula1>
    </dataValidation>
    <dataValidation type="list" allowBlank="1" showInputMessage="1" sqref="C7" xr:uid="{001880A3-A5C8-4B09-86AF-9FB236DF834D}">
      <formula1>"천원,백만원,억원,십억원"</formula1>
    </dataValidation>
    <dataValidation type="list" allowBlank="1" showInputMessage="1" sqref="B4" xr:uid="{51784638-025D-4195-8E7A-BBC3FA32C542}">
      <formula1>"별도,연결"</formula1>
    </dataValidation>
    <dataValidation type="list" allowBlank="1" showInputMessage="1" sqref="B8" xr:uid="{66FDBFDC-4692-4982-A9EB-C8E3F1639DDF}">
      <formula1>"1983,1984,1985,1986,1987,1988,1989,1990,1991,1992,1993,1994,1995,1996,1997,1998,1999,2000,2001,2002,2003,2004,2005,2006,2007,2008,2009,2010,2011,2012,2013,2014,2015,2016,2017,2018,2019,2020,2021,2022,2023,2024,2025"</formula1>
    </dataValidation>
    <dataValidation type="list" allowBlank="1" showInputMessage="1" sqref="C8" xr:uid="{3645C4A8-79D8-4DA1-B9D5-C4BE4DB007B3}">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711F8-4FF1-4F6A-82AE-2648E53F71FC}">
  <sheetPr codeName="Sheet2">
    <tabColor rgb="FFD0CECE"/>
  </sheetPr>
  <dimension ref="A1:P108"/>
  <sheetViews>
    <sheetView showGridLines="0" workbookViewId="0"/>
  </sheetViews>
  <sheetFormatPr defaultColWidth="8.7265625" defaultRowHeight="19.2"/>
  <cols>
    <col min="2" max="2" width="44" bestFit="1" customWidth="1"/>
    <col min="3" max="3" width="6.6328125" bestFit="1" customWidth="1"/>
    <col min="4" max="16" width="8.6328125" bestFit="1" customWidth="1"/>
  </cols>
  <sheetData>
    <row r="1" spans="1:16">
      <c r="B1" s="13" t="s">
        <v>130</v>
      </c>
    </row>
    <row r="2" spans="1:16">
      <c r="A2" s="14" t="s">
        <v>24</v>
      </c>
      <c r="B2" s="14"/>
      <c r="C2" s="14"/>
      <c r="D2" s="14"/>
      <c r="E2" s="14"/>
      <c r="F2" s="14"/>
      <c r="G2" s="14"/>
      <c r="H2" s="14"/>
      <c r="I2" s="14"/>
      <c r="J2" s="14"/>
      <c r="K2" s="14"/>
      <c r="L2" s="14"/>
      <c r="M2" s="14"/>
      <c r="N2" s="14"/>
      <c r="O2" s="14"/>
      <c r="P2" s="14"/>
    </row>
    <row r="3" spans="1:16">
      <c r="A3" s="15" t="s">
        <v>26</v>
      </c>
      <c r="B3" s="15" t="s">
        <v>113</v>
      </c>
      <c r="C3" s="15"/>
      <c r="D3" s="15"/>
      <c r="E3" s="15"/>
      <c r="F3" s="15"/>
      <c r="G3" s="15"/>
      <c r="H3" s="15"/>
      <c r="I3" s="15"/>
      <c r="J3" s="15"/>
      <c r="K3" s="15"/>
      <c r="L3" s="15"/>
      <c r="M3" s="15"/>
      <c r="N3" s="15"/>
      <c r="O3" s="15"/>
      <c r="P3" s="15"/>
    </row>
    <row r="4" spans="1:16">
      <c r="A4" s="15" t="s">
        <v>27</v>
      </c>
      <c r="B4" s="20" t="s">
        <v>119</v>
      </c>
      <c r="C4" s="15" t="s">
        <v>114</v>
      </c>
      <c r="D4" s="15" t="s">
        <v>118</v>
      </c>
      <c r="E4" s="15"/>
      <c r="F4" s="15"/>
      <c r="G4" s="15"/>
      <c r="H4" s="15"/>
      <c r="I4" s="15"/>
      <c r="J4" s="15"/>
      <c r="K4" s="15"/>
      <c r="L4" s="15"/>
      <c r="M4" s="15"/>
      <c r="N4" s="15"/>
      <c r="O4" s="15"/>
      <c r="P4" s="15"/>
    </row>
    <row r="5" spans="1:16">
      <c r="A5" s="15" t="s">
        <v>28</v>
      </c>
      <c r="B5" s="25" t="s">
        <v>216</v>
      </c>
      <c r="C5" s="15" t="s">
        <v>25</v>
      </c>
      <c r="D5" s="15"/>
      <c r="E5" s="15"/>
      <c r="F5" s="15"/>
      <c r="G5" s="15"/>
      <c r="H5" s="15"/>
      <c r="I5" s="15"/>
      <c r="J5" s="15"/>
      <c r="K5" s="15"/>
      <c r="L5" s="15"/>
      <c r="M5" s="15"/>
      <c r="N5" s="15"/>
      <c r="O5" s="15"/>
      <c r="P5" s="15"/>
    </row>
    <row r="6" spans="1:16">
      <c r="A6" s="15" t="s">
        <v>29</v>
      </c>
      <c r="B6" s="21" t="s">
        <v>116</v>
      </c>
      <c r="C6" s="15"/>
      <c r="D6" s="15"/>
      <c r="E6" s="15"/>
      <c r="F6" s="15"/>
      <c r="G6" s="15"/>
      <c r="H6" s="15"/>
      <c r="I6" s="15"/>
      <c r="J6" s="15"/>
      <c r="K6" s="15"/>
      <c r="L6" s="15"/>
      <c r="M6" s="15"/>
      <c r="N6" s="15"/>
      <c r="O6" s="15"/>
      <c r="P6" s="15"/>
    </row>
    <row r="7" spans="1:16">
      <c r="A7" s="15" t="s">
        <v>30</v>
      </c>
      <c r="B7" s="26" t="s">
        <v>117</v>
      </c>
      <c r="C7" s="21" t="s">
        <v>45</v>
      </c>
      <c r="D7" s="15"/>
      <c r="E7" s="15"/>
      <c r="F7" s="15"/>
      <c r="G7" s="15"/>
      <c r="H7" s="15"/>
      <c r="I7" s="15"/>
      <c r="J7" s="15"/>
      <c r="K7" s="15"/>
      <c r="L7" s="15"/>
      <c r="M7" s="15"/>
      <c r="N7" s="15"/>
      <c r="O7" s="15"/>
      <c r="P7" s="15"/>
    </row>
    <row r="8" spans="1:16">
      <c r="A8" s="16" t="s">
        <v>112</v>
      </c>
      <c r="B8" s="22">
        <v>2022</v>
      </c>
      <c r="C8" s="20" t="s">
        <v>120</v>
      </c>
      <c r="D8" s="16"/>
      <c r="E8" s="16"/>
      <c r="F8" s="16"/>
      <c r="G8" s="16"/>
      <c r="H8" s="16"/>
      <c r="I8" s="16"/>
      <c r="J8" s="16"/>
      <c r="K8" s="16"/>
      <c r="L8" s="16"/>
      <c r="M8" s="16"/>
      <c r="N8" s="16"/>
      <c r="O8" s="16"/>
      <c r="P8" s="16"/>
    </row>
    <row r="9" spans="1:16">
      <c r="A9" s="17" t="s">
        <v>31</v>
      </c>
      <c r="B9" s="27" t="s">
        <v>32</v>
      </c>
      <c r="C9" s="27" t="s">
        <v>33</v>
      </c>
      <c r="D9" s="17" t="s">
        <v>125</v>
      </c>
      <c r="E9" s="17" t="s">
        <v>126</v>
      </c>
      <c r="F9" s="17" t="s">
        <v>127</v>
      </c>
      <c r="G9" s="17" t="s">
        <v>128</v>
      </c>
      <c r="H9" s="17" t="s">
        <v>34</v>
      </c>
      <c r="I9" s="17" t="s">
        <v>35</v>
      </c>
      <c r="J9" s="17" t="s">
        <v>36</v>
      </c>
      <c r="K9" s="17" t="s">
        <v>37</v>
      </c>
      <c r="L9" s="17" t="s">
        <v>38</v>
      </c>
      <c r="M9" s="17" t="s">
        <v>39</v>
      </c>
      <c r="N9" s="17" t="s">
        <v>40</v>
      </c>
      <c r="O9" s="17" t="s">
        <v>41</v>
      </c>
      <c r="P9" s="17" t="s">
        <v>42</v>
      </c>
    </row>
    <row r="10" spans="1:16">
      <c r="A10" s="18"/>
      <c r="B10" s="18"/>
      <c r="C10" s="18"/>
      <c r="D10" s="18" t="s">
        <v>43</v>
      </c>
      <c r="E10" s="18" t="s">
        <v>43</v>
      </c>
      <c r="F10" s="18" t="s">
        <v>43</v>
      </c>
      <c r="G10" s="18" t="s">
        <v>43</v>
      </c>
      <c r="H10" s="18" t="s">
        <v>43</v>
      </c>
      <c r="I10" s="18" t="s">
        <v>43</v>
      </c>
      <c r="J10" s="18" t="s">
        <v>43</v>
      </c>
      <c r="K10" s="18" t="s">
        <v>43</v>
      </c>
      <c r="L10" s="18" t="s">
        <v>43</v>
      </c>
      <c r="M10" s="18" t="s">
        <v>43</v>
      </c>
      <c r="N10" s="18" t="s">
        <v>43</v>
      </c>
      <c r="O10" s="18" t="s">
        <v>43</v>
      </c>
      <c r="P10" s="18" t="s">
        <v>43</v>
      </c>
    </row>
    <row r="11" spans="1:16">
      <c r="A11" s="28">
        <v>4001210000</v>
      </c>
      <c r="B11" s="28" t="s">
        <v>131</v>
      </c>
      <c r="C11" s="28" t="s">
        <v>45</v>
      </c>
      <c r="D11" s="29">
        <v>28487.974080600001</v>
      </c>
      <c r="E11" s="29">
        <v>32590.362555</v>
      </c>
      <c r="F11" s="29">
        <v>32397.9326114</v>
      </c>
      <c r="G11" s="29">
        <v>37831.259628200001</v>
      </c>
      <c r="H11" s="29">
        <v>31001.576441900001</v>
      </c>
      <c r="I11" s="29">
        <v>33641.788758900002</v>
      </c>
      <c r="J11" s="29">
        <v>29044.312108400001</v>
      </c>
      <c r="K11" s="29">
        <v>37097.684495499998</v>
      </c>
      <c r="L11" s="29">
        <v>23533.87</v>
      </c>
      <c r="M11" s="29">
        <v>26793.094992999999</v>
      </c>
      <c r="N11" s="29">
        <v>27732.493235599999</v>
      </c>
      <c r="O11" s="29">
        <v>45880.778261500003</v>
      </c>
      <c r="P11" s="29">
        <v>30944.76</v>
      </c>
    </row>
    <row r="12" spans="1:16">
      <c r="A12" s="28">
        <v>4001210010</v>
      </c>
      <c r="B12" s="28" t="s">
        <v>132</v>
      </c>
      <c r="C12" s="28" t="s">
        <v>45</v>
      </c>
      <c r="D12" s="29"/>
      <c r="E12" s="29"/>
      <c r="F12" s="29"/>
      <c r="G12" s="29"/>
      <c r="H12" s="29"/>
      <c r="I12" s="29"/>
      <c r="J12" s="29"/>
      <c r="K12" s="29"/>
      <c r="L12" s="29"/>
      <c r="M12" s="29"/>
      <c r="N12" s="29"/>
      <c r="O12" s="29"/>
      <c r="P12" s="29"/>
    </row>
    <row r="13" spans="1:16">
      <c r="A13" s="28">
        <v>4001210020</v>
      </c>
      <c r="B13" s="28" t="s">
        <v>133</v>
      </c>
      <c r="C13" s="28" t="s">
        <v>45</v>
      </c>
      <c r="D13" s="29"/>
      <c r="E13" s="29"/>
      <c r="F13" s="29"/>
      <c r="G13" s="29"/>
      <c r="H13" s="29"/>
      <c r="I13" s="29"/>
      <c r="J13" s="29"/>
      <c r="K13" s="29"/>
      <c r="L13" s="29"/>
      <c r="M13" s="29"/>
      <c r="N13" s="29"/>
      <c r="O13" s="29"/>
      <c r="P13" s="29"/>
    </row>
    <row r="14" spans="1:16">
      <c r="A14" s="28">
        <v>4001210320</v>
      </c>
      <c r="B14" s="28" t="s">
        <v>134</v>
      </c>
      <c r="C14" s="28" t="s">
        <v>45</v>
      </c>
      <c r="D14" s="29">
        <v>23568.5309629</v>
      </c>
      <c r="E14" s="29">
        <v>26085.296760199999</v>
      </c>
      <c r="F14" s="29">
        <v>25582.170620600002</v>
      </c>
      <c r="G14" s="29">
        <v>32081.534298899998</v>
      </c>
      <c r="H14" s="29">
        <v>24243.207051500001</v>
      </c>
      <c r="I14" s="29">
        <v>27992.395550599998</v>
      </c>
      <c r="J14" s="29">
        <v>24613.801327100002</v>
      </c>
      <c r="K14" s="29">
        <v>32283.004416799999</v>
      </c>
      <c r="L14" s="29">
        <v>21785.360000000001</v>
      </c>
      <c r="M14" s="29">
        <v>23331.761847599999</v>
      </c>
      <c r="N14" s="29">
        <v>24665.169336899999</v>
      </c>
      <c r="O14" s="29">
        <v>40299.392039600003</v>
      </c>
      <c r="P14" s="29">
        <v>26442.63</v>
      </c>
    </row>
    <row r="15" spans="1:16">
      <c r="A15" s="28">
        <v>4001210780</v>
      </c>
      <c r="B15" s="28" t="s">
        <v>135</v>
      </c>
      <c r="C15" s="28" t="s">
        <v>45</v>
      </c>
      <c r="D15" s="29">
        <v>4919.4431176999997</v>
      </c>
      <c r="E15" s="29">
        <v>6505.0657947999998</v>
      </c>
      <c r="F15" s="29">
        <v>6815.7619907999997</v>
      </c>
      <c r="G15" s="29">
        <v>5749.7253293000003</v>
      </c>
      <c r="H15" s="29">
        <v>6758.3693905</v>
      </c>
      <c r="I15" s="29">
        <v>5649.3932083</v>
      </c>
      <c r="J15" s="29">
        <v>4430.5107813000004</v>
      </c>
      <c r="K15" s="29">
        <v>4814.6800784999996</v>
      </c>
      <c r="L15" s="29">
        <v>1748.51</v>
      </c>
      <c r="M15" s="29">
        <v>3461.3331453999999</v>
      </c>
      <c r="N15" s="29">
        <v>3067.3238987</v>
      </c>
      <c r="O15" s="29">
        <v>5581.3862218000004</v>
      </c>
      <c r="P15" s="29">
        <v>4502.13</v>
      </c>
    </row>
    <row r="16" spans="1:16">
      <c r="A16" s="28">
        <v>4001290000</v>
      </c>
      <c r="B16" s="28" t="s">
        <v>136</v>
      </c>
      <c r="C16" s="28" t="s">
        <v>45</v>
      </c>
      <c r="D16" s="29">
        <v>3452.7485093999999</v>
      </c>
      <c r="E16" s="29">
        <v>3782.0713262999998</v>
      </c>
      <c r="F16" s="29">
        <v>3447.4525217999999</v>
      </c>
      <c r="G16" s="29">
        <v>4070.4573325000001</v>
      </c>
      <c r="H16" s="29">
        <v>4043.9729944000001</v>
      </c>
      <c r="I16" s="29">
        <v>3827.2608823999999</v>
      </c>
      <c r="J16" s="29">
        <v>3537.7591542</v>
      </c>
      <c r="K16" s="29">
        <v>4451.5901523000002</v>
      </c>
      <c r="L16" s="29">
        <v>3894.85</v>
      </c>
      <c r="M16" s="29">
        <v>4538.9027389000003</v>
      </c>
      <c r="N16" s="29">
        <v>3877.2348203000001</v>
      </c>
      <c r="O16" s="29">
        <v>4549.9453062000002</v>
      </c>
      <c r="P16" s="29">
        <v>4198.99</v>
      </c>
    </row>
    <row r="17" spans="1:16">
      <c r="A17" s="28">
        <v>4001290010</v>
      </c>
      <c r="B17" s="28" t="s">
        <v>137</v>
      </c>
      <c r="C17" s="28" t="s">
        <v>45</v>
      </c>
      <c r="D17" s="29">
        <v>1079.10493</v>
      </c>
      <c r="E17" s="29">
        <v>1252.58853</v>
      </c>
      <c r="F17" s="29">
        <v>1459.5166200000001</v>
      </c>
      <c r="G17" s="29">
        <v>1373.9994099999999</v>
      </c>
      <c r="H17" s="29">
        <v>1574.1082200000001</v>
      </c>
      <c r="I17" s="29">
        <v>1381.15011</v>
      </c>
      <c r="J17" s="29">
        <v>1288.3239799999999</v>
      </c>
      <c r="K17" s="29">
        <v>1841.2576200000001</v>
      </c>
      <c r="L17" s="29">
        <v>1691.67</v>
      </c>
      <c r="M17" s="29">
        <v>1852.1235200000001</v>
      </c>
      <c r="N17" s="29">
        <v>1551.4639099999999</v>
      </c>
      <c r="O17" s="29">
        <v>1857.1655800000001</v>
      </c>
      <c r="P17" s="29">
        <v>1627.15</v>
      </c>
    </row>
    <row r="18" spans="1:16">
      <c r="A18" s="28">
        <v>4001290020</v>
      </c>
      <c r="B18" s="28" t="s">
        <v>138</v>
      </c>
      <c r="C18" s="28" t="s">
        <v>45</v>
      </c>
      <c r="D18" s="29">
        <v>191.20544000000001</v>
      </c>
      <c r="E18" s="29">
        <v>221.75762</v>
      </c>
      <c r="F18" s="29">
        <v>259.18444</v>
      </c>
      <c r="G18" s="29">
        <v>228.97272000000001</v>
      </c>
      <c r="H18" s="29">
        <v>268.26335</v>
      </c>
      <c r="I18" s="29">
        <v>249.09522999999999</v>
      </c>
      <c r="J18" s="29">
        <v>276.78602000000001</v>
      </c>
      <c r="K18" s="29">
        <v>312.20429999999999</v>
      </c>
      <c r="L18" s="29">
        <v>334.38</v>
      </c>
      <c r="M18" s="29">
        <v>353.38594999999998</v>
      </c>
      <c r="N18" s="29">
        <v>308.25088</v>
      </c>
      <c r="O18" s="29">
        <v>348.23869000000002</v>
      </c>
      <c r="P18" s="29">
        <v>330.41</v>
      </c>
    </row>
    <row r="19" spans="1:16">
      <c r="A19" s="28">
        <v>4001211300</v>
      </c>
      <c r="B19" s="28" t="s">
        <v>139</v>
      </c>
      <c r="C19" s="28" t="s">
        <v>45</v>
      </c>
      <c r="D19" s="29">
        <v>435.95114000000001</v>
      </c>
      <c r="E19" s="29">
        <v>175.91529</v>
      </c>
      <c r="F19" s="29">
        <v>364.27731</v>
      </c>
      <c r="G19" s="29">
        <v>435.05941999999999</v>
      </c>
      <c r="H19" s="29">
        <v>415.9708</v>
      </c>
      <c r="I19" s="29">
        <v>309.00810000000001</v>
      </c>
      <c r="J19" s="29">
        <v>338.93937</v>
      </c>
      <c r="K19" s="29">
        <v>207.48853</v>
      </c>
      <c r="L19" s="29">
        <v>243.58</v>
      </c>
      <c r="M19" s="29">
        <v>220.61851999999999</v>
      </c>
      <c r="N19" s="29">
        <v>182.19892999999999</v>
      </c>
      <c r="O19" s="29">
        <v>269.93860000000001</v>
      </c>
      <c r="P19" s="29">
        <v>229.79</v>
      </c>
    </row>
    <row r="20" spans="1:16">
      <c r="A20" s="28">
        <v>4001211060</v>
      </c>
      <c r="B20" s="28" t="s">
        <v>140</v>
      </c>
      <c r="C20" s="28" t="s">
        <v>45</v>
      </c>
      <c r="D20" s="29">
        <v>37.883620000000001</v>
      </c>
      <c r="E20" s="29">
        <v>64.873140000000006</v>
      </c>
      <c r="F20" s="29">
        <v>50.292580000000001</v>
      </c>
      <c r="G20" s="29">
        <v>92.906509999999997</v>
      </c>
      <c r="H20" s="29">
        <v>116.71128</v>
      </c>
      <c r="I20" s="29">
        <v>84.972089999999994</v>
      </c>
      <c r="J20" s="29">
        <v>-34.34496</v>
      </c>
      <c r="K20" s="29">
        <v>120.6677</v>
      </c>
      <c r="L20" s="29">
        <v>46.51</v>
      </c>
      <c r="M20" s="29">
        <v>71.201740000000001</v>
      </c>
      <c r="N20" s="29">
        <v>61.495350000000002</v>
      </c>
      <c r="O20" s="29">
        <v>64.219390000000004</v>
      </c>
      <c r="P20" s="29">
        <v>36.409999999999997</v>
      </c>
    </row>
    <row r="21" spans="1:16">
      <c r="A21" s="28">
        <v>4001290040</v>
      </c>
      <c r="B21" s="28" t="s">
        <v>141</v>
      </c>
      <c r="C21" s="28" t="s">
        <v>45</v>
      </c>
      <c r="D21" s="29">
        <v>1139.2878599999999</v>
      </c>
      <c r="E21" s="29">
        <v>1124.5721799999999</v>
      </c>
      <c r="F21" s="29">
        <v>607.52016000000003</v>
      </c>
      <c r="G21" s="29">
        <v>893.28615000000002</v>
      </c>
      <c r="H21" s="29">
        <v>961.74410999999998</v>
      </c>
      <c r="I21" s="29">
        <v>965.50959999999998</v>
      </c>
      <c r="J21" s="29">
        <v>908.81596999999999</v>
      </c>
      <c r="K21" s="29">
        <v>1025.7561900000001</v>
      </c>
      <c r="L21" s="29">
        <v>784.66</v>
      </c>
      <c r="M21" s="29">
        <v>995.81879000000004</v>
      </c>
      <c r="N21" s="29">
        <v>899.23558000000003</v>
      </c>
      <c r="O21" s="29">
        <v>1006.0727900000001</v>
      </c>
      <c r="P21" s="29">
        <v>942.47</v>
      </c>
    </row>
    <row r="22" spans="1:16">
      <c r="A22" s="28">
        <v>4001290090</v>
      </c>
      <c r="B22" s="28" t="s">
        <v>142</v>
      </c>
      <c r="C22" s="28" t="s">
        <v>45</v>
      </c>
      <c r="D22" s="29">
        <v>577.97505000000001</v>
      </c>
      <c r="E22" s="29">
        <v>919.38369</v>
      </c>
      <c r="F22" s="29">
        <v>706.90211999999997</v>
      </c>
      <c r="G22" s="29">
        <v>892.88684999999998</v>
      </c>
      <c r="H22" s="29">
        <v>673.94471999999996</v>
      </c>
      <c r="I22" s="29">
        <v>806.49048000000005</v>
      </c>
      <c r="J22" s="29">
        <v>767.22550000000001</v>
      </c>
      <c r="K22" s="29">
        <v>896.22734000000003</v>
      </c>
      <c r="L22" s="29">
        <v>774.02</v>
      </c>
      <c r="M22" s="29">
        <v>1006.38634</v>
      </c>
      <c r="N22" s="29">
        <v>836.62703999999997</v>
      </c>
      <c r="O22" s="29">
        <v>965.92024000000004</v>
      </c>
      <c r="P22" s="29">
        <v>927.83</v>
      </c>
    </row>
    <row r="23" spans="1:16">
      <c r="A23" s="28">
        <v>4001290110</v>
      </c>
      <c r="B23" s="28" t="s">
        <v>143</v>
      </c>
      <c r="C23" s="28" t="s">
        <v>45</v>
      </c>
      <c r="D23" s="29"/>
      <c r="E23" s="29"/>
      <c r="F23" s="29"/>
      <c r="G23" s="29"/>
      <c r="H23" s="29"/>
      <c r="I23" s="29"/>
      <c r="J23" s="29"/>
      <c r="K23" s="29"/>
      <c r="L23" s="29"/>
      <c r="M23" s="29"/>
      <c r="N23" s="29"/>
      <c r="O23" s="29"/>
      <c r="P23" s="29"/>
    </row>
    <row r="24" spans="1:16">
      <c r="A24" s="28">
        <v>4001211420</v>
      </c>
      <c r="B24" s="28" t="s">
        <v>144</v>
      </c>
      <c r="C24" s="28" t="s">
        <v>45</v>
      </c>
      <c r="D24" s="29">
        <v>-8.6595300000000002</v>
      </c>
      <c r="E24" s="29">
        <v>22.980879999999999</v>
      </c>
      <c r="F24" s="29">
        <v>-0.24071000000000001</v>
      </c>
      <c r="G24" s="29">
        <v>153.34627</v>
      </c>
      <c r="H24" s="29">
        <v>33.230510000000002</v>
      </c>
      <c r="I24" s="29">
        <v>31.035270000000001</v>
      </c>
      <c r="J24" s="29">
        <v>-7.9867299999999997</v>
      </c>
      <c r="K24" s="29">
        <v>47.988480000000003</v>
      </c>
      <c r="L24" s="29">
        <v>20.03</v>
      </c>
      <c r="M24" s="29">
        <v>39.36788</v>
      </c>
      <c r="N24" s="29">
        <v>37.96313</v>
      </c>
      <c r="O24" s="29">
        <v>38.39002</v>
      </c>
      <c r="P24" s="29">
        <v>104.93</v>
      </c>
    </row>
    <row r="25" spans="1:16">
      <c r="A25" s="28">
        <v>4001211430</v>
      </c>
      <c r="B25" s="28" t="s">
        <v>145</v>
      </c>
      <c r="C25" s="28" t="s">
        <v>45</v>
      </c>
      <c r="D25" s="29">
        <v>1466.6946084000001</v>
      </c>
      <c r="E25" s="29">
        <v>2722.9944685</v>
      </c>
      <c r="F25" s="29">
        <v>3368.3094689999998</v>
      </c>
      <c r="G25" s="29">
        <v>1679.2679966999999</v>
      </c>
      <c r="H25" s="29">
        <v>2714.3963960000001</v>
      </c>
      <c r="I25" s="29">
        <v>1822.1323259999999</v>
      </c>
      <c r="J25" s="29">
        <v>892.75162709999995</v>
      </c>
      <c r="K25" s="29">
        <v>363.08992619999998</v>
      </c>
      <c r="L25" s="29">
        <v>-2146.34</v>
      </c>
      <c r="M25" s="29">
        <v>-1077.5695935000001</v>
      </c>
      <c r="N25" s="29">
        <v>-809.91092160000005</v>
      </c>
      <c r="O25" s="29">
        <v>1031.4409155999999</v>
      </c>
      <c r="P25" s="29">
        <v>303.14</v>
      </c>
    </row>
    <row r="26" spans="1:16">
      <c r="A26" s="28">
        <v>4001290120</v>
      </c>
      <c r="B26" s="28" t="s">
        <v>146</v>
      </c>
      <c r="C26" s="28" t="s">
        <v>45</v>
      </c>
      <c r="D26" s="29">
        <v>39.796149999999997</v>
      </c>
      <c r="E26" s="29">
        <v>52.884839999999997</v>
      </c>
      <c r="F26" s="29">
        <v>52.474919999999997</v>
      </c>
      <c r="G26" s="29">
        <v>153.29071999999999</v>
      </c>
      <c r="H26" s="29">
        <v>181.29689999999999</v>
      </c>
      <c r="I26" s="29">
        <v>195.85964999999999</v>
      </c>
      <c r="J26" s="29">
        <v>249.21925999999999</v>
      </c>
      <c r="K26" s="29">
        <v>294.12108000000001</v>
      </c>
      <c r="L26" s="29">
        <v>250.76</v>
      </c>
      <c r="M26" s="29">
        <v>349.90222999999997</v>
      </c>
      <c r="N26" s="29">
        <v>229.85151999999999</v>
      </c>
      <c r="O26" s="29">
        <v>252.29388</v>
      </c>
      <c r="P26" s="29">
        <v>296.27999999999997</v>
      </c>
    </row>
    <row r="27" spans="1:16">
      <c r="A27" s="28">
        <v>4001290750</v>
      </c>
      <c r="B27" s="28" t="s">
        <v>147</v>
      </c>
      <c r="C27" s="28" t="s">
        <v>45</v>
      </c>
      <c r="D27" s="29">
        <v>34.998480000000001</v>
      </c>
      <c r="E27" s="29">
        <v>45.85004</v>
      </c>
      <c r="F27" s="29">
        <v>52.069679999999998</v>
      </c>
      <c r="G27" s="29">
        <v>152.90602000000001</v>
      </c>
      <c r="H27" s="29">
        <v>173.42719</v>
      </c>
      <c r="I27" s="29">
        <v>189.19872000000001</v>
      </c>
      <c r="J27" s="29">
        <v>249.21925999999999</v>
      </c>
      <c r="K27" s="29">
        <v>271.58067999999997</v>
      </c>
      <c r="L27" s="29">
        <v>248.11</v>
      </c>
      <c r="M27" s="29">
        <v>325.88976000000002</v>
      </c>
      <c r="N27" s="29">
        <v>229.01929999999999</v>
      </c>
      <c r="O27" s="29">
        <v>230.80197999999999</v>
      </c>
      <c r="P27" s="29">
        <v>284.41000000000003</v>
      </c>
    </row>
    <row r="28" spans="1:16">
      <c r="A28" s="28">
        <v>4001290760</v>
      </c>
      <c r="B28" s="28" t="s">
        <v>148</v>
      </c>
      <c r="C28" s="28" t="s">
        <v>45</v>
      </c>
      <c r="D28" s="29">
        <v>4.7976700000000001</v>
      </c>
      <c r="E28" s="29">
        <v>5.0470000000000001E-2</v>
      </c>
      <c r="F28" s="29"/>
      <c r="G28" s="29"/>
      <c r="H28" s="29">
        <v>3.54921</v>
      </c>
      <c r="I28" s="29">
        <v>6.2724599999999997</v>
      </c>
      <c r="J28" s="29"/>
      <c r="K28" s="29">
        <v>13.188739999999999</v>
      </c>
      <c r="L28" s="29"/>
      <c r="M28" s="29">
        <v>25.892910000000001</v>
      </c>
      <c r="N28" s="29">
        <v>-1.4599999999999999E-3</v>
      </c>
      <c r="O28" s="29">
        <v>8.1295400000000004</v>
      </c>
      <c r="P28" s="29">
        <v>11.87</v>
      </c>
    </row>
    <row r="29" spans="1:16">
      <c r="A29" s="28">
        <v>4001211480</v>
      </c>
      <c r="B29" s="28" t="s">
        <v>149</v>
      </c>
      <c r="C29" s="28" t="s">
        <v>45</v>
      </c>
      <c r="D29" s="29"/>
      <c r="E29" s="29"/>
      <c r="F29" s="29"/>
      <c r="G29" s="29"/>
      <c r="H29" s="29"/>
      <c r="I29" s="29"/>
      <c r="J29" s="29"/>
      <c r="K29" s="29"/>
      <c r="L29" s="29"/>
      <c r="M29" s="29"/>
      <c r="N29" s="29"/>
      <c r="O29" s="29"/>
      <c r="P29" s="29"/>
    </row>
    <row r="30" spans="1:16">
      <c r="A30" s="28">
        <v>4001211520</v>
      </c>
      <c r="B30" s="28" t="s">
        <v>150</v>
      </c>
      <c r="C30" s="28" t="s">
        <v>45</v>
      </c>
      <c r="D30" s="29"/>
      <c r="E30" s="29"/>
      <c r="F30" s="29"/>
      <c r="G30" s="29"/>
      <c r="H30" s="29"/>
      <c r="I30" s="29"/>
      <c r="J30" s="29"/>
      <c r="K30" s="29"/>
      <c r="L30" s="29"/>
      <c r="M30" s="29"/>
      <c r="N30" s="29"/>
      <c r="O30" s="29"/>
      <c r="P30" s="29"/>
    </row>
    <row r="31" spans="1:16">
      <c r="A31" s="28">
        <v>4001211600</v>
      </c>
      <c r="B31" s="28" t="s">
        <v>151</v>
      </c>
      <c r="C31" s="28" t="s">
        <v>45</v>
      </c>
      <c r="D31" s="29"/>
      <c r="E31" s="29"/>
      <c r="F31" s="29"/>
      <c r="G31" s="29"/>
      <c r="H31" s="29"/>
      <c r="I31" s="29"/>
      <c r="J31" s="29"/>
      <c r="K31" s="29"/>
      <c r="L31" s="29"/>
      <c r="M31" s="29"/>
      <c r="N31" s="29"/>
      <c r="O31" s="29"/>
      <c r="P31" s="29"/>
    </row>
    <row r="32" spans="1:16">
      <c r="A32" s="28">
        <v>4001211605</v>
      </c>
      <c r="B32" s="28" t="s">
        <v>152</v>
      </c>
      <c r="C32" s="28" t="s">
        <v>45</v>
      </c>
      <c r="D32" s="29"/>
      <c r="E32" s="29"/>
      <c r="F32" s="29"/>
      <c r="G32" s="29"/>
      <c r="H32" s="29"/>
      <c r="I32" s="29"/>
      <c r="J32" s="29"/>
      <c r="K32" s="29"/>
      <c r="L32" s="29"/>
      <c r="M32" s="29"/>
      <c r="N32" s="29"/>
      <c r="O32" s="29"/>
      <c r="P32" s="29"/>
    </row>
    <row r="33" spans="1:16">
      <c r="A33" s="28">
        <v>4001290130</v>
      </c>
      <c r="B33" s="28" t="s">
        <v>153</v>
      </c>
      <c r="C33" s="28" t="s">
        <v>45</v>
      </c>
      <c r="D33" s="29"/>
      <c r="E33" s="29"/>
      <c r="F33" s="29"/>
      <c r="G33" s="29"/>
      <c r="H33" s="29"/>
      <c r="I33" s="29"/>
      <c r="J33" s="29"/>
      <c r="K33" s="29"/>
      <c r="L33" s="29"/>
      <c r="M33" s="29"/>
      <c r="N33" s="29"/>
      <c r="O33" s="29"/>
      <c r="P33" s="29"/>
    </row>
    <row r="34" spans="1:16">
      <c r="A34" s="28">
        <v>4001290150</v>
      </c>
      <c r="B34" s="28" t="s">
        <v>154</v>
      </c>
      <c r="C34" s="28" t="s">
        <v>45</v>
      </c>
      <c r="D34" s="29"/>
      <c r="E34" s="29"/>
      <c r="F34" s="29"/>
      <c r="G34" s="29"/>
      <c r="H34" s="29"/>
      <c r="I34" s="29"/>
      <c r="J34" s="29"/>
      <c r="K34" s="29"/>
      <c r="L34" s="29"/>
      <c r="M34" s="29"/>
      <c r="N34" s="29"/>
      <c r="O34" s="29"/>
      <c r="P34" s="29"/>
    </row>
    <row r="35" spans="1:16">
      <c r="A35" s="28">
        <v>4001211720</v>
      </c>
      <c r="B35" s="28" t="s">
        <v>155</v>
      </c>
      <c r="C35" s="28" t="s">
        <v>45</v>
      </c>
      <c r="D35" s="29"/>
      <c r="E35" s="29"/>
      <c r="F35" s="29"/>
      <c r="G35" s="29"/>
      <c r="H35" s="29"/>
      <c r="I35" s="29"/>
      <c r="J35" s="29"/>
      <c r="K35" s="29"/>
      <c r="L35" s="29"/>
      <c r="M35" s="29"/>
      <c r="N35" s="29"/>
      <c r="O35" s="29"/>
      <c r="P35" s="29"/>
    </row>
    <row r="36" spans="1:16">
      <c r="A36" s="28">
        <v>4001211680</v>
      </c>
      <c r="B36" s="28" t="s">
        <v>156</v>
      </c>
      <c r="C36" s="28" t="s">
        <v>45</v>
      </c>
      <c r="D36" s="29"/>
      <c r="E36" s="29"/>
      <c r="F36" s="29"/>
      <c r="G36" s="29"/>
      <c r="H36" s="29"/>
      <c r="I36" s="29"/>
      <c r="J36" s="29"/>
      <c r="K36" s="29"/>
      <c r="L36" s="29"/>
      <c r="M36" s="29"/>
      <c r="N36" s="29"/>
      <c r="O36" s="29"/>
      <c r="P36" s="29"/>
    </row>
    <row r="37" spans="1:16">
      <c r="A37" s="28">
        <v>4001290170</v>
      </c>
      <c r="B37" s="28" t="s">
        <v>157</v>
      </c>
      <c r="C37" s="28" t="s">
        <v>45</v>
      </c>
      <c r="D37" s="29"/>
      <c r="E37" s="29">
        <v>6.9843299999999999</v>
      </c>
      <c r="F37" s="29">
        <v>0.40523999999999999</v>
      </c>
      <c r="G37" s="29">
        <v>0.38469999999999999</v>
      </c>
      <c r="H37" s="29">
        <v>4.3205</v>
      </c>
      <c r="I37" s="29">
        <v>0.38846999999999998</v>
      </c>
      <c r="J37" s="29"/>
      <c r="K37" s="29">
        <v>9.3516600000000007</v>
      </c>
      <c r="L37" s="29">
        <v>2.65</v>
      </c>
      <c r="M37" s="29">
        <v>-1.8804399999999999</v>
      </c>
      <c r="N37" s="29">
        <v>0.83367999999999998</v>
      </c>
      <c r="O37" s="29">
        <v>13.362360000000001</v>
      </c>
      <c r="P37" s="29"/>
    </row>
    <row r="38" spans="1:16">
      <c r="A38" s="28">
        <v>4001290180</v>
      </c>
      <c r="B38" s="28" t="s">
        <v>158</v>
      </c>
      <c r="C38" s="28" t="s">
        <v>45</v>
      </c>
      <c r="D38" s="29">
        <v>358.38114999999999</v>
      </c>
      <c r="E38" s="29">
        <v>416.59179999999998</v>
      </c>
      <c r="F38" s="29">
        <v>530.21921999999995</v>
      </c>
      <c r="G38" s="29">
        <v>704.22819000000004</v>
      </c>
      <c r="H38" s="29">
        <v>821.35869000000002</v>
      </c>
      <c r="I38" s="29">
        <v>897.65392999999995</v>
      </c>
      <c r="J38" s="29">
        <v>1113.4604300000001</v>
      </c>
      <c r="K38" s="29">
        <v>1281.6700800000001</v>
      </c>
      <c r="L38" s="29">
        <v>1378.63</v>
      </c>
      <c r="M38" s="29">
        <v>1642.02424</v>
      </c>
      <c r="N38" s="29">
        <v>1558.52952</v>
      </c>
      <c r="O38" s="29">
        <v>905.01841999999999</v>
      </c>
      <c r="P38" s="29">
        <v>1367.2</v>
      </c>
    </row>
    <row r="39" spans="1:16">
      <c r="A39" s="28">
        <v>4001290770</v>
      </c>
      <c r="B39" s="28" t="s">
        <v>159</v>
      </c>
      <c r="C39" s="28" t="s">
        <v>45</v>
      </c>
      <c r="D39" s="29">
        <v>351.99241000000001</v>
      </c>
      <c r="E39" s="29">
        <v>416.59179999999998</v>
      </c>
      <c r="F39" s="29">
        <v>530.21921999999995</v>
      </c>
      <c r="G39" s="29">
        <v>710.61693000000002</v>
      </c>
      <c r="H39" s="29">
        <v>821.35869000000002</v>
      </c>
      <c r="I39" s="29">
        <v>897.65392999999995</v>
      </c>
      <c r="J39" s="29">
        <v>1113.4604300000001</v>
      </c>
      <c r="K39" s="29">
        <v>1281.6700800000001</v>
      </c>
      <c r="L39" s="29">
        <v>1378.63</v>
      </c>
      <c r="M39" s="29">
        <v>1642.02424</v>
      </c>
      <c r="N39" s="29">
        <v>1558.52952</v>
      </c>
      <c r="O39" s="29">
        <v>905.01841999999999</v>
      </c>
      <c r="P39" s="29">
        <v>1367.2</v>
      </c>
    </row>
    <row r="40" spans="1:16">
      <c r="A40" s="28">
        <v>4001211820</v>
      </c>
      <c r="B40" s="28" t="s">
        <v>160</v>
      </c>
      <c r="C40" s="28" t="s">
        <v>45</v>
      </c>
      <c r="D40" s="29"/>
      <c r="E40" s="29"/>
      <c r="F40" s="29"/>
      <c r="G40" s="29"/>
      <c r="H40" s="29"/>
      <c r="I40" s="29"/>
      <c r="J40" s="29"/>
      <c r="K40" s="29"/>
      <c r="L40" s="29"/>
      <c r="M40" s="29"/>
      <c r="N40" s="29"/>
      <c r="O40" s="29"/>
      <c r="P40" s="29"/>
    </row>
    <row r="41" spans="1:16">
      <c r="A41" s="28">
        <v>4001211860</v>
      </c>
      <c r="B41" s="28" t="s">
        <v>161</v>
      </c>
      <c r="C41" s="28" t="s">
        <v>45</v>
      </c>
      <c r="D41" s="29"/>
      <c r="E41" s="29"/>
      <c r="F41" s="29"/>
      <c r="G41" s="29"/>
      <c r="H41" s="29"/>
      <c r="I41" s="29"/>
      <c r="J41" s="29"/>
      <c r="K41" s="29"/>
      <c r="L41" s="29"/>
      <c r="M41" s="29"/>
      <c r="N41" s="29"/>
      <c r="O41" s="29"/>
      <c r="P41" s="29"/>
    </row>
    <row r="42" spans="1:16">
      <c r="A42" s="28">
        <v>4001211865</v>
      </c>
      <c r="B42" s="28" t="s">
        <v>162</v>
      </c>
      <c r="C42" s="28" t="s">
        <v>45</v>
      </c>
      <c r="D42" s="29"/>
      <c r="E42" s="29"/>
      <c r="F42" s="29"/>
      <c r="G42" s="29"/>
      <c r="H42" s="29"/>
      <c r="I42" s="29"/>
      <c r="J42" s="29"/>
      <c r="K42" s="29"/>
      <c r="L42" s="29"/>
      <c r="M42" s="29"/>
      <c r="N42" s="29"/>
      <c r="O42" s="29"/>
      <c r="P42" s="29"/>
    </row>
    <row r="43" spans="1:16">
      <c r="A43" s="28">
        <v>4001211940</v>
      </c>
      <c r="B43" s="28" t="s">
        <v>163</v>
      </c>
      <c r="C43" s="28" t="s">
        <v>45</v>
      </c>
      <c r="D43" s="29"/>
      <c r="E43" s="29"/>
      <c r="F43" s="29"/>
      <c r="G43" s="29"/>
      <c r="H43" s="29"/>
      <c r="I43" s="29"/>
      <c r="J43" s="29"/>
      <c r="K43" s="29"/>
      <c r="L43" s="29"/>
      <c r="M43" s="29"/>
      <c r="N43" s="29"/>
      <c r="O43" s="29"/>
      <c r="P43" s="29"/>
    </row>
    <row r="44" spans="1:16">
      <c r="A44" s="28">
        <v>4001290190</v>
      </c>
      <c r="B44" s="28" t="s">
        <v>164</v>
      </c>
      <c r="C44" s="28" t="s">
        <v>45</v>
      </c>
      <c r="D44" s="29"/>
      <c r="E44" s="29"/>
      <c r="F44" s="29"/>
      <c r="G44" s="29"/>
      <c r="H44" s="29"/>
      <c r="I44" s="29"/>
      <c r="J44" s="29"/>
      <c r="K44" s="29"/>
      <c r="L44" s="29"/>
      <c r="M44" s="29"/>
      <c r="N44" s="29"/>
      <c r="O44" s="29"/>
      <c r="P44" s="29"/>
    </row>
    <row r="45" spans="1:16">
      <c r="A45" s="28">
        <v>4001290210</v>
      </c>
      <c r="B45" s="28" t="s">
        <v>165</v>
      </c>
      <c r="C45" s="28" t="s">
        <v>45</v>
      </c>
      <c r="D45" s="29"/>
      <c r="E45" s="29"/>
      <c r="F45" s="29"/>
      <c r="G45" s="29"/>
      <c r="H45" s="29"/>
      <c r="I45" s="29"/>
      <c r="J45" s="29"/>
      <c r="K45" s="29"/>
      <c r="L45" s="29"/>
      <c r="M45" s="29"/>
      <c r="N45" s="29"/>
      <c r="O45" s="29"/>
      <c r="P45" s="29"/>
    </row>
    <row r="46" spans="1:16">
      <c r="A46" s="28">
        <v>4001212060</v>
      </c>
      <c r="B46" s="28" t="s">
        <v>166</v>
      </c>
      <c r="C46" s="28" t="s">
        <v>45</v>
      </c>
      <c r="D46" s="29"/>
      <c r="E46" s="29"/>
      <c r="F46" s="29"/>
      <c r="G46" s="29"/>
      <c r="H46" s="29"/>
      <c r="I46" s="29"/>
      <c r="J46" s="29"/>
      <c r="K46" s="29"/>
      <c r="L46" s="29"/>
      <c r="M46" s="29"/>
      <c r="N46" s="29"/>
      <c r="O46" s="29"/>
      <c r="P46" s="29"/>
    </row>
    <row r="47" spans="1:16">
      <c r="A47" s="28">
        <v>4001212020</v>
      </c>
      <c r="B47" s="28" t="s">
        <v>167</v>
      </c>
      <c r="C47" s="28" t="s">
        <v>45</v>
      </c>
      <c r="D47" s="29"/>
      <c r="E47" s="29"/>
      <c r="F47" s="29"/>
      <c r="G47" s="29"/>
      <c r="H47" s="29"/>
      <c r="I47" s="29"/>
      <c r="J47" s="29"/>
      <c r="K47" s="29"/>
      <c r="L47" s="29"/>
      <c r="M47" s="29"/>
      <c r="N47" s="29"/>
      <c r="O47" s="29"/>
      <c r="P47" s="29"/>
    </row>
    <row r="48" spans="1:16">
      <c r="A48" s="28">
        <v>4001290230</v>
      </c>
      <c r="B48" s="28" t="s">
        <v>168</v>
      </c>
      <c r="C48" s="28" t="s">
        <v>45</v>
      </c>
      <c r="D48" s="29">
        <v>6.3887400000000003</v>
      </c>
      <c r="E48" s="29"/>
      <c r="F48" s="29"/>
      <c r="G48" s="29">
        <v>-6.3887400000000003</v>
      </c>
      <c r="H48" s="29"/>
      <c r="I48" s="29"/>
      <c r="J48" s="29"/>
      <c r="K48" s="29"/>
      <c r="L48" s="29"/>
      <c r="M48" s="29"/>
      <c r="N48" s="29"/>
      <c r="O48" s="29"/>
      <c r="P48" s="29"/>
    </row>
    <row r="49" spans="1:16">
      <c r="A49" s="28">
        <v>4001290240</v>
      </c>
      <c r="B49" s="28" t="s">
        <v>169</v>
      </c>
      <c r="C49" s="28" t="s">
        <v>45</v>
      </c>
      <c r="D49" s="29">
        <v>1126.68001</v>
      </c>
      <c r="E49" s="29">
        <v>2829.0745099999999</v>
      </c>
      <c r="F49" s="29">
        <v>3855.6649299999999</v>
      </c>
      <c r="G49" s="29">
        <v>1306.0252499999999</v>
      </c>
      <c r="H49" s="29">
        <v>2780.2950099999998</v>
      </c>
      <c r="I49" s="29">
        <v>1329.43346</v>
      </c>
      <c r="J49" s="29">
        <v>1163.7689800000001</v>
      </c>
      <c r="K49" s="29">
        <v>369.56342000000001</v>
      </c>
      <c r="L49" s="29">
        <v>1663.49</v>
      </c>
      <c r="M49" s="29">
        <v>1489.6979200000001</v>
      </c>
      <c r="N49" s="29">
        <v>525.17001000000005</v>
      </c>
      <c r="O49" s="29">
        <v>3264.2659399999998</v>
      </c>
      <c r="P49" s="29">
        <v>1116.96</v>
      </c>
    </row>
    <row r="50" spans="1:16">
      <c r="A50" s="28">
        <v>4001280000</v>
      </c>
      <c r="B50" s="28" t="s">
        <v>147</v>
      </c>
      <c r="C50" s="28" t="s">
        <v>45</v>
      </c>
      <c r="D50" s="29"/>
      <c r="E50" s="29"/>
      <c r="F50" s="29"/>
      <c r="G50" s="29"/>
      <c r="H50" s="29"/>
      <c r="I50" s="29"/>
      <c r="J50" s="29"/>
      <c r="K50" s="29"/>
      <c r="L50" s="29"/>
      <c r="M50" s="29"/>
      <c r="N50" s="29"/>
      <c r="O50" s="29"/>
      <c r="P50" s="29"/>
    </row>
    <row r="51" spans="1:16">
      <c r="A51" s="28">
        <v>4001280010</v>
      </c>
      <c r="B51" s="28" t="s">
        <v>148</v>
      </c>
      <c r="C51" s="28" t="s">
        <v>45</v>
      </c>
      <c r="D51" s="29"/>
      <c r="E51" s="29"/>
      <c r="F51" s="29"/>
      <c r="G51" s="29"/>
      <c r="H51" s="29"/>
      <c r="I51" s="29"/>
      <c r="J51" s="29"/>
      <c r="K51" s="29"/>
      <c r="L51" s="29"/>
      <c r="M51" s="29"/>
      <c r="N51" s="29"/>
      <c r="O51" s="29"/>
      <c r="P51" s="29"/>
    </row>
    <row r="52" spans="1:16">
      <c r="A52" s="28">
        <v>4001290250</v>
      </c>
      <c r="B52" s="28" t="s">
        <v>149</v>
      </c>
      <c r="C52" s="28" t="s">
        <v>45</v>
      </c>
      <c r="D52" s="29">
        <v>671.17636000000005</v>
      </c>
      <c r="E52" s="29">
        <v>1697.91311</v>
      </c>
      <c r="F52" s="29">
        <v>3097.1277700000001</v>
      </c>
      <c r="G52" s="29">
        <v>729.95087000000001</v>
      </c>
      <c r="H52" s="29">
        <v>1661.67668</v>
      </c>
      <c r="I52" s="29">
        <v>1125.6541500000001</v>
      </c>
      <c r="J52" s="29">
        <v>715.37820999999997</v>
      </c>
      <c r="K52" s="29">
        <v>183.4315</v>
      </c>
      <c r="L52" s="29">
        <v>1008.8</v>
      </c>
      <c r="M52" s="29">
        <v>970.71591000000001</v>
      </c>
      <c r="N52" s="29">
        <v>386.85494</v>
      </c>
      <c r="O52" s="29">
        <v>1135.7238400000001</v>
      </c>
      <c r="P52" s="29">
        <v>669.18</v>
      </c>
    </row>
    <row r="53" spans="1:16">
      <c r="A53" s="28">
        <v>4001280050</v>
      </c>
      <c r="B53" s="28" t="s">
        <v>170</v>
      </c>
      <c r="C53" s="28" t="s">
        <v>45</v>
      </c>
      <c r="D53" s="29"/>
      <c r="E53" s="29"/>
      <c r="F53" s="29"/>
      <c r="G53" s="29"/>
      <c r="H53" s="29"/>
      <c r="I53" s="29"/>
      <c r="J53" s="29"/>
      <c r="K53" s="29"/>
      <c r="L53" s="29"/>
      <c r="M53" s="29"/>
      <c r="N53" s="29"/>
      <c r="O53" s="29"/>
      <c r="P53" s="29"/>
    </row>
    <row r="54" spans="1:16">
      <c r="A54" s="28">
        <v>4001280060</v>
      </c>
      <c r="B54" s="28" t="s">
        <v>171</v>
      </c>
      <c r="C54" s="28" t="s">
        <v>45</v>
      </c>
      <c r="D54" s="29"/>
      <c r="E54" s="29"/>
      <c r="F54" s="29"/>
      <c r="G54" s="29"/>
      <c r="H54" s="29"/>
      <c r="I54" s="29"/>
      <c r="J54" s="29"/>
      <c r="K54" s="29"/>
      <c r="L54" s="29"/>
      <c r="M54" s="29"/>
      <c r="N54" s="29"/>
      <c r="O54" s="29"/>
      <c r="P54" s="29"/>
    </row>
    <row r="55" spans="1:16">
      <c r="A55" s="28">
        <v>4001280065</v>
      </c>
      <c r="B55" s="28" t="s">
        <v>172</v>
      </c>
      <c r="C55" s="28" t="s">
        <v>45</v>
      </c>
      <c r="D55" s="29">
        <v>0.66495000000000004</v>
      </c>
      <c r="E55" s="29">
        <v>6.4178600000000001</v>
      </c>
      <c r="F55" s="29">
        <v>8.3671000000000006</v>
      </c>
      <c r="G55" s="29">
        <v>0.23541000000000001</v>
      </c>
      <c r="H55" s="29">
        <v>14.492649999999999</v>
      </c>
      <c r="I55" s="29">
        <v>43.290280000000003</v>
      </c>
      <c r="J55" s="29">
        <v>-31.229320000000001</v>
      </c>
      <c r="K55" s="29">
        <v>-20.953579999999999</v>
      </c>
      <c r="L55" s="29">
        <v>1.8</v>
      </c>
      <c r="M55" s="29">
        <v>-1.80081</v>
      </c>
      <c r="N55" s="29">
        <v>0.80632999999999999</v>
      </c>
      <c r="O55" s="29">
        <v>-0.80552000000000001</v>
      </c>
      <c r="P55" s="29">
        <v>24.57</v>
      </c>
    </row>
    <row r="56" spans="1:16">
      <c r="A56" s="28">
        <v>4001290260</v>
      </c>
      <c r="B56" s="28" t="s">
        <v>173</v>
      </c>
      <c r="C56" s="28" t="s">
        <v>45</v>
      </c>
      <c r="D56" s="29">
        <v>22.568760000000001</v>
      </c>
      <c r="E56" s="29">
        <v>75.975480000000005</v>
      </c>
      <c r="F56" s="29">
        <v>29.639299999999999</v>
      </c>
      <c r="G56" s="29">
        <v>12.18141</v>
      </c>
      <c r="H56" s="29">
        <v>360.24700999999999</v>
      </c>
      <c r="I56" s="29">
        <v>-42.762639999999998</v>
      </c>
      <c r="J56" s="29">
        <v>15.06212</v>
      </c>
      <c r="K56" s="29">
        <v>-247.45982000000001</v>
      </c>
      <c r="L56" s="29">
        <v>10.71</v>
      </c>
      <c r="M56" s="29">
        <v>2.1395200000000001</v>
      </c>
      <c r="N56" s="29">
        <v>4.9052600000000002</v>
      </c>
      <c r="O56" s="29">
        <v>17.17896</v>
      </c>
      <c r="P56" s="29">
        <v>66.709999999999994</v>
      </c>
    </row>
    <row r="57" spans="1:16">
      <c r="A57" s="28">
        <v>4001280140</v>
      </c>
      <c r="B57" s="28" t="s">
        <v>174</v>
      </c>
      <c r="C57" s="28" t="s">
        <v>45</v>
      </c>
      <c r="D57" s="29"/>
      <c r="E57" s="29"/>
      <c r="F57" s="29"/>
      <c r="G57" s="29"/>
      <c r="H57" s="29"/>
      <c r="I57" s="29"/>
      <c r="J57" s="29"/>
      <c r="K57" s="29"/>
      <c r="L57" s="29"/>
      <c r="M57" s="29"/>
      <c r="N57" s="29"/>
      <c r="O57" s="29"/>
      <c r="P57" s="29">
        <v>0.67</v>
      </c>
    </row>
    <row r="58" spans="1:16">
      <c r="A58" s="28">
        <v>4001290280</v>
      </c>
      <c r="B58" s="28" t="s">
        <v>175</v>
      </c>
      <c r="C58" s="28" t="s">
        <v>45</v>
      </c>
      <c r="D58" s="29"/>
      <c r="E58" s="29"/>
      <c r="F58" s="29"/>
      <c r="G58" s="29"/>
      <c r="H58" s="29">
        <v>5.1105299999999998</v>
      </c>
      <c r="I58" s="29">
        <v>-5.4000000000000001E-4</v>
      </c>
      <c r="J58" s="29">
        <v>-4.2360000000000002E-2</v>
      </c>
      <c r="K58" s="29">
        <v>-3.177E-2</v>
      </c>
      <c r="L58" s="29">
        <v>4.71</v>
      </c>
      <c r="M58" s="29">
        <v>6.991E-2</v>
      </c>
      <c r="N58" s="29">
        <v>0.10592</v>
      </c>
      <c r="O58" s="29">
        <v>0.10841000000000001</v>
      </c>
      <c r="P58" s="29"/>
    </row>
    <row r="59" spans="1:16">
      <c r="A59" s="28">
        <v>4001290300</v>
      </c>
      <c r="B59" s="28" t="s">
        <v>156</v>
      </c>
      <c r="C59" s="28" t="s">
        <v>45</v>
      </c>
      <c r="D59" s="29">
        <v>361.62371999999999</v>
      </c>
      <c r="E59" s="29">
        <v>545.85294999999996</v>
      </c>
      <c r="F59" s="29">
        <v>890.49982999999997</v>
      </c>
      <c r="G59" s="29">
        <v>367.73428000000001</v>
      </c>
      <c r="H59" s="29">
        <v>650.34595999999999</v>
      </c>
      <c r="I59" s="29">
        <v>142.44623999999999</v>
      </c>
      <c r="J59" s="29">
        <v>311.42583999999999</v>
      </c>
      <c r="K59" s="29">
        <v>-123.95456</v>
      </c>
      <c r="L59" s="29">
        <v>492.3</v>
      </c>
      <c r="M59" s="29">
        <v>423.35996999999998</v>
      </c>
      <c r="N59" s="29">
        <v>-147.15262999999999</v>
      </c>
      <c r="O59" s="29">
        <v>1596.5723800000001</v>
      </c>
      <c r="P59" s="29">
        <v>244.54</v>
      </c>
    </row>
    <row r="60" spans="1:16">
      <c r="A60" s="28">
        <v>4001280240</v>
      </c>
      <c r="B60" s="28" t="s">
        <v>176</v>
      </c>
      <c r="C60" s="28" t="s">
        <v>45</v>
      </c>
      <c r="D60" s="29">
        <v>0.71099999999999997</v>
      </c>
      <c r="E60" s="29">
        <v>0.72960000000000003</v>
      </c>
      <c r="F60" s="29">
        <v>1.00169</v>
      </c>
      <c r="G60" s="29">
        <v>3.3548800000000001</v>
      </c>
      <c r="H60" s="29">
        <v>0.94991999999999999</v>
      </c>
      <c r="I60" s="29">
        <v>1.0328200000000001</v>
      </c>
      <c r="J60" s="29">
        <v>0.93057999999999996</v>
      </c>
      <c r="K60" s="29">
        <v>1.7279100000000001</v>
      </c>
      <c r="L60" s="29">
        <v>1.03</v>
      </c>
      <c r="M60" s="29">
        <v>1.0251600000000001</v>
      </c>
      <c r="N60" s="29">
        <v>1.04335</v>
      </c>
      <c r="O60" s="29">
        <v>0.92359999999999998</v>
      </c>
      <c r="P60" s="29">
        <v>1.1499999999999999</v>
      </c>
    </row>
    <row r="61" spans="1:16">
      <c r="A61" s="28">
        <v>4001280250</v>
      </c>
      <c r="B61" s="28" t="s">
        <v>177</v>
      </c>
      <c r="C61" s="28" t="s">
        <v>45</v>
      </c>
      <c r="D61" s="29"/>
      <c r="E61" s="29"/>
      <c r="F61" s="29"/>
      <c r="G61" s="29"/>
      <c r="H61" s="29"/>
      <c r="I61" s="29"/>
      <c r="J61" s="29"/>
      <c r="K61" s="29"/>
      <c r="L61" s="29"/>
      <c r="M61" s="29"/>
      <c r="N61" s="29"/>
      <c r="O61" s="29"/>
      <c r="P61" s="29"/>
    </row>
    <row r="62" spans="1:16">
      <c r="A62" s="28">
        <v>4001280260</v>
      </c>
      <c r="B62" s="28" t="s">
        <v>178</v>
      </c>
      <c r="C62" s="28" t="s">
        <v>45</v>
      </c>
      <c r="D62" s="29"/>
      <c r="E62" s="29"/>
      <c r="F62" s="29"/>
      <c r="G62" s="29"/>
      <c r="H62" s="29"/>
      <c r="I62" s="29"/>
      <c r="J62" s="29"/>
      <c r="K62" s="29"/>
      <c r="L62" s="29"/>
      <c r="M62" s="29"/>
      <c r="N62" s="29"/>
      <c r="O62" s="29"/>
      <c r="P62" s="29"/>
    </row>
    <row r="63" spans="1:16">
      <c r="A63" s="28">
        <v>4001280270</v>
      </c>
      <c r="B63" s="28" t="s">
        <v>179</v>
      </c>
      <c r="C63" s="28" t="s">
        <v>45</v>
      </c>
      <c r="D63" s="29"/>
      <c r="E63" s="29">
        <v>0.59323000000000004</v>
      </c>
      <c r="F63" s="29">
        <v>-5.8100000000000001E-3</v>
      </c>
      <c r="G63" s="29">
        <v>-0.37895000000000001</v>
      </c>
      <c r="H63" s="29">
        <v>4.8628099999999996</v>
      </c>
      <c r="I63" s="29">
        <v>0.11917</v>
      </c>
      <c r="J63" s="29">
        <v>9.5313300000000005</v>
      </c>
      <c r="K63" s="29">
        <v>5.0246000000000004</v>
      </c>
      <c r="L63" s="29">
        <v>0.98</v>
      </c>
      <c r="M63" s="29">
        <v>1.7240899999999999</v>
      </c>
      <c r="N63" s="29">
        <v>1.38462</v>
      </c>
      <c r="O63" s="29">
        <v>-0.13222</v>
      </c>
      <c r="P63" s="29">
        <v>0.28999999999999998</v>
      </c>
    </row>
    <row r="64" spans="1:16">
      <c r="A64" s="28">
        <v>4001280280</v>
      </c>
      <c r="B64" s="28" t="s">
        <v>180</v>
      </c>
      <c r="C64" s="28" t="s">
        <v>45</v>
      </c>
      <c r="D64" s="29">
        <v>2.7000000000000001E-3</v>
      </c>
      <c r="E64" s="29"/>
      <c r="F64" s="29"/>
      <c r="G64" s="29">
        <v>-2.7000000000000001E-3</v>
      </c>
      <c r="H64" s="29"/>
      <c r="I64" s="29"/>
      <c r="J64" s="29"/>
      <c r="K64" s="29"/>
      <c r="L64" s="29"/>
      <c r="M64" s="29"/>
      <c r="N64" s="29"/>
      <c r="O64" s="29"/>
      <c r="P64" s="29"/>
    </row>
    <row r="65" spans="1:16">
      <c r="A65" s="28">
        <v>4001290310</v>
      </c>
      <c r="B65" s="28" t="s">
        <v>181</v>
      </c>
      <c r="C65" s="28" t="s">
        <v>45</v>
      </c>
      <c r="D65" s="29">
        <v>69.932519999999997</v>
      </c>
      <c r="E65" s="29">
        <v>501.59228000000002</v>
      </c>
      <c r="F65" s="29">
        <v>-170.96494999999999</v>
      </c>
      <c r="G65" s="29">
        <v>192.95005</v>
      </c>
      <c r="H65" s="29">
        <v>82.609449999999995</v>
      </c>
      <c r="I65" s="29">
        <v>59.653979999999997</v>
      </c>
      <c r="J65" s="29">
        <v>142.71258</v>
      </c>
      <c r="K65" s="29">
        <v>571.77913999999998</v>
      </c>
      <c r="L65" s="29">
        <v>143.16</v>
      </c>
      <c r="M65" s="29">
        <v>92.464169999999996</v>
      </c>
      <c r="N65" s="29">
        <v>277.22221999999999</v>
      </c>
      <c r="O65" s="29">
        <v>514.69649000000004</v>
      </c>
      <c r="P65" s="29">
        <v>109.85</v>
      </c>
    </row>
    <row r="66" spans="1:16">
      <c r="A66" s="28">
        <v>4001290320</v>
      </c>
      <c r="B66" s="28" t="s">
        <v>182</v>
      </c>
      <c r="C66" s="28" t="s">
        <v>45</v>
      </c>
      <c r="D66" s="29">
        <v>1005.86816</v>
      </c>
      <c r="E66" s="29">
        <v>2396.3274099999999</v>
      </c>
      <c r="F66" s="29">
        <v>3867.7651099999998</v>
      </c>
      <c r="G66" s="29">
        <v>2860.2591600000001</v>
      </c>
      <c r="H66" s="29">
        <v>3092.0654</v>
      </c>
      <c r="I66" s="29">
        <v>1335.3659399999999</v>
      </c>
      <c r="J66" s="29">
        <v>1205.3615600000001</v>
      </c>
      <c r="K66" s="29">
        <v>2122.8354100000001</v>
      </c>
      <c r="L66" s="29">
        <v>1671.33</v>
      </c>
      <c r="M66" s="29">
        <v>1734.7318600000001</v>
      </c>
      <c r="N66" s="29">
        <v>1077.58106</v>
      </c>
      <c r="O66" s="29">
        <v>6025.4282599999997</v>
      </c>
      <c r="P66" s="29">
        <v>2376.06</v>
      </c>
    </row>
    <row r="67" spans="1:16">
      <c r="A67" s="28">
        <v>4001280400</v>
      </c>
      <c r="B67" s="28" t="s">
        <v>159</v>
      </c>
      <c r="C67" s="28" t="s">
        <v>45</v>
      </c>
      <c r="D67" s="29"/>
      <c r="E67" s="29"/>
      <c r="F67" s="29"/>
      <c r="G67" s="29"/>
      <c r="H67" s="29"/>
      <c r="I67" s="29"/>
      <c r="J67" s="29"/>
      <c r="K67" s="29"/>
      <c r="L67" s="29"/>
      <c r="M67" s="29"/>
      <c r="N67" s="29"/>
      <c r="O67" s="29"/>
      <c r="P67" s="29"/>
    </row>
    <row r="68" spans="1:16">
      <c r="A68" s="28">
        <v>4001290330</v>
      </c>
      <c r="B68" s="28" t="s">
        <v>160</v>
      </c>
      <c r="C68" s="28" t="s">
        <v>45</v>
      </c>
      <c r="D68" s="29">
        <v>907.02805000000001</v>
      </c>
      <c r="E68" s="29">
        <v>2002.18968</v>
      </c>
      <c r="F68" s="29">
        <v>3329.3424</v>
      </c>
      <c r="G68" s="29">
        <v>483.17921999999999</v>
      </c>
      <c r="H68" s="29">
        <v>1786.3638900000001</v>
      </c>
      <c r="I68" s="29">
        <v>840.90950999999995</v>
      </c>
      <c r="J68" s="29">
        <v>789.11802</v>
      </c>
      <c r="K68" s="29">
        <v>141.91493</v>
      </c>
      <c r="L68" s="29">
        <v>1216.8699999999999</v>
      </c>
      <c r="M68" s="29">
        <v>1193.4827499999999</v>
      </c>
      <c r="N68" s="29">
        <v>441.62245999999999</v>
      </c>
      <c r="O68" s="29">
        <v>1410.8751600000001</v>
      </c>
      <c r="P68" s="29">
        <v>756.12</v>
      </c>
    </row>
    <row r="69" spans="1:16">
      <c r="A69" s="28">
        <v>4001280440</v>
      </c>
      <c r="B69" s="28" t="s">
        <v>183</v>
      </c>
      <c r="C69" s="28" t="s">
        <v>45</v>
      </c>
      <c r="D69" s="29"/>
      <c r="E69" s="29"/>
      <c r="F69" s="29"/>
      <c r="G69" s="29"/>
      <c r="H69" s="29"/>
      <c r="I69" s="29"/>
      <c r="J69" s="29"/>
      <c r="K69" s="29"/>
      <c r="L69" s="29"/>
      <c r="M69" s="29"/>
      <c r="N69" s="29"/>
      <c r="O69" s="29"/>
      <c r="P69" s="29"/>
    </row>
    <row r="70" spans="1:16">
      <c r="A70" s="28">
        <v>4001280450</v>
      </c>
      <c r="B70" s="28" t="s">
        <v>184</v>
      </c>
      <c r="C70" s="28" t="s">
        <v>45</v>
      </c>
      <c r="D70" s="29">
        <v>4.35825</v>
      </c>
      <c r="E70" s="29">
        <v>0.10101</v>
      </c>
      <c r="F70" s="29"/>
      <c r="G70" s="29">
        <v>0.34444000000000002</v>
      </c>
      <c r="H70" s="29">
        <v>0.35089999999999999</v>
      </c>
      <c r="I70" s="29">
        <v>3.4250000000000003E-2</v>
      </c>
      <c r="J70" s="29">
        <v>1.1749400000000001</v>
      </c>
      <c r="K70" s="29">
        <v>3.3966699999999999</v>
      </c>
      <c r="L70" s="29">
        <v>21.52</v>
      </c>
      <c r="M70" s="29">
        <v>0.10217</v>
      </c>
      <c r="N70" s="29">
        <v>-0.20125999999999999</v>
      </c>
      <c r="O70" s="29">
        <v>49.712589999999999</v>
      </c>
      <c r="P70" s="29"/>
    </row>
    <row r="71" spans="1:16">
      <c r="A71" s="28">
        <v>4001280455</v>
      </c>
      <c r="B71" s="28" t="s">
        <v>185</v>
      </c>
      <c r="C71" s="28" t="s">
        <v>45</v>
      </c>
      <c r="D71" s="29">
        <v>2.8112400000000002</v>
      </c>
      <c r="E71" s="29">
        <v>13.82339</v>
      </c>
      <c r="F71" s="29">
        <v>-1.27739</v>
      </c>
      <c r="G71" s="29">
        <v>15.879440000000001</v>
      </c>
      <c r="H71" s="29">
        <v>67.959140000000005</v>
      </c>
      <c r="I71" s="29">
        <v>23.711390000000002</v>
      </c>
      <c r="J71" s="29">
        <v>55.187660000000001</v>
      </c>
      <c r="K71" s="29">
        <v>-41.777819999999998</v>
      </c>
      <c r="L71" s="29">
        <v>98.26</v>
      </c>
      <c r="M71" s="29">
        <v>-6.2501600000000002</v>
      </c>
      <c r="N71" s="29">
        <v>101.65297</v>
      </c>
      <c r="O71" s="29">
        <v>536.77076</v>
      </c>
      <c r="P71" s="29">
        <v>921.47</v>
      </c>
    </row>
    <row r="72" spans="1:16">
      <c r="A72" s="28">
        <v>4001290340</v>
      </c>
      <c r="B72" s="28" t="s">
        <v>186</v>
      </c>
      <c r="C72" s="28" t="s">
        <v>45</v>
      </c>
      <c r="D72" s="29">
        <v>11.906000000000001</v>
      </c>
      <c r="E72" s="29">
        <v>23.935739999999999</v>
      </c>
      <c r="F72" s="29">
        <v>18.309609999999999</v>
      </c>
      <c r="G72" s="29">
        <v>260.86147999999997</v>
      </c>
      <c r="H72" s="29">
        <v>19.507000000000001</v>
      </c>
      <c r="I72" s="29">
        <v>36.068269999999998</v>
      </c>
      <c r="J72" s="29">
        <v>21.76641</v>
      </c>
      <c r="K72" s="29">
        <v>29.911390000000001</v>
      </c>
      <c r="L72" s="29">
        <v>16</v>
      </c>
      <c r="M72" s="29">
        <v>191.11707999999999</v>
      </c>
      <c r="N72" s="29">
        <v>174.63538</v>
      </c>
      <c r="O72" s="29">
        <v>186.90384</v>
      </c>
      <c r="P72" s="29">
        <v>37.56</v>
      </c>
    </row>
    <row r="73" spans="1:16">
      <c r="A73" s="28">
        <v>4001280540</v>
      </c>
      <c r="B73" s="28" t="s">
        <v>187</v>
      </c>
      <c r="C73" s="28" t="s">
        <v>45</v>
      </c>
      <c r="D73" s="29"/>
      <c r="E73" s="29"/>
      <c r="F73" s="29"/>
      <c r="G73" s="29"/>
      <c r="H73" s="29"/>
      <c r="I73" s="29"/>
      <c r="J73" s="29"/>
      <c r="K73" s="29"/>
      <c r="L73" s="29"/>
      <c r="M73" s="29"/>
      <c r="N73" s="29"/>
      <c r="O73" s="29"/>
      <c r="P73" s="29">
        <v>4.28</v>
      </c>
    </row>
    <row r="74" spans="1:16">
      <c r="A74" s="28">
        <v>4001290360</v>
      </c>
      <c r="B74" s="28" t="s">
        <v>188</v>
      </c>
      <c r="C74" s="28" t="s">
        <v>45</v>
      </c>
      <c r="D74" s="29"/>
      <c r="E74" s="29">
        <v>117.38668</v>
      </c>
      <c r="F74" s="29">
        <v>60.722819999999999</v>
      </c>
      <c r="G74" s="29">
        <v>449.13794000000001</v>
      </c>
      <c r="H74" s="29"/>
      <c r="I74" s="29">
        <v>2.8108399999999998</v>
      </c>
      <c r="J74" s="29">
        <v>-2.8108399999999998</v>
      </c>
      <c r="K74" s="29">
        <v>1521.7556099999999</v>
      </c>
      <c r="L74" s="29">
        <v>11.51</v>
      </c>
      <c r="M74" s="29">
        <v>0.13686999999999999</v>
      </c>
      <c r="N74" s="29">
        <v>6.071E-2</v>
      </c>
      <c r="O74" s="29">
        <v>1143.7039400000001</v>
      </c>
      <c r="P74" s="29"/>
    </row>
    <row r="75" spans="1:16">
      <c r="A75" s="28">
        <v>4001290380</v>
      </c>
      <c r="B75" s="28" t="s">
        <v>167</v>
      </c>
      <c r="C75" s="28" t="s">
        <v>45</v>
      </c>
      <c r="D75" s="29">
        <v>30.806149999999999</v>
      </c>
      <c r="E75" s="29">
        <v>122.51314000000001</v>
      </c>
      <c r="F75" s="29">
        <v>267.63708000000003</v>
      </c>
      <c r="G75" s="29">
        <v>1150.1943000000001</v>
      </c>
      <c r="H75" s="29">
        <v>388.32166999999998</v>
      </c>
      <c r="I75" s="29">
        <v>239.89874</v>
      </c>
      <c r="J75" s="29">
        <v>193.88199</v>
      </c>
      <c r="K75" s="29">
        <v>271.44468999999998</v>
      </c>
      <c r="L75" s="29">
        <v>209.08</v>
      </c>
      <c r="M75" s="29">
        <v>138.34673000000001</v>
      </c>
      <c r="N75" s="29">
        <v>202.44059999999999</v>
      </c>
      <c r="O75" s="29">
        <v>469.589</v>
      </c>
      <c r="P75" s="29">
        <v>280.01</v>
      </c>
    </row>
    <row r="76" spans="1:16">
      <c r="A76" s="28">
        <v>4001280650</v>
      </c>
      <c r="B76" s="28" t="s">
        <v>189</v>
      </c>
      <c r="C76" s="28" t="s">
        <v>45</v>
      </c>
      <c r="D76" s="29"/>
      <c r="E76" s="29">
        <v>0.51190000000000002</v>
      </c>
      <c r="F76" s="29">
        <v>0.38521</v>
      </c>
      <c r="G76" s="29">
        <v>12.48127</v>
      </c>
      <c r="H76" s="29">
        <v>1.55131</v>
      </c>
      <c r="I76" s="29">
        <v>0.13156000000000001</v>
      </c>
      <c r="J76" s="29">
        <v>0.36606</v>
      </c>
      <c r="K76" s="29">
        <v>4.3503299999999996</v>
      </c>
      <c r="L76" s="29"/>
      <c r="M76" s="29">
        <v>-1.91E-3</v>
      </c>
      <c r="N76" s="29"/>
      <c r="O76" s="29">
        <v>13.357530000000001</v>
      </c>
      <c r="P76" s="29">
        <v>6.55</v>
      </c>
    </row>
    <row r="77" spans="1:16">
      <c r="A77" s="28">
        <v>4001280660</v>
      </c>
      <c r="B77" s="28" t="s">
        <v>190</v>
      </c>
      <c r="C77" s="28" t="s">
        <v>45</v>
      </c>
      <c r="D77" s="29"/>
      <c r="E77" s="29"/>
      <c r="F77" s="29"/>
      <c r="G77" s="29"/>
      <c r="H77" s="29"/>
      <c r="I77" s="29"/>
      <c r="J77" s="29"/>
      <c r="K77" s="29"/>
      <c r="L77" s="29"/>
      <c r="M77" s="29"/>
      <c r="N77" s="29"/>
      <c r="O77" s="29"/>
      <c r="P77" s="29"/>
    </row>
    <row r="78" spans="1:16">
      <c r="A78" s="28">
        <v>4001290390</v>
      </c>
      <c r="B78" s="28" t="s">
        <v>181</v>
      </c>
      <c r="C78" s="28" t="s">
        <v>45</v>
      </c>
      <c r="D78" s="29">
        <v>48.958469999999998</v>
      </c>
      <c r="E78" s="29">
        <v>115.86587</v>
      </c>
      <c r="F78" s="29">
        <v>192.64537999999999</v>
      </c>
      <c r="G78" s="29">
        <v>488.18106999999998</v>
      </c>
      <c r="H78" s="29">
        <v>828.01148999999998</v>
      </c>
      <c r="I78" s="29">
        <v>191.80137999999999</v>
      </c>
      <c r="J78" s="29">
        <v>146.67732000000001</v>
      </c>
      <c r="K78" s="29">
        <v>191.83960999999999</v>
      </c>
      <c r="L78" s="29">
        <v>98.09</v>
      </c>
      <c r="M78" s="29">
        <v>217.79832999999999</v>
      </c>
      <c r="N78" s="29">
        <v>157.37020000000001</v>
      </c>
      <c r="O78" s="29">
        <v>2214.5154400000001</v>
      </c>
      <c r="P78" s="29">
        <v>370.07</v>
      </c>
    </row>
    <row r="79" spans="1:16">
      <c r="A79" s="28">
        <v>4001290640</v>
      </c>
      <c r="B79" s="28" t="s">
        <v>191</v>
      </c>
      <c r="C79" s="28" t="s">
        <v>45</v>
      </c>
      <c r="D79" s="29">
        <v>-63.347989300000002</v>
      </c>
      <c r="E79" s="29">
        <v>552.49432200000001</v>
      </c>
      <c r="F79" s="29">
        <v>-707.23937030000002</v>
      </c>
      <c r="G79" s="29">
        <v>-800.65118059999998</v>
      </c>
      <c r="H79" s="29">
        <v>249.52776890000001</v>
      </c>
      <c r="I79" s="29">
        <v>-734.35210050000001</v>
      </c>
      <c r="J79" s="29">
        <v>305.94379600000002</v>
      </c>
      <c r="K79" s="29">
        <v>1013.5725655</v>
      </c>
      <c r="L79" s="29">
        <v>-506.84</v>
      </c>
      <c r="M79" s="29">
        <v>-494.83814210000003</v>
      </c>
      <c r="N79" s="29">
        <v>-1012.7131941</v>
      </c>
      <c r="O79" s="29">
        <v>-1252.3951417000001</v>
      </c>
      <c r="P79" s="29">
        <v>1346.03</v>
      </c>
    </row>
    <row r="80" spans="1:16">
      <c r="A80" s="28">
        <v>4001290650</v>
      </c>
      <c r="B80" s="28" t="s">
        <v>192</v>
      </c>
      <c r="C80" s="28" t="s">
        <v>45</v>
      </c>
      <c r="D80" s="29">
        <v>-63.347989300000002</v>
      </c>
      <c r="E80" s="29">
        <v>552.49432200000001</v>
      </c>
      <c r="F80" s="29">
        <v>-707.23937030000002</v>
      </c>
      <c r="G80" s="29">
        <v>-800.65118059999998</v>
      </c>
      <c r="H80" s="29">
        <v>249.52776890000001</v>
      </c>
      <c r="I80" s="29">
        <v>-734.35210050000001</v>
      </c>
      <c r="J80" s="29">
        <v>305.94379600000002</v>
      </c>
      <c r="K80" s="29">
        <v>1013.5725655</v>
      </c>
      <c r="L80" s="29">
        <v>-506.84</v>
      </c>
      <c r="M80" s="29">
        <v>-494.83814210000003</v>
      </c>
      <c r="N80" s="29">
        <v>-1012.7131941</v>
      </c>
      <c r="O80" s="29">
        <v>-1252.3951417000001</v>
      </c>
      <c r="P80" s="29">
        <v>1346.03</v>
      </c>
    </row>
    <row r="81" spans="1:16">
      <c r="A81" s="28">
        <v>4001290680</v>
      </c>
      <c r="B81" s="28" t="s">
        <v>193</v>
      </c>
      <c r="C81" s="28" t="s">
        <v>45</v>
      </c>
      <c r="D81" s="29"/>
      <c r="E81" s="29"/>
      <c r="F81" s="29"/>
      <c r="G81" s="29"/>
      <c r="H81" s="29"/>
      <c r="I81" s="29"/>
      <c r="J81" s="29"/>
      <c r="K81" s="29"/>
      <c r="L81" s="29"/>
      <c r="M81" s="29"/>
      <c r="N81" s="29"/>
      <c r="O81" s="29"/>
      <c r="P81" s="29"/>
    </row>
    <row r="82" spans="1:16">
      <c r="A82" s="28">
        <v>4001290710</v>
      </c>
      <c r="B82" s="28" t="s">
        <v>194</v>
      </c>
      <c r="C82" s="28" t="s">
        <v>45</v>
      </c>
      <c r="D82" s="29"/>
      <c r="E82" s="29"/>
      <c r="F82" s="29"/>
      <c r="G82" s="29"/>
      <c r="H82" s="29"/>
      <c r="I82" s="29"/>
      <c r="J82" s="29"/>
      <c r="K82" s="29"/>
      <c r="L82" s="29"/>
      <c r="M82" s="29"/>
      <c r="N82" s="29"/>
      <c r="O82" s="29"/>
      <c r="P82" s="29"/>
    </row>
    <row r="83" spans="1:16">
      <c r="A83" s="28">
        <v>4001290740</v>
      </c>
      <c r="B83" s="28" t="s">
        <v>181</v>
      </c>
      <c r="C83" s="28" t="s">
        <v>45</v>
      </c>
      <c r="D83" s="29"/>
      <c r="E83" s="29"/>
      <c r="F83" s="29"/>
      <c r="G83" s="29"/>
      <c r="H83" s="29"/>
      <c r="I83" s="29"/>
      <c r="J83" s="29"/>
      <c r="K83" s="29"/>
      <c r="L83" s="29"/>
      <c r="M83" s="29"/>
      <c r="N83" s="29"/>
      <c r="O83" s="29"/>
      <c r="P83" s="29"/>
    </row>
    <row r="84" spans="1:16">
      <c r="A84" s="28">
        <v>4001212380</v>
      </c>
      <c r="B84" s="28" t="s">
        <v>195</v>
      </c>
      <c r="C84" s="28" t="s">
        <v>45</v>
      </c>
      <c r="D84" s="29">
        <v>1205.5734726000001</v>
      </c>
      <c r="E84" s="29">
        <v>3344.5289349999998</v>
      </c>
      <c r="F84" s="29">
        <v>2171.2256179999999</v>
      </c>
      <c r="G84" s="29">
        <v>-1226.5545813000001</v>
      </c>
      <c r="H84" s="29">
        <v>2012.0919874000001</v>
      </c>
      <c r="I84" s="29">
        <v>380.05346450000002</v>
      </c>
      <c r="J84" s="29">
        <v>292.86165790000001</v>
      </c>
      <c r="K84" s="29">
        <v>-1364.1584894</v>
      </c>
      <c r="L84" s="29">
        <v>-3788.89</v>
      </c>
      <c r="M84" s="29">
        <v>-3109.5636789</v>
      </c>
      <c r="N84" s="29">
        <v>-3703.7131785000001</v>
      </c>
      <c r="O84" s="29">
        <v>-3634.8410735000002</v>
      </c>
      <c r="P84" s="29">
        <v>-680.85</v>
      </c>
    </row>
    <row r="85" spans="1:16">
      <c r="A85" s="28">
        <v>4001212390</v>
      </c>
      <c r="B85" s="28" t="s">
        <v>196</v>
      </c>
      <c r="C85" s="28" t="s">
        <v>45</v>
      </c>
      <c r="D85" s="29">
        <v>216.0025603</v>
      </c>
      <c r="E85" s="29">
        <v>899.45131130000004</v>
      </c>
      <c r="F85" s="29">
        <v>839.21762820000004</v>
      </c>
      <c r="G85" s="29">
        <v>68.095364599999996</v>
      </c>
      <c r="H85" s="29">
        <v>606.44916139999998</v>
      </c>
      <c r="I85" s="29">
        <v>224.49338520000001</v>
      </c>
      <c r="J85" s="29">
        <v>132.24784070000001</v>
      </c>
      <c r="K85" s="29">
        <v>-497.36323809999999</v>
      </c>
      <c r="L85" s="29">
        <v>-691.16</v>
      </c>
      <c r="M85" s="29">
        <v>-640.83806509999999</v>
      </c>
      <c r="N85" s="29">
        <v>-115.6985663</v>
      </c>
      <c r="O85" s="29">
        <v>-1708.7537984000001</v>
      </c>
      <c r="P85" s="29">
        <v>-391.57</v>
      </c>
    </row>
    <row r="86" spans="1:16">
      <c r="A86" s="28">
        <v>4001212400</v>
      </c>
      <c r="B86" s="28" t="s">
        <v>197</v>
      </c>
      <c r="C86" s="28" t="s">
        <v>45</v>
      </c>
      <c r="D86" s="29"/>
      <c r="E86" s="29"/>
      <c r="F86" s="29"/>
      <c r="G86" s="29"/>
      <c r="H86" s="29"/>
      <c r="I86" s="29"/>
      <c r="J86" s="29"/>
      <c r="K86" s="29"/>
      <c r="L86" s="29"/>
      <c r="M86" s="29"/>
      <c r="N86" s="29"/>
      <c r="O86" s="29"/>
      <c r="P86" s="29"/>
    </row>
    <row r="87" spans="1:16">
      <c r="A87" s="28">
        <v>4001212410</v>
      </c>
      <c r="B87" s="28" t="s">
        <v>198</v>
      </c>
      <c r="C87" s="28" t="s">
        <v>45</v>
      </c>
      <c r="D87" s="29"/>
      <c r="E87" s="29"/>
      <c r="F87" s="29"/>
      <c r="G87" s="29"/>
      <c r="H87" s="29"/>
      <c r="I87" s="29"/>
      <c r="J87" s="29"/>
      <c r="K87" s="29"/>
      <c r="L87" s="29"/>
      <c r="M87" s="29"/>
      <c r="N87" s="29"/>
      <c r="O87" s="29"/>
      <c r="P87" s="29"/>
    </row>
    <row r="88" spans="1:16">
      <c r="A88" s="28">
        <v>4001212420</v>
      </c>
      <c r="B88" s="28" t="s">
        <v>199</v>
      </c>
      <c r="C88" s="28" t="s">
        <v>45</v>
      </c>
      <c r="D88" s="29">
        <v>989.57091230000003</v>
      </c>
      <c r="E88" s="29">
        <v>2445.0776237999999</v>
      </c>
      <c r="F88" s="29">
        <v>1332.0079897999999</v>
      </c>
      <c r="G88" s="29">
        <v>-1298.5713544</v>
      </c>
      <c r="H88" s="29">
        <v>1405.642826</v>
      </c>
      <c r="I88" s="29">
        <v>155.56007930000001</v>
      </c>
      <c r="J88" s="29">
        <v>160.61381729999999</v>
      </c>
      <c r="K88" s="29">
        <v>-904.35984629999996</v>
      </c>
      <c r="L88" s="29">
        <v>-3097.73</v>
      </c>
      <c r="M88" s="29">
        <v>-2468.7256137999998</v>
      </c>
      <c r="N88" s="29">
        <v>-3588.0146122000001</v>
      </c>
      <c r="O88" s="29">
        <v>-1937.8009391999999</v>
      </c>
      <c r="P88" s="29">
        <v>-289.27999999999997</v>
      </c>
    </row>
    <row r="89" spans="1:16">
      <c r="A89" s="28">
        <v>4001212430</v>
      </c>
      <c r="B89" s="28" t="s">
        <v>200</v>
      </c>
      <c r="C89" s="28" t="s">
        <v>45</v>
      </c>
      <c r="D89" s="29">
        <v>41.404957799999998</v>
      </c>
      <c r="E89" s="29">
        <v>0.1833902</v>
      </c>
      <c r="F89" s="29">
        <v>53.748182800000002</v>
      </c>
      <c r="G89" s="29">
        <v>96.809808700000005</v>
      </c>
      <c r="H89" s="29">
        <v>-71.563365099999999</v>
      </c>
      <c r="I89" s="29">
        <v>74.042056000000002</v>
      </c>
      <c r="J89" s="29">
        <v>66.466998700000005</v>
      </c>
      <c r="K89" s="29">
        <v>-1768.6281082999999</v>
      </c>
      <c r="L89" s="29">
        <v>-1373.24</v>
      </c>
      <c r="M89" s="29">
        <v>-828.72933690000002</v>
      </c>
      <c r="N89" s="29">
        <v>-288.4497513</v>
      </c>
      <c r="O89" s="29">
        <v>-107.1144911</v>
      </c>
      <c r="P89" s="29">
        <v>-12.67</v>
      </c>
    </row>
    <row r="90" spans="1:16">
      <c r="A90" s="28">
        <v>4001212450</v>
      </c>
      <c r="B90" s="28" t="s">
        <v>201</v>
      </c>
      <c r="C90" s="28" t="s">
        <v>45</v>
      </c>
      <c r="D90" s="29">
        <v>1030.9758701000001</v>
      </c>
      <c r="E90" s="29">
        <v>2445.2610140000002</v>
      </c>
      <c r="F90" s="29">
        <v>1385.7561725999999</v>
      </c>
      <c r="G90" s="29">
        <v>-1201.7615456000001</v>
      </c>
      <c r="H90" s="29">
        <v>1334.0794609</v>
      </c>
      <c r="I90" s="29">
        <v>229.60213529999999</v>
      </c>
      <c r="J90" s="29">
        <v>227.080816</v>
      </c>
      <c r="K90" s="29">
        <v>-2672.9879546000002</v>
      </c>
      <c r="L90" s="29">
        <v>-4470.97</v>
      </c>
      <c r="M90" s="29">
        <v>-3297.4549507000002</v>
      </c>
      <c r="N90" s="29">
        <v>-3876.4643635000002</v>
      </c>
      <c r="O90" s="29">
        <v>-2044.9154304000001</v>
      </c>
      <c r="P90" s="29">
        <v>-301.95</v>
      </c>
    </row>
    <row r="91" spans="1:16">
      <c r="A91" s="28">
        <v>4001220000</v>
      </c>
      <c r="B91" s="28" t="s">
        <v>202</v>
      </c>
      <c r="C91" s="28" t="s">
        <v>45</v>
      </c>
      <c r="D91" s="29">
        <v>1315.4798165</v>
      </c>
      <c r="E91" s="29">
        <v>748.71667239999999</v>
      </c>
      <c r="F91" s="29">
        <v>4068.6654715</v>
      </c>
      <c r="G91" s="29">
        <v>-3944.7708358999998</v>
      </c>
      <c r="H91" s="29">
        <v>2208.7274689999999</v>
      </c>
      <c r="I91" s="29">
        <v>-909.55590529999995</v>
      </c>
      <c r="J91" s="29">
        <v>920.03985790000002</v>
      </c>
      <c r="K91" s="29">
        <v>-2007.4688573000001</v>
      </c>
      <c r="L91" s="29">
        <v>1736.57</v>
      </c>
      <c r="M91" s="29">
        <v>13033.527878999999</v>
      </c>
      <c r="N91" s="29">
        <v>-1330.9472976</v>
      </c>
      <c r="O91" s="29">
        <v>7819.5744704999997</v>
      </c>
      <c r="P91" s="29">
        <v>-403.02</v>
      </c>
    </row>
    <row r="92" spans="1:16">
      <c r="A92" s="28">
        <v>4001220120</v>
      </c>
      <c r="B92" s="28" t="s">
        <v>203</v>
      </c>
      <c r="C92" s="28" t="s">
        <v>45</v>
      </c>
      <c r="D92" s="29">
        <v>2346.4556865999998</v>
      </c>
      <c r="E92" s="29">
        <v>3193.9776863000002</v>
      </c>
      <c r="F92" s="29">
        <v>5454.4216440999999</v>
      </c>
      <c r="G92" s="29">
        <v>-5146.5323814000003</v>
      </c>
      <c r="H92" s="29">
        <v>3542.8069298999999</v>
      </c>
      <c r="I92" s="29">
        <v>-679.95376999999996</v>
      </c>
      <c r="J92" s="29">
        <v>1147.1206738000001</v>
      </c>
      <c r="K92" s="29">
        <v>-4680.4568116999999</v>
      </c>
      <c r="L92" s="29">
        <v>-2734.4</v>
      </c>
      <c r="M92" s="29">
        <v>9736.0729283000001</v>
      </c>
      <c r="N92" s="29">
        <v>-5207.4116610999999</v>
      </c>
      <c r="O92" s="29">
        <v>5774.6590399999995</v>
      </c>
      <c r="P92" s="29">
        <v>-704.97</v>
      </c>
    </row>
    <row r="93" spans="1:16">
      <c r="A93" s="28">
        <v>4001230000</v>
      </c>
      <c r="B93" s="28" t="s">
        <v>204</v>
      </c>
      <c r="C93" s="28" t="s">
        <v>45</v>
      </c>
      <c r="D93" s="29">
        <v>1009.0579104</v>
      </c>
      <c r="E93" s="29">
        <v>2390.4132961</v>
      </c>
      <c r="F93" s="29">
        <v>1370.3820459999999</v>
      </c>
      <c r="G93" s="29">
        <v>-1178.3904583999999</v>
      </c>
      <c r="H93" s="29">
        <v>1162.4828634999999</v>
      </c>
      <c r="I93" s="29">
        <v>92.412722000000002</v>
      </c>
      <c r="J93" s="29">
        <v>79.827835699999994</v>
      </c>
      <c r="K93" s="29">
        <v>-2745.1094985</v>
      </c>
      <c r="L93" s="29">
        <v>-4578.09</v>
      </c>
      <c r="M93" s="29">
        <v>-3670.6185105</v>
      </c>
      <c r="N93" s="29">
        <v>-4005.3928073000002</v>
      </c>
      <c r="O93" s="29">
        <v>-1789.8923179000001</v>
      </c>
      <c r="P93" s="29">
        <v>-444.67</v>
      </c>
    </row>
    <row r="94" spans="1:16">
      <c r="A94" s="28">
        <v>4001230030</v>
      </c>
      <c r="B94" s="28" t="s">
        <v>205</v>
      </c>
      <c r="C94" s="28" t="s">
        <v>45</v>
      </c>
      <c r="D94" s="29">
        <v>21.917959700000001</v>
      </c>
      <c r="E94" s="29">
        <v>54.847717899999999</v>
      </c>
      <c r="F94" s="29">
        <v>15.3741266</v>
      </c>
      <c r="G94" s="29">
        <v>-23.371087200000002</v>
      </c>
      <c r="H94" s="29">
        <v>171.59659740000001</v>
      </c>
      <c r="I94" s="29">
        <v>137.18941319999999</v>
      </c>
      <c r="J94" s="29">
        <v>147.25298029999999</v>
      </c>
      <c r="K94" s="29">
        <v>72.121544</v>
      </c>
      <c r="L94" s="29">
        <v>107.12</v>
      </c>
      <c r="M94" s="29">
        <v>373.16355979999997</v>
      </c>
      <c r="N94" s="29">
        <v>128.9284438</v>
      </c>
      <c r="O94" s="29">
        <v>-255.0231125</v>
      </c>
      <c r="P94" s="29">
        <v>142.72</v>
      </c>
    </row>
    <row r="95" spans="1:16">
      <c r="A95" s="28">
        <v>4001230060</v>
      </c>
      <c r="B95" s="28" t="s">
        <v>206</v>
      </c>
      <c r="C95" s="28" t="s">
        <v>45</v>
      </c>
      <c r="D95" s="29">
        <v>2269.6840189</v>
      </c>
      <c r="E95" s="29">
        <v>3089.2426706000001</v>
      </c>
      <c r="F95" s="29">
        <v>5291.8646606000002</v>
      </c>
      <c r="G95" s="29">
        <v>-4845.8715776999998</v>
      </c>
      <c r="H95" s="29">
        <v>3182.7959246</v>
      </c>
      <c r="I95" s="29">
        <v>-739.24816920000001</v>
      </c>
      <c r="J95" s="29">
        <v>933.85381649999999</v>
      </c>
      <c r="K95" s="29">
        <v>-4626.3371088000004</v>
      </c>
      <c r="L95" s="29">
        <v>-2972.64</v>
      </c>
      <c r="M95" s="29">
        <v>8965.2798782999998</v>
      </c>
      <c r="N95" s="29">
        <v>-5212.6850163999998</v>
      </c>
      <c r="O95" s="29">
        <v>5700.1671175000001</v>
      </c>
      <c r="P95" s="29">
        <v>-873.81</v>
      </c>
    </row>
    <row r="96" spans="1:16">
      <c r="A96" s="28">
        <v>4001230070</v>
      </c>
      <c r="B96" s="28" t="s">
        <v>207</v>
      </c>
      <c r="C96" s="28" t="s">
        <v>45</v>
      </c>
      <c r="D96" s="29">
        <v>76.771667699999995</v>
      </c>
      <c r="E96" s="29">
        <v>104.73501570000001</v>
      </c>
      <c r="F96" s="29">
        <v>162.55698340000001</v>
      </c>
      <c r="G96" s="29">
        <v>-300.66080369999997</v>
      </c>
      <c r="H96" s="29">
        <v>360.01100530000002</v>
      </c>
      <c r="I96" s="29">
        <v>59.294399200000001</v>
      </c>
      <c r="J96" s="29">
        <v>213.2668573</v>
      </c>
      <c r="K96" s="29">
        <v>-54.119703000000001</v>
      </c>
      <c r="L96" s="29">
        <v>238.24</v>
      </c>
      <c r="M96" s="29">
        <v>770.79305009999996</v>
      </c>
      <c r="N96" s="29">
        <v>5.2733553000000004</v>
      </c>
      <c r="O96" s="29">
        <v>74.491922400000007</v>
      </c>
      <c r="P96" s="29">
        <v>168.84</v>
      </c>
    </row>
    <row r="97" spans="1:16">
      <c r="A97" s="28">
        <v>4001230080</v>
      </c>
      <c r="B97" s="28" t="s">
        <v>208</v>
      </c>
      <c r="C97" s="28" t="s">
        <v>100</v>
      </c>
      <c r="D97" s="29"/>
      <c r="E97" s="29"/>
      <c r="F97" s="29"/>
      <c r="G97" s="29"/>
      <c r="H97" s="29"/>
      <c r="I97" s="29"/>
      <c r="J97" s="29"/>
      <c r="K97" s="29"/>
      <c r="L97" s="29"/>
      <c r="M97" s="29"/>
      <c r="N97" s="29"/>
      <c r="O97" s="29"/>
      <c r="P97" s="29"/>
    </row>
    <row r="98" spans="1:16">
      <c r="A98" s="28">
        <v>4001230090</v>
      </c>
      <c r="B98" s="28" t="s">
        <v>209</v>
      </c>
      <c r="C98" s="28" t="s">
        <v>100</v>
      </c>
      <c r="D98" s="29"/>
      <c r="E98" s="29"/>
      <c r="F98" s="29"/>
      <c r="G98" s="29"/>
      <c r="H98" s="29"/>
      <c r="I98" s="29"/>
      <c r="J98" s="29"/>
      <c r="K98" s="29"/>
      <c r="L98" s="29"/>
      <c r="M98" s="29"/>
      <c r="N98" s="29"/>
      <c r="O98" s="29"/>
      <c r="P98" s="29"/>
    </row>
    <row r="99" spans="1:16">
      <c r="A99" s="28">
        <v>4001230100</v>
      </c>
      <c r="B99" s="28" t="s">
        <v>210</v>
      </c>
      <c r="C99" s="28" t="s">
        <v>100</v>
      </c>
      <c r="D99" s="29"/>
      <c r="E99" s="29"/>
      <c r="F99" s="29"/>
      <c r="G99" s="29"/>
      <c r="H99" s="29"/>
      <c r="I99" s="29"/>
      <c r="J99" s="29"/>
      <c r="K99" s="29"/>
      <c r="L99" s="29"/>
      <c r="M99" s="29"/>
      <c r="N99" s="29"/>
      <c r="O99" s="29"/>
      <c r="P99" s="29"/>
    </row>
    <row r="100" spans="1:16">
      <c r="A100" s="28">
        <v>4001230110</v>
      </c>
      <c r="B100" s="28" t="s">
        <v>211</v>
      </c>
      <c r="C100" s="28" t="s">
        <v>100</v>
      </c>
      <c r="D100" s="29"/>
      <c r="E100" s="29"/>
      <c r="F100" s="29"/>
      <c r="G100" s="29"/>
      <c r="H100" s="29"/>
      <c r="I100" s="29"/>
      <c r="J100" s="29"/>
      <c r="K100" s="29"/>
      <c r="L100" s="29"/>
      <c r="M100" s="29"/>
      <c r="N100" s="29"/>
      <c r="O100" s="29"/>
      <c r="P100" s="29"/>
    </row>
    <row r="101" spans="1:16">
      <c r="A101" s="28">
        <v>4001230120</v>
      </c>
      <c r="B101" s="28" t="s">
        <v>212</v>
      </c>
      <c r="C101" s="28" t="s">
        <v>100</v>
      </c>
      <c r="D101" s="29">
        <v>503</v>
      </c>
      <c r="E101" s="29">
        <v>1245</v>
      </c>
      <c r="F101" s="29">
        <v>686</v>
      </c>
      <c r="G101" s="29">
        <v>-661</v>
      </c>
      <c r="H101" s="29">
        <v>668</v>
      </c>
      <c r="I101" s="29">
        <v>10</v>
      </c>
      <c r="J101" s="29">
        <v>8</v>
      </c>
      <c r="K101" s="29">
        <v>-523</v>
      </c>
      <c r="L101" s="29">
        <v>-1851</v>
      </c>
      <c r="M101" s="29">
        <v>-1640</v>
      </c>
      <c r="N101" s="29">
        <v>-2143</v>
      </c>
      <c r="O101" s="29">
        <v>-1029</v>
      </c>
      <c r="P101" s="29">
        <v>-309</v>
      </c>
    </row>
    <row r="102" spans="1:16">
      <c r="A102" s="28">
        <v>4001230130</v>
      </c>
      <c r="B102" s="28" t="s">
        <v>213</v>
      </c>
      <c r="C102" s="28" t="s">
        <v>100</v>
      </c>
      <c r="D102" s="29">
        <v>525</v>
      </c>
      <c r="E102" s="29">
        <v>1245</v>
      </c>
      <c r="F102" s="29">
        <v>714</v>
      </c>
      <c r="G102" s="29">
        <v>-611</v>
      </c>
      <c r="H102" s="29">
        <v>629</v>
      </c>
      <c r="I102" s="29">
        <v>53</v>
      </c>
      <c r="J102" s="29">
        <v>46</v>
      </c>
      <c r="K102" s="29">
        <v>-1530</v>
      </c>
      <c r="L102" s="29">
        <v>-2644</v>
      </c>
      <c r="M102" s="29">
        <v>-2118</v>
      </c>
      <c r="N102" s="29">
        <v>-2309</v>
      </c>
      <c r="O102" s="29">
        <v>-1090</v>
      </c>
      <c r="P102" s="29">
        <v>-316</v>
      </c>
    </row>
    <row r="103" spans="1:16">
      <c r="A103" s="28">
        <v>4001230140</v>
      </c>
      <c r="B103" s="28" t="s">
        <v>214</v>
      </c>
      <c r="C103" s="28" t="s">
        <v>100</v>
      </c>
      <c r="D103" s="29"/>
      <c r="E103" s="29"/>
      <c r="F103" s="29"/>
      <c r="G103" s="29"/>
      <c r="H103" s="29"/>
      <c r="I103" s="29"/>
      <c r="J103" s="29"/>
      <c r="K103" s="29"/>
      <c r="L103" s="29"/>
      <c r="M103" s="29"/>
      <c r="N103" s="29"/>
      <c r="O103" s="29"/>
      <c r="P103" s="29"/>
    </row>
    <row r="104" spans="1:16">
      <c r="A104" s="28">
        <v>4001230150</v>
      </c>
      <c r="B104" s="28" t="s">
        <v>215</v>
      </c>
      <c r="C104" s="28" t="s">
        <v>100</v>
      </c>
      <c r="D104" s="29"/>
      <c r="E104" s="29"/>
      <c r="F104" s="29"/>
      <c r="G104" s="29"/>
      <c r="H104" s="29"/>
      <c r="I104" s="29"/>
      <c r="J104" s="29"/>
      <c r="K104" s="29"/>
      <c r="L104" s="29"/>
      <c r="M104" s="29"/>
      <c r="N104" s="29"/>
      <c r="O104" s="29"/>
      <c r="P104" s="29"/>
    </row>
    <row r="105" spans="1:16">
      <c r="A105" s="12"/>
      <c r="B105" s="12"/>
      <c r="C105" s="12"/>
      <c r="D105" s="29"/>
      <c r="E105" s="29"/>
      <c r="F105" s="29"/>
      <c r="G105" s="29"/>
      <c r="H105" s="29"/>
      <c r="I105" s="29"/>
      <c r="J105" s="29"/>
      <c r="K105" s="29"/>
      <c r="L105" s="29"/>
      <c r="M105" s="29"/>
      <c r="N105" s="29"/>
      <c r="O105" s="29"/>
      <c r="P105" s="29"/>
    </row>
    <row r="106" spans="1:16">
      <c r="D106" s="30"/>
      <c r="E106" s="30"/>
      <c r="F106" s="30"/>
      <c r="G106" s="30"/>
      <c r="H106" s="30"/>
      <c r="I106" s="30"/>
      <c r="J106" s="30"/>
      <c r="K106" s="30"/>
      <c r="L106" s="30"/>
      <c r="M106" s="30"/>
      <c r="N106" s="30"/>
      <c r="O106" s="30"/>
      <c r="P106" s="30"/>
    </row>
    <row r="107" spans="1:16">
      <c r="D107" s="30"/>
      <c r="E107" s="30"/>
      <c r="F107" s="30"/>
      <c r="G107" s="30"/>
      <c r="H107" s="30"/>
      <c r="I107" s="30"/>
      <c r="J107" s="30"/>
      <c r="K107" s="30"/>
      <c r="L107" s="30"/>
      <c r="M107" s="30"/>
      <c r="N107" s="30"/>
      <c r="O107" s="30"/>
      <c r="P107" s="30"/>
    </row>
    <row r="108" spans="1:16">
      <c r="D108" s="30"/>
      <c r="E108" s="30"/>
      <c r="F108" s="30"/>
      <c r="G108" s="30"/>
      <c r="H108" s="30"/>
      <c r="I108" s="30"/>
      <c r="J108" s="30"/>
      <c r="K108" s="30"/>
      <c r="L108" s="30"/>
      <c r="M108" s="30"/>
      <c r="N108" s="30"/>
      <c r="O108" s="30"/>
      <c r="P108" s="30"/>
    </row>
  </sheetData>
  <phoneticPr fontId="3" type="noConversion"/>
  <conditionalFormatting sqref="B1">
    <cfRule type="expression" dxfId="4" priority="1" stopIfTrue="1">
      <formula>MID($B$1, 15, 10)-TODAY() &lt; 0</formula>
    </cfRule>
  </conditionalFormatting>
  <dataValidations count="7">
    <dataValidation type="list" allowBlank="1" showInputMessage="1" sqref="B5" xr:uid="{974454D3-7386-4A94-8016-7E1DBBB44674}">
      <formula1>"전체,재무상태표,손익계산서,현금흐름표,자본금변동표"</formula1>
    </dataValidation>
    <dataValidation type="list" allowBlank="1" showInputMessage="1" sqref="B6" xr:uid="{AEB7DE31-4DD3-4B6F-96FD-4E0BFFF7BC8E}">
      <formula1>"상세(총액),상세(순액),요약,약식"</formula1>
    </dataValidation>
    <dataValidation type="list" allowBlank="1" showInputMessage="1" sqref="B7" xr:uid="{BA46E65A-407D-4FEB-A2E1-E47F1982457E}">
      <formula1>"결산,누적분기,당분기"</formula1>
    </dataValidation>
    <dataValidation type="list" allowBlank="1" showInputMessage="1" sqref="C7" xr:uid="{6A5A8C0C-54C6-412A-A8C1-B3B4BEB3C526}">
      <formula1>"천원,백만원,억원,십억원"</formula1>
    </dataValidation>
    <dataValidation type="list" allowBlank="1" showInputMessage="1" sqref="B4" xr:uid="{18F225EF-5E7D-47BD-B70A-44E5787D6AF7}">
      <formula1>"별도,연결"</formula1>
    </dataValidation>
    <dataValidation type="list" allowBlank="1" showInputMessage="1" sqref="B8" xr:uid="{48708B9F-643C-4B37-B1EC-1D62AF91E7DE}">
      <formula1>"1983,1984,1985,1986,1987,1988,1989,1990,1991,1992,1993,1994,1995,1996,1997,1998,1999,2000,2001,2002,2003,2004,2005,2006,2007,2008,2009,2010,2011,2012,2013,2014,2015,2016,2017,2018,2019,2020,2021,2022,2023,2024,2025"</formula1>
    </dataValidation>
    <dataValidation type="list" allowBlank="1" showInputMessage="1" sqref="C8" xr:uid="{EB26F583-603D-4FA4-96CF-AEFAC261563B}">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CE17B-B8E2-41EC-9221-539BF8182234}">
  <sheetPr codeName="Sheet3">
    <tabColor rgb="FFD0CECE"/>
  </sheetPr>
  <dimension ref="A1:P60"/>
  <sheetViews>
    <sheetView showGridLines="0" workbookViewId="0"/>
  </sheetViews>
  <sheetFormatPr defaultColWidth="8.7265625" defaultRowHeight="19.2"/>
  <cols>
    <col min="2" max="2" width="44" bestFit="1" customWidth="1"/>
    <col min="3" max="3" width="6.6328125" bestFit="1" customWidth="1"/>
    <col min="4" max="16" width="8.6328125" bestFit="1" customWidth="1"/>
  </cols>
  <sheetData>
    <row r="1" spans="1:16">
      <c r="B1" s="13" t="s">
        <v>217</v>
      </c>
    </row>
    <row r="2" spans="1:16">
      <c r="A2" s="14" t="s">
        <v>24</v>
      </c>
      <c r="B2" s="14"/>
      <c r="C2" s="14"/>
      <c r="D2" s="14"/>
      <c r="E2" s="14"/>
      <c r="F2" s="14"/>
      <c r="G2" s="14"/>
      <c r="H2" s="14"/>
      <c r="I2" s="14"/>
      <c r="J2" s="14"/>
      <c r="K2" s="14"/>
      <c r="L2" s="14"/>
      <c r="M2" s="14"/>
      <c r="N2" s="14"/>
      <c r="O2" s="14"/>
      <c r="P2" s="14"/>
    </row>
    <row r="3" spans="1:16">
      <c r="A3" s="15" t="s">
        <v>26</v>
      </c>
      <c r="B3" s="15" t="s">
        <v>113</v>
      </c>
      <c r="C3" s="15"/>
      <c r="D3" s="15"/>
      <c r="E3" s="15"/>
      <c r="F3" s="15"/>
      <c r="G3" s="15"/>
      <c r="H3" s="15"/>
      <c r="I3" s="15"/>
      <c r="J3" s="15"/>
      <c r="K3" s="15"/>
      <c r="L3" s="15"/>
      <c r="M3" s="15"/>
      <c r="N3" s="15"/>
      <c r="O3" s="15"/>
      <c r="P3" s="15"/>
    </row>
    <row r="4" spans="1:16">
      <c r="A4" s="15" t="s">
        <v>27</v>
      </c>
      <c r="B4" s="20" t="s">
        <v>119</v>
      </c>
      <c r="C4" s="15" t="s">
        <v>114</v>
      </c>
      <c r="D4" s="15" t="s">
        <v>118</v>
      </c>
      <c r="E4" s="15"/>
      <c r="F4" s="15"/>
      <c r="G4" s="15"/>
      <c r="H4" s="15"/>
      <c r="I4" s="15"/>
      <c r="J4" s="15"/>
      <c r="K4" s="15"/>
      <c r="L4" s="15"/>
      <c r="M4" s="15"/>
      <c r="N4" s="15"/>
      <c r="O4" s="15"/>
      <c r="P4" s="15"/>
    </row>
    <row r="5" spans="1:16">
      <c r="A5" s="15" t="s">
        <v>28</v>
      </c>
      <c r="B5" s="25" t="s">
        <v>250</v>
      </c>
      <c r="C5" s="15" t="s">
        <v>25</v>
      </c>
      <c r="D5" s="15"/>
      <c r="E5" s="15"/>
      <c r="F5" s="15"/>
      <c r="G5" s="15"/>
      <c r="H5" s="15"/>
      <c r="I5" s="15"/>
      <c r="J5" s="15"/>
      <c r="K5" s="15"/>
      <c r="L5" s="15"/>
      <c r="M5" s="15"/>
      <c r="N5" s="15"/>
      <c r="O5" s="15"/>
      <c r="P5" s="15"/>
    </row>
    <row r="6" spans="1:16">
      <c r="A6" s="15" t="s">
        <v>29</v>
      </c>
      <c r="B6" s="21" t="s">
        <v>116</v>
      </c>
      <c r="C6" s="15"/>
      <c r="D6" s="15"/>
      <c r="E6" s="15"/>
      <c r="F6" s="15"/>
      <c r="G6" s="15"/>
      <c r="H6" s="15"/>
      <c r="I6" s="15"/>
      <c r="J6" s="15"/>
      <c r="K6" s="15"/>
      <c r="L6" s="15"/>
      <c r="M6" s="15"/>
      <c r="N6" s="15"/>
      <c r="O6" s="15"/>
      <c r="P6" s="15"/>
    </row>
    <row r="7" spans="1:16">
      <c r="A7" s="15" t="s">
        <v>30</v>
      </c>
      <c r="B7" s="26" t="s">
        <v>117</v>
      </c>
      <c r="C7" s="21" t="s">
        <v>45</v>
      </c>
      <c r="D7" s="15"/>
      <c r="E7" s="15"/>
      <c r="F7" s="15"/>
      <c r="G7" s="15"/>
      <c r="H7" s="15"/>
      <c r="I7" s="15"/>
      <c r="J7" s="15"/>
      <c r="K7" s="15"/>
      <c r="L7" s="15"/>
      <c r="M7" s="15"/>
      <c r="N7" s="15"/>
      <c r="O7" s="15"/>
      <c r="P7" s="15"/>
    </row>
    <row r="8" spans="1:16">
      <c r="A8" s="16" t="s">
        <v>112</v>
      </c>
      <c r="B8" s="22">
        <v>2022</v>
      </c>
      <c r="C8" s="20" t="s">
        <v>120</v>
      </c>
      <c r="D8" s="16"/>
      <c r="E8" s="16"/>
      <c r="F8" s="16"/>
      <c r="G8" s="16"/>
      <c r="H8" s="16"/>
      <c r="I8" s="16"/>
      <c r="J8" s="16"/>
      <c r="K8" s="16"/>
      <c r="L8" s="16"/>
      <c r="M8" s="16"/>
      <c r="N8" s="16"/>
      <c r="O8" s="16"/>
      <c r="P8" s="16"/>
    </row>
    <row r="9" spans="1:16">
      <c r="A9" s="17" t="s">
        <v>31</v>
      </c>
      <c r="B9" s="27" t="s">
        <v>32</v>
      </c>
      <c r="C9" s="27" t="s">
        <v>33</v>
      </c>
      <c r="D9" s="17" t="s">
        <v>125</v>
      </c>
      <c r="E9" s="17" t="s">
        <v>126</v>
      </c>
      <c r="F9" s="17" t="s">
        <v>127</v>
      </c>
      <c r="G9" s="17" t="s">
        <v>128</v>
      </c>
      <c r="H9" s="17" t="s">
        <v>34</v>
      </c>
      <c r="I9" s="17" t="s">
        <v>35</v>
      </c>
      <c r="J9" s="17" t="s">
        <v>36</v>
      </c>
      <c r="K9" s="17" t="s">
        <v>37</v>
      </c>
      <c r="L9" s="17" t="s">
        <v>38</v>
      </c>
      <c r="M9" s="17" t="s">
        <v>39</v>
      </c>
      <c r="N9" s="17" t="s">
        <v>40</v>
      </c>
      <c r="O9" s="17" t="s">
        <v>41</v>
      </c>
      <c r="P9" s="17" t="s">
        <v>42</v>
      </c>
    </row>
    <row r="10" spans="1:16">
      <c r="A10" s="18"/>
      <c r="B10" s="18"/>
      <c r="C10" s="18"/>
      <c r="D10" s="18" t="s">
        <v>43</v>
      </c>
      <c r="E10" s="18" t="s">
        <v>43</v>
      </c>
      <c r="F10" s="18" t="s">
        <v>43</v>
      </c>
      <c r="G10" s="18" t="s">
        <v>43</v>
      </c>
      <c r="H10" s="18" t="s">
        <v>43</v>
      </c>
      <c r="I10" s="18" t="s">
        <v>43</v>
      </c>
      <c r="J10" s="18" t="s">
        <v>43</v>
      </c>
      <c r="K10" s="18" t="s">
        <v>43</v>
      </c>
      <c r="L10" s="18" t="s">
        <v>43</v>
      </c>
      <c r="M10" s="18" t="s">
        <v>43</v>
      </c>
      <c r="N10" s="18" t="s">
        <v>43</v>
      </c>
      <c r="O10" s="18" t="s">
        <v>43</v>
      </c>
      <c r="P10" s="18" t="s">
        <v>43</v>
      </c>
    </row>
    <row r="11" spans="1:16">
      <c r="A11" s="28">
        <v>4001390000</v>
      </c>
      <c r="B11" s="28" t="s">
        <v>218</v>
      </c>
      <c r="C11" s="28" t="s">
        <v>45</v>
      </c>
      <c r="D11" s="29">
        <v>-3241.1741499999998</v>
      </c>
      <c r="E11" s="29">
        <v>749.97050960000001</v>
      </c>
      <c r="F11" s="29">
        <v>684.16481959999999</v>
      </c>
      <c r="G11" s="29">
        <v>2964.2060538000001</v>
      </c>
      <c r="H11" s="29">
        <v>3702.1774768999999</v>
      </c>
      <c r="I11" s="29">
        <v>-2226.5205884000002</v>
      </c>
      <c r="J11" s="29">
        <v>-62.953101799999999</v>
      </c>
      <c r="K11" s="29">
        <v>3766.8377291000002</v>
      </c>
      <c r="L11" s="29">
        <v>-5246.39</v>
      </c>
      <c r="M11" s="29">
        <v>-3560.6878993</v>
      </c>
      <c r="N11" s="29">
        <v>2442.8081956999999</v>
      </c>
      <c r="O11" s="29">
        <v>12749.134685999999</v>
      </c>
      <c r="P11" s="29">
        <v>-1732.04</v>
      </c>
    </row>
    <row r="12" spans="1:16">
      <c r="A12" s="28">
        <v>4001310010</v>
      </c>
      <c r="B12" s="28" t="s">
        <v>219</v>
      </c>
      <c r="C12" s="28" t="s">
        <v>45</v>
      </c>
      <c r="D12" s="29"/>
      <c r="E12" s="29"/>
      <c r="F12" s="29"/>
      <c r="G12" s="29"/>
      <c r="H12" s="29"/>
      <c r="I12" s="29"/>
      <c r="J12" s="29"/>
      <c r="K12" s="29"/>
      <c r="L12" s="29"/>
      <c r="M12" s="29"/>
      <c r="N12" s="29"/>
      <c r="O12" s="29"/>
      <c r="P12" s="29"/>
    </row>
    <row r="13" spans="1:16">
      <c r="A13" s="28">
        <v>4001310100</v>
      </c>
      <c r="B13" s="28" t="s">
        <v>220</v>
      </c>
      <c r="C13" s="28" t="s">
        <v>45</v>
      </c>
      <c r="D13" s="29"/>
      <c r="E13" s="29"/>
      <c r="F13" s="29"/>
      <c r="G13" s="29"/>
      <c r="H13" s="29"/>
      <c r="I13" s="29"/>
      <c r="J13" s="29"/>
      <c r="K13" s="29"/>
      <c r="L13" s="29"/>
      <c r="M13" s="29"/>
      <c r="N13" s="29"/>
      <c r="O13" s="29"/>
      <c r="P13" s="29"/>
    </row>
    <row r="14" spans="1:16">
      <c r="A14" s="28">
        <v>4001310190</v>
      </c>
      <c r="B14" s="28" t="s">
        <v>221</v>
      </c>
      <c r="C14" s="28" t="s">
        <v>45</v>
      </c>
      <c r="D14" s="29"/>
      <c r="E14" s="29"/>
      <c r="F14" s="29"/>
      <c r="G14" s="29"/>
      <c r="H14" s="29"/>
      <c r="I14" s="29">
        <v>1584.89905</v>
      </c>
      <c r="J14" s="29">
        <v>227.08081999999999</v>
      </c>
      <c r="K14" s="29">
        <v>-2694.20541</v>
      </c>
      <c r="L14" s="29">
        <v>-4470.97</v>
      </c>
      <c r="M14" s="29">
        <v>-3306.2367899999999</v>
      </c>
      <c r="N14" s="29">
        <v>-3876.4643700000001</v>
      </c>
      <c r="O14" s="29">
        <v>-2036.1335799999999</v>
      </c>
      <c r="P14" s="29">
        <v>-301.95</v>
      </c>
    </row>
    <row r="15" spans="1:16">
      <c r="A15" s="28">
        <v>4001310200</v>
      </c>
      <c r="B15" s="28" t="s">
        <v>222</v>
      </c>
      <c r="C15" s="28" t="s">
        <v>45</v>
      </c>
      <c r="D15" s="29">
        <v>1254.36159</v>
      </c>
      <c r="E15" s="29">
        <v>3344.5269800000001</v>
      </c>
      <c r="F15" s="29">
        <v>2224.7141499999998</v>
      </c>
      <c r="G15" s="29">
        <v>-1131.21408</v>
      </c>
      <c r="H15" s="29">
        <v>1933.90355</v>
      </c>
      <c r="I15" s="29">
        <v>-1933.90355</v>
      </c>
      <c r="J15" s="29"/>
      <c r="K15" s="29"/>
      <c r="L15" s="29"/>
      <c r="M15" s="29"/>
      <c r="N15" s="29"/>
      <c r="O15" s="29"/>
      <c r="P15" s="29"/>
    </row>
    <row r="16" spans="1:16">
      <c r="A16" s="28">
        <v>4001390010</v>
      </c>
      <c r="B16" s="28" t="s">
        <v>223</v>
      </c>
      <c r="C16" s="28" t="s">
        <v>45</v>
      </c>
      <c r="D16" s="29">
        <v>3257.3989099999999</v>
      </c>
      <c r="E16" s="29">
        <v>4628.6114699999998</v>
      </c>
      <c r="F16" s="29">
        <v>6119.1647899999998</v>
      </c>
      <c r="G16" s="29">
        <v>4985.8034699999998</v>
      </c>
      <c r="H16" s="29">
        <v>5692.4869399999998</v>
      </c>
      <c r="I16" s="29">
        <v>4761.1016399999999</v>
      </c>
      <c r="J16" s="29">
        <v>2737.68541</v>
      </c>
      <c r="K16" s="29">
        <v>7648.2081399999997</v>
      </c>
      <c r="L16" s="29">
        <v>6711.37</v>
      </c>
      <c r="M16" s="29">
        <v>6263.01235</v>
      </c>
      <c r="N16" s="29">
        <v>5218.8796599999996</v>
      </c>
      <c r="O16" s="29">
        <v>8859.0557499999995</v>
      </c>
      <c r="P16" s="29">
        <v>5679.36</v>
      </c>
    </row>
    <row r="17" spans="1:16">
      <c r="A17" s="28">
        <v>4001390040</v>
      </c>
      <c r="B17" s="28" t="s">
        <v>224</v>
      </c>
      <c r="C17" s="28" t="s">
        <v>45</v>
      </c>
      <c r="D17" s="29">
        <v>1147.7357099999999</v>
      </c>
      <c r="E17" s="29">
        <v>2463.7384299999999</v>
      </c>
      <c r="F17" s="29">
        <v>1897.3207399999999</v>
      </c>
      <c r="G17" s="29">
        <v>86.013980000000004</v>
      </c>
      <c r="H17" s="29">
        <v>2494.5410900000002</v>
      </c>
      <c r="I17" s="29">
        <v>573.55822000000001</v>
      </c>
      <c r="J17" s="29">
        <v>976.26791000000003</v>
      </c>
      <c r="K17" s="29">
        <v>1176.75145</v>
      </c>
      <c r="L17" s="29">
        <v>2315.4299999999998</v>
      </c>
      <c r="M17" s="29">
        <v>1705.8555100000001</v>
      </c>
      <c r="N17" s="29">
        <v>-0.50194000000000005</v>
      </c>
      <c r="O17" s="29">
        <v>3503.2138100000002</v>
      </c>
      <c r="P17" s="29">
        <v>2810.46</v>
      </c>
    </row>
    <row r="18" spans="1:16">
      <c r="A18" s="28">
        <v>4001390060</v>
      </c>
      <c r="B18" s="28" t="s">
        <v>225</v>
      </c>
      <c r="C18" s="28" t="s">
        <v>45</v>
      </c>
      <c r="D18" s="29">
        <v>-6409.7688600000001</v>
      </c>
      <c r="E18" s="29">
        <v>-4001.9274500000001</v>
      </c>
      <c r="F18" s="29">
        <v>-4843.1470799999997</v>
      </c>
      <c r="G18" s="29">
        <v>-1009.85044</v>
      </c>
      <c r="H18" s="29">
        <v>263.99277000000001</v>
      </c>
      <c r="I18" s="29">
        <v>-4283.96612</v>
      </c>
      <c r="J18" s="29">
        <v>-1947.2700400000001</v>
      </c>
      <c r="K18" s="29">
        <v>979.06098999999995</v>
      </c>
      <c r="L18" s="29">
        <v>-5181.0200000000004</v>
      </c>
      <c r="M18" s="29">
        <v>-4829.4551799999999</v>
      </c>
      <c r="N18" s="29">
        <v>1284.2625800000001</v>
      </c>
      <c r="O18" s="29">
        <v>9564.4736099999991</v>
      </c>
      <c r="P18" s="29">
        <v>-4104.8</v>
      </c>
    </row>
    <row r="19" spans="1:16">
      <c r="A19" s="28">
        <v>4001390070</v>
      </c>
      <c r="B19" s="28" t="s">
        <v>226</v>
      </c>
      <c r="C19" s="28" t="s">
        <v>45</v>
      </c>
      <c r="D19" s="29">
        <v>-5684.5299400000004</v>
      </c>
      <c r="E19" s="29">
        <v>-5500.5118599999996</v>
      </c>
      <c r="F19" s="29">
        <v>-2071.5293000000001</v>
      </c>
      <c r="G19" s="29">
        <v>5493.1208399999996</v>
      </c>
      <c r="H19" s="29">
        <v>2472.03629</v>
      </c>
      <c r="I19" s="29">
        <v>-6196.72786</v>
      </c>
      <c r="J19" s="29">
        <v>-4321.1909400000004</v>
      </c>
      <c r="K19" s="29">
        <v>-4310.5262199999997</v>
      </c>
      <c r="L19" s="29">
        <v>-5290.32</v>
      </c>
      <c r="M19" s="29">
        <v>-5165.9179999999997</v>
      </c>
      <c r="N19" s="29">
        <v>2707.7513800000002</v>
      </c>
      <c r="O19" s="29">
        <v>-1577.77001</v>
      </c>
      <c r="P19" s="29">
        <v>2317.9</v>
      </c>
    </row>
    <row r="20" spans="1:16">
      <c r="A20" s="28">
        <v>4001390110</v>
      </c>
      <c r="B20" s="28" t="s">
        <v>227</v>
      </c>
      <c r="C20" s="28" t="s">
        <v>45</v>
      </c>
      <c r="D20" s="29">
        <v>-725.23892000000001</v>
      </c>
      <c r="E20" s="29">
        <v>1498.5844099999999</v>
      </c>
      <c r="F20" s="29">
        <v>-2771.61778</v>
      </c>
      <c r="G20" s="29">
        <v>-6502.9712799999998</v>
      </c>
      <c r="H20" s="29">
        <v>-2208.0435200000002</v>
      </c>
      <c r="I20" s="29">
        <v>1912.7617399999999</v>
      </c>
      <c r="J20" s="29">
        <v>2373.9209000000001</v>
      </c>
      <c r="K20" s="29">
        <v>5289.5872099999997</v>
      </c>
      <c r="L20" s="29">
        <v>109.3</v>
      </c>
      <c r="M20" s="29">
        <v>336.46282000000002</v>
      </c>
      <c r="N20" s="29">
        <v>-1423.4888000000001</v>
      </c>
      <c r="O20" s="29">
        <v>11142.243619999999</v>
      </c>
      <c r="P20" s="29">
        <v>-6422.7</v>
      </c>
    </row>
    <row r="21" spans="1:16">
      <c r="A21" s="28">
        <v>4001312260</v>
      </c>
      <c r="B21" s="28" t="s">
        <v>228</v>
      </c>
      <c r="C21" s="28" t="s">
        <v>45</v>
      </c>
      <c r="D21" s="29"/>
      <c r="E21" s="29"/>
      <c r="F21" s="29"/>
      <c r="G21" s="29"/>
      <c r="H21" s="29"/>
      <c r="I21" s="29"/>
      <c r="J21" s="29"/>
      <c r="K21" s="29"/>
      <c r="L21" s="29"/>
      <c r="M21" s="29"/>
      <c r="N21" s="29"/>
      <c r="O21" s="29"/>
      <c r="P21" s="29"/>
    </row>
    <row r="22" spans="1:16">
      <c r="A22" s="28">
        <v>4001312270</v>
      </c>
      <c r="B22" s="28" t="s">
        <v>229</v>
      </c>
      <c r="C22" s="28" t="s">
        <v>45</v>
      </c>
      <c r="D22" s="29"/>
      <c r="E22" s="29"/>
      <c r="F22" s="29"/>
      <c r="G22" s="29"/>
      <c r="H22" s="29"/>
      <c r="I22" s="29"/>
      <c r="J22" s="29"/>
      <c r="K22" s="29"/>
      <c r="L22" s="29"/>
      <c r="M22" s="29"/>
      <c r="N22" s="29"/>
      <c r="O22" s="29"/>
      <c r="P22" s="29"/>
    </row>
    <row r="23" spans="1:16">
      <c r="A23" s="28">
        <v>4001312280</v>
      </c>
      <c r="B23" s="28" t="s">
        <v>230</v>
      </c>
      <c r="C23" s="28" t="s">
        <v>45</v>
      </c>
      <c r="D23" s="29">
        <v>-3045.7440700000002</v>
      </c>
      <c r="E23" s="29">
        <v>1507.4725699999999</v>
      </c>
      <c r="F23" s="29">
        <v>1603.41112</v>
      </c>
      <c r="G23" s="29">
        <v>2758.7249700000002</v>
      </c>
      <c r="H23" s="29">
        <v>5395.8421699999999</v>
      </c>
      <c r="I23" s="29">
        <v>-445.42720000000003</v>
      </c>
      <c r="J23" s="29">
        <v>41.228279999999998</v>
      </c>
      <c r="K23" s="29">
        <v>4756.3122700000004</v>
      </c>
      <c r="L23" s="29">
        <v>-5256.05</v>
      </c>
      <c r="M23" s="29">
        <v>-3578.5351300000002</v>
      </c>
      <c r="N23" s="29">
        <v>2627.1798100000001</v>
      </c>
      <c r="O23" s="29">
        <v>12884.18197</v>
      </c>
      <c r="P23" s="29">
        <v>-1537.85</v>
      </c>
    </row>
    <row r="24" spans="1:16">
      <c r="A24" s="28">
        <v>4001312290</v>
      </c>
      <c r="B24" s="28" t="s">
        <v>231</v>
      </c>
      <c r="C24" s="28" t="s">
        <v>45</v>
      </c>
      <c r="D24" s="29">
        <v>183.67478030000001</v>
      </c>
      <c r="E24" s="29">
        <v>183.89999689999999</v>
      </c>
      <c r="F24" s="29">
        <v>210.2566612</v>
      </c>
      <c r="G24" s="29">
        <v>212.79806310000001</v>
      </c>
      <c r="H24" s="29">
        <v>263.06566600000002</v>
      </c>
      <c r="I24" s="29">
        <v>268.67734380000002</v>
      </c>
      <c r="J24" s="29">
        <v>270.91008529999999</v>
      </c>
      <c r="K24" s="29">
        <v>282.10148759999998</v>
      </c>
      <c r="L24" s="29">
        <v>296.92</v>
      </c>
      <c r="M24" s="29">
        <v>326.59135179999998</v>
      </c>
      <c r="N24" s="29">
        <v>317.91485249999999</v>
      </c>
      <c r="O24" s="29">
        <v>90.530308199999993</v>
      </c>
      <c r="P24" s="29">
        <v>43.65</v>
      </c>
    </row>
    <row r="25" spans="1:16">
      <c r="A25" s="28">
        <v>4001312300</v>
      </c>
      <c r="B25" s="28" t="s">
        <v>232</v>
      </c>
      <c r="C25" s="28" t="s">
        <v>45</v>
      </c>
      <c r="D25" s="29">
        <v>-58.387960399999997</v>
      </c>
      <c r="E25" s="29">
        <v>-74.913697200000001</v>
      </c>
      <c r="F25" s="29">
        <v>-93.655874499999996</v>
      </c>
      <c r="G25" s="29">
        <v>-33.1166354</v>
      </c>
      <c r="H25" s="29">
        <v>-159.78398999999999</v>
      </c>
      <c r="I25" s="29">
        <v>-173.52130260000001</v>
      </c>
      <c r="J25" s="29">
        <v>-178.17112420000001</v>
      </c>
      <c r="K25" s="29">
        <v>-159.86864729999999</v>
      </c>
      <c r="L25" s="29">
        <v>-196.46</v>
      </c>
      <c r="M25" s="29">
        <v>-208.7543517</v>
      </c>
      <c r="N25" s="29">
        <v>-151.26358479999999</v>
      </c>
      <c r="O25" s="29">
        <v>-49.7904263</v>
      </c>
      <c r="P25" s="29">
        <v>-34.03</v>
      </c>
    </row>
    <row r="26" spans="1:16">
      <c r="A26" s="28">
        <v>4001312310</v>
      </c>
      <c r="B26" s="28" t="s">
        <v>233</v>
      </c>
      <c r="C26" s="28" t="s">
        <v>45</v>
      </c>
      <c r="D26" s="29"/>
      <c r="E26" s="29"/>
      <c r="F26" s="29"/>
      <c r="G26" s="29"/>
      <c r="H26" s="29"/>
      <c r="I26" s="29"/>
      <c r="J26" s="29"/>
      <c r="K26" s="29"/>
      <c r="L26" s="29"/>
      <c r="M26" s="29"/>
      <c r="N26" s="29"/>
      <c r="O26" s="29"/>
      <c r="P26" s="29"/>
    </row>
    <row r="27" spans="1:16">
      <c r="A27" s="28">
        <v>4001312320</v>
      </c>
      <c r="B27" s="28" t="s">
        <v>234</v>
      </c>
      <c r="C27" s="28" t="s">
        <v>45</v>
      </c>
      <c r="D27" s="29"/>
      <c r="E27" s="29"/>
      <c r="F27" s="29"/>
      <c r="G27" s="29"/>
      <c r="H27" s="29"/>
      <c r="I27" s="29"/>
      <c r="J27" s="29"/>
      <c r="K27" s="29"/>
      <c r="L27" s="29"/>
      <c r="M27" s="29"/>
      <c r="N27" s="29"/>
      <c r="O27" s="29"/>
      <c r="P27" s="29"/>
    </row>
    <row r="28" spans="1:16">
      <c r="A28" s="28">
        <v>4001312330</v>
      </c>
      <c r="B28" s="28" t="s">
        <v>235</v>
      </c>
      <c r="C28" s="28" t="s">
        <v>45</v>
      </c>
      <c r="D28" s="29"/>
      <c r="E28" s="29"/>
      <c r="F28" s="29"/>
      <c r="G28" s="29"/>
      <c r="H28" s="29"/>
      <c r="I28" s="29"/>
      <c r="J28" s="29"/>
      <c r="K28" s="29"/>
      <c r="L28" s="29"/>
      <c r="M28" s="29"/>
      <c r="N28" s="29"/>
      <c r="O28" s="29"/>
      <c r="P28" s="29"/>
    </row>
    <row r="29" spans="1:16">
      <c r="A29" s="28">
        <v>4001312340</v>
      </c>
      <c r="B29" s="28" t="s">
        <v>236</v>
      </c>
      <c r="C29" s="28" t="s">
        <v>45</v>
      </c>
      <c r="D29" s="29">
        <v>-320.71690160000003</v>
      </c>
      <c r="E29" s="29">
        <v>-866.48835750000001</v>
      </c>
      <c r="F29" s="29">
        <v>-1035.8470875</v>
      </c>
      <c r="G29" s="29">
        <v>25.7996558</v>
      </c>
      <c r="H29" s="29">
        <v>-1796.9463912000001</v>
      </c>
      <c r="I29" s="29">
        <v>-1876.249405</v>
      </c>
      <c r="J29" s="29">
        <v>-196.92034269999999</v>
      </c>
      <c r="K29" s="29">
        <v>-1111.7073802</v>
      </c>
      <c r="L29" s="29">
        <v>-90.8</v>
      </c>
      <c r="M29" s="29">
        <v>-99.989769300000006</v>
      </c>
      <c r="N29" s="29">
        <v>-351.02288600000003</v>
      </c>
      <c r="O29" s="29">
        <v>-175.7871633</v>
      </c>
      <c r="P29" s="29">
        <v>-203.81</v>
      </c>
    </row>
    <row r="30" spans="1:16">
      <c r="A30" s="28">
        <v>4001312350</v>
      </c>
      <c r="B30" s="28" t="s">
        <v>237</v>
      </c>
      <c r="C30" s="28" t="s">
        <v>45</v>
      </c>
      <c r="D30" s="29"/>
      <c r="E30" s="29"/>
      <c r="F30" s="29"/>
      <c r="G30" s="29"/>
      <c r="H30" s="29"/>
      <c r="I30" s="29"/>
      <c r="J30" s="29"/>
      <c r="K30" s="29"/>
      <c r="L30" s="29"/>
      <c r="M30" s="29"/>
      <c r="N30" s="29"/>
      <c r="O30" s="29"/>
      <c r="P30" s="29"/>
    </row>
    <row r="31" spans="1:16">
      <c r="A31" s="28">
        <v>4001390160</v>
      </c>
      <c r="B31" s="28" t="s">
        <v>238</v>
      </c>
      <c r="C31" s="28" t="s">
        <v>45</v>
      </c>
      <c r="D31" s="29">
        <v>-4847.9283587</v>
      </c>
      <c r="E31" s="29">
        <v>-2715.4791034999998</v>
      </c>
      <c r="F31" s="29">
        <v>-4239.8808809000002</v>
      </c>
      <c r="G31" s="29">
        <v>-2962.5162224000001</v>
      </c>
      <c r="H31" s="29">
        <v>-5432.0792172000001</v>
      </c>
      <c r="I31" s="29">
        <v>-5516.6270174000001</v>
      </c>
      <c r="J31" s="29">
        <v>-9867.3636843000004</v>
      </c>
      <c r="K31" s="29">
        <v>-7175.3997590999998</v>
      </c>
      <c r="L31" s="29">
        <v>-6303.02</v>
      </c>
      <c r="M31" s="29">
        <v>-8938.6537160999997</v>
      </c>
      <c r="N31" s="29">
        <v>-10649.149731199999</v>
      </c>
      <c r="O31" s="29">
        <v>-6983.1859992</v>
      </c>
      <c r="P31" s="29">
        <v>-8804.15</v>
      </c>
    </row>
    <row r="32" spans="1:16">
      <c r="A32" s="28">
        <v>4001390170</v>
      </c>
      <c r="B32" s="28" t="s">
        <v>239</v>
      </c>
      <c r="C32" s="28" t="s">
        <v>45</v>
      </c>
      <c r="D32" s="29">
        <v>804.44238680000001</v>
      </c>
      <c r="E32" s="29">
        <v>470.06658520000002</v>
      </c>
      <c r="F32" s="29">
        <v>80.8646672</v>
      </c>
      <c r="G32" s="29">
        <v>1765.7026811999999</v>
      </c>
      <c r="H32" s="29">
        <v>3368.7077457</v>
      </c>
      <c r="I32" s="29">
        <v>-449.031025</v>
      </c>
      <c r="J32" s="29">
        <v>30.899142600000001</v>
      </c>
      <c r="K32" s="29">
        <v>944.37225980000005</v>
      </c>
      <c r="L32" s="29">
        <v>1336.24</v>
      </c>
      <c r="M32" s="29">
        <v>517.73412020000001</v>
      </c>
      <c r="N32" s="29">
        <v>534.3675432</v>
      </c>
      <c r="O32" s="29">
        <v>6264.4667941999996</v>
      </c>
      <c r="P32" s="29">
        <v>734.86</v>
      </c>
    </row>
    <row r="33" spans="1:16">
      <c r="A33" s="28">
        <v>4001390270</v>
      </c>
      <c r="B33" s="28" t="s">
        <v>240</v>
      </c>
      <c r="C33" s="28" t="s">
        <v>45</v>
      </c>
      <c r="D33" s="29">
        <v>5591.5240039999999</v>
      </c>
      <c r="E33" s="29">
        <v>3458.7366704999999</v>
      </c>
      <c r="F33" s="29">
        <v>4394.9491242000004</v>
      </c>
      <c r="G33" s="29">
        <v>5111.2936793999997</v>
      </c>
      <c r="H33" s="29">
        <v>8988.9187806000009</v>
      </c>
      <c r="I33" s="29">
        <v>5588.6583898999997</v>
      </c>
      <c r="J33" s="29">
        <v>10271.657035</v>
      </c>
      <c r="K33" s="29">
        <v>8605.9905620000009</v>
      </c>
      <c r="L33" s="29">
        <v>7942.96</v>
      </c>
      <c r="M33" s="29">
        <v>10328.713137500001</v>
      </c>
      <c r="N33" s="29">
        <v>11440.0234674</v>
      </c>
      <c r="O33" s="29">
        <v>13881.391850399999</v>
      </c>
      <c r="P33" s="29">
        <v>10077.27</v>
      </c>
    </row>
    <row r="34" spans="1:16">
      <c r="A34" s="28">
        <v>4001321350</v>
      </c>
      <c r="B34" s="28" t="s">
        <v>231</v>
      </c>
      <c r="C34" s="28" t="s">
        <v>45</v>
      </c>
      <c r="D34" s="29"/>
      <c r="E34" s="29"/>
      <c r="F34" s="29">
        <v>52.943642699999998</v>
      </c>
      <c r="G34" s="29">
        <v>72.374122799999995</v>
      </c>
      <c r="H34" s="29">
        <v>184.9096778</v>
      </c>
      <c r="I34" s="29">
        <v>170.23575030000001</v>
      </c>
      <c r="J34" s="29">
        <v>354.31792369999999</v>
      </c>
      <c r="K34" s="29">
        <v>309.57742009999998</v>
      </c>
      <c r="L34" s="29">
        <v>295.58</v>
      </c>
      <c r="M34" s="29">
        <v>322.58989600000001</v>
      </c>
      <c r="N34" s="29">
        <v>256.45729390000002</v>
      </c>
      <c r="O34" s="29">
        <v>522.76650170000005</v>
      </c>
      <c r="P34" s="29">
        <v>347.47</v>
      </c>
    </row>
    <row r="35" spans="1:16">
      <c r="A35" s="28">
        <v>4001321360</v>
      </c>
      <c r="B35" s="28" t="s">
        <v>232</v>
      </c>
      <c r="C35" s="28" t="s">
        <v>45</v>
      </c>
      <c r="D35" s="29">
        <v>-77.341772599999999</v>
      </c>
      <c r="E35" s="29">
        <v>59.020218200000002</v>
      </c>
      <c r="F35" s="29">
        <v>18.3215544</v>
      </c>
      <c r="G35" s="29"/>
      <c r="H35" s="29"/>
      <c r="I35" s="29"/>
      <c r="J35" s="29"/>
      <c r="K35" s="29"/>
      <c r="L35" s="29"/>
      <c r="M35" s="29"/>
      <c r="N35" s="29"/>
      <c r="O35" s="29"/>
      <c r="P35" s="29"/>
    </row>
    <row r="36" spans="1:16">
      <c r="A36" s="28">
        <v>4001321370</v>
      </c>
      <c r="B36" s="28" t="s">
        <v>233</v>
      </c>
      <c r="C36" s="28" t="s">
        <v>45</v>
      </c>
      <c r="D36" s="29">
        <v>16.495031099999999</v>
      </c>
      <c r="E36" s="29">
        <v>214.17076359999999</v>
      </c>
      <c r="F36" s="29">
        <v>2.9383791000000001</v>
      </c>
      <c r="G36" s="29">
        <v>310.70065269999998</v>
      </c>
      <c r="H36" s="29">
        <v>3.22214</v>
      </c>
      <c r="I36" s="29">
        <v>350.82664720000002</v>
      </c>
      <c r="J36" s="29">
        <v>19.076284399999999</v>
      </c>
      <c r="K36" s="29">
        <v>176.6411229</v>
      </c>
      <c r="L36" s="29">
        <v>8.1199999999999992</v>
      </c>
      <c r="M36" s="29">
        <v>549.73540530000002</v>
      </c>
      <c r="N36" s="29">
        <v>4.8899100000000001E-2</v>
      </c>
      <c r="O36" s="29">
        <v>110.9725548</v>
      </c>
      <c r="P36" s="29">
        <v>190.79</v>
      </c>
    </row>
    <row r="37" spans="1:16">
      <c r="A37" s="28">
        <v>4001321380</v>
      </c>
      <c r="B37" s="28" t="s">
        <v>234</v>
      </c>
      <c r="C37" s="28" t="s">
        <v>45</v>
      </c>
      <c r="D37" s="29"/>
      <c r="E37" s="29"/>
      <c r="F37" s="29"/>
      <c r="G37" s="29"/>
      <c r="H37" s="29"/>
      <c r="I37" s="29"/>
      <c r="J37" s="29"/>
      <c r="K37" s="29"/>
      <c r="L37" s="29"/>
      <c r="M37" s="29"/>
      <c r="N37" s="29"/>
      <c r="O37" s="29"/>
      <c r="P37" s="29"/>
    </row>
    <row r="38" spans="1:16">
      <c r="A38" s="28">
        <v>4001321390</v>
      </c>
      <c r="B38" s="28" t="s">
        <v>235</v>
      </c>
      <c r="C38" s="28" t="s">
        <v>45</v>
      </c>
      <c r="D38" s="29"/>
      <c r="E38" s="29"/>
      <c r="F38" s="29"/>
      <c r="G38" s="29"/>
      <c r="H38" s="29"/>
      <c r="I38" s="29"/>
      <c r="J38" s="29"/>
      <c r="K38" s="29"/>
      <c r="L38" s="29"/>
      <c r="M38" s="29"/>
      <c r="N38" s="29"/>
      <c r="O38" s="29"/>
      <c r="P38" s="29"/>
    </row>
    <row r="39" spans="1:16">
      <c r="A39" s="28">
        <v>4001321400</v>
      </c>
      <c r="B39" s="28" t="s">
        <v>236</v>
      </c>
      <c r="C39" s="28" t="s">
        <v>45</v>
      </c>
      <c r="D39" s="29"/>
      <c r="E39" s="29"/>
      <c r="F39" s="29"/>
      <c r="G39" s="29"/>
      <c r="H39" s="29"/>
      <c r="I39" s="29"/>
      <c r="J39" s="29"/>
      <c r="K39" s="29"/>
      <c r="L39" s="29"/>
      <c r="M39" s="29"/>
      <c r="N39" s="29"/>
      <c r="O39" s="29"/>
      <c r="P39" s="29"/>
    </row>
    <row r="40" spans="1:16">
      <c r="A40" s="28">
        <v>4001321410</v>
      </c>
      <c r="B40" s="28" t="s">
        <v>237</v>
      </c>
      <c r="C40" s="28" t="s">
        <v>45</v>
      </c>
      <c r="D40" s="29"/>
      <c r="E40" s="29"/>
      <c r="F40" s="29"/>
      <c r="G40" s="29"/>
      <c r="H40" s="29"/>
      <c r="I40" s="29"/>
      <c r="J40" s="29"/>
      <c r="K40" s="29"/>
      <c r="L40" s="29"/>
      <c r="M40" s="29"/>
      <c r="N40" s="29"/>
      <c r="O40" s="29"/>
      <c r="P40" s="29"/>
    </row>
    <row r="41" spans="1:16">
      <c r="A41" s="28">
        <v>4001390370</v>
      </c>
      <c r="B41" s="28" t="s">
        <v>241</v>
      </c>
      <c r="C41" s="28" t="s">
        <v>45</v>
      </c>
      <c r="D41" s="29">
        <v>6551.7699150999997</v>
      </c>
      <c r="E41" s="29">
        <v>5367.8680259000002</v>
      </c>
      <c r="F41" s="29">
        <v>6721.2604420999996</v>
      </c>
      <c r="G41" s="29">
        <v>4582.1653366999999</v>
      </c>
      <c r="H41" s="29">
        <v>-4342.8175537999996</v>
      </c>
      <c r="I41" s="29">
        <v>11139.7736264</v>
      </c>
      <c r="J41" s="29">
        <v>14500.8656586</v>
      </c>
      <c r="K41" s="29">
        <v>-5210.7128430000002</v>
      </c>
      <c r="L41" s="29">
        <v>21003.62</v>
      </c>
      <c r="M41" s="29">
        <v>2379.5597176000001</v>
      </c>
      <c r="N41" s="29">
        <v>10666.7735875</v>
      </c>
      <c r="O41" s="29">
        <v>-7290.5915050000003</v>
      </c>
      <c r="P41" s="29">
        <v>8012.18</v>
      </c>
    </row>
    <row r="42" spans="1:16">
      <c r="A42" s="28">
        <v>4001390380</v>
      </c>
      <c r="B42" s="28" t="s">
        <v>242</v>
      </c>
      <c r="C42" s="28" t="s">
        <v>45</v>
      </c>
      <c r="D42" s="29">
        <v>13280.9563289</v>
      </c>
      <c r="E42" s="29">
        <v>18565.673455</v>
      </c>
      <c r="F42" s="29">
        <v>15110.7084478</v>
      </c>
      <c r="G42" s="29">
        <v>21017.719365000001</v>
      </c>
      <c r="H42" s="29">
        <v>8690.9433176999992</v>
      </c>
      <c r="I42" s="29">
        <v>22494.192196299999</v>
      </c>
      <c r="J42" s="29">
        <v>17565.660543000002</v>
      </c>
      <c r="K42" s="29">
        <v>7357.2933985</v>
      </c>
      <c r="L42" s="29">
        <v>30201.31</v>
      </c>
      <c r="M42" s="29">
        <v>12429.1927688</v>
      </c>
      <c r="N42" s="29">
        <v>23212.878512800002</v>
      </c>
      <c r="O42" s="29">
        <v>22190.5989037</v>
      </c>
      <c r="P42" s="29">
        <v>25708.44</v>
      </c>
    </row>
    <row r="43" spans="1:16">
      <c r="A43" s="28">
        <v>4001390470</v>
      </c>
      <c r="B43" s="28" t="s">
        <v>243</v>
      </c>
      <c r="C43" s="28" t="s">
        <v>45</v>
      </c>
      <c r="D43" s="29">
        <v>6039.4293555000004</v>
      </c>
      <c r="E43" s="29">
        <v>13182.4490486</v>
      </c>
      <c r="F43" s="29">
        <v>8242.8315285000008</v>
      </c>
      <c r="G43" s="29">
        <v>15742.380322499999</v>
      </c>
      <c r="H43" s="29">
        <v>12263.716477399999</v>
      </c>
      <c r="I43" s="29">
        <v>10768.6294163</v>
      </c>
      <c r="J43" s="29">
        <v>1562.0423459000001</v>
      </c>
      <c r="K43" s="29">
        <v>11265.855016</v>
      </c>
      <c r="L43" s="29">
        <v>7907.32</v>
      </c>
      <c r="M43" s="29">
        <v>8055.5744363000003</v>
      </c>
      <c r="N43" s="29">
        <v>10073.8559573</v>
      </c>
      <c r="O43" s="29">
        <v>28509.907694599999</v>
      </c>
      <c r="P43" s="29">
        <v>16139.03</v>
      </c>
    </row>
    <row r="44" spans="1:16">
      <c r="A44" s="28">
        <v>4001330680</v>
      </c>
      <c r="B44" s="28" t="s">
        <v>231</v>
      </c>
      <c r="C44" s="28" t="s">
        <v>45</v>
      </c>
      <c r="D44" s="29"/>
      <c r="E44" s="29"/>
      <c r="F44" s="29"/>
      <c r="G44" s="29"/>
      <c r="H44" s="29"/>
      <c r="I44" s="29"/>
      <c r="J44" s="29"/>
      <c r="K44" s="29"/>
      <c r="L44" s="29"/>
      <c r="M44" s="29"/>
      <c r="N44" s="29"/>
      <c r="O44" s="29"/>
      <c r="P44" s="29"/>
    </row>
    <row r="45" spans="1:16">
      <c r="A45" s="28">
        <v>4001330690</v>
      </c>
      <c r="B45" s="28" t="s">
        <v>232</v>
      </c>
      <c r="C45" s="28" t="s">
        <v>45</v>
      </c>
      <c r="D45" s="29">
        <v>-689.75705830000004</v>
      </c>
      <c r="E45" s="29">
        <v>-15.3563805</v>
      </c>
      <c r="F45" s="29">
        <v>-146.61647730000001</v>
      </c>
      <c r="G45" s="29">
        <v>-693.17370579999999</v>
      </c>
      <c r="H45" s="29">
        <v>-770.04439409999998</v>
      </c>
      <c r="I45" s="29">
        <v>-585.78915359999996</v>
      </c>
      <c r="J45" s="29">
        <v>-980.48216890000003</v>
      </c>
      <c r="K45" s="29">
        <v>-1302.1512253000001</v>
      </c>
      <c r="L45" s="29">
        <v>-1290.3699999999999</v>
      </c>
      <c r="M45" s="29">
        <v>-1477.1212539000001</v>
      </c>
      <c r="N45" s="29">
        <v>-1713.3086951</v>
      </c>
      <c r="O45" s="29">
        <v>-867.15771370000004</v>
      </c>
      <c r="P45" s="29">
        <v>-1453.1</v>
      </c>
    </row>
    <row r="46" spans="1:16">
      <c r="A46" s="28">
        <v>4001330700</v>
      </c>
      <c r="B46" s="28" t="s">
        <v>233</v>
      </c>
      <c r="C46" s="28" t="s">
        <v>45</v>
      </c>
      <c r="D46" s="29"/>
      <c r="E46" s="29"/>
      <c r="F46" s="29"/>
      <c r="G46" s="29"/>
      <c r="H46" s="29"/>
      <c r="I46" s="29"/>
      <c r="J46" s="29"/>
      <c r="K46" s="29"/>
      <c r="L46" s="29"/>
      <c r="M46" s="29"/>
      <c r="N46" s="29"/>
      <c r="O46" s="29"/>
      <c r="P46" s="29"/>
    </row>
    <row r="47" spans="1:16">
      <c r="A47" s="28">
        <v>4001330710</v>
      </c>
      <c r="B47" s="28" t="s">
        <v>234</v>
      </c>
      <c r="C47" s="28" t="s">
        <v>45</v>
      </c>
      <c r="D47" s="29"/>
      <c r="E47" s="29"/>
      <c r="F47" s="29"/>
      <c r="G47" s="29"/>
      <c r="H47" s="29"/>
      <c r="I47" s="29"/>
      <c r="J47" s="29">
        <v>-522.27036959999998</v>
      </c>
      <c r="K47" s="29"/>
      <c r="L47" s="29"/>
      <c r="M47" s="29">
        <v>-516.93736100000001</v>
      </c>
      <c r="N47" s="29">
        <v>-758.94027300000005</v>
      </c>
      <c r="O47" s="29">
        <v>-104.125</v>
      </c>
      <c r="P47" s="29">
        <v>-104.13</v>
      </c>
    </row>
    <row r="48" spans="1:16">
      <c r="A48" s="28">
        <v>4001330720</v>
      </c>
      <c r="B48" s="28" t="s">
        <v>235</v>
      </c>
      <c r="C48" s="28" t="s">
        <v>45</v>
      </c>
      <c r="D48" s="29"/>
      <c r="E48" s="29"/>
      <c r="F48" s="29"/>
      <c r="G48" s="29"/>
      <c r="H48" s="29"/>
      <c r="I48" s="29"/>
      <c r="J48" s="29"/>
      <c r="K48" s="29"/>
      <c r="L48" s="29"/>
      <c r="M48" s="29"/>
      <c r="N48" s="29"/>
      <c r="O48" s="29"/>
      <c r="P48" s="29"/>
    </row>
    <row r="49" spans="1:16">
      <c r="A49" s="28">
        <v>4001330730</v>
      </c>
      <c r="B49" s="28" t="s">
        <v>236</v>
      </c>
      <c r="C49" s="28" t="s">
        <v>45</v>
      </c>
      <c r="D49" s="29"/>
      <c r="E49" s="29"/>
      <c r="F49" s="29"/>
      <c r="G49" s="29"/>
      <c r="H49" s="29"/>
      <c r="I49" s="29"/>
      <c r="J49" s="29"/>
      <c r="K49" s="29"/>
      <c r="L49" s="29"/>
      <c r="M49" s="29"/>
      <c r="N49" s="29"/>
      <c r="O49" s="29"/>
      <c r="P49" s="29"/>
    </row>
    <row r="50" spans="1:16">
      <c r="A50" s="28">
        <v>4001330740</v>
      </c>
      <c r="B50" s="28" t="s">
        <v>237</v>
      </c>
      <c r="C50" s="28" t="s">
        <v>45</v>
      </c>
      <c r="D50" s="29"/>
      <c r="E50" s="29"/>
      <c r="F50" s="29"/>
      <c r="G50" s="29"/>
      <c r="H50" s="29"/>
      <c r="I50" s="29"/>
      <c r="J50" s="29"/>
      <c r="K50" s="29"/>
      <c r="L50" s="29"/>
      <c r="M50" s="29"/>
      <c r="N50" s="29"/>
      <c r="O50" s="29"/>
      <c r="P50" s="29"/>
    </row>
    <row r="51" spans="1:16">
      <c r="A51" s="28">
        <v>4001340000</v>
      </c>
      <c r="B51" s="28" t="s">
        <v>244</v>
      </c>
      <c r="C51" s="28" t="s">
        <v>45</v>
      </c>
      <c r="D51" s="29"/>
      <c r="E51" s="29"/>
      <c r="F51" s="29"/>
      <c r="G51" s="29"/>
      <c r="H51" s="29"/>
      <c r="I51" s="29"/>
      <c r="J51" s="29"/>
      <c r="K51" s="29"/>
      <c r="L51" s="29"/>
      <c r="M51" s="29"/>
      <c r="N51" s="29"/>
      <c r="O51" s="29">
        <v>-25.780090000000001</v>
      </c>
      <c r="P51" s="29"/>
    </row>
    <row r="52" spans="1:16">
      <c r="A52" s="28">
        <v>4001340010</v>
      </c>
      <c r="B52" s="28" t="s">
        <v>245</v>
      </c>
      <c r="C52" s="28" t="s">
        <v>45</v>
      </c>
      <c r="D52" s="29"/>
      <c r="E52" s="29"/>
      <c r="F52" s="29"/>
      <c r="G52" s="29"/>
      <c r="H52" s="29"/>
      <c r="I52" s="29"/>
      <c r="J52" s="29"/>
      <c r="K52" s="29"/>
      <c r="L52" s="29"/>
      <c r="M52" s="29"/>
      <c r="N52" s="29"/>
      <c r="O52" s="29"/>
      <c r="P52" s="29"/>
    </row>
    <row r="53" spans="1:16">
      <c r="A53" s="28">
        <v>4001340020</v>
      </c>
      <c r="B53" s="28" t="s">
        <v>246</v>
      </c>
      <c r="C53" s="28" t="s">
        <v>45</v>
      </c>
      <c r="D53" s="29">
        <v>161.49870300000001</v>
      </c>
      <c r="E53" s="29">
        <v>511.12714269999998</v>
      </c>
      <c r="F53" s="29">
        <v>263.79035670000002</v>
      </c>
      <c r="G53" s="29">
        <v>-904.46260110000003</v>
      </c>
      <c r="H53" s="29">
        <v>506.33376270000002</v>
      </c>
      <c r="I53" s="29">
        <v>-70.292543600000002</v>
      </c>
      <c r="J53" s="29">
        <v>294.5667148</v>
      </c>
      <c r="K53" s="29">
        <v>-586.92490550000002</v>
      </c>
      <c r="L53" s="29">
        <v>756.87</v>
      </c>
      <c r="M53" s="29">
        <v>213.23730180000001</v>
      </c>
      <c r="N53" s="29">
        <v>-658.84915980000005</v>
      </c>
      <c r="O53" s="29">
        <v>1707.5638156</v>
      </c>
      <c r="P53" s="29">
        <v>31.05</v>
      </c>
    </row>
    <row r="54" spans="1:16">
      <c r="A54" s="28">
        <v>4001340030</v>
      </c>
      <c r="B54" s="28" t="s">
        <v>247</v>
      </c>
      <c r="C54" s="28" t="s">
        <v>45</v>
      </c>
      <c r="D54" s="29">
        <v>-1375.8338887</v>
      </c>
      <c r="E54" s="29">
        <v>3913.4865728</v>
      </c>
      <c r="F54" s="29">
        <v>3429.3347374999998</v>
      </c>
      <c r="G54" s="29">
        <v>3679.3925669999999</v>
      </c>
      <c r="H54" s="29">
        <v>-5566.3855314000002</v>
      </c>
      <c r="I54" s="29">
        <v>3326.3334770000001</v>
      </c>
      <c r="J54" s="29">
        <v>4865.1155872999998</v>
      </c>
      <c r="K54" s="29">
        <v>-9206.1997785000003</v>
      </c>
      <c r="L54" s="29">
        <v>10211.08</v>
      </c>
      <c r="M54" s="29">
        <v>-9906.5445959999997</v>
      </c>
      <c r="N54" s="29">
        <v>1801.5828922000001</v>
      </c>
      <c r="O54" s="29">
        <v>157.14090379999999</v>
      </c>
      <c r="P54" s="29">
        <v>-2492.96</v>
      </c>
    </row>
    <row r="55" spans="1:16">
      <c r="A55" s="28">
        <v>4001340040</v>
      </c>
      <c r="B55" s="28" t="s">
        <v>248</v>
      </c>
      <c r="C55" s="28" t="s">
        <v>45</v>
      </c>
      <c r="D55" s="29">
        <v>16515.3029823</v>
      </c>
      <c r="E55" s="29">
        <v>15139.469093600001</v>
      </c>
      <c r="F55" s="29">
        <v>19052.955666400001</v>
      </c>
      <c r="G55" s="29">
        <v>22482.290403899999</v>
      </c>
      <c r="H55" s="29">
        <v>26161.682970999998</v>
      </c>
      <c r="I55" s="29">
        <v>20595.297439599999</v>
      </c>
      <c r="J55" s="29">
        <v>23921.630916599999</v>
      </c>
      <c r="K55" s="29">
        <v>28786.746503900002</v>
      </c>
      <c r="L55" s="29">
        <v>19580.55</v>
      </c>
      <c r="M55" s="29">
        <v>29791.63</v>
      </c>
      <c r="N55" s="29">
        <v>19885.082129499999</v>
      </c>
      <c r="O55" s="29">
        <v>21686.665021600002</v>
      </c>
      <c r="P55" s="29">
        <v>21843.81</v>
      </c>
    </row>
    <row r="56" spans="1:16">
      <c r="A56" s="28">
        <v>4001340050</v>
      </c>
      <c r="B56" s="28" t="s">
        <v>249</v>
      </c>
      <c r="C56" s="28" t="s">
        <v>45</v>
      </c>
      <c r="D56" s="29">
        <v>15139.469093600001</v>
      </c>
      <c r="E56" s="29">
        <v>19052.955666400001</v>
      </c>
      <c r="F56" s="29">
        <v>22482.290403899999</v>
      </c>
      <c r="G56" s="29">
        <v>26161.682970900001</v>
      </c>
      <c r="H56" s="29">
        <v>20595.297439599999</v>
      </c>
      <c r="I56" s="29">
        <v>23921.630916599999</v>
      </c>
      <c r="J56" s="29">
        <v>28786.746503900002</v>
      </c>
      <c r="K56" s="29">
        <v>19580.5467254</v>
      </c>
      <c r="L56" s="29">
        <v>29791.63</v>
      </c>
      <c r="M56" s="29">
        <v>19885.082129499999</v>
      </c>
      <c r="N56" s="29">
        <v>21686.665021600002</v>
      </c>
      <c r="O56" s="29">
        <v>21843.805929999999</v>
      </c>
      <c r="P56" s="29">
        <v>19350.849999999999</v>
      </c>
    </row>
    <row r="57" spans="1:16">
      <c r="A57" s="12"/>
      <c r="B57" s="12"/>
      <c r="C57" s="12"/>
      <c r="D57" s="29"/>
      <c r="E57" s="29"/>
      <c r="F57" s="29"/>
      <c r="G57" s="29"/>
      <c r="H57" s="29"/>
      <c r="I57" s="29"/>
      <c r="J57" s="29"/>
      <c r="K57" s="29"/>
      <c r="L57" s="29"/>
      <c r="M57" s="29"/>
      <c r="N57" s="29"/>
      <c r="O57" s="29"/>
      <c r="P57" s="29"/>
    </row>
    <row r="58" spans="1:16">
      <c r="D58" s="30"/>
      <c r="E58" s="30"/>
      <c r="F58" s="30"/>
      <c r="G58" s="30"/>
      <c r="H58" s="30"/>
      <c r="I58" s="30"/>
      <c r="J58" s="30"/>
      <c r="K58" s="30"/>
      <c r="L58" s="30"/>
      <c r="M58" s="30"/>
      <c r="N58" s="30"/>
      <c r="O58" s="30"/>
      <c r="P58" s="30"/>
    </row>
    <row r="59" spans="1:16">
      <c r="D59" s="30"/>
      <c r="E59" s="30"/>
      <c r="F59" s="30"/>
      <c r="G59" s="30"/>
      <c r="H59" s="30"/>
      <c r="I59" s="30"/>
      <c r="J59" s="30"/>
      <c r="K59" s="30"/>
      <c r="L59" s="30"/>
      <c r="M59" s="30"/>
      <c r="N59" s="30"/>
      <c r="O59" s="30"/>
      <c r="P59" s="30"/>
    </row>
    <row r="60" spans="1:16">
      <c r="D60" s="30"/>
      <c r="E60" s="30"/>
      <c r="F60" s="30"/>
      <c r="G60" s="30"/>
      <c r="H60" s="30"/>
      <c r="I60" s="30"/>
      <c r="J60" s="30"/>
      <c r="K60" s="30"/>
      <c r="L60" s="30"/>
      <c r="M60" s="30"/>
      <c r="N60" s="30"/>
      <c r="O60" s="30"/>
      <c r="P60" s="30"/>
    </row>
  </sheetData>
  <phoneticPr fontId="3" type="noConversion"/>
  <conditionalFormatting sqref="B1">
    <cfRule type="expression" dxfId="3" priority="1" stopIfTrue="1">
      <formula>MID($B$1, 15, 10)-TODAY() &lt; 0</formula>
    </cfRule>
  </conditionalFormatting>
  <dataValidations count="7">
    <dataValidation type="list" allowBlank="1" showInputMessage="1" sqref="B5" xr:uid="{09829CC9-9968-4161-8849-D02F6A89CCE6}">
      <formula1>"전체,재무상태표,손익계산서,현금흐름표,자본금변동표"</formula1>
    </dataValidation>
    <dataValidation type="list" allowBlank="1" showInputMessage="1" sqref="B6" xr:uid="{D508DF4F-978C-494B-BE5F-58EEECAC6BFB}">
      <formula1>"상세(총액),상세(순액),요약,약식"</formula1>
    </dataValidation>
    <dataValidation type="list" allowBlank="1" showInputMessage="1" sqref="B7" xr:uid="{9D8CCD70-9F04-473D-B477-028B8AEF8A67}">
      <formula1>"결산,누적분기,당분기"</formula1>
    </dataValidation>
    <dataValidation type="list" allowBlank="1" showInputMessage="1" sqref="C7" xr:uid="{920BA389-9E20-4A8B-AE99-AD68FB42D578}">
      <formula1>"천원,백만원,억원,십억원"</formula1>
    </dataValidation>
    <dataValidation type="list" allowBlank="1" showInputMessage="1" sqref="B4" xr:uid="{84D67715-A0AB-4C0B-A369-9FEE3BD3DF7F}">
      <formula1>"별도,연결"</formula1>
    </dataValidation>
    <dataValidation type="list" allowBlank="1" showInputMessage="1" sqref="B8" xr:uid="{440DEE1B-493A-4F35-8AEB-B0189653ADF5}">
      <formula1>"1983,1984,1985,1986,1987,1988,1989,1990,1991,1992,1993,1994,1995,1996,1997,1998,1999,2000,2001,2002,2003,2004,2005,2006,2007,2008,2009,2010,2011,2012,2013,2014,2015,2016,2017,2018,2019,2020,2021,2022,2023,2024,2025"</formula1>
    </dataValidation>
    <dataValidation type="list" allowBlank="1" showInputMessage="1" sqref="C8" xr:uid="{3984DB92-B3AB-49D8-8DFC-925C3C281E8D}">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CB46-BE1A-43C0-9131-90F08992E321}">
  <sheetPr codeName="Sheet4">
    <tabColor rgb="FFD0CECE"/>
  </sheetPr>
  <dimension ref="A1:F85"/>
  <sheetViews>
    <sheetView showGridLines="0" workbookViewId="0"/>
  </sheetViews>
  <sheetFormatPr defaultColWidth="8.7265625" defaultRowHeight="19.2"/>
  <cols>
    <col min="2" max="2" width="44" bestFit="1" customWidth="1"/>
    <col min="3" max="3" width="6.6328125" bestFit="1" customWidth="1"/>
    <col min="4" max="6" width="9.26953125" bestFit="1" customWidth="1"/>
  </cols>
  <sheetData>
    <row r="1" spans="1:6">
      <c r="B1" s="13" t="s">
        <v>251</v>
      </c>
    </row>
    <row r="2" spans="1:6">
      <c r="A2" s="14" t="s">
        <v>24</v>
      </c>
      <c r="B2" s="14"/>
      <c r="C2" s="14"/>
      <c r="D2" s="14"/>
      <c r="E2" s="14"/>
      <c r="F2" s="14"/>
    </row>
    <row r="3" spans="1:6">
      <c r="A3" s="15" t="s">
        <v>26</v>
      </c>
      <c r="B3" s="15" t="s">
        <v>113</v>
      </c>
      <c r="C3" s="15"/>
      <c r="D3" s="15"/>
      <c r="E3" s="15"/>
      <c r="F3" s="15"/>
    </row>
    <row r="4" spans="1:6">
      <c r="A4" s="15" t="s">
        <v>27</v>
      </c>
      <c r="B4" s="20" t="s">
        <v>119</v>
      </c>
      <c r="C4" s="15" t="s">
        <v>114</v>
      </c>
      <c r="D4" s="15" t="s">
        <v>118</v>
      </c>
      <c r="E4" s="15"/>
      <c r="F4" s="15"/>
    </row>
    <row r="5" spans="1:6">
      <c r="A5" s="15" t="s">
        <v>28</v>
      </c>
      <c r="B5" s="25" t="s">
        <v>115</v>
      </c>
      <c r="C5" s="15" t="s">
        <v>25</v>
      </c>
      <c r="D5" s="15"/>
      <c r="E5" s="15"/>
      <c r="F5" s="15"/>
    </row>
    <row r="6" spans="1:6">
      <c r="A6" s="15" t="s">
        <v>29</v>
      </c>
      <c r="B6" s="21" t="s">
        <v>116</v>
      </c>
      <c r="C6" s="15"/>
      <c r="D6" s="15"/>
      <c r="E6" s="15"/>
      <c r="F6" s="15"/>
    </row>
    <row r="7" spans="1:6">
      <c r="A7" s="15" t="s">
        <v>30</v>
      </c>
      <c r="B7" s="26" t="s">
        <v>252</v>
      </c>
      <c r="C7" s="21" t="s">
        <v>45</v>
      </c>
      <c r="D7" s="15"/>
      <c r="E7" s="15"/>
      <c r="F7" s="15"/>
    </row>
    <row r="8" spans="1:6">
      <c r="A8" s="32" t="s">
        <v>112</v>
      </c>
      <c r="B8" s="22">
        <v>2022</v>
      </c>
      <c r="C8" s="20" t="s">
        <v>120</v>
      </c>
      <c r="D8" s="32"/>
      <c r="E8" s="32"/>
      <c r="F8" s="32"/>
    </row>
    <row r="9" spans="1:6">
      <c r="A9" s="35" t="s">
        <v>31</v>
      </c>
      <c r="B9" s="37" t="s">
        <v>32</v>
      </c>
      <c r="C9" s="37" t="s">
        <v>33</v>
      </c>
      <c r="D9" s="35">
        <v>202212</v>
      </c>
      <c r="E9" s="35">
        <v>202312</v>
      </c>
      <c r="F9" s="35">
        <v>202412</v>
      </c>
    </row>
    <row r="10" spans="1:6">
      <c r="A10" s="36"/>
      <c r="B10" s="36"/>
      <c r="C10" s="36"/>
      <c r="D10" s="36" t="s">
        <v>43</v>
      </c>
      <c r="E10" s="36" t="s">
        <v>43</v>
      </c>
      <c r="F10" s="36" t="s">
        <v>43</v>
      </c>
    </row>
    <row r="11" spans="1:6">
      <c r="A11" s="28">
        <v>4001190010</v>
      </c>
      <c r="B11" s="28" t="s">
        <v>44</v>
      </c>
      <c r="C11" s="28" t="s">
        <v>45</v>
      </c>
      <c r="D11" s="29">
        <v>238318.84433679999</v>
      </c>
      <c r="E11" s="29">
        <v>247904.23705500001</v>
      </c>
      <c r="F11" s="29">
        <v>300368.31374110002</v>
      </c>
    </row>
    <row r="12" spans="1:6">
      <c r="A12" s="28">
        <v>4001190240</v>
      </c>
      <c r="B12" s="28" t="s">
        <v>46</v>
      </c>
      <c r="C12" s="28" t="s">
        <v>45</v>
      </c>
      <c r="D12" s="29">
        <v>85732.954346600003</v>
      </c>
      <c r="E12" s="29">
        <v>97973.720636099999</v>
      </c>
      <c r="F12" s="29">
        <v>108826.6502525</v>
      </c>
    </row>
    <row r="13" spans="1:6">
      <c r="A13" s="28">
        <v>4001190250</v>
      </c>
      <c r="B13" s="28" t="s">
        <v>47</v>
      </c>
      <c r="C13" s="28" t="s">
        <v>45</v>
      </c>
      <c r="D13" s="29">
        <v>30601.078318700002</v>
      </c>
      <c r="E13" s="29">
        <v>34474.813064499998</v>
      </c>
      <c r="F13" s="29">
        <v>42575.477146500001</v>
      </c>
    </row>
    <row r="14" spans="1:6">
      <c r="A14" s="28">
        <v>4001190260</v>
      </c>
      <c r="B14" s="28" t="s">
        <v>48</v>
      </c>
      <c r="C14" s="28" t="s">
        <v>45</v>
      </c>
      <c r="D14" s="29"/>
      <c r="E14" s="29"/>
      <c r="F14" s="29"/>
    </row>
    <row r="15" spans="1:6">
      <c r="A15" s="28">
        <v>4001190270</v>
      </c>
      <c r="B15" s="28" t="s">
        <v>49</v>
      </c>
      <c r="C15" s="28" t="s">
        <v>45</v>
      </c>
      <c r="D15" s="29">
        <v>2561.2984299999998</v>
      </c>
      <c r="E15" s="29">
        <v>3681.6372537000002</v>
      </c>
      <c r="F15" s="29">
        <v>3737.3692999999998</v>
      </c>
    </row>
    <row r="16" spans="1:6">
      <c r="A16" s="28">
        <v>4001190300</v>
      </c>
      <c r="B16" s="28" t="s">
        <v>50</v>
      </c>
      <c r="C16" s="28" t="s">
        <v>45</v>
      </c>
      <c r="D16" s="29">
        <v>22798.06755</v>
      </c>
      <c r="E16" s="29">
        <v>31876.679789999998</v>
      </c>
      <c r="F16" s="29">
        <v>29675.510709999999</v>
      </c>
    </row>
    <row r="17" spans="1:6">
      <c r="A17" s="28">
        <v>4001113900</v>
      </c>
      <c r="B17" s="28" t="s">
        <v>51</v>
      </c>
      <c r="C17" s="28" t="s">
        <v>45</v>
      </c>
      <c r="D17" s="29">
        <v>179.4630793</v>
      </c>
      <c r="E17" s="29">
        <v>415.72736370000001</v>
      </c>
      <c r="F17" s="29">
        <v>553.13091259999999</v>
      </c>
    </row>
    <row r="18" spans="1:6">
      <c r="A18" s="28">
        <v>4001180995</v>
      </c>
      <c r="B18" s="28" t="s">
        <v>52</v>
      </c>
      <c r="C18" s="28" t="s">
        <v>45</v>
      </c>
      <c r="D18" s="29">
        <v>626.43122000000005</v>
      </c>
      <c r="E18" s="29">
        <v>3759.2225800000001</v>
      </c>
      <c r="F18" s="29">
        <v>3806.8755299999998</v>
      </c>
    </row>
    <row r="19" spans="1:6">
      <c r="A19" s="28">
        <v>4001113903</v>
      </c>
      <c r="B19" s="28" t="s">
        <v>53</v>
      </c>
      <c r="C19" s="28" t="s">
        <v>45</v>
      </c>
      <c r="D19" s="29">
        <v>0.72445000000000004</v>
      </c>
      <c r="E19" s="29"/>
      <c r="F19" s="29"/>
    </row>
    <row r="20" spans="1:6">
      <c r="A20" s="28">
        <v>4001113904</v>
      </c>
      <c r="B20" s="28" t="s">
        <v>54</v>
      </c>
      <c r="C20" s="28" t="s">
        <v>45</v>
      </c>
      <c r="D20" s="29">
        <v>29.940380000000001</v>
      </c>
      <c r="E20" s="29">
        <v>17.32413</v>
      </c>
      <c r="F20" s="29">
        <v>11.43374</v>
      </c>
    </row>
    <row r="21" spans="1:6">
      <c r="A21" s="28">
        <v>4001190340</v>
      </c>
      <c r="B21" s="28" t="s">
        <v>55</v>
      </c>
      <c r="C21" s="28" t="s">
        <v>45</v>
      </c>
      <c r="D21" s="29">
        <v>3079.6142500000001</v>
      </c>
      <c r="E21" s="29">
        <v>4167.76973</v>
      </c>
      <c r="F21" s="29">
        <v>5650.0175900000004</v>
      </c>
    </row>
    <row r="22" spans="1:6">
      <c r="A22" s="28">
        <v>4001190370</v>
      </c>
      <c r="B22" s="28" t="s">
        <v>56</v>
      </c>
      <c r="C22" s="28" t="s">
        <v>45</v>
      </c>
      <c r="D22" s="29">
        <v>25483.796600000001</v>
      </c>
      <c r="E22" s="29">
        <v>19580.546729999998</v>
      </c>
      <c r="F22" s="29">
        <v>21843.805929999999</v>
      </c>
    </row>
    <row r="23" spans="1:6">
      <c r="A23" s="28">
        <v>4001114130</v>
      </c>
      <c r="B23" s="28" t="s">
        <v>57</v>
      </c>
      <c r="C23" s="28" t="s">
        <v>45</v>
      </c>
      <c r="D23" s="29">
        <v>372.54006570000001</v>
      </c>
      <c r="E23" s="29"/>
      <c r="F23" s="29">
        <v>973.02938380000001</v>
      </c>
    </row>
    <row r="24" spans="1:6">
      <c r="A24" s="28">
        <v>4001190020</v>
      </c>
      <c r="B24" s="28" t="s">
        <v>58</v>
      </c>
      <c r="C24" s="28" t="s">
        <v>45</v>
      </c>
      <c r="D24" s="29">
        <v>136343.74756719999</v>
      </c>
      <c r="E24" s="29">
        <v>149930.51641879999</v>
      </c>
      <c r="F24" s="29">
        <v>191541.6634886</v>
      </c>
    </row>
    <row r="25" spans="1:6">
      <c r="A25" s="28">
        <v>4001190030</v>
      </c>
      <c r="B25" s="28" t="s">
        <v>59</v>
      </c>
      <c r="C25" s="28" t="s">
        <v>45</v>
      </c>
      <c r="D25" s="29">
        <v>68794.515173499996</v>
      </c>
      <c r="E25" s="29">
        <v>70497.834550200001</v>
      </c>
      <c r="F25" s="29">
        <v>107269.6353485</v>
      </c>
    </row>
    <row r="26" spans="1:6">
      <c r="A26" s="28">
        <v>4001190070</v>
      </c>
      <c r="B26" s="28" t="s">
        <v>60</v>
      </c>
      <c r="C26" s="28" t="s">
        <v>45</v>
      </c>
      <c r="D26" s="29">
        <v>16444.376230000002</v>
      </c>
      <c r="E26" s="29">
        <v>17725.760979999999</v>
      </c>
      <c r="F26" s="29">
        <v>17557.42569</v>
      </c>
    </row>
    <row r="27" spans="1:6">
      <c r="A27" s="28">
        <v>4001190110</v>
      </c>
      <c r="B27" s="28" t="s">
        <v>61</v>
      </c>
      <c r="C27" s="28" t="s">
        <v>45</v>
      </c>
      <c r="D27" s="29"/>
      <c r="E27" s="29"/>
      <c r="F27" s="29"/>
    </row>
    <row r="28" spans="1:6">
      <c r="A28" s="28">
        <v>4001190120</v>
      </c>
      <c r="B28" s="28" t="s">
        <v>62</v>
      </c>
      <c r="C28" s="28" t="s">
        <v>45</v>
      </c>
      <c r="D28" s="29">
        <v>1997.6283100999999</v>
      </c>
      <c r="E28" s="29">
        <v>1916.6697793000001</v>
      </c>
      <c r="F28" s="29">
        <v>1965.6831941</v>
      </c>
    </row>
    <row r="29" spans="1:6">
      <c r="A29" s="28">
        <v>4001190130</v>
      </c>
      <c r="B29" s="28" t="s">
        <v>63</v>
      </c>
      <c r="C29" s="28" t="s">
        <v>45</v>
      </c>
      <c r="D29" s="29">
        <v>4520.2169481999999</v>
      </c>
      <c r="E29" s="29">
        <v>4935.4425491000002</v>
      </c>
      <c r="F29" s="29">
        <v>5034.9009452</v>
      </c>
    </row>
    <row r="30" spans="1:6">
      <c r="A30" s="28">
        <v>4001111660</v>
      </c>
      <c r="B30" s="28" t="s">
        <v>64</v>
      </c>
      <c r="C30" s="28" t="s">
        <v>45</v>
      </c>
      <c r="D30" s="29">
        <v>37446.275603100003</v>
      </c>
      <c r="E30" s="29">
        <v>41597.179147299998</v>
      </c>
      <c r="F30" s="29">
        <v>49304.474154299998</v>
      </c>
    </row>
    <row r="31" spans="1:6">
      <c r="A31" s="28">
        <v>4001190160</v>
      </c>
      <c r="B31" s="28" t="s">
        <v>65</v>
      </c>
      <c r="C31" s="28" t="s">
        <v>45</v>
      </c>
      <c r="D31" s="29">
        <v>62.156102300000001</v>
      </c>
      <c r="E31" s="29">
        <v>6885.4541499999996</v>
      </c>
      <c r="F31" s="29">
        <v>1460.1683317</v>
      </c>
    </row>
    <row r="32" spans="1:6">
      <c r="A32" s="28">
        <v>4001112490</v>
      </c>
      <c r="B32" s="28" t="s">
        <v>66</v>
      </c>
      <c r="C32" s="28" t="s">
        <v>45</v>
      </c>
      <c r="D32" s="29">
        <v>2012.9172778</v>
      </c>
      <c r="E32" s="29">
        <v>1842.9538786000001</v>
      </c>
      <c r="F32" s="29">
        <v>2893.6628630999999</v>
      </c>
    </row>
    <row r="33" spans="1:6">
      <c r="A33" s="28">
        <v>4001112500</v>
      </c>
      <c r="B33" s="28" t="s">
        <v>67</v>
      </c>
      <c r="C33" s="28" t="s">
        <v>45</v>
      </c>
      <c r="D33" s="29"/>
      <c r="E33" s="29"/>
      <c r="F33" s="29"/>
    </row>
    <row r="34" spans="1:6">
      <c r="A34" s="28">
        <v>4001180575</v>
      </c>
      <c r="B34" s="28" t="s">
        <v>52</v>
      </c>
      <c r="C34" s="28" t="s">
        <v>45</v>
      </c>
      <c r="D34" s="29"/>
      <c r="E34" s="29"/>
      <c r="F34" s="29"/>
    </row>
    <row r="35" spans="1:6">
      <c r="A35" s="28">
        <v>4001112503</v>
      </c>
      <c r="B35" s="28" t="s">
        <v>53</v>
      </c>
      <c r="C35" s="28" t="s">
        <v>45</v>
      </c>
      <c r="D35" s="29"/>
      <c r="E35" s="29"/>
      <c r="F35" s="29"/>
    </row>
    <row r="36" spans="1:6">
      <c r="A36" s="28">
        <v>4001112504</v>
      </c>
      <c r="B36" s="28" t="s">
        <v>54</v>
      </c>
      <c r="C36" s="28" t="s">
        <v>45</v>
      </c>
      <c r="D36" s="29"/>
      <c r="E36" s="29"/>
      <c r="F36" s="29"/>
    </row>
    <row r="37" spans="1:6">
      <c r="A37" s="28">
        <v>4001190200</v>
      </c>
      <c r="B37" s="28" t="s">
        <v>68</v>
      </c>
      <c r="C37" s="28" t="s">
        <v>45</v>
      </c>
      <c r="D37" s="29">
        <v>5065.6619160999999</v>
      </c>
      <c r="E37" s="29">
        <v>4529.2213811000001</v>
      </c>
      <c r="F37" s="29">
        <v>6055.7129500000001</v>
      </c>
    </row>
    <row r="38" spans="1:6">
      <c r="A38" s="28">
        <v>4001112880</v>
      </c>
      <c r="B38" s="28" t="s">
        <v>69</v>
      </c>
      <c r="C38" s="28" t="s">
        <v>45</v>
      </c>
      <c r="D38" s="29">
        <v>16242.1424229</v>
      </c>
      <c r="E38" s="29"/>
      <c r="F38" s="29"/>
    </row>
    <row r="39" spans="1:6">
      <c r="A39" s="28">
        <v>4001190440</v>
      </c>
      <c r="B39" s="28" t="s">
        <v>70</v>
      </c>
      <c r="C39" s="28" t="s">
        <v>45</v>
      </c>
      <c r="D39" s="29">
        <v>139349.72874349999</v>
      </c>
      <c r="E39" s="29">
        <v>155101.8696261</v>
      </c>
      <c r="F39" s="29">
        <v>194299.75219649999</v>
      </c>
    </row>
    <row r="40" spans="1:6">
      <c r="A40" s="28">
        <v>4001190610</v>
      </c>
      <c r="B40" s="28" t="s">
        <v>71</v>
      </c>
      <c r="C40" s="28" t="s">
        <v>45</v>
      </c>
      <c r="D40" s="29">
        <v>68084.914304200007</v>
      </c>
      <c r="E40" s="29">
        <v>87341.103253900001</v>
      </c>
      <c r="F40" s="29">
        <v>117075.5234133</v>
      </c>
    </row>
    <row r="41" spans="1:6">
      <c r="A41" s="28">
        <v>4001181470</v>
      </c>
      <c r="B41" s="28" t="s">
        <v>72</v>
      </c>
      <c r="C41" s="28" t="s">
        <v>45</v>
      </c>
      <c r="D41" s="29"/>
      <c r="E41" s="29"/>
      <c r="F41" s="29"/>
    </row>
    <row r="42" spans="1:6">
      <c r="A42" s="28">
        <v>4001121700</v>
      </c>
      <c r="B42" s="28" t="s">
        <v>73</v>
      </c>
      <c r="C42" s="28" t="s">
        <v>45</v>
      </c>
      <c r="D42" s="29">
        <v>24430.176670000001</v>
      </c>
      <c r="E42" s="29">
        <v>29470.51701</v>
      </c>
      <c r="F42" s="29">
        <v>51098.996449999999</v>
      </c>
    </row>
    <row r="43" spans="1:6">
      <c r="A43" s="28">
        <v>4001190620</v>
      </c>
      <c r="B43" s="28" t="s">
        <v>74</v>
      </c>
      <c r="C43" s="28" t="s">
        <v>45</v>
      </c>
      <c r="D43" s="29">
        <v>5597.9287299999996</v>
      </c>
      <c r="E43" s="29">
        <v>8411.4675700000007</v>
      </c>
      <c r="F43" s="29">
        <v>11891.668659999999</v>
      </c>
    </row>
    <row r="44" spans="1:6">
      <c r="A44" s="28">
        <v>4001190630</v>
      </c>
      <c r="B44" s="28" t="s">
        <v>75</v>
      </c>
      <c r="C44" s="28" t="s">
        <v>45</v>
      </c>
      <c r="D44" s="29">
        <v>1960.59671</v>
      </c>
      <c r="E44" s="29">
        <v>1786.9206999999999</v>
      </c>
      <c r="F44" s="29">
        <v>1261.83161</v>
      </c>
    </row>
    <row r="45" spans="1:6">
      <c r="A45" s="28">
        <v>4001190660</v>
      </c>
      <c r="B45" s="28" t="s">
        <v>76</v>
      </c>
      <c r="C45" s="28" t="s">
        <v>45</v>
      </c>
      <c r="D45" s="29">
        <v>27805.790379999999</v>
      </c>
      <c r="E45" s="29">
        <v>39749.172939999997</v>
      </c>
      <c r="F45" s="29">
        <v>40231.556049999999</v>
      </c>
    </row>
    <row r="46" spans="1:6">
      <c r="A46" s="28">
        <v>4001190680</v>
      </c>
      <c r="B46" s="28" t="s">
        <v>77</v>
      </c>
      <c r="C46" s="28" t="s">
        <v>45</v>
      </c>
      <c r="D46" s="29"/>
      <c r="E46" s="29"/>
      <c r="F46" s="29"/>
    </row>
    <row r="47" spans="1:6">
      <c r="A47" s="28">
        <v>4001122460</v>
      </c>
      <c r="B47" s="28" t="s">
        <v>78</v>
      </c>
      <c r="C47" s="28" t="s">
        <v>45</v>
      </c>
      <c r="D47" s="29">
        <v>478.34553570000003</v>
      </c>
      <c r="E47" s="29">
        <v>430.30940040000002</v>
      </c>
      <c r="F47" s="29">
        <v>693.68458220000002</v>
      </c>
    </row>
    <row r="48" spans="1:6">
      <c r="A48" s="28">
        <v>4001122560</v>
      </c>
      <c r="B48" s="28" t="s">
        <v>79</v>
      </c>
      <c r="C48" s="28" t="s">
        <v>45</v>
      </c>
      <c r="D48" s="29">
        <v>3856.3242952999999</v>
      </c>
      <c r="E48" s="29">
        <v>430.46784259999998</v>
      </c>
      <c r="F48" s="29">
        <v>360.76762280000003</v>
      </c>
    </row>
    <row r="49" spans="1:6">
      <c r="A49" s="28">
        <v>4001122561</v>
      </c>
      <c r="B49" s="28" t="s">
        <v>80</v>
      </c>
      <c r="C49" s="28" t="s">
        <v>45</v>
      </c>
      <c r="D49" s="29">
        <v>3179.1231299999999</v>
      </c>
      <c r="E49" s="29">
        <v>5259.1314499999999</v>
      </c>
      <c r="F49" s="29">
        <v>7128.8845300000003</v>
      </c>
    </row>
    <row r="50" spans="1:6">
      <c r="A50" s="28">
        <v>4001122562</v>
      </c>
      <c r="B50" s="28" t="s">
        <v>81</v>
      </c>
      <c r="C50" s="28" t="s">
        <v>45</v>
      </c>
      <c r="D50" s="29">
        <v>13.52275</v>
      </c>
      <c r="E50" s="29"/>
      <c r="F50" s="29"/>
    </row>
    <row r="51" spans="1:6">
      <c r="A51" s="28">
        <v>4001122563</v>
      </c>
      <c r="B51" s="28" t="s">
        <v>82</v>
      </c>
      <c r="C51" s="28" t="s">
        <v>45</v>
      </c>
      <c r="D51" s="29"/>
      <c r="E51" s="29"/>
      <c r="F51" s="29"/>
    </row>
    <row r="52" spans="1:6">
      <c r="A52" s="28">
        <v>4001190690</v>
      </c>
      <c r="B52" s="28" t="s">
        <v>83</v>
      </c>
      <c r="C52" s="28" t="s">
        <v>45</v>
      </c>
      <c r="D52" s="29">
        <v>763.10608999999999</v>
      </c>
      <c r="E52" s="29">
        <v>1803.11635</v>
      </c>
      <c r="F52" s="29">
        <v>4180.97739</v>
      </c>
    </row>
    <row r="53" spans="1:6">
      <c r="A53" s="28">
        <v>4001122680</v>
      </c>
      <c r="B53" s="28" t="s">
        <v>84</v>
      </c>
      <c r="C53" s="28" t="s">
        <v>45</v>
      </c>
      <c r="D53" s="29"/>
      <c r="E53" s="29"/>
      <c r="F53" s="29">
        <v>227.1565104</v>
      </c>
    </row>
    <row r="54" spans="1:6">
      <c r="A54" s="28">
        <v>4001190450</v>
      </c>
      <c r="B54" s="28" t="s">
        <v>85</v>
      </c>
      <c r="C54" s="28" t="s">
        <v>45</v>
      </c>
      <c r="D54" s="29">
        <v>56854.320764600001</v>
      </c>
      <c r="E54" s="29">
        <v>67760.766372099999</v>
      </c>
      <c r="F54" s="29">
        <v>77224.2287832</v>
      </c>
    </row>
    <row r="55" spans="1:6">
      <c r="A55" s="28">
        <v>4001190460</v>
      </c>
      <c r="B55" s="28" t="s">
        <v>86</v>
      </c>
      <c r="C55" s="28" t="s">
        <v>45</v>
      </c>
      <c r="D55" s="29">
        <v>20473.07447</v>
      </c>
      <c r="E55" s="29">
        <v>23874.658630000002</v>
      </c>
      <c r="F55" s="29">
        <v>21914.192139999999</v>
      </c>
    </row>
    <row r="56" spans="1:6">
      <c r="A56" s="28">
        <v>4001190470</v>
      </c>
      <c r="B56" s="28" t="s">
        <v>87</v>
      </c>
      <c r="C56" s="28" t="s">
        <v>45</v>
      </c>
      <c r="D56" s="29">
        <v>21580.551579999999</v>
      </c>
      <c r="E56" s="29">
        <v>31786.230810000001</v>
      </c>
      <c r="F56" s="29">
        <v>42314.499409999997</v>
      </c>
    </row>
    <row r="57" spans="1:6">
      <c r="A57" s="28">
        <v>4001190480</v>
      </c>
      <c r="B57" s="28" t="s">
        <v>88</v>
      </c>
      <c r="C57" s="28" t="s">
        <v>45</v>
      </c>
      <c r="D57" s="29">
        <v>5806.7797399999999</v>
      </c>
      <c r="E57" s="29">
        <v>2406.6020199999998</v>
      </c>
      <c r="F57" s="29">
        <v>4106.0831600000001</v>
      </c>
    </row>
    <row r="58" spans="1:6">
      <c r="A58" s="28">
        <v>4001190500</v>
      </c>
      <c r="B58" s="28" t="s">
        <v>89</v>
      </c>
      <c r="C58" s="28" t="s">
        <v>45</v>
      </c>
      <c r="D58" s="29">
        <v>929.36519999999996</v>
      </c>
      <c r="E58" s="29">
        <v>2751.6272300000001</v>
      </c>
      <c r="F58" s="29">
        <v>944.22468000000003</v>
      </c>
    </row>
    <row r="59" spans="1:6">
      <c r="A59" s="28">
        <v>4001190570</v>
      </c>
      <c r="B59" s="28" t="s">
        <v>90</v>
      </c>
      <c r="C59" s="28" t="s">
        <v>45</v>
      </c>
      <c r="D59" s="29">
        <v>4268.1570693000003</v>
      </c>
      <c r="E59" s="29">
        <v>3866.4054884000002</v>
      </c>
      <c r="F59" s="29">
        <v>3860.3993587</v>
      </c>
    </row>
    <row r="60" spans="1:6">
      <c r="A60" s="28">
        <v>4001121280</v>
      </c>
      <c r="B60" s="28" t="s">
        <v>91</v>
      </c>
      <c r="C60" s="28" t="s">
        <v>45</v>
      </c>
      <c r="D60" s="29">
        <v>1275.0870592000001</v>
      </c>
      <c r="E60" s="29">
        <v>1339.1039034999999</v>
      </c>
      <c r="F60" s="29">
        <v>1564.0288906999999</v>
      </c>
    </row>
    <row r="61" spans="1:6">
      <c r="A61" s="28">
        <v>4001121380</v>
      </c>
      <c r="B61" s="28" t="s">
        <v>92</v>
      </c>
      <c r="C61" s="28" t="s">
        <v>45</v>
      </c>
      <c r="D61" s="29">
        <v>2297.1821691999999</v>
      </c>
      <c r="E61" s="29">
        <v>1698.6856421</v>
      </c>
      <c r="F61" s="29">
        <v>2320.4565275</v>
      </c>
    </row>
    <row r="62" spans="1:6">
      <c r="A62" s="28">
        <v>4001181370</v>
      </c>
      <c r="B62" s="28" t="s">
        <v>93</v>
      </c>
      <c r="C62" s="28" t="s">
        <v>45</v>
      </c>
      <c r="D62" s="29"/>
      <c r="E62" s="29"/>
      <c r="F62" s="29"/>
    </row>
    <row r="63" spans="1:6">
      <c r="A63" s="28">
        <v>4001121401</v>
      </c>
      <c r="B63" s="28" t="s">
        <v>80</v>
      </c>
      <c r="C63" s="28" t="s">
        <v>45</v>
      </c>
      <c r="D63" s="29">
        <v>186.21457000000001</v>
      </c>
      <c r="E63" s="29">
        <v>8.2368299999999994</v>
      </c>
      <c r="F63" s="29">
        <v>118.79349999999999</v>
      </c>
    </row>
    <row r="64" spans="1:6">
      <c r="A64" s="28">
        <v>4001121402</v>
      </c>
      <c r="B64" s="28" t="s">
        <v>81</v>
      </c>
      <c r="C64" s="28" t="s">
        <v>45</v>
      </c>
      <c r="D64" s="29"/>
      <c r="E64" s="29"/>
      <c r="F64" s="29">
        <v>1.3081100000000001</v>
      </c>
    </row>
    <row r="65" spans="1:6">
      <c r="A65" s="28">
        <v>4001121403</v>
      </c>
      <c r="B65" s="28" t="s">
        <v>82</v>
      </c>
      <c r="C65" s="28" t="s">
        <v>45</v>
      </c>
      <c r="D65" s="29"/>
      <c r="E65" s="29"/>
      <c r="F65" s="29"/>
    </row>
    <row r="66" spans="1:6">
      <c r="A66" s="28">
        <v>4001190580</v>
      </c>
      <c r="B66" s="28" t="s">
        <v>94</v>
      </c>
      <c r="C66" s="28" t="s">
        <v>45</v>
      </c>
      <c r="D66" s="29">
        <v>37.908900000000003</v>
      </c>
      <c r="E66" s="29">
        <v>29.215810000000001</v>
      </c>
      <c r="F66" s="29">
        <v>80.242999999999995</v>
      </c>
    </row>
    <row r="67" spans="1:6">
      <c r="A67" s="28">
        <v>4001121620</v>
      </c>
      <c r="B67" s="28" t="s">
        <v>95</v>
      </c>
      <c r="C67" s="28" t="s">
        <v>45</v>
      </c>
      <c r="D67" s="29">
        <v>14410.4936746</v>
      </c>
      <c r="E67" s="29"/>
      <c r="F67" s="29"/>
    </row>
    <row r="68" spans="1:6">
      <c r="A68" s="28">
        <v>4001190380</v>
      </c>
      <c r="B68" s="28" t="s">
        <v>96</v>
      </c>
      <c r="C68" s="28" t="s">
        <v>45</v>
      </c>
      <c r="D68" s="29">
        <v>98969.115593299997</v>
      </c>
      <c r="E68" s="29">
        <v>92802.367428800004</v>
      </c>
      <c r="F68" s="29">
        <v>106068.5615446</v>
      </c>
    </row>
    <row r="69" spans="1:6">
      <c r="A69" s="28">
        <v>4001130010</v>
      </c>
      <c r="B69" s="28" t="s">
        <v>97</v>
      </c>
      <c r="C69" s="28" t="s">
        <v>98</v>
      </c>
      <c r="D69" s="29">
        <v>300000000</v>
      </c>
      <c r="E69" s="29">
        <v>300000000</v>
      </c>
      <c r="F69" s="29">
        <v>300000000</v>
      </c>
    </row>
    <row r="70" spans="1:6">
      <c r="A70" s="28">
        <v>4001130020</v>
      </c>
      <c r="B70" s="28" t="s">
        <v>99</v>
      </c>
      <c r="C70" s="28" t="s">
        <v>100</v>
      </c>
      <c r="D70" s="29">
        <v>5000</v>
      </c>
      <c r="E70" s="29">
        <v>5000</v>
      </c>
      <c r="F70" s="29">
        <v>5000</v>
      </c>
    </row>
    <row r="71" spans="1:6">
      <c r="A71" s="28">
        <v>4001130030</v>
      </c>
      <c r="B71" s="28" t="s">
        <v>101</v>
      </c>
      <c r="C71" s="28" t="s">
        <v>98</v>
      </c>
      <c r="D71" s="29">
        <v>192402234</v>
      </c>
      <c r="E71" s="29">
        <v>174467885</v>
      </c>
      <c r="F71" s="29">
        <v>174467885</v>
      </c>
    </row>
    <row r="72" spans="1:6">
      <c r="A72" s="28">
        <v>4001130040</v>
      </c>
      <c r="B72" s="28" t="s">
        <v>102</v>
      </c>
      <c r="C72" s="28" t="s">
        <v>98</v>
      </c>
      <c r="D72" s="29">
        <v>191278497</v>
      </c>
      <c r="E72" s="29">
        <v>171892536</v>
      </c>
      <c r="F72" s="29">
        <v>171892536</v>
      </c>
    </row>
    <row r="73" spans="1:6">
      <c r="A73" s="28">
        <v>4001130050</v>
      </c>
      <c r="B73" s="28" t="s">
        <v>103</v>
      </c>
      <c r="C73" s="28" t="s">
        <v>98</v>
      </c>
      <c r="D73" s="29">
        <v>1123737</v>
      </c>
      <c r="E73" s="29">
        <v>2575349</v>
      </c>
      <c r="F73" s="29">
        <v>2575349</v>
      </c>
    </row>
    <row r="74" spans="1:6">
      <c r="A74" s="28">
        <v>4001190390</v>
      </c>
      <c r="B74" s="28" t="s">
        <v>104</v>
      </c>
      <c r="C74" s="28" t="s">
        <v>45</v>
      </c>
      <c r="D74" s="29">
        <v>89205.709923999995</v>
      </c>
      <c r="E74" s="29">
        <v>81171.665825499993</v>
      </c>
      <c r="F74" s="29">
        <v>94496.5011409</v>
      </c>
    </row>
    <row r="75" spans="1:6">
      <c r="A75" s="28">
        <v>4001130070</v>
      </c>
      <c r="B75" s="28" t="s">
        <v>105</v>
      </c>
      <c r="C75" s="28" t="s">
        <v>45</v>
      </c>
      <c r="D75" s="29">
        <v>9782.4065499999997</v>
      </c>
      <c r="E75" s="29">
        <v>8885.6890999999996</v>
      </c>
      <c r="F75" s="29">
        <v>8885.6890999999996</v>
      </c>
    </row>
    <row r="76" spans="1:6">
      <c r="A76" s="28">
        <v>4001130670</v>
      </c>
      <c r="B76" s="28" t="s">
        <v>106</v>
      </c>
      <c r="C76" s="28" t="s">
        <v>45</v>
      </c>
      <c r="D76" s="29"/>
      <c r="E76" s="29"/>
      <c r="F76" s="29">
        <v>6967.9413999999997</v>
      </c>
    </row>
    <row r="77" spans="1:6">
      <c r="A77" s="28">
        <v>4001190400</v>
      </c>
      <c r="B77" s="28" t="s">
        <v>107</v>
      </c>
      <c r="C77" s="28" t="s">
        <v>45</v>
      </c>
      <c r="D77" s="29">
        <v>23200.511320500002</v>
      </c>
      <c r="E77" s="29">
        <v>14962.939721000001</v>
      </c>
      <c r="F77" s="29">
        <v>15624.210465599999</v>
      </c>
    </row>
    <row r="78" spans="1:6">
      <c r="A78" s="28">
        <v>4001190420</v>
      </c>
      <c r="B78" s="28" t="s">
        <v>108</v>
      </c>
      <c r="C78" s="28" t="s">
        <v>45</v>
      </c>
      <c r="D78" s="29">
        <v>-1541.5393988000001</v>
      </c>
      <c r="E78" s="29">
        <v>-1350.8221186000001</v>
      </c>
      <c r="F78" s="29">
        <v>-1503.7150687000001</v>
      </c>
    </row>
    <row r="79" spans="1:6">
      <c r="A79" s="28">
        <v>4001130360</v>
      </c>
      <c r="B79" s="28" t="s">
        <v>109</v>
      </c>
      <c r="C79" s="28" t="s">
        <v>45</v>
      </c>
      <c r="D79" s="29">
        <v>2150.2770169</v>
      </c>
      <c r="E79" s="29">
        <v>2579.5864207</v>
      </c>
      <c r="F79" s="29">
        <v>23198.022620600001</v>
      </c>
    </row>
    <row r="80" spans="1:6">
      <c r="A80" s="28">
        <v>4001130470</v>
      </c>
      <c r="B80" s="28" t="s">
        <v>110</v>
      </c>
      <c r="C80" s="28" t="s">
        <v>45</v>
      </c>
      <c r="D80" s="29">
        <v>55614.054435400001</v>
      </c>
      <c r="E80" s="29">
        <v>56094.272702299997</v>
      </c>
      <c r="F80" s="29">
        <v>41324.352623300001</v>
      </c>
    </row>
    <row r="81" spans="1:6">
      <c r="A81" s="28">
        <v>4001130640</v>
      </c>
      <c r="B81" s="28" t="s">
        <v>111</v>
      </c>
      <c r="C81" s="28" t="s">
        <v>45</v>
      </c>
      <c r="D81" s="29">
        <v>9763.4056693000002</v>
      </c>
      <c r="E81" s="29">
        <v>11630.7016033</v>
      </c>
      <c r="F81" s="29">
        <v>11572.060403699999</v>
      </c>
    </row>
    <row r="82" spans="1:6">
      <c r="A82" s="12"/>
      <c r="B82" s="12"/>
      <c r="C82" s="12"/>
      <c r="D82" s="29"/>
      <c r="E82" s="29"/>
      <c r="F82" s="29"/>
    </row>
    <row r="83" spans="1:6">
      <c r="D83" s="30"/>
      <c r="E83" s="30"/>
      <c r="F83" s="30"/>
    </row>
    <row r="84" spans="1:6">
      <c r="D84" s="30"/>
      <c r="E84" s="30"/>
      <c r="F84" s="30"/>
    </row>
    <row r="85" spans="1:6">
      <c r="D85" s="30"/>
      <c r="E85" s="30"/>
      <c r="F85" s="30"/>
    </row>
  </sheetData>
  <phoneticPr fontId="3" type="noConversion"/>
  <conditionalFormatting sqref="B1">
    <cfRule type="expression" dxfId="2" priority="1" stopIfTrue="1">
      <formula>MID($B$1, 15, 10)-TODAY() &lt; 0</formula>
    </cfRule>
  </conditionalFormatting>
  <dataValidations count="7">
    <dataValidation type="list" allowBlank="1" showInputMessage="1" sqref="B5" xr:uid="{B876EDCC-F0A2-4EEE-AE0F-75A76F422B15}">
      <formula1>"전체,재무상태표,손익계산서,현금흐름표,자본금변동표"</formula1>
    </dataValidation>
    <dataValidation type="list" allowBlank="1" showInputMessage="1" sqref="B6" xr:uid="{ECBB7AB4-AD0F-481D-B971-BCE134A80E82}">
      <formula1>"상세(총액),상세(순액),요약,약식"</formula1>
    </dataValidation>
    <dataValidation type="list" allowBlank="1" showInputMessage="1" sqref="B7" xr:uid="{1BD32392-BA14-4DDE-B46C-CD87F2CAFC99}">
      <formula1>"결산,누적분기,당분기"</formula1>
    </dataValidation>
    <dataValidation type="list" allowBlank="1" showInputMessage="1" sqref="C7" xr:uid="{2AD3C2DC-7CE4-4508-A16A-7738B9F3746E}">
      <formula1>"천원,백만원,억원,십억원"</formula1>
    </dataValidation>
    <dataValidation type="list" allowBlank="1" showInputMessage="1" sqref="B4" xr:uid="{96BEA2EB-6C09-4414-A8D5-927931FD0C5C}">
      <formula1>"별도,연결"</formula1>
    </dataValidation>
    <dataValidation type="list" allowBlank="1" showInputMessage="1" sqref="B8" xr:uid="{19675FE9-43D9-4EDB-9BDA-D24381C22404}">
      <formula1>"1983,1984,1985,1986,1987,1988,1989,1990,1991,1992,1993,1994,1995,1996,1997,1998,1999,2000,2001,2002,2003,2004,2005,2006,2007,2008,2009,2010,2011,2012,2013,2014,2015,2016,2017,2018,2019,2020,2021,2022,2023,2024,2025"</formula1>
    </dataValidation>
    <dataValidation type="list" allowBlank="1" showInputMessage="1" sqref="C8" xr:uid="{EFE384DD-BEC1-4828-8050-1D08E63DB792}">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5899-5DD9-49FA-9853-33E7BF286A8B}">
  <sheetPr codeName="Sheet6">
    <tabColor rgb="FFD0CECE"/>
  </sheetPr>
  <dimension ref="A1:F108"/>
  <sheetViews>
    <sheetView showGridLines="0" zoomScaleNormal="100" workbookViewId="0"/>
  </sheetViews>
  <sheetFormatPr defaultColWidth="8.7265625" defaultRowHeight="19.2"/>
  <cols>
    <col min="2" max="2" width="44" bestFit="1" customWidth="1"/>
    <col min="3" max="3" width="6.6328125" bestFit="1" customWidth="1"/>
    <col min="4" max="6" width="7.81640625" bestFit="1" customWidth="1"/>
  </cols>
  <sheetData>
    <row r="1" spans="1:6">
      <c r="B1" s="13" t="s">
        <v>253</v>
      </c>
    </row>
    <row r="2" spans="1:6">
      <c r="A2" s="14" t="s">
        <v>122</v>
      </c>
      <c r="B2" s="14"/>
      <c r="C2" s="14"/>
      <c r="D2" s="14"/>
      <c r="E2" s="14"/>
      <c r="F2" s="14"/>
    </row>
    <row r="3" spans="1:6">
      <c r="A3" s="15" t="s">
        <v>26</v>
      </c>
      <c r="B3" s="15" t="s">
        <v>129</v>
      </c>
      <c r="C3" s="15"/>
      <c r="D3" s="15"/>
      <c r="E3" s="15"/>
      <c r="F3" s="15"/>
    </row>
    <row r="4" spans="1:6">
      <c r="A4" s="15" t="s">
        <v>27</v>
      </c>
      <c r="B4" s="19" t="s">
        <v>119</v>
      </c>
      <c r="C4" s="15" t="s">
        <v>123</v>
      </c>
      <c r="D4" s="15" t="s">
        <v>118</v>
      </c>
      <c r="E4" s="15"/>
      <c r="F4" s="15"/>
    </row>
    <row r="5" spans="1:6">
      <c r="A5" s="15" t="s">
        <v>28</v>
      </c>
      <c r="B5" s="31" t="s">
        <v>216</v>
      </c>
      <c r="C5" s="15" t="s">
        <v>124</v>
      </c>
      <c r="D5" s="15"/>
      <c r="E5" s="15"/>
      <c r="F5" s="15"/>
    </row>
    <row r="6" spans="1:6">
      <c r="A6" s="15" t="s">
        <v>29</v>
      </c>
      <c r="B6" s="24" t="s">
        <v>116</v>
      </c>
      <c r="C6" s="15"/>
      <c r="D6" s="15"/>
      <c r="E6" s="15"/>
      <c r="F6" s="15"/>
    </row>
    <row r="7" spans="1:6">
      <c r="A7" s="15" t="s">
        <v>30</v>
      </c>
      <c r="B7" s="23" t="s">
        <v>252</v>
      </c>
      <c r="C7" s="24" t="s">
        <v>45</v>
      </c>
      <c r="D7" s="15"/>
      <c r="E7" s="15"/>
      <c r="F7" s="15"/>
    </row>
    <row r="8" spans="1:6">
      <c r="A8" s="38" t="s">
        <v>112</v>
      </c>
      <c r="B8" s="39">
        <v>2022</v>
      </c>
      <c r="C8" s="40" t="s">
        <v>120</v>
      </c>
      <c r="D8" s="38"/>
      <c r="E8" s="38"/>
      <c r="F8" s="38"/>
    </row>
    <row r="9" spans="1:6">
      <c r="A9" s="41" t="s">
        <v>31</v>
      </c>
      <c r="B9" s="41" t="s">
        <v>32</v>
      </c>
      <c r="C9" s="41" t="s">
        <v>33</v>
      </c>
      <c r="D9" s="41">
        <v>202212</v>
      </c>
      <c r="E9" s="41">
        <v>202312</v>
      </c>
      <c r="F9" s="41">
        <v>202412</v>
      </c>
    </row>
    <row r="10" spans="1:6">
      <c r="A10" s="36"/>
      <c r="B10" s="36"/>
      <c r="C10" s="36"/>
      <c r="D10" s="36" t="s">
        <v>43</v>
      </c>
      <c r="E10" s="36" t="s">
        <v>43</v>
      </c>
      <c r="F10" s="36" t="s">
        <v>43</v>
      </c>
    </row>
    <row r="11" spans="1:6">
      <c r="A11" s="28">
        <v>4001210000</v>
      </c>
      <c r="B11" s="28" t="s">
        <v>131</v>
      </c>
      <c r="C11" s="28" t="s">
        <v>45</v>
      </c>
      <c r="D11" s="29">
        <v>131307.52887519999</v>
      </c>
      <c r="E11" s="29">
        <v>130785.36180470001</v>
      </c>
      <c r="F11" s="29">
        <v>123940.2364901</v>
      </c>
    </row>
    <row r="12" spans="1:6">
      <c r="A12" s="28">
        <v>4001210010</v>
      </c>
      <c r="B12" s="28" t="s">
        <v>132</v>
      </c>
      <c r="C12" s="28" t="s">
        <v>45</v>
      </c>
      <c r="D12" s="29"/>
      <c r="E12" s="29"/>
      <c r="F12" s="29"/>
    </row>
    <row r="13" spans="1:6">
      <c r="A13" s="28">
        <v>4001210020</v>
      </c>
      <c r="B13" s="28" t="s">
        <v>133</v>
      </c>
      <c r="C13" s="28" t="s">
        <v>45</v>
      </c>
      <c r="D13" s="29"/>
      <c r="E13" s="29"/>
      <c r="F13" s="29"/>
    </row>
    <row r="14" spans="1:6">
      <c r="A14" s="28">
        <v>4001210320</v>
      </c>
      <c r="B14" s="28" t="s">
        <v>134</v>
      </c>
      <c r="C14" s="28" t="s">
        <v>45</v>
      </c>
      <c r="D14" s="29">
        <v>107317.5326426</v>
      </c>
      <c r="E14" s="29">
        <v>109132.408346</v>
      </c>
      <c r="F14" s="29">
        <v>110081.68322409999</v>
      </c>
    </row>
    <row r="15" spans="1:6">
      <c r="A15" s="28">
        <v>4001210780</v>
      </c>
      <c r="B15" s="28" t="s">
        <v>135</v>
      </c>
      <c r="C15" s="28" t="s">
        <v>45</v>
      </c>
      <c r="D15" s="29">
        <v>23989.996232599999</v>
      </c>
      <c r="E15" s="29">
        <v>21652.953458600001</v>
      </c>
      <c r="F15" s="29">
        <v>13858.5532659</v>
      </c>
    </row>
    <row r="16" spans="1:6">
      <c r="A16" s="28">
        <v>4001290000</v>
      </c>
      <c r="B16" s="28" t="s">
        <v>136</v>
      </c>
      <c r="C16" s="28" t="s">
        <v>45</v>
      </c>
      <c r="D16" s="29">
        <v>14752.72969</v>
      </c>
      <c r="E16" s="29">
        <v>15860.583183299999</v>
      </c>
      <c r="F16" s="29">
        <v>16860.932865399998</v>
      </c>
    </row>
    <row r="17" spans="1:6">
      <c r="A17" s="28">
        <v>4001290010</v>
      </c>
      <c r="B17" s="28" t="s">
        <v>137</v>
      </c>
      <c r="C17" s="28" t="s">
        <v>45</v>
      </c>
      <c r="D17" s="29">
        <v>5165.2094900000002</v>
      </c>
      <c r="E17" s="29">
        <v>6084.8399300000001</v>
      </c>
      <c r="F17" s="29">
        <v>6952.4230100000004</v>
      </c>
    </row>
    <row r="18" spans="1:6">
      <c r="A18" s="28">
        <v>4001290020</v>
      </c>
      <c r="B18" s="28" t="s">
        <v>138</v>
      </c>
      <c r="C18" s="28" t="s">
        <v>45</v>
      </c>
      <c r="D18" s="29">
        <v>901.12022000000002</v>
      </c>
      <c r="E18" s="29">
        <v>1106.3489</v>
      </c>
      <c r="F18" s="29">
        <v>1344.2555199999999</v>
      </c>
    </row>
    <row r="19" spans="1:6">
      <c r="A19" s="28">
        <v>4001211300</v>
      </c>
      <c r="B19" s="28" t="s">
        <v>139</v>
      </c>
      <c r="C19" s="28" t="s">
        <v>45</v>
      </c>
      <c r="D19" s="29">
        <v>1411.20316</v>
      </c>
      <c r="E19" s="29">
        <v>1271.4068</v>
      </c>
      <c r="F19" s="29">
        <v>916.33605</v>
      </c>
    </row>
    <row r="20" spans="1:6">
      <c r="A20" s="28">
        <v>4001211060</v>
      </c>
      <c r="B20" s="28" t="s">
        <v>140</v>
      </c>
      <c r="C20" s="28" t="s">
        <v>45</v>
      </c>
      <c r="D20" s="29">
        <v>245.95585</v>
      </c>
      <c r="E20" s="29">
        <v>288.00610999999998</v>
      </c>
      <c r="F20" s="29">
        <v>243.42648</v>
      </c>
    </row>
    <row r="21" spans="1:6">
      <c r="A21" s="28">
        <v>4001290040</v>
      </c>
      <c r="B21" s="28" t="s">
        <v>141</v>
      </c>
      <c r="C21" s="28" t="s">
        <v>45</v>
      </c>
      <c r="D21" s="29">
        <v>3764.66635</v>
      </c>
      <c r="E21" s="29">
        <v>3861.8258700000001</v>
      </c>
      <c r="F21" s="29">
        <v>3685.7871599999999</v>
      </c>
    </row>
    <row r="22" spans="1:6">
      <c r="A22" s="28">
        <v>4001290090</v>
      </c>
      <c r="B22" s="28" t="s">
        <v>142</v>
      </c>
      <c r="C22" s="28" t="s">
        <v>45</v>
      </c>
      <c r="D22" s="29">
        <v>3097.1477100000002</v>
      </c>
      <c r="E22" s="29">
        <v>3143.8880399999998</v>
      </c>
      <c r="F22" s="29">
        <v>3582.9536199999998</v>
      </c>
    </row>
    <row r="23" spans="1:6">
      <c r="A23" s="28">
        <v>4001290110</v>
      </c>
      <c r="B23" s="28" t="s">
        <v>143</v>
      </c>
      <c r="C23" s="28" t="s">
        <v>45</v>
      </c>
      <c r="D23" s="29"/>
      <c r="E23" s="29"/>
      <c r="F23" s="29"/>
    </row>
    <row r="24" spans="1:6">
      <c r="A24" s="28">
        <v>4001211420</v>
      </c>
      <c r="B24" s="28" t="s">
        <v>144</v>
      </c>
      <c r="C24" s="28" t="s">
        <v>45</v>
      </c>
      <c r="D24" s="29">
        <v>167.42690999999999</v>
      </c>
      <c r="E24" s="29">
        <v>104.26752999999999</v>
      </c>
      <c r="F24" s="29">
        <v>135.75102999999999</v>
      </c>
    </row>
    <row r="25" spans="1:6">
      <c r="A25" s="28">
        <v>4001211430</v>
      </c>
      <c r="B25" s="28" t="s">
        <v>145</v>
      </c>
      <c r="C25" s="28" t="s">
        <v>45</v>
      </c>
      <c r="D25" s="29">
        <v>9237.2665426000003</v>
      </c>
      <c r="E25" s="29">
        <v>5792.3702752999998</v>
      </c>
      <c r="F25" s="29">
        <v>-3002.3795995</v>
      </c>
    </row>
    <row r="26" spans="1:6">
      <c r="A26" s="28">
        <v>4001290120</v>
      </c>
      <c r="B26" s="28" t="s">
        <v>146</v>
      </c>
      <c r="C26" s="28" t="s">
        <v>45</v>
      </c>
      <c r="D26" s="29">
        <v>298.44663000000003</v>
      </c>
      <c r="E26" s="29">
        <v>920.49689000000001</v>
      </c>
      <c r="F26" s="29">
        <v>1082.80763</v>
      </c>
    </row>
    <row r="27" spans="1:6">
      <c r="A27" s="28">
        <v>4001290750</v>
      </c>
      <c r="B27" s="28" t="s">
        <v>147</v>
      </c>
      <c r="C27" s="28" t="s">
        <v>45</v>
      </c>
      <c r="D27" s="29">
        <v>285.82422000000003</v>
      </c>
      <c r="E27" s="29">
        <v>883.42584999999997</v>
      </c>
      <c r="F27" s="29">
        <v>1033.82104</v>
      </c>
    </row>
    <row r="28" spans="1:6">
      <c r="A28" s="28">
        <v>4001290760</v>
      </c>
      <c r="B28" s="28" t="s">
        <v>148</v>
      </c>
      <c r="C28" s="28" t="s">
        <v>45</v>
      </c>
      <c r="D28" s="29">
        <v>4.8481399999999999</v>
      </c>
      <c r="E28" s="29">
        <v>23.01041</v>
      </c>
      <c r="F28" s="29">
        <v>34.020989999999998</v>
      </c>
    </row>
    <row r="29" spans="1:6">
      <c r="A29" s="28">
        <v>4001211480</v>
      </c>
      <c r="B29" s="28" t="s">
        <v>149</v>
      </c>
      <c r="C29" s="28" t="s">
        <v>45</v>
      </c>
      <c r="D29" s="29"/>
      <c r="E29" s="29"/>
      <c r="F29" s="29"/>
    </row>
    <row r="30" spans="1:6">
      <c r="A30" s="28">
        <v>4001211520</v>
      </c>
      <c r="B30" s="28" t="s">
        <v>150</v>
      </c>
      <c r="C30" s="28" t="s">
        <v>45</v>
      </c>
      <c r="D30" s="29"/>
      <c r="E30" s="29"/>
      <c r="F30" s="29"/>
    </row>
    <row r="31" spans="1:6">
      <c r="A31" s="28">
        <v>4001211600</v>
      </c>
      <c r="B31" s="28" t="s">
        <v>151</v>
      </c>
      <c r="C31" s="28" t="s">
        <v>45</v>
      </c>
      <c r="D31" s="29"/>
      <c r="E31" s="29"/>
      <c r="F31" s="29"/>
    </row>
    <row r="32" spans="1:6">
      <c r="A32" s="28">
        <v>4001211605</v>
      </c>
      <c r="B32" s="28" t="s">
        <v>152</v>
      </c>
      <c r="C32" s="28" t="s">
        <v>45</v>
      </c>
      <c r="D32" s="29"/>
      <c r="E32" s="29"/>
      <c r="F32" s="29"/>
    </row>
    <row r="33" spans="1:6">
      <c r="A33" s="28">
        <v>4001290130</v>
      </c>
      <c r="B33" s="28" t="s">
        <v>153</v>
      </c>
      <c r="C33" s="28" t="s">
        <v>45</v>
      </c>
      <c r="D33" s="29"/>
      <c r="E33" s="29"/>
      <c r="F33" s="29"/>
    </row>
    <row r="34" spans="1:6">
      <c r="A34" s="28">
        <v>4001290150</v>
      </c>
      <c r="B34" s="28" t="s">
        <v>154</v>
      </c>
      <c r="C34" s="28" t="s">
        <v>45</v>
      </c>
      <c r="D34" s="29"/>
      <c r="E34" s="29"/>
      <c r="F34" s="29"/>
    </row>
    <row r="35" spans="1:6">
      <c r="A35" s="28">
        <v>4001211720</v>
      </c>
      <c r="B35" s="28" t="s">
        <v>155</v>
      </c>
      <c r="C35" s="28" t="s">
        <v>45</v>
      </c>
      <c r="D35" s="29"/>
      <c r="E35" s="29"/>
      <c r="F35" s="29"/>
    </row>
    <row r="36" spans="1:6">
      <c r="A36" s="28">
        <v>4001211680</v>
      </c>
      <c r="B36" s="28" t="s">
        <v>156</v>
      </c>
      <c r="C36" s="28" t="s">
        <v>45</v>
      </c>
      <c r="D36" s="29"/>
      <c r="E36" s="29"/>
      <c r="F36" s="29"/>
    </row>
    <row r="37" spans="1:6">
      <c r="A37" s="28">
        <v>4001290170</v>
      </c>
      <c r="B37" s="28" t="s">
        <v>157</v>
      </c>
      <c r="C37" s="28" t="s">
        <v>45</v>
      </c>
      <c r="D37" s="29">
        <v>7.7742699999999996</v>
      </c>
      <c r="E37" s="29">
        <v>14.06063</v>
      </c>
      <c r="F37" s="29">
        <v>14.9656</v>
      </c>
    </row>
    <row r="38" spans="1:6">
      <c r="A38" s="28">
        <v>4001290180</v>
      </c>
      <c r="B38" s="28" t="s">
        <v>158</v>
      </c>
      <c r="C38" s="28" t="s">
        <v>45</v>
      </c>
      <c r="D38" s="29">
        <v>2009.4203600000001</v>
      </c>
      <c r="E38" s="29">
        <v>4114.1431300000004</v>
      </c>
      <c r="F38" s="29">
        <v>5484.2021800000002</v>
      </c>
    </row>
    <row r="39" spans="1:6">
      <c r="A39" s="28">
        <v>4001290770</v>
      </c>
      <c r="B39" s="28" t="s">
        <v>159</v>
      </c>
      <c r="C39" s="28" t="s">
        <v>45</v>
      </c>
      <c r="D39" s="29">
        <v>2009.4203600000001</v>
      </c>
      <c r="E39" s="29">
        <v>4114.1431300000004</v>
      </c>
      <c r="F39" s="29">
        <v>5484.2021800000002</v>
      </c>
    </row>
    <row r="40" spans="1:6">
      <c r="A40" s="28">
        <v>4001211820</v>
      </c>
      <c r="B40" s="28" t="s">
        <v>160</v>
      </c>
      <c r="C40" s="28" t="s">
        <v>45</v>
      </c>
      <c r="D40" s="29"/>
      <c r="E40" s="29"/>
      <c r="F40" s="29"/>
    </row>
    <row r="41" spans="1:6">
      <c r="A41" s="28">
        <v>4001211860</v>
      </c>
      <c r="B41" s="28" t="s">
        <v>161</v>
      </c>
      <c r="C41" s="28" t="s">
        <v>45</v>
      </c>
      <c r="D41" s="29"/>
      <c r="E41" s="29"/>
      <c r="F41" s="29"/>
    </row>
    <row r="42" spans="1:6">
      <c r="A42" s="28">
        <v>4001211865</v>
      </c>
      <c r="B42" s="28" t="s">
        <v>162</v>
      </c>
      <c r="C42" s="28" t="s">
        <v>45</v>
      </c>
      <c r="D42" s="29"/>
      <c r="E42" s="29"/>
      <c r="F42" s="29"/>
    </row>
    <row r="43" spans="1:6">
      <c r="A43" s="28">
        <v>4001211940</v>
      </c>
      <c r="B43" s="28" t="s">
        <v>163</v>
      </c>
      <c r="C43" s="28" t="s">
        <v>45</v>
      </c>
      <c r="D43" s="29"/>
      <c r="E43" s="29"/>
      <c r="F43" s="29"/>
    </row>
    <row r="44" spans="1:6">
      <c r="A44" s="28">
        <v>4001290190</v>
      </c>
      <c r="B44" s="28" t="s">
        <v>164</v>
      </c>
      <c r="C44" s="28" t="s">
        <v>45</v>
      </c>
      <c r="D44" s="29"/>
      <c r="E44" s="29"/>
      <c r="F44" s="29"/>
    </row>
    <row r="45" spans="1:6">
      <c r="A45" s="28">
        <v>4001290210</v>
      </c>
      <c r="B45" s="28" t="s">
        <v>165</v>
      </c>
      <c r="C45" s="28" t="s">
        <v>45</v>
      </c>
      <c r="D45" s="29"/>
      <c r="E45" s="29"/>
      <c r="F45" s="29"/>
    </row>
    <row r="46" spans="1:6">
      <c r="A46" s="28">
        <v>4001212060</v>
      </c>
      <c r="B46" s="28" t="s">
        <v>166</v>
      </c>
      <c r="C46" s="28" t="s">
        <v>45</v>
      </c>
      <c r="D46" s="29"/>
      <c r="E46" s="29"/>
      <c r="F46" s="29"/>
    </row>
    <row r="47" spans="1:6">
      <c r="A47" s="28">
        <v>4001212020</v>
      </c>
      <c r="B47" s="28" t="s">
        <v>167</v>
      </c>
      <c r="C47" s="28" t="s">
        <v>45</v>
      </c>
      <c r="D47" s="29"/>
      <c r="E47" s="29"/>
      <c r="F47" s="29"/>
    </row>
    <row r="48" spans="1:6">
      <c r="A48" s="28">
        <v>4001290230</v>
      </c>
      <c r="B48" s="28" t="s">
        <v>168</v>
      </c>
      <c r="C48" s="28" t="s">
        <v>45</v>
      </c>
      <c r="D48" s="29"/>
      <c r="E48" s="29"/>
      <c r="F48" s="29"/>
    </row>
    <row r="49" spans="1:6">
      <c r="A49" s="28">
        <v>4001290240</v>
      </c>
      <c r="B49" s="28" t="s">
        <v>169</v>
      </c>
      <c r="C49" s="28" t="s">
        <v>45</v>
      </c>
      <c r="D49" s="29">
        <v>9117.4447</v>
      </c>
      <c r="E49" s="29">
        <v>5643.0608700000003</v>
      </c>
      <c r="F49" s="29">
        <v>6942.6238700000004</v>
      </c>
    </row>
    <row r="50" spans="1:6">
      <c r="A50" s="28">
        <v>4001280000</v>
      </c>
      <c r="B50" s="28" t="s">
        <v>147</v>
      </c>
      <c r="C50" s="28" t="s">
        <v>45</v>
      </c>
      <c r="D50" s="29"/>
      <c r="E50" s="29"/>
      <c r="F50" s="29"/>
    </row>
    <row r="51" spans="1:6">
      <c r="A51" s="28">
        <v>4001280010</v>
      </c>
      <c r="B51" s="28" t="s">
        <v>148</v>
      </c>
      <c r="C51" s="28" t="s">
        <v>45</v>
      </c>
      <c r="D51" s="29"/>
      <c r="E51" s="29"/>
      <c r="F51" s="29"/>
    </row>
    <row r="52" spans="1:6">
      <c r="A52" s="28">
        <v>4001290250</v>
      </c>
      <c r="B52" s="28" t="s">
        <v>149</v>
      </c>
      <c r="C52" s="28" t="s">
        <v>45</v>
      </c>
      <c r="D52" s="29">
        <v>6196.1681099999996</v>
      </c>
      <c r="E52" s="29">
        <v>3686.1405399999999</v>
      </c>
      <c r="F52" s="29">
        <v>3502.0946899999999</v>
      </c>
    </row>
    <row r="53" spans="1:6">
      <c r="A53" s="28">
        <v>4001280050</v>
      </c>
      <c r="B53" s="28" t="s">
        <v>170</v>
      </c>
      <c r="C53" s="28" t="s">
        <v>45</v>
      </c>
      <c r="D53" s="29"/>
      <c r="E53" s="29"/>
      <c r="F53" s="29"/>
    </row>
    <row r="54" spans="1:6">
      <c r="A54" s="28">
        <v>4001280060</v>
      </c>
      <c r="B54" s="28" t="s">
        <v>171</v>
      </c>
      <c r="C54" s="28" t="s">
        <v>45</v>
      </c>
      <c r="D54" s="29"/>
      <c r="E54" s="29"/>
      <c r="F54" s="29"/>
    </row>
    <row r="55" spans="1:6">
      <c r="A55" s="28">
        <v>4001280065</v>
      </c>
      <c r="B55" s="28" t="s">
        <v>172</v>
      </c>
      <c r="C55" s="28" t="s">
        <v>45</v>
      </c>
      <c r="D55" s="29">
        <v>15.685320000000001</v>
      </c>
      <c r="E55" s="29">
        <v>5.6000300000000003</v>
      </c>
      <c r="F55" s="29"/>
    </row>
    <row r="56" spans="1:6">
      <c r="A56" s="28">
        <v>4001290260</v>
      </c>
      <c r="B56" s="28" t="s">
        <v>173</v>
      </c>
      <c r="C56" s="28" t="s">
        <v>45</v>
      </c>
      <c r="D56" s="29">
        <v>140.36494999999999</v>
      </c>
      <c r="E56" s="29">
        <v>85.086669999999998</v>
      </c>
      <c r="F56" s="29">
        <v>34.93374</v>
      </c>
    </row>
    <row r="57" spans="1:6">
      <c r="A57" s="28">
        <v>4001280140</v>
      </c>
      <c r="B57" s="28" t="s">
        <v>174</v>
      </c>
      <c r="C57" s="28" t="s">
        <v>45</v>
      </c>
      <c r="D57" s="29"/>
      <c r="E57" s="29"/>
      <c r="F57" s="29"/>
    </row>
    <row r="58" spans="1:6">
      <c r="A58" s="28">
        <v>4001290280</v>
      </c>
      <c r="B58" s="28" t="s">
        <v>175</v>
      </c>
      <c r="C58" s="28" t="s">
        <v>45</v>
      </c>
      <c r="D58" s="29"/>
      <c r="E58" s="29">
        <v>5.0358599999999996</v>
      </c>
      <c r="F58" s="29">
        <v>4.9942399999999996</v>
      </c>
    </row>
    <row r="59" spans="1:6">
      <c r="A59" s="28">
        <v>4001290300</v>
      </c>
      <c r="B59" s="28" t="s">
        <v>156</v>
      </c>
      <c r="C59" s="28" t="s">
        <v>45</v>
      </c>
      <c r="D59" s="29">
        <v>2165.7107799999999</v>
      </c>
      <c r="E59" s="29">
        <v>980.26347999999996</v>
      </c>
      <c r="F59" s="29">
        <v>2365.0797200000002</v>
      </c>
    </row>
    <row r="60" spans="1:6">
      <c r="A60" s="28">
        <v>4001280240</v>
      </c>
      <c r="B60" s="28" t="s">
        <v>176</v>
      </c>
      <c r="C60" s="28" t="s">
        <v>45</v>
      </c>
      <c r="D60" s="29">
        <v>5.7971700000000004</v>
      </c>
      <c r="E60" s="29">
        <v>4.6412300000000002</v>
      </c>
      <c r="F60" s="29">
        <v>4.0221099999999996</v>
      </c>
    </row>
    <row r="61" spans="1:6">
      <c r="A61" s="28">
        <v>4001280250</v>
      </c>
      <c r="B61" s="28" t="s">
        <v>177</v>
      </c>
      <c r="C61" s="28" t="s">
        <v>45</v>
      </c>
      <c r="D61" s="29"/>
      <c r="E61" s="29"/>
      <c r="F61" s="29"/>
    </row>
    <row r="62" spans="1:6">
      <c r="A62" s="28">
        <v>4001280260</v>
      </c>
      <c r="B62" s="28" t="s">
        <v>178</v>
      </c>
      <c r="C62" s="28" t="s">
        <v>45</v>
      </c>
      <c r="D62" s="29"/>
      <c r="E62" s="29"/>
      <c r="F62" s="29"/>
    </row>
    <row r="63" spans="1:6">
      <c r="A63" s="28">
        <v>4001280270</v>
      </c>
      <c r="B63" s="28" t="s">
        <v>179</v>
      </c>
      <c r="C63" s="28" t="s">
        <v>45</v>
      </c>
      <c r="D63" s="29">
        <v>0.20846999999999999</v>
      </c>
      <c r="E63" s="29">
        <v>19.53791</v>
      </c>
      <c r="F63" s="29">
        <v>3.9564900000000001</v>
      </c>
    </row>
    <row r="64" spans="1:6">
      <c r="A64" s="28">
        <v>4001280280</v>
      </c>
      <c r="B64" s="28" t="s">
        <v>180</v>
      </c>
      <c r="C64" s="28" t="s">
        <v>45</v>
      </c>
      <c r="D64" s="29"/>
      <c r="E64" s="29"/>
      <c r="F64" s="29"/>
    </row>
    <row r="65" spans="1:6">
      <c r="A65" s="28">
        <v>4001290310</v>
      </c>
      <c r="B65" s="28" t="s">
        <v>181</v>
      </c>
      <c r="C65" s="28" t="s">
        <v>45</v>
      </c>
      <c r="D65" s="29">
        <v>593.50990000000002</v>
      </c>
      <c r="E65" s="29">
        <v>856.75514999999996</v>
      </c>
      <c r="F65" s="29">
        <v>1027.54288</v>
      </c>
    </row>
    <row r="66" spans="1:6">
      <c r="A66" s="28">
        <v>4001290320</v>
      </c>
      <c r="B66" s="28" t="s">
        <v>182</v>
      </c>
      <c r="C66" s="28" t="s">
        <v>45</v>
      </c>
      <c r="D66" s="29">
        <v>10130.21984</v>
      </c>
      <c r="E66" s="29">
        <v>7755.6283100000001</v>
      </c>
      <c r="F66" s="29">
        <v>10509.071180000001</v>
      </c>
    </row>
    <row r="67" spans="1:6">
      <c r="A67" s="28">
        <v>4001280400</v>
      </c>
      <c r="B67" s="28" t="s">
        <v>159</v>
      </c>
      <c r="C67" s="28" t="s">
        <v>45</v>
      </c>
      <c r="D67" s="29"/>
      <c r="E67" s="29"/>
      <c r="F67" s="29"/>
    </row>
    <row r="68" spans="1:6">
      <c r="A68" s="28">
        <v>4001290330</v>
      </c>
      <c r="B68" s="28" t="s">
        <v>160</v>
      </c>
      <c r="C68" s="28" t="s">
        <v>45</v>
      </c>
      <c r="D68" s="29">
        <v>6721.7393499999998</v>
      </c>
      <c r="E68" s="29">
        <v>3558.3063499999998</v>
      </c>
      <c r="F68" s="29">
        <v>4262.8503700000001</v>
      </c>
    </row>
    <row r="69" spans="1:6">
      <c r="A69" s="28">
        <v>4001280440</v>
      </c>
      <c r="B69" s="28" t="s">
        <v>183</v>
      </c>
      <c r="C69" s="28" t="s">
        <v>45</v>
      </c>
      <c r="D69" s="29"/>
      <c r="E69" s="29"/>
      <c r="F69" s="29"/>
    </row>
    <row r="70" spans="1:6">
      <c r="A70" s="28">
        <v>4001280450</v>
      </c>
      <c r="B70" s="28" t="s">
        <v>184</v>
      </c>
      <c r="C70" s="28" t="s">
        <v>45</v>
      </c>
      <c r="D70" s="29">
        <v>4.8037000000000001</v>
      </c>
      <c r="E70" s="29">
        <v>4.9567600000000001</v>
      </c>
      <c r="F70" s="29">
        <v>71.133499999999998</v>
      </c>
    </row>
    <row r="71" spans="1:6">
      <c r="A71" s="28">
        <v>4001280455</v>
      </c>
      <c r="B71" s="28" t="s">
        <v>185</v>
      </c>
      <c r="C71" s="28" t="s">
        <v>45</v>
      </c>
      <c r="D71" s="29">
        <v>31.23668</v>
      </c>
      <c r="E71" s="29">
        <v>105.08037</v>
      </c>
      <c r="F71" s="29">
        <v>730.43357000000003</v>
      </c>
    </row>
    <row r="72" spans="1:6">
      <c r="A72" s="28">
        <v>4001290340</v>
      </c>
      <c r="B72" s="28" t="s">
        <v>186</v>
      </c>
      <c r="C72" s="28" t="s">
        <v>45</v>
      </c>
      <c r="D72" s="29">
        <v>315.01283000000001</v>
      </c>
      <c r="E72" s="29">
        <v>107.25306999999999</v>
      </c>
      <c r="F72" s="29">
        <v>568.65629999999999</v>
      </c>
    </row>
    <row r="73" spans="1:6">
      <c r="A73" s="28">
        <v>4001280540</v>
      </c>
      <c r="B73" s="28" t="s">
        <v>187</v>
      </c>
      <c r="C73" s="28" t="s">
        <v>45</v>
      </c>
      <c r="D73" s="29"/>
      <c r="E73" s="29"/>
      <c r="F73" s="29"/>
    </row>
    <row r="74" spans="1:6">
      <c r="A74" s="28">
        <v>4001290360</v>
      </c>
      <c r="B74" s="28" t="s">
        <v>188</v>
      </c>
      <c r="C74" s="28" t="s">
        <v>45</v>
      </c>
      <c r="D74" s="29">
        <v>627.24743999999998</v>
      </c>
      <c r="E74" s="29">
        <v>1521.7556099999999</v>
      </c>
      <c r="F74" s="29">
        <v>1155.4115200000001</v>
      </c>
    </row>
    <row r="75" spans="1:6">
      <c r="A75" s="28">
        <v>4001290380</v>
      </c>
      <c r="B75" s="28" t="s">
        <v>167</v>
      </c>
      <c r="C75" s="28" t="s">
        <v>45</v>
      </c>
      <c r="D75" s="29">
        <v>1571.15067</v>
      </c>
      <c r="E75" s="29">
        <v>1093.54709</v>
      </c>
      <c r="F75" s="29">
        <v>1019.45633</v>
      </c>
    </row>
    <row r="76" spans="1:6">
      <c r="A76" s="28">
        <v>4001280650</v>
      </c>
      <c r="B76" s="28" t="s">
        <v>189</v>
      </c>
      <c r="C76" s="28" t="s">
        <v>45</v>
      </c>
      <c r="D76" s="29">
        <v>13.37838</v>
      </c>
      <c r="E76" s="29">
        <v>6.3992599999999999</v>
      </c>
      <c r="F76" s="29">
        <v>13.35562</v>
      </c>
    </row>
    <row r="77" spans="1:6">
      <c r="A77" s="28">
        <v>4001280660</v>
      </c>
      <c r="B77" s="28" t="s">
        <v>190</v>
      </c>
      <c r="C77" s="28" t="s">
        <v>45</v>
      </c>
      <c r="D77" s="29"/>
      <c r="E77" s="29"/>
      <c r="F77" s="29"/>
    </row>
    <row r="78" spans="1:6">
      <c r="A78" s="28">
        <v>4001290390</v>
      </c>
      <c r="B78" s="28" t="s">
        <v>181</v>
      </c>
      <c r="C78" s="28" t="s">
        <v>45</v>
      </c>
      <c r="D78" s="29">
        <v>845.65079000000003</v>
      </c>
      <c r="E78" s="29">
        <v>1358.3298</v>
      </c>
      <c r="F78" s="29">
        <v>2687.7739700000002</v>
      </c>
    </row>
    <row r="79" spans="1:6">
      <c r="A79" s="28">
        <v>4001290640</v>
      </c>
      <c r="B79" s="28" t="s">
        <v>191</v>
      </c>
      <c r="C79" s="28" t="s">
        <v>45</v>
      </c>
      <c r="D79" s="29">
        <v>-1018.7442182</v>
      </c>
      <c r="E79" s="29">
        <v>834.69202989999997</v>
      </c>
      <c r="F79" s="29">
        <v>-3266.7864779000001</v>
      </c>
    </row>
    <row r="80" spans="1:6">
      <c r="A80" s="28">
        <v>4001290650</v>
      </c>
      <c r="B80" s="28" t="s">
        <v>192</v>
      </c>
      <c r="C80" s="28" t="s">
        <v>45</v>
      </c>
      <c r="D80" s="29">
        <v>-1018.7442182</v>
      </c>
      <c r="E80" s="29">
        <v>834.69202989999997</v>
      </c>
      <c r="F80" s="29">
        <v>-3266.7864779000001</v>
      </c>
    </row>
    <row r="81" spans="1:6">
      <c r="A81" s="28">
        <v>4001290680</v>
      </c>
      <c r="B81" s="28" t="s">
        <v>193</v>
      </c>
      <c r="C81" s="28" t="s">
        <v>45</v>
      </c>
      <c r="D81" s="29"/>
      <c r="E81" s="29"/>
      <c r="F81" s="29"/>
    </row>
    <row r="82" spans="1:6">
      <c r="A82" s="28">
        <v>4001290710</v>
      </c>
      <c r="B82" s="28" t="s">
        <v>194</v>
      </c>
      <c r="C82" s="28" t="s">
        <v>45</v>
      </c>
      <c r="D82" s="29"/>
      <c r="E82" s="29"/>
      <c r="F82" s="29"/>
    </row>
    <row r="83" spans="1:6">
      <c r="A83" s="28">
        <v>4001290740</v>
      </c>
      <c r="B83" s="28" t="s">
        <v>181</v>
      </c>
      <c r="C83" s="28" t="s">
        <v>45</v>
      </c>
      <c r="D83" s="29"/>
      <c r="E83" s="29"/>
      <c r="F83" s="29"/>
    </row>
    <row r="84" spans="1:6">
      <c r="A84" s="28">
        <v>4001212380</v>
      </c>
      <c r="B84" s="28" t="s">
        <v>195</v>
      </c>
      <c r="C84" s="28" t="s">
        <v>45</v>
      </c>
      <c r="D84" s="29">
        <v>5494.7734442999999</v>
      </c>
      <c r="E84" s="29">
        <v>1320.8486204000001</v>
      </c>
      <c r="F84" s="29">
        <v>-14237.007930899999</v>
      </c>
    </row>
    <row r="85" spans="1:6">
      <c r="A85" s="28">
        <v>4001212390</v>
      </c>
      <c r="B85" s="28" t="s">
        <v>196</v>
      </c>
      <c r="C85" s="28" t="s">
        <v>45</v>
      </c>
      <c r="D85" s="29">
        <v>2022.7668644</v>
      </c>
      <c r="E85" s="29">
        <v>465.82714920000001</v>
      </c>
      <c r="F85" s="29">
        <v>-3156.4504298000002</v>
      </c>
    </row>
    <row r="86" spans="1:6">
      <c r="A86" s="28">
        <v>4001212400</v>
      </c>
      <c r="B86" s="28" t="s">
        <v>197</v>
      </c>
      <c r="C86" s="28" t="s">
        <v>45</v>
      </c>
      <c r="D86" s="29"/>
      <c r="E86" s="29"/>
      <c r="F86" s="29"/>
    </row>
    <row r="87" spans="1:6">
      <c r="A87" s="28">
        <v>4001212410</v>
      </c>
      <c r="B87" s="28" t="s">
        <v>198</v>
      </c>
      <c r="C87" s="28" t="s">
        <v>45</v>
      </c>
      <c r="D87" s="29"/>
      <c r="E87" s="29"/>
      <c r="F87" s="29"/>
    </row>
    <row r="88" spans="1:6">
      <c r="A88" s="28">
        <v>4001212420</v>
      </c>
      <c r="B88" s="28" t="s">
        <v>199</v>
      </c>
      <c r="C88" s="28" t="s">
        <v>45</v>
      </c>
      <c r="D88" s="29">
        <v>3468.0851714999999</v>
      </c>
      <c r="E88" s="29">
        <v>817.45687629999998</v>
      </c>
      <c r="F88" s="29">
        <v>-11092.2711652</v>
      </c>
    </row>
    <row r="89" spans="1:6">
      <c r="A89" s="28">
        <v>4001212430</v>
      </c>
      <c r="B89" s="28" t="s">
        <v>200</v>
      </c>
      <c r="C89" s="28" t="s">
        <v>45</v>
      </c>
      <c r="D89" s="29">
        <v>192.14633950000001</v>
      </c>
      <c r="E89" s="29">
        <v>-1699.6824187</v>
      </c>
      <c r="F89" s="29">
        <v>-2597.5335792999999</v>
      </c>
    </row>
    <row r="90" spans="1:6">
      <c r="A90" s="28">
        <v>4001212450</v>
      </c>
      <c r="B90" s="28" t="s">
        <v>201</v>
      </c>
      <c r="C90" s="28" t="s">
        <v>45</v>
      </c>
      <c r="D90" s="29">
        <v>3660.2315110999998</v>
      </c>
      <c r="E90" s="29">
        <v>-882.22554239999999</v>
      </c>
      <c r="F90" s="29">
        <v>-13689.8047446</v>
      </c>
    </row>
    <row r="91" spans="1:6">
      <c r="A91" s="28">
        <v>4001220000</v>
      </c>
      <c r="B91" s="28" t="s">
        <v>202</v>
      </c>
      <c r="C91" s="28" t="s">
        <v>45</v>
      </c>
      <c r="D91" s="29">
        <v>2188.0911245000002</v>
      </c>
      <c r="E91" s="29">
        <v>211.7425643</v>
      </c>
      <c r="F91" s="29">
        <v>21258.725051900001</v>
      </c>
    </row>
    <row r="92" spans="1:6">
      <c r="A92" s="28">
        <v>4001220120</v>
      </c>
      <c r="B92" s="28" t="s">
        <v>203</v>
      </c>
      <c r="C92" s="28" t="s">
        <v>45</v>
      </c>
      <c r="D92" s="29">
        <v>5848.3226355999996</v>
      </c>
      <c r="E92" s="29">
        <v>-670.482978</v>
      </c>
      <c r="F92" s="29">
        <v>7568.9203072</v>
      </c>
    </row>
    <row r="93" spans="1:6">
      <c r="A93" s="28">
        <v>4001230000</v>
      </c>
      <c r="B93" s="28" t="s">
        <v>204</v>
      </c>
      <c r="C93" s="28" t="s">
        <v>45</v>
      </c>
      <c r="D93" s="29">
        <v>3591.4627940999999</v>
      </c>
      <c r="E93" s="29">
        <v>-1410.3860772999999</v>
      </c>
      <c r="F93" s="29">
        <v>-14043.993635700001</v>
      </c>
    </row>
    <row r="94" spans="1:6">
      <c r="A94" s="28">
        <v>4001230030</v>
      </c>
      <c r="B94" s="28" t="s">
        <v>205</v>
      </c>
      <c r="C94" s="28" t="s">
        <v>45</v>
      </c>
      <c r="D94" s="29">
        <v>68.768716999999995</v>
      </c>
      <c r="E94" s="29">
        <v>528.16053490000002</v>
      </c>
      <c r="F94" s="29">
        <v>354.18889109999998</v>
      </c>
    </row>
    <row r="95" spans="1:6">
      <c r="A95" s="28">
        <v>4001230060</v>
      </c>
      <c r="B95" s="28" t="s">
        <v>206</v>
      </c>
      <c r="C95" s="28" t="s">
        <v>45</v>
      </c>
      <c r="D95" s="29">
        <v>5804.9197723999996</v>
      </c>
      <c r="E95" s="29">
        <v>-1248.9355369</v>
      </c>
      <c r="F95" s="29">
        <v>6480.1219793999999</v>
      </c>
    </row>
    <row r="96" spans="1:6">
      <c r="A96" s="28">
        <v>4001230070</v>
      </c>
      <c r="B96" s="28" t="s">
        <v>207</v>
      </c>
      <c r="C96" s="28" t="s">
        <v>45</v>
      </c>
      <c r="D96" s="29">
        <v>43.402863099999998</v>
      </c>
      <c r="E96" s="29">
        <v>578.45255880000002</v>
      </c>
      <c r="F96" s="29">
        <v>1088.7983277999999</v>
      </c>
    </row>
    <row r="97" spans="1:6">
      <c r="A97" s="28">
        <v>4001230080</v>
      </c>
      <c r="B97" s="28" t="s">
        <v>208</v>
      </c>
      <c r="C97" s="28" t="s">
        <v>100</v>
      </c>
      <c r="D97" s="29"/>
      <c r="E97" s="29"/>
      <c r="F97" s="29"/>
    </row>
    <row r="98" spans="1:6">
      <c r="A98" s="28">
        <v>4001230090</v>
      </c>
      <c r="B98" s="28" t="s">
        <v>209</v>
      </c>
      <c r="C98" s="28" t="s">
        <v>100</v>
      </c>
      <c r="D98" s="29"/>
      <c r="E98" s="29"/>
      <c r="F98" s="29"/>
    </row>
    <row r="99" spans="1:6">
      <c r="A99" s="28">
        <v>4001230100</v>
      </c>
      <c r="B99" s="28" t="s">
        <v>210</v>
      </c>
      <c r="C99" s="28" t="s">
        <v>100</v>
      </c>
      <c r="D99" s="29"/>
      <c r="E99" s="29"/>
      <c r="F99" s="29"/>
    </row>
    <row r="100" spans="1:6">
      <c r="A100" s="28">
        <v>4001230110</v>
      </c>
      <c r="B100" s="28" t="s">
        <v>211</v>
      </c>
      <c r="C100" s="28" t="s">
        <v>100</v>
      </c>
      <c r="D100" s="29"/>
      <c r="E100" s="29"/>
      <c r="F100" s="29"/>
    </row>
    <row r="101" spans="1:6">
      <c r="A101" s="28">
        <v>4001230120</v>
      </c>
      <c r="B101" s="28" t="s">
        <v>212</v>
      </c>
      <c r="C101" s="28" t="s">
        <v>100</v>
      </c>
      <c r="D101" s="29">
        <v>1773</v>
      </c>
      <c r="E101" s="29">
        <v>163</v>
      </c>
      <c r="F101" s="29">
        <v>-6663</v>
      </c>
    </row>
    <row r="102" spans="1:6">
      <c r="A102" s="28">
        <v>4001230130</v>
      </c>
      <c r="B102" s="28" t="s">
        <v>213</v>
      </c>
      <c r="C102" s="28" t="s">
        <v>100</v>
      </c>
      <c r="D102" s="29">
        <v>1873</v>
      </c>
      <c r="E102" s="29">
        <v>-802</v>
      </c>
      <c r="F102" s="29">
        <v>-8161</v>
      </c>
    </row>
    <row r="103" spans="1:6">
      <c r="A103" s="28">
        <v>4001230140</v>
      </c>
      <c r="B103" s="28" t="s">
        <v>214</v>
      </c>
      <c r="C103" s="28" t="s">
        <v>100</v>
      </c>
      <c r="D103" s="29"/>
      <c r="E103" s="29"/>
      <c r="F103" s="29"/>
    </row>
    <row r="104" spans="1:6">
      <c r="A104" s="28">
        <v>4001230150</v>
      </c>
      <c r="B104" s="28" t="s">
        <v>215</v>
      </c>
      <c r="C104" s="28" t="s">
        <v>100</v>
      </c>
      <c r="D104" s="29"/>
      <c r="E104" s="29"/>
      <c r="F104" s="29"/>
    </row>
    <row r="105" spans="1:6">
      <c r="A105" s="12"/>
      <c r="B105" s="12"/>
      <c r="C105" s="12"/>
      <c r="D105" s="29"/>
      <c r="E105" s="29"/>
      <c r="F105" s="29"/>
    </row>
    <row r="106" spans="1:6">
      <c r="D106" s="30"/>
      <c r="E106" s="30"/>
      <c r="F106" s="30"/>
    </row>
    <row r="107" spans="1:6">
      <c r="D107" s="30"/>
      <c r="E107" s="30"/>
      <c r="F107" s="30"/>
    </row>
    <row r="108" spans="1:6">
      <c r="D108" s="30"/>
      <c r="E108" s="30"/>
      <c r="F108" s="30"/>
    </row>
  </sheetData>
  <phoneticPr fontId="3" type="noConversion"/>
  <conditionalFormatting sqref="B1">
    <cfRule type="expression" dxfId="1" priority="1" stopIfTrue="1">
      <formula>MID($B$1, 15, 10)-TODAY() &lt; 0</formula>
    </cfRule>
  </conditionalFormatting>
  <dataValidations count="7">
    <dataValidation type="list" allowBlank="1" showInputMessage="1" sqref="B5" xr:uid="{9635BC50-8407-48EC-8FAA-95C72BDA0889}">
      <formula1>"전체,재무상태표,손익계산서,현금흐름표,자본금변동표"</formula1>
    </dataValidation>
    <dataValidation type="list" allowBlank="1" showInputMessage="1" sqref="B6" xr:uid="{533AE548-2461-4DFF-BC8D-34E390E16DCA}">
      <formula1>"상세(총액),상세(순액),요약,약식"</formula1>
    </dataValidation>
    <dataValidation type="list" allowBlank="1" showInputMessage="1" sqref="B7" xr:uid="{5735C9B0-8DF7-4AA6-9DFF-D79DD2398815}">
      <formula1>"결산,누적분기,당분기"</formula1>
    </dataValidation>
    <dataValidation type="list" allowBlank="1" showInputMessage="1" sqref="C7" xr:uid="{169859FD-090C-4E00-96FE-F76A7D318192}">
      <formula1>"천원,백만원,억원,십억원"</formula1>
    </dataValidation>
    <dataValidation type="list" allowBlank="1" showInputMessage="1" sqref="B4" xr:uid="{8036BF58-C4F8-40BF-A764-1DE93A96BFEF}">
      <formula1>"별도,연결"</formula1>
    </dataValidation>
    <dataValidation type="list" allowBlank="1" showInputMessage="1" sqref="B8" xr:uid="{DE72A337-E6F4-41BB-8442-05A8ED84F5E4}">
      <formula1>"1983,1984,1985,1986,1987,1988,1989,1990,1991,1992,1993,1994,1995,1996,1997,1998,1999,2000,2001,2002,2003,2004,2005,2006,2007,2008,2009,2010,2011,2012,2013,2014,2015,2016,2017,2018,2019,2020,2021,2022,2023,2024,2025"</formula1>
    </dataValidation>
    <dataValidation type="list" allowBlank="1" showInputMessage="1" sqref="C8" xr:uid="{982E1948-C724-4681-AA23-A0D5F71DE6F9}">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BDAAC-60DA-4397-98DA-3ECA47EF096A}">
  <sheetPr codeName="Sheet7">
    <tabColor rgb="FFD0CECE"/>
  </sheetPr>
  <dimension ref="A1:F60"/>
  <sheetViews>
    <sheetView showGridLines="0" workbookViewId="0"/>
  </sheetViews>
  <sheetFormatPr defaultColWidth="8.7265625" defaultRowHeight="19.2"/>
  <cols>
    <col min="2" max="2" width="44" bestFit="1" customWidth="1"/>
    <col min="3" max="3" width="6.6328125" bestFit="1" customWidth="1"/>
    <col min="4" max="6" width="7.81640625" bestFit="1" customWidth="1"/>
  </cols>
  <sheetData>
    <row r="1" spans="1:6">
      <c r="B1" s="13" t="s">
        <v>254</v>
      </c>
    </row>
    <row r="2" spans="1:6">
      <c r="A2" s="14" t="s">
        <v>24</v>
      </c>
      <c r="B2" s="14"/>
      <c r="C2" s="14"/>
      <c r="D2" s="14"/>
      <c r="E2" s="14"/>
      <c r="F2" s="14"/>
    </row>
    <row r="3" spans="1:6">
      <c r="A3" s="15" t="s">
        <v>26</v>
      </c>
      <c r="B3" s="15" t="s">
        <v>113</v>
      </c>
      <c r="C3" s="15"/>
      <c r="D3" s="15"/>
      <c r="E3" s="15"/>
      <c r="F3" s="15"/>
    </row>
    <row r="4" spans="1:6">
      <c r="A4" s="15" t="s">
        <v>27</v>
      </c>
      <c r="B4" s="20" t="s">
        <v>119</v>
      </c>
      <c r="C4" s="15" t="s">
        <v>114</v>
      </c>
      <c r="D4" s="15" t="s">
        <v>118</v>
      </c>
      <c r="E4" s="15"/>
      <c r="F4" s="15"/>
    </row>
    <row r="5" spans="1:6">
      <c r="A5" s="15" t="s">
        <v>28</v>
      </c>
      <c r="B5" s="25" t="s">
        <v>250</v>
      </c>
      <c r="C5" s="15" t="s">
        <v>25</v>
      </c>
      <c r="D5" s="15"/>
      <c r="E5" s="15"/>
      <c r="F5" s="15"/>
    </row>
    <row r="6" spans="1:6">
      <c r="A6" s="15" t="s">
        <v>29</v>
      </c>
      <c r="B6" s="21" t="s">
        <v>116</v>
      </c>
      <c r="C6" s="15"/>
      <c r="D6" s="15"/>
      <c r="E6" s="15"/>
      <c r="F6" s="15"/>
    </row>
    <row r="7" spans="1:6">
      <c r="A7" s="15" t="s">
        <v>30</v>
      </c>
      <c r="B7" s="26" t="s">
        <v>252</v>
      </c>
      <c r="C7" s="21" t="s">
        <v>45</v>
      </c>
      <c r="D7" s="15"/>
      <c r="E7" s="15"/>
      <c r="F7" s="15"/>
    </row>
    <row r="8" spans="1:6">
      <c r="A8" s="32" t="s">
        <v>112</v>
      </c>
      <c r="B8" s="22">
        <v>2022</v>
      </c>
      <c r="C8" s="20" t="s">
        <v>120</v>
      </c>
      <c r="D8" s="32"/>
      <c r="E8" s="32"/>
      <c r="F8" s="32"/>
    </row>
    <row r="9" spans="1:6">
      <c r="A9" s="35" t="s">
        <v>31</v>
      </c>
      <c r="B9" s="37" t="s">
        <v>32</v>
      </c>
      <c r="C9" s="37" t="s">
        <v>33</v>
      </c>
      <c r="D9" s="35">
        <v>202212</v>
      </c>
      <c r="E9" s="35">
        <v>202312</v>
      </c>
      <c r="F9" s="35">
        <v>202412</v>
      </c>
    </row>
    <row r="10" spans="1:6">
      <c r="A10" s="36"/>
      <c r="B10" s="36"/>
      <c r="C10" s="36"/>
      <c r="D10" s="36" t="s">
        <v>43</v>
      </c>
      <c r="E10" s="36" t="s">
        <v>43</v>
      </c>
      <c r="F10" s="36" t="s">
        <v>43</v>
      </c>
    </row>
    <row r="11" spans="1:6">
      <c r="A11" s="28">
        <v>4001390000</v>
      </c>
      <c r="B11" s="28" t="s">
        <v>218</v>
      </c>
      <c r="C11" s="28" t="s">
        <v>45</v>
      </c>
      <c r="D11" s="29">
        <v>1157.1672329999999</v>
      </c>
      <c r="E11" s="29">
        <v>5179.5415157999996</v>
      </c>
      <c r="F11" s="29">
        <v>6384.8649824000004</v>
      </c>
    </row>
    <row r="12" spans="1:6">
      <c r="A12" s="28">
        <v>4001310010</v>
      </c>
      <c r="B12" s="28" t="s">
        <v>219</v>
      </c>
      <c r="C12" s="28" t="s">
        <v>45</v>
      </c>
      <c r="D12" s="29"/>
      <c r="E12" s="29"/>
      <c r="F12" s="29"/>
    </row>
    <row r="13" spans="1:6">
      <c r="A13" s="28">
        <v>4001310100</v>
      </c>
      <c r="B13" s="28" t="s">
        <v>220</v>
      </c>
      <c r="C13" s="28" t="s">
        <v>45</v>
      </c>
      <c r="D13" s="29"/>
      <c r="E13" s="29"/>
      <c r="F13" s="29"/>
    </row>
    <row r="14" spans="1:6">
      <c r="A14" s="28">
        <v>4001310190</v>
      </c>
      <c r="B14" s="28" t="s">
        <v>221</v>
      </c>
      <c r="C14" s="28" t="s">
        <v>45</v>
      </c>
      <c r="D14" s="29"/>
      <c r="E14" s="29">
        <v>-882.22554000000002</v>
      </c>
      <c r="F14" s="29">
        <v>-13689.80474</v>
      </c>
    </row>
    <row r="15" spans="1:6">
      <c r="A15" s="28">
        <v>4001310200</v>
      </c>
      <c r="B15" s="28" t="s">
        <v>222</v>
      </c>
      <c r="C15" s="28" t="s">
        <v>45</v>
      </c>
      <c r="D15" s="29">
        <v>5692.3886400000001</v>
      </c>
      <c r="E15" s="29"/>
      <c r="F15" s="29"/>
    </row>
    <row r="16" spans="1:6">
      <c r="A16" s="28">
        <v>4001390010</v>
      </c>
      <c r="B16" s="28" t="s">
        <v>223</v>
      </c>
      <c r="C16" s="28" t="s">
        <v>45</v>
      </c>
      <c r="D16" s="29">
        <v>18990.978640000001</v>
      </c>
      <c r="E16" s="29">
        <v>20839.48213</v>
      </c>
      <c r="F16" s="29">
        <v>27052.317760000002</v>
      </c>
    </row>
    <row r="17" spans="1:6">
      <c r="A17" s="28">
        <v>4001390040</v>
      </c>
      <c r="B17" s="28" t="s">
        <v>224</v>
      </c>
      <c r="C17" s="28" t="s">
        <v>45</v>
      </c>
      <c r="D17" s="29">
        <v>5594.8088600000001</v>
      </c>
      <c r="E17" s="29">
        <v>5221.1186699999998</v>
      </c>
      <c r="F17" s="29">
        <v>7523.9973799999998</v>
      </c>
    </row>
    <row r="18" spans="1:6">
      <c r="A18" s="28">
        <v>4001390060</v>
      </c>
      <c r="B18" s="28" t="s">
        <v>225</v>
      </c>
      <c r="C18" s="28" t="s">
        <v>45</v>
      </c>
      <c r="D18" s="29">
        <v>-16264.69383</v>
      </c>
      <c r="E18" s="29">
        <v>-4988.1823999999997</v>
      </c>
      <c r="F18" s="29">
        <v>838.26101000000006</v>
      </c>
    </row>
    <row r="19" spans="1:6">
      <c r="A19" s="28">
        <v>4001390070</v>
      </c>
      <c r="B19" s="28" t="s">
        <v>226</v>
      </c>
      <c r="C19" s="28" t="s">
        <v>45</v>
      </c>
      <c r="D19" s="29">
        <v>-7763.4502599999996</v>
      </c>
      <c r="E19" s="29">
        <v>-12356.408729999999</v>
      </c>
      <c r="F19" s="29">
        <v>-9326.2566299999999</v>
      </c>
    </row>
    <row r="20" spans="1:6">
      <c r="A20" s="28">
        <v>4001390110</v>
      </c>
      <c r="B20" s="28" t="s">
        <v>227</v>
      </c>
      <c r="C20" s="28" t="s">
        <v>45</v>
      </c>
      <c r="D20" s="29">
        <v>-8501.2435700000005</v>
      </c>
      <c r="E20" s="29">
        <v>7368.2263300000004</v>
      </c>
      <c r="F20" s="29">
        <v>10164.51764</v>
      </c>
    </row>
    <row r="21" spans="1:6">
      <c r="A21" s="28">
        <v>4001312260</v>
      </c>
      <c r="B21" s="28" t="s">
        <v>228</v>
      </c>
      <c r="C21" s="28" t="s">
        <v>45</v>
      </c>
      <c r="D21" s="29"/>
      <c r="E21" s="29"/>
      <c r="F21" s="29"/>
    </row>
    <row r="22" spans="1:6">
      <c r="A22" s="28">
        <v>4001312270</v>
      </c>
      <c r="B22" s="28" t="s">
        <v>229</v>
      </c>
      <c r="C22" s="28" t="s">
        <v>45</v>
      </c>
      <c r="D22" s="29"/>
      <c r="E22" s="29"/>
      <c r="F22" s="29"/>
    </row>
    <row r="23" spans="1:6">
      <c r="A23" s="28">
        <v>4001312280</v>
      </c>
      <c r="B23" s="28" t="s">
        <v>230</v>
      </c>
      <c r="C23" s="28" t="s">
        <v>45</v>
      </c>
      <c r="D23" s="29">
        <v>2823.8645900000001</v>
      </c>
      <c r="E23" s="29">
        <v>9747.9555199999995</v>
      </c>
      <c r="F23" s="29">
        <v>6676.7766499999998</v>
      </c>
    </row>
    <row r="24" spans="1:6">
      <c r="A24" s="28">
        <v>4001312290</v>
      </c>
      <c r="B24" s="28" t="s">
        <v>231</v>
      </c>
      <c r="C24" s="28" t="s">
        <v>45</v>
      </c>
      <c r="D24" s="29">
        <v>790.62950149999995</v>
      </c>
      <c r="E24" s="29">
        <v>1084.7545826999999</v>
      </c>
      <c r="F24" s="29">
        <v>1031.9565124999999</v>
      </c>
    </row>
    <row r="25" spans="1:6">
      <c r="A25" s="28">
        <v>4001312300</v>
      </c>
      <c r="B25" s="28" t="s">
        <v>232</v>
      </c>
      <c r="C25" s="28" t="s">
        <v>45</v>
      </c>
      <c r="D25" s="29">
        <v>-260.07416749999999</v>
      </c>
      <c r="E25" s="29">
        <v>-671.34506409999995</v>
      </c>
      <c r="F25" s="29">
        <v>-606.26836279999998</v>
      </c>
    </row>
    <row r="26" spans="1:6">
      <c r="A26" s="28">
        <v>4001312310</v>
      </c>
      <c r="B26" s="28" t="s">
        <v>233</v>
      </c>
      <c r="C26" s="28" t="s">
        <v>45</v>
      </c>
      <c r="D26" s="29"/>
      <c r="E26" s="29"/>
      <c r="F26" s="29"/>
    </row>
    <row r="27" spans="1:6">
      <c r="A27" s="28">
        <v>4001312320</v>
      </c>
      <c r="B27" s="28" t="s">
        <v>234</v>
      </c>
      <c r="C27" s="28" t="s">
        <v>45</v>
      </c>
      <c r="D27" s="29"/>
      <c r="E27" s="29"/>
      <c r="F27" s="29"/>
    </row>
    <row r="28" spans="1:6">
      <c r="A28" s="28">
        <v>4001312330</v>
      </c>
      <c r="B28" s="28" t="s">
        <v>235</v>
      </c>
      <c r="C28" s="28" t="s">
        <v>45</v>
      </c>
      <c r="D28" s="29"/>
      <c r="E28" s="29"/>
      <c r="F28" s="29"/>
    </row>
    <row r="29" spans="1:6">
      <c r="A29" s="28">
        <v>4001312340</v>
      </c>
      <c r="B29" s="28" t="s">
        <v>236</v>
      </c>
      <c r="C29" s="28" t="s">
        <v>45</v>
      </c>
      <c r="D29" s="29">
        <v>-2197.2526908</v>
      </c>
      <c r="E29" s="29">
        <v>-4981.8235191000003</v>
      </c>
      <c r="F29" s="29">
        <v>-717.59981860000005</v>
      </c>
    </row>
    <row r="30" spans="1:6">
      <c r="A30" s="28">
        <v>4001312350</v>
      </c>
      <c r="B30" s="28" t="s">
        <v>237</v>
      </c>
      <c r="C30" s="28" t="s">
        <v>45</v>
      </c>
      <c r="D30" s="29"/>
      <c r="E30" s="29"/>
      <c r="F30" s="29"/>
    </row>
    <row r="31" spans="1:6">
      <c r="A31" s="28">
        <v>4001390160</v>
      </c>
      <c r="B31" s="28" t="s">
        <v>238</v>
      </c>
      <c r="C31" s="28" t="s">
        <v>45</v>
      </c>
      <c r="D31" s="29">
        <v>-14765.804565500001</v>
      </c>
      <c r="E31" s="29">
        <v>-27991.469678000001</v>
      </c>
      <c r="F31" s="29">
        <v>-32874.0094465</v>
      </c>
    </row>
    <row r="32" spans="1:6">
      <c r="A32" s="28">
        <v>4001390170</v>
      </c>
      <c r="B32" s="28" t="s">
        <v>239</v>
      </c>
      <c r="C32" s="28" t="s">
        <v>45</v>
      </c>
      <c r="D32" s="29">
        <v>3121.0763204</v>
      </c>
      <c r="E32" s="29">
        <v>3894.9481231</v>
      </c>
      <c r="F32" s="29">
        <v>8652.8084576000001</v>
      </c>
    </row>
    <row r="33" spans="1:6">
      <c r="A33" s="28">
        <v>4001390270</v>
      </c>
      <c r="B33" s="28" t="s">
        <v>240</v>
      </c>
      <c r="C33" s="28" t="s">
        <v>45</v>
      </c>
      <c r="D33" s="29">
        <v>18556.503478099999</v>
      </c>
      <c r="E33" s="29">
        <v>33455.224767500004</v>
      </c>
      <c r="F33" s="29">
        <v>43593.0884553</v>
      </c>
    </row>
    <row r="34" spans="1:6">
      <c r="A34" s="28">
        <v>4001321350</v>
      </c>
      <c r="B34" s="28" t="s">
        <v>231</v>
      </c>
      <c r="C34" s="28" t="s">
        <v>45</v>
      </c>
      <c r="D34" s="29">
        <v>125.31776549999999</v>
      </c>
      <c r="E34" s="29">
        <v>1019.0407719</v>
      </c>
      <c r="F34" s="29">
        <v>1397.3936916</v>
      </c>
    </row>
    <row r="35" spans="1:6">
      <c r="A35" s="28">
        <v>4001321360</v>
      </c>
      <c r="B35" s="28" t="s">
        <v>232</v>
      </c>
      <c r="C35" s="28" t="s">
        <v>45</v>
      </c>
      <c r="D35" s="29"/>
      <c r="E35" s="29"/>
      <c r="F35" s="29"/>
    </row>
    <row r="36" spans="1:6">
      <c r="A36" s="28">
        <v>4001321370</v>
      </c>
      <c r="B36" s="28" t="s">
        <v>233</v>
      </c>
      <c r="C36" s="28" t="s">
        <v>45</v>
      </c>
      <c r="D36" s="29">
        <v>544.30482649999999</v>
      </c>
      <c r="E36" s="29">
        <v>549.76619449999998</v>
      </c>
      <c r="F36" s="29">
        <v>668.87685920000001</v>
      </c>
    </row>
    <row r="37" spans="1:6">
      <c r="A37" s="28">
        <v>4001321380</v>
      </c>
      <c r="B37" s="28" t="s">
        <v>234</v>
      </c>
      <c r="C37" s="28" t="s">
        <v>45</v>
      </c>
      <c r="D37" s="29"/>
      <c r="E37" s="29"/>
      <c r="F37" s="29"/>
    </row>
    <row r="38" spans="1:6">
      <c r="A38" s="28">
        <v>4001321390</v>
      </c>
      <c r="B38" s="28" t="s">
        <v>235</v>
      </c>
      <c r="C38" s="28" t="s">
        <v>45</v>
      </c>
      <c r="D38" s="29"/>
      <c r="E38" s="29"/>
      <c r="F38" s="29"/>
    </row>
    <row r="39" spans="1:6">
      <c r="A39" s="28">
        <v>4001321400</v>
      </c>
      <c r="B39" s="28" t="s">
        <v>236</v>
      </c>
      <c r="C39" s="28" t="s">
        <v>45</v>
      </c>
      <c r="D39" s="29"/>
      <c r="E39" s="29"/>
      <c r="F39" s="29"/>
    </row>
    <row r="40" spans="1:6">
      <c r="A40" s="28">
        <v>4001321410</v>
      </c>
      <c r="B40" s="28" t="s">
        <v>237</v>
      </c>
      <c r="C40" s="28" t="s">
        <v>45</v>
      </c>
      <c r="D40" s="29"/>
      <c r="E40" s="29"/>
      <c r="F40" s="29"/>
    </row>
    <row r="41" spans="1:6">
      <c r="A41" s="28">
        <v>4001390370</v>
      </c>
      <c r="B41" s="28" t="s">
        <v>241</v>
      </c>
      <c r="C41" s="28" t="s">
        <v>45</v>
      </c>
      <c r="D41" s="29">
        <v>23223.0637198</v>
      </c>
      <c r="E41" s="29">
        <v>16087.1088882</v>
      </c>
      <c r="F41" s="29">
        <v>26759.3618001</v>
      </c>
    </row>
    <row r="42" spans="1:6">
      <c r="A42" s="28">
        <v>4001390380</v>
      </c>
      <c r="B42" s="28" t="s">
        <v>242</v>
      </c>
      <c r="C42" s="28" t="s">
        <v>45</v>
      </c>
      <c r="D42" s="29">
        <v>67975.057596700004</v>
      </c>
      <c r="E42" s="29">
        <v>56108.089455499998</v>
      </c>
      <c r="F42" s="29">
        <v>88033.980185299995</v>
      </c>
    </row>
    <row r="43" spans="1:6">
      <c r="A43" s="28">
        <v>4001390470</v>
      </c>
      <c r="B43" s="28" t="s">
        <v>243</v>
      </c>
      <c r="C43" s="28" t="s">
        <v>45</v>
      </c>
      <c r="D43" s="29">
        <v>43207.090255100004</v>
      </c>
      <c r="E43" s="29">
        <v>35860.243255599999</v>
      </c>
      <c r="F43" s="29">
        <v>54546.658088199998</v>
      </c>
    </row>
    <row r="44" spans="1:6">
      <c r="A44" s="28">
        <v>4001330680</v>
      </c>
      <c r="B44" s="28" t="s">
        <v>231</v>
      </c>
      <c r="C44" s="28" t="s">
        <v>45</v>
      </c>
      <c r="D44" s="29"/>
      <c r="E44" s="29"/>
      <c r="F44" s="29"/>
    </row>
    <row r="45" spans="1:6">
      <c r="A45" s="28">
        <v>4001330690</v>
      </c>
      <c r="B45" s="28" t="s">
        <v>232</v>
      </c>
      <c r="C45" s="28" t="s">
        <v>45</v>
      </c>
      <c r="D45" s="29">
        <v>-1544.9036219</v>
      </c>
      <c r="E45" s="29">
        <v>-3638.4669419000002</v>
      </c>
      <c r="F45" s="29">
        <v>-5347.9576626999997</v>
      </c>
    </row>
    <row r="46" spans="1:6">
      <c r="A46" s="28">
        <v>4001330700</v>
      </c>
      <c r="B46" s="28" t="s">
        <v>233</v>
      </c>
      <c r="C46" s="28" t="s">
        <v>45</v>
      </c>
      <c r="D46" s="29"/>
      <c r="E46" s="29"/>
      <c r="F46" s="29"/>
    </row>
    <row r="47" spans="1:6">
      <c r="A47" s="28">
        <v>4001330710</v>
      </c>
      <c r="B47" s="28" t="s">
        <v>234</v>
      </c>
      <c r="C47" s="28" t="s">
        <v>45</v>
      </c>
      <c r="D47" s="29"/>
      <c r="E47" s="29">
        <v>-522.27036959999998</v>
      </c>
      <c r="F47" s="29">
        <v>-1380.0026339999999</v>
      </c>
    </row>
    <row r="48" spans="1:6">
      <c r="A48" s="28">
        <v>4001330720</v>
      </c>
      <c r="B48" s="28" t="s">
        <v>235</v>
      </c>
      <c r="C48" s="28" t="s">
        <v>45</v>
      </c>
      <c r="D48" s="29"/>
      <c r="E48" s="29"/>
      <c r="F48" s="29"/>
    </row>
    <row r="49" spans="1:6">
      <c r="A49" s="28">
        <v>4001330730</v>
      </c>
      <c r="B49" s="28" t="s">
        <v>236</v>
      </c>
      <c r="C49" s="28" t="s">
        <v>45</v>
      </c>
      <c r="D49" s="29"/>
      <c r="E49" s="29"/>
      <c r="F49" s="29"/>
    </row>
    <row r="50" spans="1:6">
      <c r="A50" s="28">
        <v>4001330740</v>
      </c>
      <c r="B50" s="28" t="s">
        <v>237</v>
      </c>
      <c r="C50" s="28" t="s">
        <v>45</v>
      </c>
      <c r="D50" s="29"/>
      <c r="E50" s="29"/>
      <c r="F50" s="29"/>
    </row>
    <row r="51" spans="1:6">
      <c r="A51" s="28">
        <v>4001340000</v>
      </c>
      <c r="B51" s="28" t="s">
        <v>244</v>
      </c>
      <c r="C51" s="28" t="s">
        <v>45</v>
      </c>
      <c r="D51" s="29"/>
      <c r="E51" s="29"/>
      <c r="F51" s="29">
        <v>-25.780090000000001</v>
      </c>
    </row>
    <row r="52" spans="1:6">
      <c r="A52" s="28">
        <v>4001340010</v>
      </c>
      <c r="B52" s="28" t="s">
        <v>245</v>
      </c>
      <c r="C52" s="28" t="s">
        <v>45</v>
      </c>
      <c r="D52" s="29"/>
      <c r="E52" s="29"/>
      <c r="F52" s="29"/>
    </row>
    <row r="53" spans="1:6">
      <c r="A53" s="28">
        <v>4001340020</v>
      </c>
      <c r="B53" s="28" t="s">
        <v>246</v>
      </c>
      <c r="C53" s="28" t="s">
        <v>45</v>
      </c>
      <c r="D53" s="29">
        <v>31.953601299999999</v>
      </c>
      <c r="E53" s="29">
        <v>143.68302840000001</v>
      </c>
      <c r="F53" s="29">
        <v>2018.8219575999999</v>
      </c>
    </row>
    <row r="54" spans="1:6">
      <c r="A54" s="28">
        <v>4001340030</v>
      </c>
      <c r="B54" s="28" t="s">
        <v>247</v>
      </c>
      <c r="C54" s="28" t="s">
        <v>45</v>
      </c>
      <c r="D54" s="29">
        <v>9646.3799885999997</v>
      </c>
      <c r="E54" s="29">
        <v>-6581.1362455999997</v>
      </c>
      <c r="F54" s="29">
        <v>2263.2592</v>
      </c>
    </row>
    <row r="55" spans="1:6">
      <c r="A55" s="28">
        <v>4001340040</v>
      </c>
      <c r="B55" s="28" t="s">
        <v>248</v>
      </c>
      <c r="C55" s="28" t="s">
        <v>45</v>
      </c>
      <c r="D55" s="29">
        <v>16515.3029823</v>
      </c>
      <c r="E55" s="29">
        <v>26161.682970900001</v>
      </c>
      <c r="F55" s="29">
        <v>19580.5467254</v>
      </c>
    </row>
    <row r="56" spans="1:6">
      <c r="A56" s="28">
        <v>4001340050</v>
      </c>
      <c r="B56" s="28" t="s">
        <v>249</v>
      </c>
      <c r="C56" s="28" t="s">
        <v>45</v>
      </c>
      <c r="D56" s="29">
        <v>26161.682970900001</v>
      </c>
      <c r="E56" s="29">
        <v>19580.5467254</v>
      </c>
      <c r="F56" s="29">
        <v>21843.805929999999</v>
      </c>
    </row>
    <row r="57" spans="1:6">
      <c r="A57" s="12"/>
      <c r="B57" s="12"/>
      <c r="C57" s="12"/>
      <c r="D57" s="29"/>
      <c r="E57" s="29"/>
      <c r="F57" s="29"/>
    </row>
    <row r="58" spans="1:6">
      <c r="D58" s="30"/>
      <c r="E58" s="30"/>
      <c r="F58" s="30"/>
    </row>
    <row r="59" spans="1:6">
      <c r="D59" s="30"/>
      <c r="E59" s="30"/>
      <c r="F59" s="30"/>
    </row>
    <row r="60" spans="1:6">
      <c r="D60" s="30"/>
      <c r="E60" s="30"/>
      <c r="F60" s="30"/>
    </row>
  </sheetData>
  <phoneticPr fontId="3" type="noConversion"/>
  <conditionalFormatting sqref="B1">
    <cfRule type="expression" dxfId="0" priority="1" stopIfTrue="1">
      <formula>MID($B$1, 15, 10)-TODAY() &lt; 0</formula>
    </cfRule>
  </conditionalFormatting>
  <dataValidations count="7">
    <dataValidation type="list" allowBlank="1" showInputMessage="1" sqref="B5" xr:uid="{9111C9C3-9C34-4ECE-B28C-4B0EAE5551EF}">
      <formula1>"전체,재무상태표,손익계산서,현금흐름표,자본금변동표"</formula1>
    </dataValidation>
    <dataValidation type="list" allowBlank="1" showInputMessage="1" sqref="B6" xr:uid="{369FAAE5-4342-44E5-930D-E54904B30958}">
      <formula1>"상세(총액),상세(순액),요약,약식"</formula1>
    </dataValidation>
    <dataValidation type="list" allowBlank="1" showInputMessage="1" sqref="B7" xr:uid="{ED5A7C2F-7CC5-4A34-B378-2F78BEAF4F8D}">
      <formula1>"결산,누적분기,당분기"</formula1>
    </dataValidation>
    <dataValidation type="list" allowBlank="1" showInputMessage="1" sqref="C7" xr:uid="{4A9D6330-60E6-49A9-8AD0-4296BDE7415D}">
      <formula1>"천원,백만원,억원,십억원"</formula1>
    </dataValidation>
    <dataValidation type="list" allowBlank="1" showInputMessage="1" sqref="B4" xr:uid="{FD9D0982-188D-464D-A369-C96D635C0E4E}">
      <formula1>"별도,연결"</formula1>
    </dataValidation>
    <dataValidation type="list" allowBlank="1" showInputMessage="1" sqref="B8" xr:uid="{E3A1688D-954D-43C8-82A5-80A7EE89403E}">
      <formula1>"1983,1984,1985,1986,1987,1988,1989,1990,1991,1992,1993,1994,1995,1996,1997,1998,1999,2000,2001,2002,2003,2004,2005,2006,2007,2008,2009,2010,2011,2012,2013,2014,2015,2016,2017,2018,2019,2020,2021,2022,2023,2024,2025"</formula1>
    </dataValidation>
    <dataValidation type="list" allowBlank="1" showInputMessage="1" sqref="C8" xr:uid="{E78FA854-F741-4FC7-9B97-68750E092BE3}">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18</vt:i4>
      </vt:variant>
      <vt:variant>
        <vt:lpstr>이름 지정된 범위</vt:lpstr>
      </vt:variant>
      <vt:variant>
        <vt:i4>1</vt:i4>
      </vt:variant>
    </vt:vector>
  </HeadingPairs>
  <TitlesOfParts>
    <vt:vector size="19" baseType="lpstr">
      <vt:lpstr>Estimation ▶</vt:lpstr>
      <vt:lpstr>Valuation</vt:lpstr>
      <vt:lpstr>Expected IS</vt:lpstr>
      <vt:lpstr>매출액 추정 ▶</vt:lpstr>
      <vt:lpstr>신재생에너지</vt:lpstr>
      <vt:lpstr>케미칼</vt:lpstr>
      <vt:lpstr>첨단소재</vt:lpstr>
      <vt:lpstr>비용 추정</vt:lpstr>
      <vt:lpstr>AMPC 보조금 수령액</vt:lpstr>
      <vt:lpstr>요약 재무제표</vt:lpstr>
      <vt:lpstr>FA Schedule</vt:lpstr>
      <vt:lpstr>HISTORICAL▶</vt:lpstr>
      <vt:lpstr>BS(Q)</vt:lpstr>
      <vt:lpstr>IS(Q)</vt:lpstr>
      <vt:lpstr>CFS(Q)</vt:lpstr>
      <vt:lpstr>BS(A)</vt:lpstr>
      <vt:lpstr>IS(A)</vt:lpstr>
      <vt:lpstr>CFS(A)</vt:lpstr>
      <vt:lpstr>'요약 재무제표'!Com_Data_sum_035900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연서희</dc:creator>
  <cp:lastModifiedBy>채현기</cp:lastModifiedBy>
  <dcterms:created xsi:type="dcterms:W3CDTF">2025-05-22T07:13:19Z</dcterms:created>
  <dcterms:modified xsi:type="dcterms:W3CDTF">2025-08-14T13:00:39Z</dcterms:modified>
</cp:coreProperties>
</file>