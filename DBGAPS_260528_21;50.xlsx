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hich\Desktop\"/>
    </mc:Choice>
  </mc:AlternateContent>
  <xr:revisionPtr revIDLastSave="0" documentId="13_ncr:1_{E5797D29-33B6-4605-9E24-5BF7931E7B5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TF리스트" sheetId="4" r:id="rId1"/>
    <sheet name="모델 포트폴리오" sheetId="5" r:id="rId2"/>
    <sheet name="Sheet2" sheetId="6" r:id="rId3"/>
  </sheets>
  <definedNames>
    <definedName name="_xlnm._FilterDatabase" localSheetId="0" hidden="1">ETF리스트!$B$5:$G$5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5" l="1"/>
  <c r="F20" i="5"/>
  <c r="E20" i="5"/>
  <c r="F19" i="5"/>
  <c r="L4" i="5"/>
  <c r="L5" i="5"/>
  <c r="L7" i="5"/>
  <c r="L8" i="5"/>
  <c r="L9" i="5"/>
  <c r="L10" i="5"/>
  <c r="L12" i="5"/>
  <c r="L13" i="5"/>
  <c r="L14" i="5"/>
  <c r="L16" i="5"/>
  <c r="L17" i="5"/>
  <c r="L3" i="5"/>
  <c r="F4" i="5"/>
  <c r="F5" i="5"/>
  <c r="F7" i="5"/>
  <c r="F8" i="5"/>
  <c r="F9" i="5"/>
  <c r="F10" i="5"/>
  <c r="F12" i="5"/>
  <c r="F13" i="5"/>
  <c r="F14" i="5"/>
  <c r="F16" i="5"/>
  <c r="F17" i="5"/>
  <c r="F3" i="5"/>
  <c r="K15" i="5"/>
  <c r="L15" i="5" s="1"/>
  <c r="K18" i="5"/>
  <c r="L18" i="5" s="1"/>
  <c r="K11" i="5"/>
  <c r="L11" i="5" s="1"/>
  <c r="K6" i="5"/>
  <c r="E6" i="5"/>
  <c r="F6" i="5" s="1"/>
  <c r="E11" i="5"/>
  <c r="F11" i="5" s="1"/>
  <c r="E15" i="5"/>
  <c r="F15" i="5" s="1"/>
  <c r="E18" i="5"/>
  <c r="F18" i="5" s="1"/>
  <c r="K21" i="5" l="1"/>
  <c r="L6" i="5"/>
  <c r="L21" i="5"/>
  <c r="E21" i="5"/>
</calcChain>
</file>

<file path=xl/sharedStrings.xml><?xml version="1.0" encoding="utf-8"?>
<sst xmlns="http://schemas.openxmlformats.org/spreadsheetml/2006/main" count="1191" uniqueCount="724">
  <si>
    <t>티커</t>
  </si>
  <si>
    <t>ETF명</t>
  </si>
  <si>
    <t>AUM(억원)</t>
  </si>
  <si>
    <t>기초지수</t>
  </si>
  <si>
    <t>구분1</t>
  </si>
  <si>
    <t>구분2</t>
  </si>
  <si>
    <t>A411060</t>
  </si>
  <si>
    <t>ACE KRX금현물</t>
  </si>
  <si>
    <t>KRX 금현물지수</t>
  </si>
  <si>
    <t>A132030</t>
  </si>
  <si>
    <t>KODEX 골드선물(H)</t>
  </si>
  <si>
    <t>S&amp;P GSCI Gold Index(TR)</t>
  </si>
  <si>
    <t>A144600</t>
  </si>
  <si>
    <t>KODEX 은선물(H)</t>
  </si>
  <si>
    <t>S&amp;P GSCI Silver Index(TR)</t>
  </si>
  <si>
    <t>A292560</t>
  </si>
  <si>
    <t>TIGER 일본엔선물</t>
  </si>
  <si>
    <t>엔선물지수</t>
  </si>
  <si>
    <t>A261240</t>
  </si>
  <si>
    <t>KODEX 미국달러선물</t>
  </si>
  <si>
    <t>미국달러 선물지수</t>
  </si>
  <si>
    <t>A261220</t>
  </si>
  <si>
    <t>KODEX WTI원유선물(H)</t>
  </si>
  <si>
    <t>S&amp;P GSCI Crude Oil Index ER</t>
  </si>
  <si>
    <t>A271060</t>
  </si>
  <si>
    <t>KODEX 3대농산물선물(H)</t>
  </si>
  <si>
    <t>S&amp;P GSCI Grains Select Index Excess Return</t>
  </si>
  <si>
    <t>A360750</t>
  </si>
  <si>
    <t>TIGER 미국S&amp;P500</t>
  </si>
  <si>
    <t>S&amp;P 500</t>
  </si>
  <si>
    <t>A133690</t>
  </si>
  <si>
    <t>TIGER 미국나스닥100</t>
  </si>
  <si>
    <t>NASDAQ 100</t>
  </si>
  <si>
    <t>A379800</t>
  </si>
  <si>
    <t>KODEX 미국S&amp;P500</t>
  </si>
  <si>
    <t>A379810</t>
  </si>
  <si>
    <t>KODEX 미국나스닥100</t>
  </si>
  <si>
    <t>A381180</t>
  </si>
  <si>
    <t>TIGER 미국필라델피아반도체나스닥</t>
  </si>
  <si>
    <t>PHLX Semiconductor Sector Index</t>
  </si>
  <si>
    <t>A360200</t>
  </si>
  <si>
    <t>ACE 미국S&amp;P500</t>
  </si>
  <si>
    <t>A367380</t>
  </si>
  <si>
    <t>ACE 미국나스닥100</t>
  </si>
  <si>
    <t>A371160</t>
  </si>
  <si>
    <t>TIGER 차이나항셍테크</t>
  </si>
  <si>
    <t>Hang Seng TECH Index</t>
  </si>
  <si>
    <t>A379780</t>
  </si>
  <si>
    <t>RISE 미국S&amp;P500</t>
  </si>
  <si>
    <t>A453870</t>
  </si>
  <si>
    <t>TIGER 인도니프티50</t>
  </si>
  <si>
    <t>Nifty 50 Index</t>
  </si>
  <si>
    <t>A449180</t>
  </si>
  <si>
    <t>KODEX 미국S&amp;P500(H)</t>
  </si>
  <si>
    <t>A453810</t>
  </si>
  <si>
    <t>KODEX 인도Nifty50</t>
  </si>
  <si>
    <t>A251350</t>
  </si>
  <si>
    <t>KODEX 선진국MSCI World</t>
  </si>
  <si>
    <t>MSCI World</t>
  </si>
  <si>
    <t>A448290</t>
  </si>
  <si>
    <t>TIGER 미국S&amp;P500TR(H)</t>
  </si>
  <si>
    <t>S&amp;P 500 Total Return Index</t>
  </si>
  <si>
    <t>A245710</t>
  </si>
  <si>
    <t>ACE 베트남VN30(합성)</t>
  </si>
  <si>
    <t>VN30 Index(PR)</t>
  </si>
  <si>
    <t>A241180</t>
  </si>
  <si>
    <t>TIGER 일본니케이225</t>
  </si>
  <si>
    <t>Nikkei 225</t>
  </si>
  <si>
    <t>A200250</t>
  </si>
  <si>
    <t>KIWOOM 인도Nifty50(합성)</t>
  </si>
  <si>
    <t>A448300</t>
  </si>
  <si>
    <t>TIGER 미국나스닥100TR(H)</t>
  </si>
  <si>
    <t>NASDAQ-100 Total Return Index</t>
  </si>
  <si>
    <t>A192090</t>
  </si>
  <si>
    <t>TIGER 차이나CSI300</t>
  </si>
  <si>
    <t>CSI 300</t>
  </si>
  <si>
    <t>A372330</t>
  </si>
  <si>
    <t>KODEX 차이나항셍테크</t>
  </si>
  <si>
    <t>A488500</t>
  </si>
  <si>
    <t>TIGER 미국S&amp;P500동일가중</t>
  </si>
  <si>
    <t>S&amp;P 500 Equal Weight Index(PR)</t>
  </si>
  <si>
    <t>A414780</t>
  </si>
  <si>
    <t>TIGER 차이나과창판STAR50(합성)</t>
  </si>
  <si>
    <t>STAR 50 Index(Price Return)</t>
  </si>
  <si>
    <t>A283580</t>
  </si>
  <si>
    <t>KODEX 차이나CSI300</t>
  </si>
  <si>
    <t>A143850</t>
  </si>
  <si>
    <t>TIGER 미국S&amp;P500선물(H)</t>
  </si>
  <si>
    <t>S&amp;P 500 Futures Index(ER)</t>
  </si>
  <si>
    <t>A219480</t>
  </si>
  <si>
    <t>KODEX 미국S&amp;P500선물(H)</t>
  </si>
  <si>
    <t>S&amp;P 500 Futures Total Return Index</t>
  </si>
  <si>
    <t>A168580</t>
  </si>
  <si>
    <t>ACE 중국본토CSI300</t>
  </si>
  <si>
    <t>A304940</t>
  </si>
  <si>
    <t>KODEX 미국나스닥100선물(H)</t>
  </si>
  <si>
    <t>A245340</t>
  </si>
  <si>
    <t>TIGER 미국다우존스30</t>
  </si>
  <si>
    <t>Dow Jones Industrial Average</t>
  </si>
  <si>
    <t>A245360</t>
  </si>
  <si>
    <t>TIGER 차이나HSCEI</t>
  </si>
  <si>
    <t>HSCEI (Hang Seng China Enterprise Index)</t>
  </si>
  <si>
    <t>A195980</t>
  </si>
  <si>
    <t>PLUS 신흥국MSCI(합성 H)</t>
  </si>
  <si>
    <t>MSCI EM Index</t>
  </si>
  <si>
    <t>A099140</t>
  </si>
  <si>
    <t>KODEX 차이나H</t>
  </si>
  <si>
    <t>A280930</t>
  </si>
  <si>
    <t>KODEX 미국러셀2000(H)</t>
  </si>
  <si>
    <t>FTSE Russell 2000 Index</t>
  </si>
  <si>
    <t>A195970</t>
  </si>
  <si>
    <t>PLUS 선진국MSCI(합성 H)</t>
  </si>
  <si>
    <t>MSCI EAFE Index</t>
  </si>
  <si>
    <t>A195930</t>
  </si>
  <si>
    <t>TIGER 유로스탁스50(합성 H)</t>
  </si>
  <si>
    <t>EURO STOXX50</t>
  </si>
  <si>
    <t>A101280</t>
  </si>
  <si>
    <t>KODEX 일본TOPIX100</t>
  </si>
  <si>
    <t>TOPIX100</t>
  </si>
  <si>
    <t>A363580</t>
  </si>
  <si>
    <t>KODEX 200IT TR</t>
  </si>
  <si>
    <t>코스피 200 정보기술 TR</t>
  </si>
  <si>
    <t>A256440</t>
  </si>
  <si>
    <t>ACE 인도네시아MSCI(합성)</t>
  </si>
  <si>
    <t>MSCI Indonesia Index</t>
  </si>
  <si>
    <t>A411860</t>
  </si>
  <si>
    <t>KIWOOM 독일DAX</t>
  </si>
  <si>
    <t>DAX Index(PR)</t>
  </si>
  <si>
    <t>A250730</t>
  </si>
  <si>
    <t>RISE 차이나HSCEI(H)</t>
  </si>
  <si>
    <t>A238720</t>
  </si>
  <si>
    <t>A291130</t>
  </si>
  <si>
    <t>ACE 멕시코MSCI(합성)</t>
  </si>
  <si>
    <t>MSCI MEXICO IMI 25/50 Price return Index</t>
  </si>
  <si>
    <t>A310080</t>
  </si>
  <si>
    <t>RISE 중국MSCI China(H)</t>
  </si>
  <si>
    <t>MSCI China NTR Index(USD) (Net Total Return)</t>
  </si>
  <si>
    <t>A195920</t>
  </si>
  <si>
    <t>TIGER 일본TOPIX(합성 H)</t>
  </si>
  <si>
    <t>TOPIX</t>
  </si>
  <si>
    <t>A499150</t>
  </si>
  <si>
    <t>SOL 미국S&amp;P500엔화노출(H)</t>
  </si>
  <si>
    <t>S&amp;P500 Yen Hedged Index(PR)</t>
  </si>
  <si>
    <t>A379790</t>
  </si>
  <si>
    <t>RISE 유로스탁스50(H)</t>
  </si>
  <si>
    <t>A261920</t>
  </si>
  <si>
    <t>ACE 필리핀MSCI(합성)</t>
  </si>
  <si>
    <t>MSCI Philippines IMI Index</t>
  </si>
  <si>
    <t>A189400</t>
  </si>
  <si>
    <t>PLUS 글로벌MSCI(합성 H)</t>
  </si>
  <si>
    <t>MSCI ACWI Index</t>
  </si>
  <si>
    <t>A105010</t>
  </si>
  <si>
    <t>TIGER 라틴35</t>
  </si>
  <si>
    <t>BNY Latin America 35 ADR Index</t>
  </si>
  <si>
    <t>A458730</t>
  </si>
  <si>
    <t>TIGER 미국배당다우존스</t>
  </si>
  <si>
    <t>Dow Jones U.S. Dividend 100 Price Return Index</t>
  </si>
  <si>
    <t>A446720</t>
  </si>
  <si>
    <t>SOL 미국배당다우존스</t>
  </si>
  <si>
    <t>A402970</t>
  </si>
  <si>
    <t>ACE 미국배당다우존스</t>
  </si>
  <si>
    <t>A452360</t>
  </si>
  <si>
    <t>SOL 미국배당다우존스(H)</t>
  </si>
  <si>
    <t>A182480</t>
  </si>
  <si>
    <t>TIGER 미국MSCI리츠(합성 H)</t>
  </si>
  <si>
    <t>MSCI US REIT INDEX</t>
  </si>
  <si>
    <t>A429000</t>
  </si>
  <si>
    <t>TIGER 미국S&amp;P500배당귀족</t>
  </si>
  <si>
    <t>S&amp;P 500 Dividend Aristocrats 지수 (Price Return)</t>
  </si>
  <si>
    <t>A453650</t>
  </si>
  <si>
    <t>KODEX 미국S&amp;P500금융</t>
  </si>
  <si>
    <t>S&amp;P Financial Select Sector Index(Price Return)</t>
  </si>
  <si>
    <t>A352560</t>
  </si>
  <si>
    <t>KODEX 미국부동산리츠(H)</t>
  </si>
  <si>
    <t>Dow Jones U.S. Real Estate PR Index</t>
  </si>
  <si>
    <t>A493420</t>
  </si>
  <si>
    <t>SOL 미국배당다우존스TR</t>
  </si>
  <si>
    <t>Dow Jones U.S. Dividend 100 Index(TR)</t>
  </si>
  <si>
    <t>A200030</t>
  </si>
  <si>
    <t>KODEX 미국S&amp;P500산업재(합성)</t>
  </si>
  <si>
    <t>S&amp;P Select Sector Industrial Index</t>
  </si>
  <si>
    <t>A218420</t>
  </si>
  <si>
    <t>KODEX 미국S&amp;P500에너지(합성)</t>
  </si>
  <si>
    <t>S&amp;P Select Sector Energy Index</t>
  </si>
  <si>
    <t>A453640</t>
  </si>
  <si>
    <t>KODEX 미국S&amp;P500헬스케어</t>
  </si>
  <si>
    <t>S&amp;P Health Care Select Sector Index(Price Return)</t>
  </si>
  <si>
    <t>A287180</t>
  </si>
  <si>
    <t>PLUS 미국나스닥테크</t>
  </si>
  <si>
    <t>NASDAQ 100 Technology Sector Index</t>
  </si>
  <si>
    <t>A245350</t>
  </si>
  <si>
    <t>TIGER 유로스탁스배당30</t>
  </si>
  <si>
    <t>Euro STOXX Select Dividend 30</t>
  </si>
  <si>
    <t>A494410</t>
  </si>
  <si>
    <t>PLUS 미국S&amp;P500성장주</t>
  </si>
  <si>
    <t>S&amp;P 500 Growth Index(PR)</t>
  </si>
  <si>
    <t>A463680</t>
  </si>
  <si>
    <t>KODEX 미국S&amp;P500테크놀로지</t>
  </si>
  <si>
    <t>S&amp;P Technology Select Sector Index(Price Return)</t>
  </si>
  <si>
    <t>A185680</t>
  </si>
  <si>
    <t>KODEX 미국S&amp;P바이오(합성)</t>
  </si>
  <si>
    <t>S&amp;P Biotechnology Select Industry Index</t>
  </si>
  <si>
    <t>A460660</t>
  </si>
  <si>
    <t>RISE 미국S&amp;P배당킹</t>
  </si>
  <si>
    <t>S&amp;P Dividend Monarchs Index(Price Return)</t>
  </si>
  <si>
    <t>A463640</t>
  </si>
  <si>
    <t>KODEX 미국S&amp;P500유틸리티</t>
  </si>
  <si>
    <t>S&amp;P Utilities Select Sector Index(Price Return)</t>
  </si>
  <si>
    <t>A453630</t>
  </si>
  <si>
    <t>KODEX 미국S&amp;P500필수소비재</t>
  </si>
  <si>
    <t>S&amp;P Consumer Staples Select Sector Index(Price Return)</t>
  </si>
  <si>
    <t>A453660</t>
  </si>
  <si>
    <t>KODEX 미국S&amp;P500경기소비재</t>
  </si>
  <si>
    <t>S&amp;P Consumer Discretionary Select Sector Index(Price Return)</t>
  </si>
  <si>
    <t>A463690</t>
  </si>
  <si>
    <t>KODEX 미국S&amp;P500커뮤니케이션</t>
  </si>
  <si>
    <t>S&amp;P Communication Services Select Sector Index(Price Return)</t>
  </si>
  <si>
    <t>A069500</t>
  </si>
  <si>
    <t>KODEX 200</t>
  </si>
  <si>
    <t>코스피 200</t>
  </si>
  <si>
    <t>A278530</t>
  </si>
  <si>
    <t>KODEX 200TR</t>
  </si>
  <si>
    <t>코스피 200 TR지수</t>
  </si>
  <si>
    <t>A102110</t>
  </si>
  <si>
    <t>TIGER 200</t>
  </si>
  <si>
    <t>A310970</t>
  </si>
  <si>
    <t>TIGER MSCI Korea TR</t>
  </si>
  <si>
    <t>MSCI Korea TR Index</t>
  </si>
  <si>
    <t>A148020</t>
  </si>
  <si>
    <t>RISE 200</t>
  </si>
  <si>
    <t>A229200</t>
  </si>
  <si>
    <t>KODEX 코스닥150</t>
  </si>
  <si>
    <t>코스닥 150</t>
  </si>
  <si>
    <t>A294400</t>
  </si>
  <si>
    <t>KIWOOM 200TR</t>
  </si>
  <si>
    <t>A278540</t>
  </si>
  <si>
    <t>KODEX MSCI Korea TR</t>
  </si>
  <si>
    <t>A152100</t>
  </si>
  <si>
    <t>PLUS 200</t>
  </si>
  <si>
    <t>A226490</t>
  </si>
  <si>
    <t>KODEX 코스피</t>
  </si>
  <si>
    <t>코스피지수</t>
  </si>
  <si>
    <t>A361580</t>
  </si>
  <si>
    <t>RISE 200TR</t>
  </si>
  <si>
    <t>A295040</t>
  </si>
  <si>
    <t>SOL 200TR</t>
  </si>
  <si>
    <t>A277630</t>
  </si>
  <si>
    <t>TIGER 코스피</t>
  </si>
  <si>
    <t>A302450</t>
  </si>
  <si>
    <t>RISE 코스피</t>
  </si>
  <si>
    <t>A232080</t>
  </si>
  <si>
    <t>TIGER 코스닥150</t>
  </si>
  <si>
    <t>A328370</t>
  </si>
  <si>
    <t>PLUS 코스피TR</t>
  </si>
  <si>
    <t>코스피 TR</t>
  </si>
  <si>
    <t>A156080</t>
  </si>
  <si>
    <t>KODEX MSCI Korea</t>
  </si>
  <si>
    <t>MSCI Korea Index</t>
  </si>
  <si>
    <t>A381170</t>
  </si>
  <si>
    <t>TIGER 미국테크TOP10 INDXX</t>
  </si>
  <si>
    <t>Indxx US Tech Top 10 Index</t>
  </si>
  <si>
    <t>A371460</t>
  </si>
  <si>
    <t>TIGER 차이나전기차SOLACTIVE</t>
  </si>
  <si>
    <t>A102780</t>
  </si>
  <si>
    <t>KODEX 삼성그룹</t>
  </si>
  <si>
    <t>MKF 삼성그룹지수</t>
  </si>
  <si>
    <t>A305720</t>
  </si>
  <si>
    <t>KODEX 2차전지산업</t>
  </si>
  <si>
    <t>A457480</t>
  </si>
  <si>
    <t>ACE 테슬라밸류체인액티브</t>
  </si>
  <si>
    <t>Bloomberg EV Supporters Plus Tesla Price Return Index</t>
  </si>
  <si>
    <t>A305540</t>
  </si>
  <si>
    <t>TIGER 2차전지테마</t>
  </si>
  <si>
    <t>WISE 2차전지 테마 지수</t>
  </si>
  <si>
    <t>A315930</t>
  </si>
  <si>
    <t>KODEX Top5PlusTR</t>
  </si>
  <si>
    <t>FnGuide TOP 5 Plus Total Return 지수</t>
  </si>
  <si>
    <t>A466920</t>
  </si>
  <si>
    <t>SOL 조선TOP3플러스</t>
  </si>
  <si>
    <t>FnGuide 조선TOP3플러스지수(PR)</t>
  </si>
  <si>
    <t>A161510</t>
  </si>
  <si>
    <t>PLUS 고배당주</t>
  </si>
  <si>
    <t>A465580</t>
  </si>
  <si>
    <t>ACE 미국빅테크TOP7 Plus</t>
  </si>
  <si>
    <t>Solactive US Big Tech Top 7 Plus Price Return Index</t>
  </si>
  <si>
    <t>A091160</t>
  </si>
  <si>
    <t>KODEX 반도체</t>
  </si>
  <si>
    <t>A449450</t>
  </si>
  <si>
    <t>PLUS K방산</t>
  </si>
  <si>
    <t>FnGuide K-방위산업 지수</t>
  </si>
  <si>
    <t>A139260</t>
  </si>
  <si>
    <t>TIGER 200 IT</t>
  </si>
  <si>
    <t>코스피 200 정보기술</t>
  </si>
  <si>
    <t>A462010</t>
  </si>
  <si>
    <t>TIGER 2차전지소재Fn</t>
  </si>
  <si>
    <t>FnGuide 2차전지소재 (Price Return) 지수</t>
  </si>
  <si>
    <t>A091180</t>
  </si>
  <si>
    <t>KODEX 자동차</t>
  </si>
  <si>
    <t>KRX 자동차</t>
  </si>
  <si>
    <t>A487230</t>
  </si>
  <si>
    <t>KODEX 미국AI전력핵심인프라</t>
  </si>
  <si>
    <t>iSelect 미국AI전력핵심인프라 지수(Price Return)</t>
  </si>
  <si>
    <t>A456600</t>
  </si>
  <si>
    <t>Solactive Global Artificial Intelligence 지수</t>
  </si>
  <si>
    <t>A390390</t>
  </si>
  <si>
    <t>KODEX 미국반도체</t>
  </si>
  <si>
    <t>MVIS US Listed Semiconductor 25 Index</t>
  </si>
  <si>
    <t>A091170</t>
  </si>
  <si>
    <t>KODEX 은행</t>
  </si>
  <si>
    <t>A466940</t>
  </si>
  <si>
    <t>TIGER 은행고배당플러스TOP10</t>
  </si>
  <si>
    <t>FnGuide 은행고배당플러스TOP10 지수(시장가격 지수)</t>
  </si>
  <si>
    <t>A497570</t>
  </si>
  <si>
    <t>TIGER 미국필라델피아AI반도체나스닥</t>
  </si>
  <si>
    <t>PHLX US AI Semiconductor 지수 (PR)</t>
  </si>
  <si>
    <t>A139230</t>
  </si>
  <si>
    <t>TIGER 200 중공업</t>
  </si>
  <si>
    <t>코스피 200 중공업</t>
  </si>
  <si>
    <t>A325010</t>
  </si>
  <si>
    <t>KODEX 성장주</t>
  </si>
  <si>
    <t>FnGuide 성장 지수(PR)</t>
  </si>
  <si>
    <t>A227540</t>
  </si>
  <si>
    <t>TIGER 200 헬스케어</t>
  </si>
  <si>
    <t>코스피 200 헬스케어</t>
  </si>
  <si>
    <t>A139250</t>
  </si>
  <si>
    <t>TIGER 200 에너지화학</t>
  </si>
  <si>
    <t>코스피 200 에너지/화학</t>
  </si>
  <si>
    <t>A139220</t>
  </si>
  <si>
    <t>TIGER 200 건설</t>
  </si>
  <si>
    <t>코스피 200 건설</t>
  </si>
  <si>
    <t>A139270</t>
  </si>
  <si>
    <t>TIGER 200 금융</t>
  </si>
  <si>
    <t>코스피 200 금융</t>
  </si>
  <si>
    <t>A147970</t>
  </si>
  <si>
    <t>TIGER 모멘텀</t>
  </si>
  <si>
    <t>FnGuide 모멘텀 지수</t>
  </si>
  <si>
    <t>A174350</t>
  </si>
  <si>
    <t>TIGER 로우볼</t>
  </si>
  <si>
    <t>FnGuide 로우볼 지수</t>
  </si>
  <si>
    <t>A227560</t>
  </si>
  <si>
    <t>TIGER 200 생활소비재</t>
  </si>
  <si>
    <t>코스피 200 생활소비재</t>
  </si>
  <si>
    <t>A227570</t>
  </si>
  <si>
    <t>TIGER 우량가치</t>
  </si>
  <si>
    <t>FnGuide 퀄리티 밸류 지수</t>
  </si>
  <si>
    <t>A315270</t>
  </si>
  <si>
    <t>TIGER 200커뮤니케이션서비스</t>
  </si>
  <si>
    <t>코스피 200 커뮤니케이션서비스</t>
  </si>
  <si>
    <t>A139290</t>
  </si>
  <si>
    <t>TIGER 200 경기소비재</t>
  </si>
  <si>
    <t>코스피 200 경기소비재</t>
  </si>
  <si>
    <t>A139240</t>
  </si>
  <si>
    <t>TIGER 200 철강소재</t>
  </si>
  <si>
    <t>코스피 200 철강/소재</t>
  </si>
  <si>
    <t>A227550</t>
  </si>
  <si>
    <t>TIGER 200 산업재</t>
  </si>
  <si>
    <t>코스피 200 산업재</t>
  </si>
  <si>
    <t>A459580</t>
  </si>
  <si>
    <t>KODEX CD금리액티브(합성)</t>
  </si>
  <si>
    <t>KAP 양도성예금증서(CD)금리지수(총수익지수)</t>
  </si>
  <si>
    <t>A488770</t>
  </si>
  <si>
    <t>KODEX 머니마켓액티브</t>
  </si>
  <si>
    <t>KAP MMF 지수(TR)</t>
  </si>
  <si>
    <t>A423160</t>
  </si>
  <si>
    <t>KODEX KOFR금리액티브(합성)</t>
  </si>
  <si>
    <t>KOFR 지수</t>
  </si>
  <si>
    <t>A455890</t>
  </si>
  <si>
    <t>RISE 머니마켓액티브</t>
  </si>
  <si>
    <t>KIS 시가평가 MMF 지수 (총수익지수)</t>
  </si>
  <si>
    <t>A153130</t>
  </si>
  <si>
    <t>KODEX 단기채권</t>
  </si>
  <si>
    <t>KRW Cash Index(총수익)</t>
  </si>
  <si>
    <t>A469830</t>
  </si>
  <si>
    <t>SOL 초단기채권액티브</t>
  </si>
  <si>
    <t>KAP 단기자금시장지수</t>
  </si>
  <si>
    <t>A456610</t>
  </si>
  <si>
    <t>TIGER 미국달러SOFR금리액티브(합성)</t>
  </si>
  <si>
    <t>Solactive SOFR Daily Total Return Index</t>
  </si>
  <si>
    <t>A196230</t>
  </si>
  <si>
    <t>RISE 단기통안채</t>
  </si>
  <si>
    <t>KIS MSB 5M Index(총수익)</t>
  </si>
  <si>
    <t>A455960</t>
  </si>
  <si>
    <t>RISE 미국달러SOFR금리액티브(합성)</t>
  </si>
  <si>
    <t>KAP SOFR 지수</t>
  </si>
  <si>
    <t>A458260</t>
  </si>
  <si>
    <t>TIGER 미국투자등급회사채액티브(H)</t>
  </si>
  <si>
    <t>iBoxx USD Liquid Investment Grade Index(Price Return)</t>
  </si>
  <si>
    <t>A468380</t>
  </si>
  <si>
    <t>KODEX iShares미국하이일드액티브</t>
  </si>
  <si>
    <t>ICE BofAML US HY Constrained Index(Total Return)</t>
  </si>
  <si>
    <t>A332620</t>
  </si>
  <si>
    <t>PLUS 미국장기우량회사채</t>
  </si>
  <si>
    <t>ICE BofaAML 15+ Year AAA-A US Corporate Index(총수익지수)</t>
  </si>
  <si>
    <t>A332610</t>
  </si>
  <si>
    <t>PLUS 미국단기회사채(AAA~A)</t>
  </si>
  <si>
    <t>ICE BofaAML 1-3 Year AAA-A US Corporate Index(총수익지수)</t>
  </si>
  <si>
    <t>A468630</t>
  </si>
  <si>
    <t>KODEX iShares미국투자등급회사채액티브</t>
  </si>
  <si>
    <t>Markit iBoxx USD Liquid Investment Grade Index(Total Return)</t>
  </si>
  <si>
    <t>A455660</t>
  </si>
  <si>
    <t>ACE 미국하이일드액티브(H)</t>
  </si>
  <si>
    <t>Markit iBoxx USD Liquid High Yield Total Return Index</t>
  </si>
  <si>
    <t>A182490</t>
  </si>
  <si>
    <t>TIGER 단기선진하이일드(합성 H)</t>
  </si>
  <si>
    <t>Markit iBoxx USD Liquid High Yield 0-5 year Index</t>
  </si>
  <si>
    <t>A453850</t>
  </si>
  <si>
    <t>ACE 미국30년국채액티브(H)</t>
  </si>
  <si>
    <t>Bloomberg U.S Treasury 20+ Year Total Return Index</t>
  </si>
  <si>
    <t>A458250</t>
  </si>
  <si>
    <t>TIGER 미국30년국채스트립액티브(합성 H)</t>
  </si>
  <si>
    <t>ICE BofA Long US Treasury Principal STRIPS Index</t>
  </si>
  <si>
    <t>A329750</t>
  </si>
  <si>
    <t>TIGER 미국달러단기채권액티브</t>
  </si>
  <si>
    <t>KIS U.S. TREASURY BOND 0-1Y 지수</t>
  </si>
  <si>
    <t>A484790</t>
  </si>
  <si>
    <t>KODEX 미국30년국채액티브(H)</t>
  </si>
  <si>
    <t>KEDI-KAP 미국 국채 20+ 지수(TR)</t>
  </si>
  <si>
    <t>A472870</t>
  </si>
  <si>
    <t>RISE 미국30년국채엔화노출(합성 H)</t>
  </si>
  <si>
    <t>KIS 미국채30년 엔화노출 지수(USD/JPY 헤지)(총수익지수)</t>
  </si>
  <si>
    <t>A305080</t>
  </si>
  <si>
    <t>TIGER 미국채10년선물</t>
  </si>
  <si>
    <t>S&amp;P 10-Year U.S. Treasury Note Futures(ER)</t>
  </si>
  <si>
    <t>A476750</t>
  </si>
  <si>
    <t>ACE 미국30년국채엔화노출액티브(H)</t>
  </si>
  <si>
    <t>Bloomberg U.S. Treasury 20+ Year Total Return Index T1530 JPY Currency Hedged</t>
  </si>
  <si>
    <t>A476760</t>
  </si>
  <si>
    <t>ACE 미국30년국채액티브</t>
  </si>
  <si>
    <t>A308620</t>
  </si>
  <si>
    <t>KODEX 미국10년국채선물</t>
  </si>
  <si>
    <t>S&amp;P 10-Year U.S. Treasury Note Futures KRW(ER)</t>
  </si>
  <si>
    <t>A468370</t>
  </si>
  <si>
    <t>KODEX iShares미국인플레이션국채액티브</t>
  </si>
  <si>
    <t>ICE U.S. Treasury Inflation Linked Bond Index(Total Return)</t>
  </si>
  <si>
    <t>A430500</t>
  </si>
  <si>
    <t>KIS TIPS 지수 (Total Return)</t>
  </si>
  <si>
    <t>A489000</t>
  </si>
  <si>
    <t>PLUS 일본엔화초단기국채(합성)</t>
  </si>
  <si>
    <t>KAP 일본 단기 국채 지수(총수익)</t>
  </si>
  <si>
    <t>A267440</t>
  </si>
  <si>
    <t>RISE 미국장기국채선물(H)</t>
  </si>
  <si>
    <t>S&amp;P U.S. Treasury Bond Futures Excess Return Index</t>
  </si>
  <si>
    <t>A273130</t>
  </si>
  <si>
    <t>KODEX 종합채권(AA-이상)액티브</t>
  </si>
  <si>
    <t>KAP 한국종합채권지수</t>
  </si>
  <si>
    <t>A385540</t>
  </si>
  <si>
    <t>RISE 종합채권(A-이상)액티브</t>
  </si>
  <si>
    <t>KIS 종합채권 지수(A-이상)(총수익지수)</t>
  </si>
  <si>
    <t>A451540</t>
  </si>
  <si>
    <t>TIGER 종합채권(AA-이상)액티브</t>
  </si>
  <si>
    <t>KIS 종합채권 AA-이상 총수익 지수(Total return Index)</t>
  </si>
  <si>
    <t>A438330</t>
  </si>
  <si>
    <t>TIGER 투자등급회사채액티브</t>
  </si>
  <si>
    <t>KIS 투자등급회사채 지수(총수익)</t>
  </si>
  <si>
    <t>A363570</t>
  </si>
  <si>
    <t>KODEX 장기종합채권(AA-이상)액티브</t>
  </si>
  <si>
    <t>KAP 한국장기종합채권지수(AA-이상, 총수익)</t>
  </si>
  <si>
    <t>A0016X0</t>
  </si>
  <si>
    <t>SOL 중단기회사채(A-이상)액티브</t>
  </si>
  <si>
    <t>KIS 중단기크레딧플러스채권(AA+~A-)지수(총수익)</t>
  </si>
  <si>
    <t>A278620</t>
  </si>
  <si>
    <t>PLUS 단기채권액티브</t>
  </si>
  <si>
    <t>KAP 투자적격 크레딧 채권 1년지수(A-이상,총수익)</t>
  </si>
  <si>
    <t>A336160</t>
  </si>
  <si>
    <t>RISE 금융채액티브</t>
  </si>
  <si>
    <t>KIS 종합채권금융채 2.5-3Y 지수(총수익)</t>
  </si>
  <si>
    <t>A157450</t>
  </si>
  <si>
    <t>TIGER 단기통안채</t>
  </si>
  <si>
    <t>KIS MSB 6M(총수익)</t>
  </si>
  <si>
    <t>A439870</t>
  </si>
  <si>
    <t>KODEX 국고채30년액티브</t>
  </si>
  <si>
    <t>KAP 국고채 30년 총수익 지수</t>
  </si>
  <si>
    <t>A114260</t>
  </si>
  <si>
    <t>KODEX 국고채3년</t>
  </si>
  <si>
    <t>MKF 국고채지수(총수익)</t>
  </si>
  <si>
    <t>A148070</t>
  </si>
  <si>
    <t>KIWOOM 국고채10년</t>
  </si>
  <si>
    <t>KIS 국고채 10년(총수익)</t>
  </si>
  <si>
    <t>A302190</t>
  </si>
  <si>
    <t>TIGER 중장기국채</t>
  </si>
  <si>
    <t>KIS 국채 3-10년 지수(시장가격지수)</t>
  </si>
  <si>
    <t>A451530</t>
  </si>
  <si>
    <t>TIGER 국고채30년스트립액티브</t>
  </si>
  <si>
    <t>KIS STRIP 30Y Index(총수익지수)</t>
  </si>
  <si>
    <t>A272560</t>
  </si>
  <si>
    <t>RISE 단기국공채액티브</t>
  </si>
  <si>
    <t>KIS 종합채권국공채3M~1.5Y지수</t>
  </si>
  <si>
    <t>A114100</t>
  </si>
  <si>
    <t>RISE 국고채3년</t>
  </si>
  <si>
    <t>KTB index(시장가격)</t>
  </si>
  <si>
    <t>A426150</t>
  </si>
  <si>
    <t>WON 대한민국국고채액티브</t>
  </si>
  <si>
    <t>KAP 한국 국고채 총수익 지수</t>
  </si>
  <si>
    <t>A152380</t>
  </si>
  <si>
    <t>KODEX 국채선물10년</t>
  </si>
  <si>
    <t>10년국채선물지수</t>
  </si>
  <si>
    <t>A298340</t>
  </si>
  <si>
    <t>PLUS 국채선물3년</t>
  </si>
  <si>
    <t>F-KTB 지수</t>
  </si>
  <si>
    <t>A397420</t>
  </si>
  <si>
    <t>RISE 국채선물5년추종</t>
  </si>
  <si>
    <t>5년 국채선물 추종 지수</t>
  </si>
  <si>
    <t>- 자산군별/스타일별/섹터별 ETF + 테마 ETF(AUM 상위 25개) 입니다.</t>
    <phoneticPr fontId="2" type="noConversion"/>
  </si>
  <si>
    <t>FnGuide 배당주 지수</t>
    <phoneticPr fontId="2" type="noConversion"/>
  </si>
  <si>
    <t>ACE 일본Nikkei225(H)</t>
    <phoneticPr fontId="2" type="noConversion"/>
  </si>
  <si>
    <t>KRX 은행</t>
    <phoneticPr fontId="2" type="noConversion"/>
  </si>
  <si>
    <t>KIWOOM 물가채KIS</t>
    <phoneticPr fontId="2" type="noConversion"/>
  </si>
  <si>
    <t>A0061Z0</t>
  </si>
  <si>
    <t>A395160</t>
  </si>
  <si>
    <t>KODEX AI반도체</t>
  </si>
  <si>
    <t>A395270</t>
  </si>
  <si>
    <t>HANARO Fn K-반도체</t>
  </si>
  <si>
    <t>A434730</t>
  </si>
  <si>
    <t>HANARO 원자력iSelect</t>
  </si>
  <si>
    <t>A445290</t>
  </si>
  <si>
    <t>KODEX 로봇액티브</t>
  </si>
  <si>
    <t>A446770</t>
  </si>
  <si>
    <t>ACE 글로벌반도체TOP4 Plus</t>
  </si>
  <si>
    <t>A455850</t>
  </si>
  <si>
    <t>SOL AI반도체소부장</t>
  </si>
  <si>
    <t>TIME 글로벌AI인공지능액티브</t>
  </si>
  <si>
    <t>A463250</t>
  </si>
  <si>
    <t>TIGER K방산&amp;우주</t>
  </si>
  <si>
    <t>A487240</t>
  </si>
  <si>
    <t>KODEX AI전력핵심설비</t>
  </si>
  <si>
    <t>A494670</t>
  </si>
  <si>
    <t>TIGER 조선TOP10</t>
  </si>
  <si>
    <t>RISE 단기특수은행채액티브</t>
  </si>
  <si>
    <t>KRX 반도체</t>
    <phoneticPr fontId="2" type="noConversion"/>
  </si>
  <si>
    <t>KAP 단기 특수은행채 지수(시장가격)</t>
  </si>
  <si>
    <t>iSelect 조선TOP10 Index(PR)</t>
  </si>
  <si>
    <t>iSelect AI 전력핵심설비 지수(Price Return)</t>
  </si>
  <si>
    <t>iSelect K방산&amp;우주</t>
  </si>
  <si>
    <t>FnGuide AI 반도체 소부장 지수</t>
  </si>
  <si>
    <t>Solactive Global Semiconductor TOP4 Plus Price Return Index</t>
  </si>
  <si>
    <t>iSelect K-로봇테마 지수</t>
  </si>
  <si>
    <t>iSelect 원자력지수 (시장가격)</t>
  </si>
  <si>
    <t>FnGuide AI반도체지수</t>
  </si>
  <si>
    <t>FnGuide K-반도체 지수 (시장가격)</t>
  </si>
  <si>
    <t>Solactive China Electric Vehicle and Battery Index(PR)</t>
  </si>
  <si>
    <t>FnGuide 2차전지 산업 지수</t>
  </si>
  <si>
    <t xml:space="preserve">- 일부 대표지수의 경우, 동일한 지수를 추종하는 복수의 ETF가 포함되어 있습니다. </t>
    <phoneticPr fontId="2" type="noConversion"/>
  </si>
  <si>
    <t>위험</t>
  </si>
  <si>
    <t>위험</t>
    <phoneticPr fontId="2" type="noConversion"/>
  </si>
  <si>
    <t>안전</t>
  </si>
  <si>
    <t>안전</t>
    <phoneticPr fontId="2" type="noConversion"/>
  </si>
  <si>
    <t>FX 및 원자재</t>
  </si>
  <si>
    <t>FX 및 원자재</t>
    <phoneticPr fontId="2" type="noConversion"/>
  </si>
  <si>
    <t>해외주식_지수</t>
  </si>
  <si>
    <t>해외주식_지수</t>
    <phoneticPr fontId="2" type="noConversion"/>
  </si>
  <si>
    <t>해외주식_섹터</t>
  </si>
  <si>
    <t>해외주식_섹터</t>
    <phoneticPr fontId="2" type="noConversion"/>
  </si>
  <si>
    <t>국내주식_지수</t>
  </si>
  <si>
    <t>국내주식_지수</t>
    <phoneticPr fontId="2" type="noConversion"/>
  </si>
  <si>
    <t>국내주식_섹터</t>
  </si>
  <si>
    <t>국내주식_섹터</t>
    <phoneticPr fontId="2" type="noConversion"/>
  </si>
  <si>
    <t>금리연계형/초단기채권</t>
  </si>
  <si>
    <t>금리연계형/초단기채권</t>
    <phoneticPr fontId="2" type="noConversion"/>
  </si>
  <si>
    <t>해외채권_회사채</t>
  </si>
  <si>
    <t>해외채권_회사채</t>
    <phoneticPr fontId="2" type="noConversion"/>
  </si>
  <si>
    <t>해외채권_종합</t>
  </si>
  <si>
    <t>해외채권_종합</t>
    <phoneticPr fontId="2" type="noConversion"/>
  </si>
  <si>
    <t>국내채권_회사채</t>
  </si>
  <si>
    <t>국내채권_회사채</t>
    <phoneticPr fontId="2" type="noConversion"/>
  </si>
  <si>
    <t>국내채권_종합</t>
  </si>
  <si>
    <t>국내채권_종합</t>
    <phoneticPr fontId="2" type="noConversion"/>
  </si>
  <si>
    <t>제12회 GAPS ETF 리스트 (2026-5-9 게시)</t>
    <phoneticPr fontId="2" type="noConversion"/>
  </si>
  <si>
    <t>ETF 구성종목 현황</t>
  </si>
  <si>
    <t>🇰🇷 국내 섹터 ETF</t>
  </si>
  <si>
    <t>HD현대중공업</t>
  </si>
  <si>
    <t>삼성중공업</t>
  </si>
  <si>
    <t>한화오션</t>
  </si>
  <si>
    <t>HD한국조선해양</t>
  </si>
  <si>
    <t>한화엔진</t>
  </si>
  <si>
    <t>HD현대마린솔루션</t>
  </si>
  <si>
    <t>HD현대마린엔진</t>
  </si>
  <si>
    <t>한화에어로스페이스</t>
  </si>
  <si>
    <t>~25%</t>
  </si>
  <si>
    <t>현대로템</t>
  </si>
  <si>
    <t>~18%</t>
  </si>
  <si>
    <t>한국항공우주(KAI)</t>
  </si>
  <si>
    <t>~14%</t>
  </si>
  <si>
    <t>LIG넥스원</t>
  </si>
  <si>
    <t>~10%</t>
  </si>
  <si>
    <t>~15%</t>
  </si>
  <si>
    <t>한미반도체</t>
  </si>
  <si>
    <t>이수페타시스</t>
  </si>
  <si>
    <t>리노공업</t>
  </si>
  <si>
    <t>이오테크닉스</t>
  </si>
  <si>
    <t>원익IPS</t>
  </si>
  <si>
    <t>두산에너빌리티</t>
  </si>
  <si>
    <t>~24%</t>
  </si>
  <si>
    <t>HD현대일렉트릭</t>
  </si>
  <si>
    <t>~20%</t>
  </si>
  <si>
    <t>한국전력</t>
  </si>
  <si>
    <t>LS ELECTRIC</t>
  </si>
  <si>
    <t>~12%</t>
  </si>
  <si>
    <t>현대건설</t>
  </si>
  <si>
    <t>효성중공업</t>
  </si>
  <si>
    <t>~6%</t>
  </si>
  <si>
    <t>우리금융지주</t>
  </si>
  <si>
    <t>신한지주</t>
  </si>
  <si>
    <t>기업은행</t>
  </si>
  <si>
    <t>하나금융지주</t>
  </si>
  <si>
    <t>KB금융</t>
  </si>
  <si>
    <t>BNK금융지주</t>
  </si>
  <si>
    <t>JB금융지주</t>
  </si>
  <si>
    <t>삼성생명</t>
  </si>
  <si>
    <t>삼성화재</t>
  </si>
  <si>
    <t>iM금융지주</t>
  </si>
  <si>
    <t>레인보우로보틱스 (삼성 자회사)</t>
  </si>
  <si>
    <t>상위</t>
  </si>
  <si>
    <t>두산로보틱스</t>
  </si>
  <si>
    <t>로보티즈</t>
  </si>
  <si>
    <t>삼성전자</t>
  </si>
  <si>
    <t>대형주</t>
  </si>
  <si>
    <t>중소형</t>
  </si>
  <si>
    <t>🇺🇸 미국 투자 ETF</t>
  </si>
  <si>
    <t>NVIDIA (NVDA)</t>
  </si>
  <si>
    <t>Broadcom (AVGO)</t>
  </si>
  <si>
    <t>AMD</t>
  </si>
  <si>
    <t>~9%</t>
  </si>
  <si>
    <t>ASML</t>
  </si>
  <si>
    <t>~7%</t>
  </si>
  <si>
    <t>~37%</t>
  </si>
  <si>
    <t>GE Vernova</t>
  </si>
  <si>
    <t>Microsoft (MSFT)</t>
  </si>
  <si>
    <t>Alphabet (GOOGL)</t>
  </si>
  <si>
    <t>Meta Platforms</t>
  </si>
  <si>
    <t>~11%</t>
  </si>
  <si>
    <t>🇨🇳 중국 투자 ETF</t>
  </si>
  <si>
    <t>중웨이전자 中微公司 (식각장비)</t>
  </si>
  <si>
    <t>나머지</t>
  </si>
  <si>
    <t>2025~2026년 기준 · 비중은 시장 상황에 따라 변동됨 · 투자 권유 아님</t>
  </si>
  <si>
    <t>ETF</t>
  </si>
  <si>
    <t>구성 종목</t>
  </si>
  <si>
    <t>비중</t>
  </si>
  <si>
    <t>신한자산운용</t>
  </si>
  <si>
    <t>466920국내</t>
  </si>
  <si>
    <t>한국카본</t>
  </si>
  <si>
    <t>대한조선 · STX중공업 · 동성화인텍 外</t>
  </si>
  <si>
    <t>TOP3(HD현대중공업·삼성중공업·한화오션) 각 20% 고정 설계 | 총 13종목 | 2026.05 soletf.com 기준</t>
  </si>
  <si>
    <t>한화자산운용</t>
  </si>
  <si>
    <t>449450국내</t>
  </si>
  <si>
    <t>한화시스템</t>
  </si>
  <si>
    <t>~8%</t>
  </si>
  <si>
    <t>풍산 · 빅텍 · 스페코 外</t>
  </si>
  <si>
    <t>FnGuide K-방위산업 지수 | 종목당 최대 20% 캡 | 반기 리밸런싱(6월·12월) | 2025.06 시사저널e 기준 (이후 변동 가능)</t>
  </si>
  <si>
    <t>455850국내</t>
  </si>
  <si>
    <t>HPSP · 테크윙 · 오로스테크 外</t>
  </si>
  <si>
    <t>~46%</t>
  </si>
  <si>
    <t>AI 반도체 소재·부품·장비 중소형 중심 | 2026.01 삼성증권 리포트 기준</t>
  </si>
  <si>
    <t>NH-Amundi자산운용</t>
  </si>
  <si>
    <t>434730국내</t>
  </si>
  <si>
    <t>한전KPS · 한전기술 · 대우건설 · 제룡전기 外</t>
  </si>
  <si>
    <t>iSelect 원자력 지수 | 2025.12 개편 (20→15종목, 최대비중 15%→25%) | 두산에너빌리티 24.35% 확인 기준 2026.02</t>
  </si>
  <si>
    <t>미래에셋자산운용</t>
  </si>
  <si>
    <t>466940국내</t>
  </si>
  <si>
    <t>FnGuide 은행고배당플러스TOP10 지수 | 배당금 총액 가중 | 매월 분배금 지급 | EPI Advisor 기준</t>
  </si>
  <si>
    <t>삼성자산운용</t>
  </si>
  <si>
    <t>445290국내</t>
  </si>
  <si>
    <t>NAVER · LG전자</t>
  </si>
  <si>
    <t>카카오 · 원익홀딩스</t>
  </si>
  <si>
    <t>클로봇 · 에스피지 · 유진로봇 外</t>
  </si>
  <si>
    <t>액티브 ETF — 운용자 재량 수시 변경 | iSelect K-로봇테마 지수 비교 | 정확한 비중은 매월 삼성자산운용 공시 PDF 확인 필요</t>
  </si>
  <si>
    <t>497570미국</t>
  </si>
  <si>
    <t>TSMC (ADR)</t>
  </si>
  <si>
    <t>Marvell · KLA · Lam Research · Qualcomm 外</t>
  </si>
  <si>
    <t>PHLX US AI Semiconductor 지수 | 시가총액 가중 ~30종목 | 상위 3종목 합계 50%+ | 변동성 큼</t>
  </si>
  <si>
    <t>487230미국</t>
  </si>
  <si>
    <t>Celestica (데이터센터 서버)</t>
  </si>
  <si>
    <t>Quanta Services (전력망 시공)</t>
  </si>
  <si>
    <t>Vertiv Holdings (냉각·전력)</t>
  </si>
  <si>
    <t>Constellation Energy (원전)</t>
  </si>
  <si>
    <t>Vistra Energy (전력 유틸리티)</t>
  </si>
  <si>
    <t>Sterling Infrastructure (인프라 건설)</t>
  </si>
  <si>
    <t>Bloom Energy (연료전지)</t>
  </si>
  <si>
    <t>NuScale Power (SMR)</t>
  </si>
  <si>
    <t>Oklo Inc (소형원자로)</t>
  </si>
  <si>
    <t>iSelect 미국AI전력핵심인프라 지수 | 총 10종목 | 삼성자산운용 factsheet 2025.11.30 기준 (가장 정확한 데이터)</t>
  </si>
  <si>
    <t>381170미국</t>
  </si>
  <si>
    <t>Amazon · Broadcom · Tesla · Netflix · Adobe</t>
  </si>
  <si>
    <t>Indxx US Tech Top 10 지수 | 나스닥 Tech-Oriented 시총 상위 10 | 종목당 최대 20% 캡 | 분기 리밸런싱</t>
  </si>
  <si>
    <t>283580중국</t>
  </si>
  <si>
    <t>Eoptolink 新易盛 (광모듈)</t>
  </si>
  <si>
    <t>~80%</t>
  </si>
  <si>
    <t>CSI 300 Index (상해+심천 상위 300종목) 직접 추종 | iShares Core CSI 300 ETF(9846.HK) 기준 최근 데이터</t>
  </si>
  <si>
    <t>TIGER 차이나과창판STAR50 (합성)</t>
  </si>
  <si>
    <t>414780중국</t>
  </si>
  <si>
    <t>하이광정보 海光信息 (국산 CPU/GPU)</t>
  </si>
  <si>
    <t>STAR 50 Index 합성 추종(TRS 방식, 주식 직접 보유 없음) | 상해 과창판 혁신기술 50사 | 정확한 비중은 미래에셋 공식 PDF 확인 권장</t>
  </si>
  <si>
    <t>※ ~ 표시 비중은 추정치 · 운용사 공시 및 공개 자료 기반 · 투자 권유 아님</t>
  </si>
  <si>
    <r>
      <t>CATL 宁德</t>
    </r>
    <r>
      <rPr>
        <sz val="12"/>
        <color rgb="FF222222"/>
        <rFont val="Segoe UI"/>
        <family val="2"/>
      </rPr>
      <t>时</t>
    </r>
    <r>
      <rPr>
        <sz val="12"/>
        <color rgb="FF222222"/>
        <rFont val="KoPubWorld돋움체 Light"/>
        <family val="3"/>
        <charset val="129"/>
      </rPr>
      <t>代 (2차전지)</t>
    </r>
  </si>
  <si>
    <r>
      <t xml:space="preserve">구이저우마오타이 </t>
    </r>
    <r>
      <rPr>
        <sz val="12"/>
        <color rgb="FF222222"/>
        <rFont val="Segoe UI"/>
        <family val="2"/>
      </rPr>
      <t>贵</t>
    </r>
    <r>
      <rPr>
        <sz val="12"/>
        <color rgb="FF222222"/>
        <rFont val="KoPubWorld돋움체 Light"/>
        <family val="3"/>
        <charset val="129"/>
      </rPr>
      <t>州茅台 (백주)</t>
    </r>
  </si>
  <si>
    <r>
      <t>Zhongji Innolight 中</t>
    </r>
    <r>
      <rPr>
        <sz val="12"/>
        <color rgb="FF222222"/>
        <rFont val="Segoe UI"/>
        <family val="2"/>
      </rPr>
      <t>际</t>
    </r>
    <r>
      <rPr>
        <sz val="12"/>
        <color rgb="FF222222"/>
        <rFont val="KoPubWorld돋움체 Light"/>
        <family val="3"/>
        <charset val="129"/>
      </rPr>
      <t>旭</t>
    </r>
    <r>
      <rPr>
        <sz val="12"/>
        <color rgb="FF222222"/>
        <rFont val="Segoe UI"/>
        <family val="2"/>
      </rPr>
      <t>创</t>
    </r>
    <r>
      <rPr>
        <sz val="12"/>
        <color rgb="FF222222"/>
        <rFont val="KoPubWorld돋움체 Light"/>
        <family val="3"/>
        <charset val="129"/>
      </rPr>
      <t xml:space="preserve"> (광통신)</t>
    </r>
  </si>
  <si>
    <r>
      <t>평안보험 平安保</t>
    </r>
    <r>
      <rPr>
        <sz val="12"/>
        <color rgb="FF222222"/>
        <rFont val="Segoe UI"/>
        <family val="2"/>
      </rPr>
      <t>险</t>
    </r>
  </si>
  <si>
    <r>
      <t>쯔진광업 紫金</t>
    </r>
    <r>
      <rPr>
        <sz val="12"/>
        <color rgb="FF222222"/>
        <rFont val="Segoe UI"/>
        <family val="2"/>
      </rPr>
      <t>矿业</t>
    </r>
    <r>
      <rPr>
        <sz val="12"/>
        <color rgb="FF222222"/>
        <rFont val="KoPubWorld돋움체 Light"/>
        <family val="3"/>
        <charset val="129"/>
      </rPr>
      <t xml:space="preserve"> (구리·금)</t>
    </r>
  </si>
  <si>
    <r>
      <t>자오상은행 招商</t>
    </r>
    <r>
      <rPr>
        <sz val="12"/>
        <color rgb="FF222222"/>
        <rFont val="Segoe UI"/>
        <family val="2"/>
      </rPr>
      <t>银</t>
    </r>
    <r>
      <rPr>
        <sz val="12"/>
        <color rgb="FF222222"/>
        <rFont val="KoPubWorld돋움체 Light"/>
        <family val="3"/>
        <charset val="129"/>
      </rPr>
      <t>行</t>
    </r>
  </si>
  <si>
    <r>
      <t>메이디 美的集</t>
    </r>
    <r>
      <rPr>
        <sz val="12"/>
        <color rgb="FF222222"/>
        <rFont val="Segoe UI"/>
        <family val="2"/>
      </rPr>
      <t>团</t>
    </r>
    <r>
      <rPr>
        <sz val="12"/>
        <color rgb="FF222222"/>
        <rFont val="KoPubWorld돋움체 Light"/>
        <family val="3"/>
        <charset val="129"/>
      </rPr>
      <t xml:space="preserve"> · 양쯔강전력 · 공상은행 外 293종목</t>
    </r>
  </si>
  <si>
    <r>
      <t>캠브리콘 寒武</t>
    </r>
    <r>
      <rPr>
        <sz val="12"/>
        <color rgb="FF222222"/>
        <rFont val="Segoe UI"/>
        <family val="2"/>
      </rPr>
      <t>纪</t>
    </r>
    <r>
      <rPr>
        <sz val="12"/>
        <color rgb="FF222222"/>
        <rFont val="KoPubWorld돋움체 Light"/>
        <family val="3"/>
        <charset val="129"/>
      </rPr>
      <t xml:space="preserve"> (AI 추론칩)</t>
    </r>
  </si>
  <si>
    <r>
      <t>SMIC 中芯</t>
    </r>
    <r>
      <rPr>
        <sz val="12"/>
        <color rgb="FF222222"/>
        <rFont val="Segoe UI"/>
        <family val="2"/>
      </rPr>
      <t>国际</t>
    </r>
    <r>
      <rPr>
        <sz val="12"/>
        <color rgb="FF222222"/>
        <rFont val="KoPubWorld돋움체 Light"/>
        <family val="3"/>
        <charset val="129"/>
      </rPr>
      <t xml:space="preserve"> (파운드리)</t>
    </r>
  </si>
  <si>
    <r>
      <t xml:space="preserve">웨이얼반도체 </t>
    </r>
    <r>
      <rPr>
        <sz val="12"/>
        <color rgb="FF222222"/>
        <rFont val="Segoe UI"/>
        <family val="2"/>
      </rPr>
      <t>韦</t>
    </r>
    <r>
      <rPr>
        <sz val="12"/>
        <color rgb="FF222222"/>
        <rFont val="KoPubWorld돋움체 Light"/>
        <family val="3"/>
        <charset val="129"/>
      </rPr>
      <t>尔股</t>
    </r>
    <r>
      <rPr>
        <sz val="12"/>
        <color rgb="FF222222"/>
        <rFont val="Segoe UI"/>
        <family val="2"/>
      </rPr>
      <t>份</t>
    </r>
    <r>
      <rPr>
        <sz val="12"/>
        <color rgb="FF222222"/>
        <rFont val="KoPubWorld돋움체 Light"/>
        <family val="3"/>
        <charset val="129"/>
      </rPr>
      <t xml:space="preserve"> (CIS 이미지센서)</t>
    </r>
  </si>
  <si>
    <r>
      <t xml:space="preserve">란치테크 </t>
    </r>
    <r>
      <rPr>
        <sz val="12"/>
        <color rgb="FF222222"/>
        <rFont val="Segoe UI"/>
        <family val="2"/>
      </rPr>
      <t>澜</t>
    </r>
    <r>
      <rPr>
        <sz val="12"/>
        <color rgb="FF222222"/>
        <rFont val="KoPubWorld돋움체 Light"/>
        <family val="3"/>
        <charset val="129"/>
      </rPr>
      <t>起科技 · 항신전자 · 진화미크론 外 45종목</t>
    </r>
  </si>
  <si>
    <t xml:space="preserve"> </t>
    <phoneticPr fontId="2" type="noConversion"/>
  </si>
  <si>
    <t>Phase 1</t>
  </si>
  <si>
    <t>구분</t>
    <phoneticPr fontId="2" type="noConversion"/>
  </si>
  <si>
    <t>ETF명</t>
    <phoneticPr fontId="2" type="noConversion"/>
  </si>
  <si>
    <t>금액(억원)</t>
    <phoneticPr fontId="2" type="noConversion"/>
  </si>
  <si>
    <t>비중</t>
    <phoneticPr fontId="2" type="noConversion"/>
  </si>
  <si>
    <t>위험자산</t>
    <phoneticPr fontId="2" type="noConversion"/>
  </si>
  <si>
    <t>위험자산 총계</t>
  </si>
  <si>
    <t>위험자산 총계</t>
    <phoneticPr fontId="2" type="noConversion"/>
  </si>
  <si>
    <t>Phase 2</t>
    <phoneticPr fontId="2" type="noConversion"/>
  </si>
  <si>
    <t>원자재</t>
    <phoneticPr fontId="2" type="noConversion"/>
  </si>
  <si>
    <t>원자재 합계</t>
    <phoneticPr fontId="2" type="noConversion"/>
  </si>
  <si>
    <t>국내주식_ 지수</t>
  </si>
  <si>
    <t>국내주식_ 섹터</t>
  </si>
  <si>
    <t>해외주식_ 지수</t>
  </si>
  <si>
    <t>해외주식_ 섹터</t>
  </si>
  <si>
    <t>국내주식_지수 합계</t>
    <phoneticPr fontId="2" type="noConversion"/>
  </si>
  <si>
    <t>국내주식_섹터 합계</t>
    <phoneticPr fontId="2" type="noConversion"/>
  </si>
  <si>
    <t>해외주식_지수 합계</t>
    <phoneticPr fontId="2" type="noConversion"/>
  </si>
  <si>
    <t>해외주식_섹터 합계</t>
    <phoneticPr fontId="2" type="noConversion"/>
  </si>
  <si>
    <t>채권은 이 밑에다가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</si>
</sst>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80" formatCode="0.0%"/>
    <numFmt numFmtId="183" formatCode="0_);[Red]\(0\)"/>
    <numFmt numFmtId="184" formatCode="0.0_);[Red]\(0.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1"/>
      <color indexed="9"/>
      <name val="Calibri"/>
      <family val="2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theme="1"/>
      <name val="KoPubWorld돋움체 Light"/>
      <family val="3"/>
      <charset val="129"/>
    </font>
    <font>
      <sz val="12"/>
      <color rgb="FF1A1A18"/>
      <name val="KoPubWorld돋움체 Light"/>
      <family val="3"/>
      <charset val="129"/>
    </font>
    <font>
      <sz val="12"/>
      <color rgb="FF999999"/>
      <name val="KoPubWorld돋움체 Light"/>
      <family val="3"/>
      <charset val="129"/>
    </font>
    <font>
      <sz val="12"/>
      <color rgb="FF666666"/>
      <name val="KoPubWorld돋움체 Light"/>
      <family val="3"/>
      <charset val="129"/>
    </font>
    <font>
      <sz val="12"/>
      <color rgb="FF222222"/>
      <name val="KoPubWorld돋움체 Light"/>
      <family val="3"/>
      <charset val="129"/>
    </font>
    <font>
      <sz val="12"/>
      <color rgb="FFBBBBBB"/>
      <name val="KoPubWorld돋움체 Light"/>
      <family val="3"/>
      <charset val="129"/>
    </font>
    <font>
      <i/>
      <sz val="12"/>
      <color rgb="FFAAAAAA"/>
      <name val="KoPubWorld돋움체 Light"/>
      <family val="3"/>
      <charset val="129"/>
    </font>
    <font>
      <sz val="12"/>
      <color rgb="FF222222"/>
      <name val="Segoe UI"/>
      <family val="2"/>
    </font>
    <font>
      <sz val="10"/>
      <name val="KoPubWorld돋움체 Light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E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0F0EC"/>
      </bottom>
      <diagonal/>
    </border>
    <border>
      <left style="medium">
        <color rgb="FFE0E0DB"/>
      </left>
      <right/>
      <top style="medium">
        <color rgb="FFE0E0DB"/>
      </top>
      <bottom style="medium">
        <color rgb="FFE0E0DB"/>
      </bottom>
      <diagonal/>
    </border>
    <border>
      <left/>
      <right/>
      <top style="medium">
        <color rgb="FFE0E0DB"/>
      </top>
      <bottom style="medium">
        <color rgb="FFE0E0DB"/>
      </bottom>
      <diagonal/>
    </border>
    <border>
      <left style="medium">
        <color rgb="FFE0E0DB"/>
      </left>
      <right style="medium">
        <color rgb="FFF0F0EC"/>
      </right>
      <top/>
      <bottom/>
      <diagonal/>
    </border>
    <border>
      <left style="medium">
        <color rgb="FFE0E0DB"/>
      </left>
      <right style="medium">
        <color rgb="FFF0F0EC"/>
      </right>
      <top/>
      <bottom style="medium">
        <color rgb="FFF0F0EC"/>
      </bottom>
      <diagonal/>
    </border>
    <border>
      <left style="medium">
        <color rgb="FFE0E0DB"/>
      </left>
      <right/>
      <top style="medium">
        <color rgb="FFF0F0EC"/>
      </top>
      <bottom style="medium">
        <color rgb="FFE8E8E2"/>
      </bottom>
      <diagonal/>
    </border>
    <border>
      <left/>
      <right/>
      <top style="medium">
        <color rgb="FFF0F0EC"/>
      </top>
      <bottom style="medium">
        <color rgb="FFE8E8E2"/>
      </bottom>
      <diagonal/>
    </border>
    <border>
      <left style="medium">
        <color rgb="FFE0E0DB"/>
      </left>
      <right/>
      <top style="medium">
        <color rgb="FFF0F0EC"/>
      </top>
      <bottom style="medium">
        <color rgb="FFE0E0DB"/>
      </bottom>
      <diagonal/>
    </border>
    <border>
      <left/>
      <right/>
      <top style="medium">
        <color rgb="FFF0F0EC"/>
      </top>
      <bottom style="medium">
        <color rgb="FFE0E0DB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0" fontId="5" fillId="4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41" fontId="7" fillId="2" borderId="0" xfId="1" applyFont="1" applyFill="1">
      <alignment vertical="center"/>
    </xf>
    <xf numFmtId="0" fontId="7" fillId="2" borderId="0" xfId="0" quotePrefix="1" applyFont="1" applyFill="1">
      <alignment vertical="center"/>
    </xf>
    <xf numFmtId="0" fontId="7" fillId="2" borderId="1" xfId="0" applyFont="1" applyFill="1" applyBorder="1">
      <alignment vertical="center"/>
    </xf>
    <xf numFmtId="41" fontId="7" fillId="2" borderId="1" xfId="1" applyFont="1" applyFill="1" applyBorder="1">
      <alignment vertical="center"/>
    </xf>
    <xf numFmtId="0" fontId="7" fillId="5" borderId="1" xfId="0" applyFont="1" applyFill="1" applyBorder="1">
      <alignment vertical="center"/>
    </xf>
    <xf numFmtId="41" fontId="7" fillId="5" borderId="1" xfId="1" applyFont="1" applyFill="1" applyBorder="1">
      <alignment vertical="center"/>
    </xf>
    <xf numFmtId="0" fontId="6" fillId="2" borderId="0" xfId="0" applyFont="1" applyFill="1" applyAlignment="1">
      <alignment horizontal="center" vertical="center"/>
    </xf>
    <xf numFmtId="0" fontId="8" fillId="3" borderId="1" xfId="2" applyFont="1" applyFill="1" applyBorder="1" applyAlignment="1">
      <alignment horizontal="center"/>
    </xf>
    <xf numFmtId="41" fontId="8" fillId="3" borderId="1" xfId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2" fillId="6" borderId="8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0" fillId="6" borderId="10" xfId="0" applyFont="1" applyFill="1" applyBorder="1">
      <alignment vertical="center"/>
    </xf>
    <xf numFmtId="0" fontId="13" fillId="6" borderId="7" xfId="0" applyFont="1" applyFill="1" applyBorder="1">
      <alignment vertical="center"/>
    </xf>
    <xf numFmtId="10" fontId="10" fillId="6" borderId="7" xfId="0" applyNumberFormat="1" applyFont="1" applyFill="1" applyBorder="1">
      <alignment vertical="center"/>
    </xf>
    <xf numFmtId="0" fontId="11" fillId="6" borderId="10" xfId="0" applyFont="1" applyFill="1" applyBorder="1">
      <alignment vertical="center"/>
    </xf>
    <xf numFmtId="0" fontId="14" fillId="6" borderId="10" xfId="0" applyFont="1" applyFill="1" applyBorder="1">
      <alignment vertical="center"/>
    </xf>
    <xf numFmtId="0" fontId="9" fillId="6" borderId="10" xfId="0" applyFont="1" applyFill="1" applyBorder="1">
      <alignment vertical="center"/>
    </xf>
    <xf numFmtId="0" fontId="9" fillId="6" borderId="11" xfId="0" applyFont="1" applyFill="1" applyBorder="1">
      <alignment vertical="center"/>
    </xf>
    <xf numFmtId="0" fontId="15" fillId="7" borderId="12" xfId="0" applyFont="1" applyFill="1" applyBorder="1">
      <alignment vertical="center"/>
    </xf>
    <xf numFmtId="0" fontId="15" fillId="7" borderId="13" xfId="0" applyFont="1" applyFill="1" applyBorder="1">
      <alignment vertical="center"/>
    </xf>
    <xf numFmtId="0" fontId="10" fillId="6" borderId="7" xfId="0" applyFont="1" applyFill="1" applyBorder="1">
      <alignment vertical="center"/>
    </xf>
    <xf numFmtId="0" fontId="15" fillId="7" borderId="14" xfId="0" applyFont="1" applyFill="1" applyBorder="1">
      <alignment vertical="center"/>
    </xf>
    <xf numFmtId="0" fontId="15" fillId="7" borderId="15" xfId="0" applyFont="1" applyFill="1" applyBorder="1">
      <alignment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17" fillId="0" borderId="0" xfId="0" applyNumberFormat="1" applyFont="1" applyBorder="1" applyAlignment="1">
      <alignment horizontal="center" vertical="center"/>
    </xf>
    <xf numFmtId="184" fontId="17" fillId="0" borderId="0" xfId="0" applyNumberFormat="1" applyFont="1" applyBorder="1" applyAlignment="1">
      <alignment horizontal="center" vertical="center"/>
    </xf>
    <xf numFmtId="180" fontId="17" fillId="0" borderId="0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80" fontId="17" fillId="0" borderId="17" xfId="0" applyNumberFormat="1" applyFont="1" applyBorder="1" applyAlignment="1">
      <alignment horizontal="center" vertical="center"/>
    </xf>
    <xf numFmtId="180" fontId="17" fillId="0" borderId="2" xfId="0" applyNumberFormat="1" applyFont="1" applyBorder="1" applyAlignment="1">
      <alignment horizontal="center" vertical="center"/>
    </xf>
    <xf numFmtId="180" fontId="17" fillId="0" borderId="4" xfId="0" applyNumberFormat="1" applyFont="1" applyBorder="1" applyAlignment="1">
      <alignment horizontal="center" vertical="center"/>
    </xf>
    <xf numFmtId="180" fontId="17" fillId="0" borderId="6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84" fontId="17" fillId="0" borderId="1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84" fontId="17" fillId="0" borderId="18" xfId="0" applyNumberFormat="1" applyFont="1" applyBorder="1" applyAlignment="1">
      <alignment horizontal="center" vertical="center"/>
    </xf>
    <xf numFmtId="184" fontId="17" fillId="0" borderId="19" xfId="0" applyNumberFormat="1" applyFont="1" applyBorder="1" applyAlignment="1">
      <alignment horizontal="center" vertical="center"/>
    </xf>
    <xf numFmtId="184" fontId="17" fillId="0" borderId="20" xfId="6" applyNumberFormat="1" applyFont="1" applyBorder="1" applyAlignment="1">
      <alignment horizontal="center" vertical="center"/>
    </xf>
    <xf numFmtId="184" fontId="17" fillId="0" borderId="18" xfId="6" applyNumberFormat="1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184" fontId="17" fillId="5" borderId="19" xfId="0" applyNumberFormat="1" applyFont="1" applyFill="1" applyBorder="1" applyAlignment="1">
      <alignment horizontal="center" vertical="center"/>
    </xf>
    <xf numFmtId="180" fontId="17" fillId="5" borderId="2" xfId="6" applyNumberFormat="1" applyFont="1" applyFill="1" applyBorder="1" applyAlignment="1">
      <alignment horizontal="center" vertical="center"/>
    </xf>
    <xf numFmtId="184" fontId="17" fillId="5" borderId="20" xfId="6" applyNumberFormat="1" applyFont="1" applyFill="1" applyBorder="1" applyAlignment="1">
      <alignment horizontal="center" vertical="center"/>
    </xf>
    <xf numFmtId="180" fontId="17" fillId="5" borderId="4" xfId="0" applyNumberFormat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183" fontId="17" fillId="8" borderId="1" xfId="0" applyNumberFormat="1" applyFont="1" applyFill="1" applyBorder="1" applyAlignment="1">
      <alignment horizontal="center" vertical="center"/>
    </xf>
    <xf numFmtId="180" fontId="17" fillId="8" borderId="6" xfId="0" applyNumberFormat="1" applyFont="1" applyFill="1" applyBorder="1" applyAlignment="1">
      <alignment horizontal="center" vertical="center"/>
    </xf>
  </cellXfs>
  <cellStyles count="7">
    <cellStyle name="blp_column_header" xfId="4" xr:uid="{00000000-0005-0000-0000-000000000000}"/>
    <cellStyle name="백분율" xfId="6" builtinId="5"/>
    <cellStyle name="쉼표 [0]" xfId="1" builtinId="6"/>
    <cellStyle name="쉼표 [0] 2" xfId="3" xr:uid="{00000000-0005-0000-0000-000002000000}"/>
    <cellStyle name="표준" xfId="0" builtinId="0"/>
    <cellStyle name="표준 2" xfId="5" xr:uid="{00000000-0005-0000-0000-000004000000}"/>
    <cellStyle name="표준 3" xfId="2" xr:uid="{00000000-0005-0000-0000-000005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0066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FABAB"/>
      <rgbColor rgb="00FFCC99"/>
      <rgbColor rgb="003366FF"/>
      <rgbColor rgb="0066CCFF"/>
      <rgbColor rgb="0099CC00"/>
      <rgbColor rgb="00FFCC00"/>
      <rgbColor rgb="00FF9900"/>
      <rgbColor rgb="00FF6600"/>
      <rgbColor rgb="00666699"/>
      <rgbColor rgb="00969696"/>
      <rgbColor rgb="00EAEAEA"/>
      <rgbColor rgb="00339966"/>
      <rgbColor rgb="00003300"/>
      <rgbColor rgb="00333300"/>
      <rgbColor rgb="00993300"/>
      <rgbColor rgb="00FF69A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zoomScaleNormal="100" workbookViewId="0">
      <selection activeCell="C6" sqref="C6"/>
    </sheetView>
  </sheetViews>
  <sheetFormatPr defaultColWidth="9" defaultRowHeight="17" x14ac:dyDescent="0.45"/>
  <cols>
    <col min="1" max="1" width="11.83203125" style="2" customWidth="1"/>
    <col min="2" max="2" width="12" style="3" customWidth="1"/>
    <col min="3" max="3" width="39.58203125" style="3" bestFit="1" customWidth="1"/>
    <col min="4" max="4" width="12" style="4" customWidth="1"/>
    <col min="5" max="5" width="78.08203125" style="3" bestFit="1" customWidth="1"/>
    <col min="6" max="6" width="12" style="3" customWidth="1"/>
    <col min="7" max="7" width="21.1640625" style="3" bestFit="1" customWidth="1"/>
    <col min="8" max="16384" width="9" style="3"/>
  </cols>
  <sheetData>
    <row r="1" spans="1:7" ht="17.5" x14ac:dyDescent="0.45">
      <c r="B1" s="1" t="s">
        <v>566</v>
      </c>
    </row>
    <row r="2" spans="1:7" x14ac:dyDescent="0.45">
      <c r="B2" s="5" t="s">
        <v>502</v>
      </c>
    </row>
    <row r="3" spans="1:7" x14ac:dyDescent="0.45">
      <c r="B3" s="5" t="s">
        <v>541</v>
      </c>
    </row>
    <row r="5" spans="1:7" s="13" customFormat="1" x14ac:dyDescent="0.45">
      <c r="A5" s="10"/>
      <c r="B5" s="11" t="s">
        <v>0</v>
      </c>
      <c r="C5" s="11" t="s">
        <v>1</v>
      </c>
      <c r="D5" s="12" t="s">
        <v>2</v>
      </c>
      <c r="E5" s="11" t="s">
        <v>3</v>
      </c>
      <c r="F5" s="11" t="s">
        <v>4</v>
      </c>
      <c r="G5" s="11" t="s">
        <v>5</v>
      </c>
    </row>
    <row r="6" spans="1:7" x14ac:dyDescent="0.45">
      <c r="B6" s="6" t="s">
        <v>6</v>
      </c>
      <c r="C6" s="6" t="s">
        <v>7</v>
      </c>
      <c r="D6" s="7">
        <v>52302.951395540003</v>
      </c>
      <c r="E6" s="6" t="s">
        <v>8</v>
      </c>
      <c r="F6" s="6" t="s">
        <v>543</v>
      </c>
      <c r="G6" s="6" t="s">
        <v>547</v>
      </c>
    </row>
    <row r="7" spans="1:7" x14ac:dyDescent="0.45">
      <c r="B7" s="6" t="s">
        <v>12</v>
      </c>
      <c r="C7" s="6" t="s">
        <v>13</v>
      </c>
      <c r="D7" s="7">
        <v>14590.155025440001</v>
      </c>
      <c r="E7" s="6" t="s">
        <v>14</v>
      </c>
      <c r="F7" s="6" t="s">
        <v>542</v>
      </c>
      <c r="G7" s="6" t="s">
        <v>546</v>
      </c>
    </row>
    <row r="8" spans="1:7" x14ac:dyDescent="0.45">
      <c r="B8" s="6" t="s">
        <v>9</v>
      </c>
      <c r="C8" s="6" t="s">
        <v>10</v>
      </c>
      <c r="D8" s="7">
        <v>4821.2741359000001</v>
      </c>
      <c r="E8" s="6" t="s">
        <v>11</v>
      </c>
      <c r="F8" s="6" t="s">
        <v>542</v>
      </c>
      <c r="G8" s="6" t="s">
        <v>546</v>
      </c>
    </row>
    <row r="9" spans="1:7" x14ac:dyDescent="0.45">
      <c r="B9" s="6" t="s">
        <v>21</v>
      </c>
      <c r="C9" s="6" t="s">
        <v>22</v>
      </c>
      <c r="D9" s="7">
        <v>1428.2239267</v>
      </c>
      <c r="E9" s="6" t="s">
        <v>23</v>
      </c>
      <c r="F9" s="6" t="s">
        <v>542</v>
      </c>
      <c r="G9" s="6" t="s">
        <v>546</v>
      </c>
    </row>
    <row r="10" spans="1:7" x14ac:dyDescent="0.45">
      <c r="B10" s="6" t="s">
        <v>18</v>
      </c>
      <c r="C10" s="6" t="s">
        <v>19</v>
      </c>
      <c r="D10" s="7">
        <v>723.62572938000005</v>
      </c>
      <c r="E10" s="6" t="s">
        <v>20</v>
      </c>
      <c r="F10" s="6" t="s">
        <v>542</v>
      </c>
      <c r="G10" s="6" t="s">
        <v>546</v>
      </c>
    </row>
    <row r="11" spans="1:7" x14ac:dyDescent="0.45">
      <c r="B11" s="6" t="s">
        <v>15</v>
      </c>
      <c r="C11" s="6" t="s">
        <v>16</v>
      </c>
      <c r="D11" s="7">
        <v>541.54961750999996</v>
      </c>
      <c r="E11" s="6" t="s">
        <v>17</v>
      </c>
      <c r="F11" s="6" t="s">
        <v>542</v>
      </c>
      <c r="G11" s="6" t="s">
        <v>546</v>
      </c>
    </row>
    <row r="12" spans="1:7" x14ac:dyDescent="0.45">
      <c r="B12" s="6" t="s">
        <v>24</v>
      </c>
      <c r="C12" s="6" t="s">
        <v>25</v>
      </c>
      <c r="D12" s="7">
        <v>252.19357923000001</v>
      </c>
      <c r="E12" s="6" t="s">
        <v>26</v>
      </c>
      <c r="F12" s="6" t="s">
        <v>542</v>
      </c>
      <c r="G12" s="6" t="s">
        <v>546</v>
      </c>
    </row>
    <row r="13" spans="1:7" x14ac:dyDescent="0.45">
      <c r="B13" s="8" t="s">
        <v>27</v>
      </c>
      <c r="C13" s="8" t="s">
        <v>28</v>
      </c>
      <c r="D13" s="9">
        <v>147821.0401322</v>
      </c>
      <c r="E13" s="8" t="s">
        <v>29</v>
      </c>
      <c r="F13" s="8" t="s">
        <v>542</v>
      </c>
      <c r="G13" s="8" t="s">
        <v>549</v>
      </c>
    </row>
    <row r="14" spans="1:7" x14ac:dyDescent="0.45">
      <c r="B14" s="8" t="s">
        <v>33</v>
      </c>
      <c r="C14" s="8" t="s">
        <v>34</v>
      </c>
      <c r="D14" s="9">
        <v>81089.231132069996</v>
      </c>
      <c r="E14" s="8" t="s">
        <v>29</v>
      </c>
      <c r="F14" s="8" t="s">
        <v>542</v>
      </c>
      <c r="G14" s="8" t="s">
        <v>548</v>
      </c>
    </row>
    <row r="15" spans="1:7" x14ac:dyDescent="0.45">
      <c r="B15" s="8" t="s">
        <v>30</v>
      </c>
      <c r="C15" s="8" t="s">
        <v>31</v>
      </c>
      <c r="D15" s="9">
        <v>79730.246245129994</v>
      </c>
      <c r="E15" s="8" t="s">
        <v>32</v>
      </c>
      <c r="F15" s="8" t="s">
        <v>542</v>
      </c>
      <c r="G15" s="8" t="s">
        <v>548</v>
      </c>
    </row>
    <row r="16" spans="1:7" x14ac:dyDescent="0.45">
      <c r="B16" s="8" t="s">
        <v>35</v>
      </c>
      <c r="C16" s="8" t="s">
        <v>36</v>
      </c>
      <c r="D16" s="9">
        <v>55318.524461590001</v>
      </c>
      <c r="E16" s="8" t="s">
        <v>32</v>
      </c>
      <c r="F16" s="8" t="s">
        <v>542</v>
      </c>
      <c r="G16" s="8" t="s">
        <v>548</v>
      </c>
    </row>
    <row r="17" spans="2:7" x14ac:dyDescent="0.45">
      <c r="B17" s="8" t="s">
        <v>37</v>
      </c>
      <c r="C17" s="8" t="s">
        <v>38</v>
      </c>
      <c r="D17" s="9">
        <v>34100.089703799997</v>
      </c>
      <c r="E17" s="8" t="s">
        <v>39</v>
      </c>
      <c r="F17" s="8" t="s">
        <v>542</v>
      </c>
      <c r="G17" s="8" t="s">
        <v>548</v>
      </c>
    </row>
    <row r="18" spans="2:7" x14ac:dyDescent="0.45">
      <c r="B18" s="8" t="s">
        <v>40</v>
      </c>
      <c r="C18" s="8" t="s">
        <v>41</v>
      </c>
      <c r="D18" s="9">
        <v>33474.880367910002</v>
      </c>
      <c r="E18" s="8" t="s">
        <v>29</v>
      </c>
      <c r="F18" s="8" t="s">
        <v>542</v>
      </c>
      <c r="G18" s="8" t="s">
        <v>548</v>
      </c>
    </row>
    <row r="19" spans="2:7" x14ac:dyDescent="0.45">
      <c r="B19" s="8" t="s">
        <v>42</v>
      </c>
      <c r="C19" s="8" t="s">
        <v>43</v>
      </c>
      <c r="D19" s="9">
        <v>27322.956363009998</v>
      </c>
      <c r="E19" s="8" t="s">
        <v>32</v>
      </c>
      <c r="F19" s="8" t="s">
        <v>542</v>
      </c>
      <c r="G19" s="8" t="s">
        <v>548</v>
      </c>
    </row>
    <row r="20" spans="2:7" x14ac:dyDescent="0.45">
      <c r="B20" s="8" t="s">
        <v>47</v>
      </c>
      <c r="C20" s="8" t="s">
        <v>48</v>
      </c>
      <c r="D20" s="9">
        <v>14146.62543401</v>
      </c>
      <c r="E20" s="8" t="s">
        <v>29</v>
      </c>
      <c r="F20" s="8" t="s">
        <v>542</v>
      </c>
      <c r="G20" s="8" t="s">
        <v>548</v>
      </c>
    </row>
    <row r="21" spans="2:7" x14ac:dyDescent="0.45">
      <c r="B21" s="8" t="s">
        <v>44</v>
      </c>
      <c r="C21" s="8" t="s">
        <v>45</v>
      </c>
      <c r="D21" s="9">
        <v>9133.6785997299994</v>
      </c>
      <c r="E21" s="8" t="s">
        <v>46</v>
      </c>
      <c r="F21" s="8" t="s">
        <v>542</v>
      </c>
      <c r="G21" s="8" t="s">
        <v>548</v>
      </c>
    </row>
    <row r="22" spans="2:7" x14ac:dyDescent="0.45">
      <c r="B22" s="8" t="s">
        <v>52</v>
      </c>
      <c r="C22" s="8" t="s">
        <v>53</v>
      </c>
      <c r="D22" s="9">
        <v>6946.3600924000002</v>
      </c>
      <c r="E22" s="8" t="s">
        <v>29</v>
      </c>
      <c r="F22" s="8" t="s">
        <v>542</v>
      </c>
      <c r="G22" s="8" t="s">
        <v>548</v>
      </c>
    </row>
    <row r="23" spans="2:7" x14ac:dyDescent="0.45">
      <c r="B23" s="8" t="s">
        <v>56</v>
      </c>
      <c r="C23" s="8" t="s">
        <v>57</v>
      </c>
      <c r="D23" s="9">
        <v>4913.4732621900002</v>
      </c>
      <c r="E23" s="8" t="s">
        <v>58</v>
      </c>
      <c r="F23" s="8" t="s">
        <v>542</v>
      </c>
      <c r="G23" s="8" t="s">
        <v>548</v>
      </c>
    </row>
    <row r="24" spans="2:7" x14ac:dyDescent="0.45">
      <c r="B24" s="8" t="s">
        <v>59</v>
      </c>
      <c r="C24" s="8" t="s">
        <v>60</v>
      </c>
      <c r="D24" s="9">
        <v>4370.6796240699996</v>
      </c>
      <c r="E24" s="8" t="s">
        <v>61</v>
      </c>
      <c r="F24" s="8" t="s">
        <v>542</v>
      </c>
      <c r="G24" s="8" t="s">
        <v>548</v>
      </c>
    </row>
    <row r="25" spans="2:7" x14ac:dyDescent="0.45">
      <c r="B25" s="8" t="s">
        <v>65</v>
      </c>
      <c r="C25" s="8" t="s">
        <v>66</v>
      </c>
      <c r="D25" s="9">
        <v>4278.6426406199998</v>
      </c>
      <c r="E25" s="8" t="s">
        <v>67</v>
      </c>
      <c r="F25" s="8" t="s">
        <v>542</v>
      </c>
      <c r="G25" s="8" t="s">
        <v>548</v>
      </c>
    </row>
    <row r="26" spans="2:7" x14ac:dyDescent="0.45">
      <c r="B26" s="8" t="s">
        <v>54</v>
      </c>
      <c r="C26" s="8" t="s">
        <v>55</v>
      </c>
      <c r="D26" s="9">
        <v>4102.8389784800002</v>
      </c>
      <c r="E26" s="8" t="s">
        <v>51</v>
      </c>
      <c r="F26" s="8" t="s">
        <v>542</v>
      </c>
      <c r="G26" s="8" t="s">
        <v>548</v>
      </c>
    </row>
    <row r="27" spans="2:7" x14ac:dyDescent="0.45">
      <c r="B27" s="8" t="s">
        <v>49</v>
      </c>
      <c r="C27" s="8" t="s">
        <v>50</v>
      </c>
      <c r="D27" s="9">
        <v>3951.4666136300002</v>
      </c>
      <c r="E27" s="8" t="s">
        <v>51</v>
      </c>
      <c r="F27" s="8" t="s">
        <v>542</v>
      </c>
      <c r="G27" s="8" t="s">
        <v>548</v>
      </c>
    </row>
    <row r="28" spans="2:7" x14ac:dyDescent="0.45">
      <c r="B28" s="8" t="s">
        <v>62</v>
      </c>
      <c r="C28" s="8" t="s">
        <v>63</v>
      </c>
      <c r="D28" s="9">
        <v>3154.62433865</v>
      </c>
      <c r="E28" s="8" t="s">
        <v>64</v>
      </c>
      <c r="F28" s="8" t="s">
        <v>542</v>
      </c>
      <c r="G28" s="8" t="s">
        <v>548</v>
      </c>
    </row>
    <row r="29" spans="2:7" x14ac:dyDescent="0.45">
      <c r="B29" s="8" t="s">
        <v>70</v>
      </c>
      <c r="C29" s="8" t="s">
        <v>71</v>
      </c>
      <c r="D29" s="9">
        <v>2963.06423559</v>
      </c>
      <c r="E29" s="8" t="s">
        <v>72</v>
      </c>
      <c r="F29" s="8" t="s">
        <v>542</v>
      </c>
      <c r="G29" s="8" t="s">
        <v>548</v>
      </c>
    </row>
    <row r="30" spans="2:7" x14ac:dyDescent="0.45">
      <c r="B30" s="8" t="s">
        <v>84</v>
      </c>
      <c r="C30" s="8" t="s">
        <v>85</v>
      </c>
      <c r="D30" s="9">
        <v>2824.8124540600002</v>
      </c>
      <c r="E30" s="8" t="s">
        <v>75</v>
      </c>
      <c r="F30" s="8" t="s">
        <v>542</v>
      </c>
      <c r="G30" s="8" t="s">
        <v>548</v>
      </c>
    </row>
    <row r="31" spans="2:7" x14ac:dyDescent="0.45">
      <c r="B31" s="8" t="s">
        <v>68</v>
      </c>
      <c r="C31" s="8" t="s">
        <v>69</v>
      </c>
      <c r="D31" s="9">
        <v>2214.5996770800002</v>
      </c>
      <c r="E31" s="8" t="s">
        <v>51</v>
      </c>
      <c r="F31" s="8" t="s">
        <v>542</v>
      </c>
      <c r="G31" s="8" t="s">
        <v>548</v>
      </c>
    </row>
    <row r="32" spans="2:7" x14ac:dyDescent="0.45">
      <c r="B32" s="8" t="s">
        <v>81</v>
      </c>
      <c r="C32" s="8" t="s">
        <v>82</v>
      </c>
      <c r="D32" s="9">
        <v>2067.5843272299999</v>
      </c>
      <c r="E32" s="8" t="s">
        <v>83</v>
      </c>
      <c r="F32" s="8" t="s">
        <v>542</v>
      </c>
      <c r="G32" s="8" t="s">
        <v>548</v>
      </c>
    </row>
    <row r="33" spans="2:7" x14ac:dyDescent="0.45">
      <c r="B33" s="8" t="s">
        <v>76</v>
      </c>
      <c r="C33" s="8" t="s">
        <v>77</v>
      </c>
      <c r="D33" s="9">
        <v>1627.1241637099999</v>
      </c>
      <c r="E33" s="8" t="s">
        <v>46</v>
      </c>
      <c r="F33" s="8" t="s">
        <v>542</v>
      </c>
      <c r="G33" s="8" t="s">
        <v>548</v>
      </c>
    </row>
    <row r="34" spans="2:7" x14ac:dyDescent="0.45">
      <c r="B34" s="8" t="s">
        <v>73</v>
      </c>
      <c r="C34" s="8" t="s">
        <v>74</v>
      </c>
      <c r="D34" s="9">
        <v>1574.78748503</v>
      </c>
      <c r="E34" s="8" t="s">
        <v>75</v>
      </c>
      <c r="F34" s="8" t="s">
        <v>542</v>
      </c>
      <c r="G34" s="8" t="s">
        <v>548</v>
      </c>
    </row>
    <row r="35" spans="2:7" x14ac:dyDescent="0.45">
      <c r="B35" s="8" t="s">
        <v>89</v>
      </c>
      <c r="C35" s="8" t="s">
        <v>90</v>
      </c>
      <c r="D35" s="9">
        <v>1436.6508140000001</v>
      </c>
      <c r="E35" s="8" t="s">
        <v>91</v>
      </c>
      <c r="F35" s="8" t="s">
        <v>542</v>
      </c>
      <c r="G35" s="8" t="s">
        <v>548</v>
      </c>
    </row>
    <row r="36" spans="2:7" x14ac:dyDescent="0.45">
      <c r="B36" s="8" t="s">
        <v>96</v>
      </c>
      <c r="C36" s="8" t="s">
        <v>97</v>
      </c>
      <c r="D36" s="9">
        <v>1412.0720519399999</v>
      </c>
      <c r="E36" s="8" t="s">
        <v>98</v>
      </c>
      <c r="F36" s="8" t="s">
        <v>542</v>
      </c>
      <c r="G36" s="8" t="s">
        <v>548</v>
      </c>
    </row>
    <row r="37" spans="2:7" x14ac:dyDescent="0.45">
      <c r="B37" s="8" t="s">
        <v>92</v>
      </c>
      <c r="C37" s="8" t="s">
        <v>93</v>
      </c>
      <c r="D37" s="9">
        <v>1301.29454887</v>
      </c>
      <c r="E37" s="8" t="s">
        <v>75</v>
      </c>
      <c r="F37" s="8" t="s">
        <v>542</v>
      </c>
      <c r="G37" s="8" t="s">
        <v>548</v>
      </c>
    </row>
    <row r="38" spans="2:7" x14ac:dyDescent="0.45">
      <c r="B38" s="8" t="s">
        <v>78</v>
      </c>
      <c r="C38" s="8" t="s">
        <v>79</v>
      </c>
      <c r="D38" s="9">
        <v>1293.16050475</v>
      </c>
      <c r="E38" s="8" t="s">
        <v>80</v>
      </c>
      <c r="F38" s="8" t="s">
        <v>542</v>
      </c>
      <c r="G38" s="8" t="s">
        <v>548</v>
      </c>
    </row>
    <row r="39" spans="2:7" x14ac:dyDescent="0.45">
      <c r="B39" s="8" t="s">
        <v>94</v>
      </c>
      <c r="C39" s="8" t="s">
        <v>95</v>
      </c>
      <c r="D39" s="9">
        <v>1056.12884844</v>
      </c>
      <c r="E39" s="8" t="s">
        <v>32</v>
      </c>
      <c r="F39" s="8" t="s">
        <v>542</v>
      </c>
      <c r="G39" s="8" t="s">
        <v>548</v>
      </c>
    </row>
    <row r="40" spans="2:7" x14ac:dyDescent="0.45">
      <c r="B40" s="8" t="s">
        <v>86</v>
      </c>
      <c r="C40" s="8" t="s">
        <v>87</v>
      </c>
      <c r="D40" s="9">
        <v>981.53194262</v>
      </c>
      <c r="E40" s="8" t="s">
        <v>88</v>
      </c>
      <c r="F40" s="8" t="s">
        <v>542</v>
      </c>
      <c r="G40" s="8" t="s">
        <v>548</v>
      </c>
    </row>
    <row r="41" spans="2:7" x14ac:dyDescent="0.45">
      <c r="B41" s="8" t="s">
        <v>102</v>
      </c>
      <c r="C41" s="8" t="s">
        <v>103</v>
      </c>
      <c r="D41" s="9">
        <v>919.82983883999998</v>
      </c>
      <c r="E41" s="8" t="s">
        <v>104</v>
      </c>
      <c r="F41" s="8" t="s">
        <v>542</v>
      </c>
      <c r="G41" s="8" t="s">
        <v>548</v>
      </c>
    </row>
    <row r="42" spans="2:7" x14ac:dyDescent="0.45">
      <c r="B42" s="8" t="s">
        <v>116</v>
      </c>
      <c r="C42" s="8" t="s">
        <v>117</v>
      </c>
      <c r="D42" s="9">
        <v>623.78675843999997</v>
      </c>
      <c r="E42" s="8" t="s">
        <v>118</v>
      </c>
      <c r="F42" s="8" t="s">
        <v>542</v>
      </c>
      <c r="G42" s="8" t="s">
        <v>548</v>
      </c>
    </row>
    <row r="43" spans="2:7" x14ac:dyDescent="0.45">
      <c r="B43" s="8" t="s">
        <v>105</v>
      </c>
      <c r="C43" s="8" t="s">
        <v>106</v>
      </c>
      <c r="D43" s="9">
        <v>436.95107875000002</v>
      </c>
      <c r="E43" s="8" t="s">
        <v>101</v>
      </c>
      <c r="F43" s="8" t="s">
        <v>542</v>
      </c>
      <c r="G43" s="8" t="s">
        <v>548</v>
      </c>
    </row>
    <row r="44" spans="2:7" x14ac:dyDescent="0.45">
      <c r="B44" s="8" t="s">
        <v>99</v>
      </c>
      <c r="C44" s="8" t="s">
        <v>100</v>
      </c>
      <c r="D44" s="9">
        <v>400.07730070999997</v>
      </c>
      <c r="E44" s="8" t="s">
        <v>101</v>
      </c>
      <c r="F44" s="8" t="s">
        <v>542</v>
      </c>
      <c r="G44" s="8" t="s">
        <v>548</v>
      </c>
    </row>
    <row r="45" spans="2:7" x14ac:dyDescent="0.45">
      <c r="B45" s="8" t="s">
        <v>130</v>
      </c>
      <c r="C45" s="8" t="s">
        <v>504</v>
      </c>
      <c r="D45" s="9">
        <v>359.37966693999999</v>
      </c>
      <c r="E45" s="8" t="s">
        <v>67</v>
      </c>
      <c r="F45" s="8" t="s">
        <v>542</v>
      </c>
      <c r="G45" s="8" t="s">
        <v>548</v>
      </c>
    </row>
    <row r="46" spans="2:7" x14ac:dyDescent="0.45">
      <c r="B46" s="8" t="s">
        <v>113</v>
      </c>
      <c r="C46" s="8" t="s">
        <v>114</v>
      </c>
      <c r="D46" s="9">
        <v>353.90971561999999</v>
      </c>
      <c r="E46" s="8" t="s">
        <v>115</v>
      </c>
      <c r="F46" s="8" t="s">
        <v>542</v>
      </c>
      <c r="G46" s="8" t="s">
        <v>548</v>
      </c>
    </row>
    <row r="47" spans="2:7" x14ac:dyDescent="0.45">
      <c r="B47" s="8" t="s">
        <v>122</v>
      </c>
      <c r="C47" s="8" t="s">
        <v>123</v>
      </c>
      <c r="D47" s="9">
        <v>345.25580522000001</v>
      </c>
      <c r="E47" s="8" t="s">
        <v>124</v>
      </c>
      <c r="F47" s="8" t="s">
        <v>542</v>
      </c>
      <c r="G47" s="8" t="s">
        <v>548</v>
      </c>
    </row>
    <row r="48" spans="2:7" x14ac:dyDescent="0.45">
      <c r="B48" s="8" t="s">
        <v>107</v>
      </c>
      <c r="C48" s="8" t="s">
        <v>108</v>
      </c>
      <c r="D48" s="9">
        <v>326.19513723</v>
      </c>
      <c r="E48" s="8" t="s">
        <v>109</v>
      </c>
      <c r="F48" s="8" t="s">
        <v>542</v>
      </c>
      <c r="G48" s="8" t="s">
        <v>548</v>
      </c>
    </row>
    <row r="49" spans="2:7" x14ac:dyDescent="0.45">
      <c r="B49" s="8" t="s">
        <v>110</v>
      </c>
      <c r="C49" s="8" t="s">
        <v>111</v>
      </c>
      <c r="D49" s="9">
        <v>243.51877124999999</v>
      </c>
      <c r="E49" s="8" t="s">
        <v>112</v>
      </c>
      <c r="F49" s="8" t="s">
        <v>542</v>
      </c>
      <c r="G49" s="8" t="s">
        <v>548</v>
      </c>
    </row>
    <row r="50" spans="2:7" x14ac:dyDescent="0.45">
      <c r="B50" s="8" t="s">
        <v>128</v>
      </c>
      <c r="C50" s="8" t="s">
        <v>129</v>
      </c>
      <c r="D50" s="9">
        <v>171.73961487</v>
      </c>
      <c r="E50" s="8" t="s">
        <v>101</v>
      </c>
      <c r="F50" s="8" t="s">
        <v>542</v>
      </c>
      <c r="G50" s="8" t="s">
        <v>548</v>
      </c>
    </row>
    <row r="51" spans="2:7" x14ac:dyDescent="0.45">
      <c r="B51" s="8" t="s">
        <v>131</v>
      </c>
      <c r="C51" s="8" t="s">
        <v>132</v>
      </c>
      <c r="D51" s="9">
        <v>170.92915274999999</v>
      </c>
      <c r="E51" s="8" t="s">
        <v>133</v>
      </c>
      <c r="F51" s="8" t="s">
        <v>542</v>
      </c>
      <c r="G51" s="8" t="s">
        <v>548</v>
      </c>
    </row>
    <row r="52" spans="2:7" x14ac:dyDescent="0.45">
      <c r="B52" s="8" t="s">
        <v>137</v>
      </c>
      <c r="C52" s="8" t="s">
        <v>138</v>
      </c>
      <c r="D52" s="9">
        <v>159.48014692999999</v>
      </c>
      <c r="E52" s="8" t="s">
        <v>139</v>
      </c>
      <c r="F52" s="8" t="s">
        <v>542</v>
      </c>
      <c r="G52" s="8" t="s">
        <v>548</v>
      </c>
    </row>
    <row r="53" spans="2:7" x14ac:dyDescent="0.45">
      <c r="B53" s="8" t="s">
        <v>134</v>
      </c>
      <c r="C53" s="8" t="s">
        <v>135</v>
      </c>
      <c r="D53" s="9">
        <v>119.46727456000001</v>
      </c>
      <c r="E53" s="8" t="s">
        <v>136</v>
      </c>
      <c r="F53" s="8" t="s">
        <v>542</v>
      </c>
      <c r="G53" s="8" t="s">
        <v>548</v>
      </c>
    </row>
    <row r="54" spans="2:7" x14ac:dyDescent="0.45">
      <c r="B54" s="8" t="s">
        <v>151</v>
      </c>
      <c r="C54" s="8" t="s">
        <v>152</v>
      </c>
      <c r="D54" s="9">
        <v>113.11875027000001</v>
      </c>
      <c r="E54" s="8" t="s">
        <v>153</v>
      </c>
      <c r="F54" s="8" t="s">
        <v>542</v>
      </c>
      <c r="G54" s="8" t="s">
        <v>548</v>
      </c>
    </row>
    <row r="55" spans="2:7" x14ac:dyDescent="0.45">
      <c r="B55" s="8" t="s">
        <v>143</v>
      </c>
      <c r="C55" s="8" t="s">
        <v>144</v>
      </c>
      <c r="D55" s="9">
        <v>108.97333039999999</v>
      </c>
      <c r="E55" s="8" t="s">
        <v>115</v>
      </c>
      <c r="F55" s="8" t="s">
        <v>542</v>
      </c>
      <c r="G55" s="8" t="s">
        <v>548</v>
      </c>
    </row>
    <row r="56" spans="2:7" x14ac:dyDescent="0.45">
      <c r="B56" s="8" t="s">
        <v>125</v>
      </c>
      <c r="C56" s="8" t="s">
        <v>126</v>
      </c>
      <c r="D56" s="9">
        <v>103.79447883</v>
      </c>
      <c r="E56" s="8" t="s">
        <v>127</v>
      </c>
      <c r="F56" s="8" t="s">
        <v>542</v>
      </c>
      <c r="G56" s="8" t="s">
        <v>548</v>
      </c>
    </row>
    <row r="57" spans="2:7" x14ac:dyDescent="0.45">
      <c r="B57" s="8" t="s">
        <v>140</v>
      </c>
      <c r="C57" s="8" t="s">
        <v>141</v>
      </c>
      <c r="D57" s="9">
        <v>84.535366249999996</v>
      </c>
      <c r="E57" s="8" t="s">
        <v>142</v>
      </c>
      <c r="F57" s="8" t="s">
        <v>542</v>
      </c>
      <c r="G57" s="8" t="s">
        <v>548</v>
      </c>
    </row>
    <row r="58" spans="2:7" x14ac:dyDescent="0.45">
      <c r="B58" s="8" t="s">
        <v>148</v>
      </c>
      <c r="C58" s="8" t="s">
        <v>149</v>
      </c>
      <c r="D58" s="9">
        <v>69.738529270000001</v>
      </c>
      <c r="E58" s="8" t="s">
        <v>150</v>
      </c>
      <c r="F58" s="8" t="s">
        <v>542</v>
      </c>
      <c r="G58" s="8" t="s">
        <v>548</v>
      </c>
    </row>
    <row r="59" spans="2:7" x14ac:dyDescent="0.45">
      <c r="B59" s="8" t="s">
        <v>145</v>
      </c>
      <c r="C59" s="8" t="s">
        <v>146</v>
      </c>
      <c r="D59" s="9">
        <v>56.746407470000001</v>
      </c>
      <c r="E59" s="8" t="s">
        <v>147</v>
      </c>
      <c r="F59" s="8" t="s">
        <v>542</v>
      </c>
      <c r="G59" s="8" t="s">
        <v>548</v>
      </c>
    </row>
    <row r="60" spans="2:7" x14ac:dyDescent="0.45">
      <c r="B60" s="6" t="s">
        <v>258</v>
      </c>
      <c r="C60" s="6" t="s">
        <v>259</v>
      </c>
      <c r="D60" s="7">
        <v>38009.086773850002</v>
      </c>
      <c r="E60" s="6" t="s">
        <v>260</v>
      </c>
      <c r="F60" s="6" t="s">
        <v>542</v>
      </c>
      <c r="G60" s="6" t="s">
        <v>551</v>
      </c>
    </row>
    <row r="61" spans="2:7" x14ac:dyDescent="0.45">
      <c r="B61" s="6" t="s">
        <v>154</v>
      </c>
      <c r="C61" s="6" t="s">
        <v>155</v>
      </c>
      <c r="D61" s="7">
        <v>30378.541425889998</v>
      </c>
      <c r="E61" s="6" t="s">
        <v>156</v>
      </c>
      <c r="F61" s="6" t="s">
        <v>542</v>
      </c>
      <c r="G61" s="6" t="s">
        <v>550</v>
      </c>
    </row>
    <row r="62" spans="2:7" x14ac:dyDescent="0.45">
      <c r="B62" s="6" t="s">
        <v>299</v>
      </c>
      <c r="C62" s="6" t="s">
        <v>300</v>
      </c>
      <c r="D62" s="7">
        <v>13630.66851865</v>
      </c>
      <c r="E62" s="6" t="s">
        <v>301</v>
      </c>
      <c r="F62" s="6" t="s">
        <v>542</v>
      </c>
      <c r="G62" s="6" t="s">
        <v>550</v>
      </c>
    </row>
    <row r="63" spans="2:7" x14ac:dyDescent="0.45">
      <c r="B63" s="6" t="s">
        <v>261</v>
      </c>
      <c r="C63" s="6" t="s">
        <v>262</v>
      </c>
      <c r="D63" s="7">
        <v>13027.218917100001</v>
      </c>
      <c r="E63" s="6" t="s">
        <v>539</v>
      </c>
      <c r="F63" s="6" t="s">
        <v>542</v>
      </c>
      <c r="G63" s="6" t="s">
        <v>550</v>
      </c>
    </row>
    <row r="64" spans="2:7" x14ac:dyDescent="0.45">
      <c r="B64" s="6" t="s">
        <v>268</v>
      </c>
      <c r="C64" s="6" t="s">
        <v>269</v>
      </c>
      <c r="D64" s="7">
        <v>11486.55027159</v>
      </c>
      <c r="E64" s="6" t="s">
        <v>270</v>
      </c>
      <c r="F64" s="6" t="s">
        <v>542</v>
      </c>
      <c r="G64" s="6" t="s">
        <v>550</v>
      </c>
    </row>
    <row r="65" spans="2:7" x14ac:dyDescent="0.45">
      <c r="B65" s="6" t="s">
        <v>302</v>
      </c>
      <c r="C65" s="6" t="s">
        <v>520</v>
      </c>
      <c r="D65" s="7">
        <v>10743.730774350001</v>
      </c>
      <c r="E65" s="6" t="s">
        <v>303</v>
      </c>
      <c r="F65" s="6" t="s">
        <v>542</v>
      </c>
      <c r="G65" s="6" t="s">
        <v>550</v>
      </c>
    </row>
    <row r="66" spans="2:7" x14ac:dyDescent="0.45">
      <c r="B66" s="6" t="s">
        <v>282</v>
      </c>
      <c r="C66" s="6" t="s">
        <v>283</v>
      </c>
      <c r="D66" s="7">
        <v>9716.3271482799992</v>
      </c>
      <c r="E66" s="6" t="s">
        <v>284</v>
      </c>
      <c r="F66" s="6" t="s">
        <v>542</v>
      </c>
      <c r="G66" s="6" t="s">
        <v>550</v>
      </c>
    </row>
    <row r="67" spans="2:7" x14ac:dyDescent="0.45">
      <c r="B67" s="6" t="s">
        <v>516</v>
      </c>
      <c r="C67" s="6" t="s">
        <v>517</v>
      </c>
      <c r="D67" s="7">
        <v>9671.1341205099998</v>
      </c>
      <c r="E67" s="6" t="s">
        <v>534</v>
      </c>
      <c r="F67" s="6" t="s">
        <v>542</v>
      </c>
      <c r="G67" s="6" t="s">
        <v>550</v>
      </c>
    </row>
    <row r="68" spans="2:7" x14ac:dyDescent="0.45">
      <c r="B68" s="6" t="s">
        <v>157</v>
      </c>
      <c r="C68" s="6" t="s">
        <v>158</v>
      </c>
      <c r="D68" s="7">
        <v>9140.2859150599998</v>
      </c>
      <c r="E68" s="6" t="s">
        <v>156</v>
      </c>
      <c r="F68" s="6" t="s">
        <v>542</v>
      </c>
      <c r="G68" s="6" t="s">
        <v>550</v>
      </c>
    </row>
    <row r="69" spans="2:7" x14ac:dyDescent="0.45">
      <c r="B69" s="6" t="s">
        <v>312</v>
      </c>
      <c r="C69" s="6" t="s">
        <v>313</v>
      </c>
      <c r="D69" s="7">
        <v>8188.1030842999999</v>
      </c>
      <c r="E69" s="6" t="s">
        <v>314</v>
      </c>
      <c r="F69" s="6" t="s">
        <v>542</v>
      </c>
      <c r="G69" s="6" t="s">
        <v>550</v>
      </c>
    </row>
    <row r="70" spans="2:7" x14ac:dyDescent="0.45">
      <c r="B70" s="6" t="s">
        <v>159</v>
      </c>
      <c r="C70" s="6" t="s">
        <v>160</v>
      </c>
      <c r="D70" s="7">
        <v>7816.9591494200004</v>
      </c>
      <c r="E70" s="6" t="s">
        <v>156</v>
      </c>
      <c r="F70" s="6" t="s">
        <v>542</v>
      </c>
      <c r="G70" s="6" t="s">
        <v>550</v>
      </c>
    </row>
    <row r="71" spans="2:7" x14ac:dyDescent="0.45">
      <c r="B71" s="6" t="s">
        <v>304</v>
      </c>
      <c r="C71" s="6" t="s">
        <v>305</v>
      </c>
      <c r="D71" s="7">
        <v>7809.3732992799996</v>
      </c>
      <c r="E71" s="6" t="s">
        <v>306</v>
      </c>
      <c r="F71" s="6" t="s">
        <v>542</v>
      </c>
      <c r="G71" s="6" t="s">
        <v>550</v>
      </c>
    </row>
    <row r="72" spans="2:7" x14ac:dyDescent="0.45">
      <c r="B72" s="6" t="s">
        <v>161</v>
      </c>
      <c r="C72" s="6" t="s">
        <v>162</v>
      </c>
      <c r="D72" s="7">
        <v>2026.4719882100001</v>
      </c>
      <c r="E72" s="6" t="s">
        <v>156</v>
      </c>
      <c r="F72" s="6" t="s">
        <v>542</v>
      </c>
      <c r="G72" s="6" t="s">
        <v>550</v>
      </c>
    </row>
    <row r="73" spans="2:7" x14ac:dyDescent="0.45">
      <c r="B73" s="6" t="s">
        <v>163</v>
      </c>
      <c r="C73" s="6" t="s">
        <v>164</v>
      </c>
      <c r="D73" s="7">
        <v>1665.7172048100001</v>
      </c>
      <c r="E73" s="6" t="s">
        <v>165</v>
      </c>
      <c r="F73" s="6" t="s">
        <v>542</v>
      </c>
      <c r="G73" s="6" t="s">
        <v>550</v>
      </c>
    </row>
    <row r="74" spans="2:7" x14ac:dyDescent="0.45">
      <c r="B74" s="6" t="s">
        <v>166</v>
      </c>
      <c r="C74" s="6" t="s">
        <v>167</v>
      </c>
      <c r="D74" s="7">
        <v>1555.68388744</v>
      </c>
      <c r="E74" s="6" t="s">
        <v>168</v>
      </c>
      <c r="F74" s="6" t="s">
        <v>542</v>
      </c>
      <c r="G74" s="6" t="s">
        <v>550</v>
      </c>
    </row>
    <row r="75" spans="2:7" x14ac:dyDescent="0.45">
      <c r="B75" s="6" t="s">
        <v>196</v>
      </c>
      <c r="C75" s="6" t="s">
        <v>197</v>
      </c>
      <c r="D75" s="7">
        <v>648.29648951000001</v>
      </c>
      <c r="E75" s="6" t="s">
        <v>198</v>
      </c>
      <c r="F75" s="6" t="s">
        <v>542</v>
      </c>
      <c r="G75" s="6" t="s">
        <v>550</v>
      </c>
    </row>
    <row r="76" spans="2:7" x14ac:dyDescent="0.45">
      <c r="B76" s="6" t="s">
        <v>184</v>
      </c>
      <c r="C76" s="6" t="s">
        <v>185</v>
      </c>
      <c r="D76" s="7">
        <v>642.90036557999997</v>
      </c>
      <c r="E76" s="6" t="s">
        <v>186</v>
      </c>
      <c r="F76" s="6" t="s">
        <v>542</v>
      </c>
      <c r="G76" s="6" t="s">
        <v>550</v>
      </c>
    </row>
    <row r="77" spans="2:7" x14ac:dyDescent="0.45">
      <c r="B77" s="6" t="s">
        <v>178</v>
      </c>
      <c r="C77" s="6" t="s">
        <v>179</v>
      </c>
      <c r="D77" s="7">
        <v>500.19536821000003</v>
      </c>
      <c r="E77" s="6" t="s">
        <v>180</v>
      </c>
      <c r="F77" s="6" t="s">
        <v>542</v>
      </c>
      <c r="G77" s="6" t="s">
        <v>550</v>
      </c>
    </row>
    <row r="78" spans="2:7" x14ac:dyDescent="0.45">
      <c r="B78" s="6" t="s">
        <v>169</v>
      </c>
      <c r="C78" s="6" t="s">
        <v>170</v>
      </c>
      <c r="D78" s="7">
        <v>435.12509978999998</v>
      </c>
      <c r="E78" s="6" t="s">
        <v>171</v>
      </c>
      <c r="F78" s="6" t="s">
        <v>542</v>
      </c>
      <c r="G78" s="6" t="s">
        <v>550</v>
      </c>
    </row>
    <row r="79" spans="2:7" x14ac:dyDescent="0.45">
      <c r="B79" s="6" t="s">
        <v>181</v>
      </c>
      <c r="C79" s="6" t="s">
        <v>182</v>
      </c>
      <c r="D79" s="7">
        <v>409.68487661</v>
      </c>
      <c r="E79" s="6" t="s">
        <v>183</v>
      </c>
      <c r="F79" s="6" t="s">
        <v>542</v>
      </c>
      <c r="G79" s="6" t="s">
        <v>550</v>
      </c>
    </row>
    <row r="80" spans="2:7" x14ac:dyDescent="0.45">
      <c r="B80" s="6" t="s">
        <v>172</v>
      </c>
      <c r="C80" s="6" t="s">
        <v>173</v>
      </c>
      <c r="D80" s="7">
        <v>332.26324968</v>
      </c>
      <c r="E80" s="6" t="s">
        <v>174</v>
      </c>
      <c r="F80" s="6" t="s">
        <v>542</v>
      </c>
      <c r="G80" s="6" t="s">
        <v>550</v>
      </c>
    </row>
    <row r="81" spans="2:7" x14ac:dyDescent="0.45">
      <c r="B81" s="6" t="s">
        <v>175</v>
      </c>
      <c r="C81" s="6" t="s">
        <v>176</v>
      </c>
      <c r="D81" s="7">
        <v>325.28881679</v>
      </c>
      <c r="E81" s="6" t="s">
        <v>177</v>
      </c>
      <c r="F81" s="6" t="s">
        <v>542</v>
      </c>
      <c r="G81" s="6" t="s">
        <v>550</v>
      </c>
    </row>
    <row r="82" spans="2:7" x14ac:dyDescent="0.45">
      <c r="B82" s="6" t="s">
        <v>187</v>
      </c>
      <c r="C82" s="6" t="s">
        <v>188</v>
      </c>
      <c r="D82" s="7">
        <v>315.58439349000002</v>
      </c>
      <c r="E82" s="6" t="s">
        <v>189</v>
      </c>
      <c r="F82" s="6" t="s">
        <v>542</v>
      </c>
      <c r="G82" s="6" t="s">
        <v>550</v>
      </c>
    </row>
    <row r="83" spans="2:7" x14ac:dyDescent="0.45">
      <c r="B83" s="6" t="s">
        <v>190</v>
      </c>
      <c r="C83" s="6" t="s">
        <v>191</v>
      </c>
      <c r="D83" s="7">
        <v>295.79144886</v>
      </c>
      <c r="E83" s="6" t="s">
        <v>192</v>
      </c>
      <c r="F83" s="6" t="s">
        <v>542</v>
      </c>
      <c r="G83" s="6" t="s">
        <v>550</v>
      </c>
    </row>
    <row r="84" spans="2:7" x14ac:dyDescent="0.45">
      <c r="B84" s="6" t="s">
        <v>193</v>
      </c>
      <c r="C84" s="6" t="s">
        <v>194</v>
      </c>
      <c r="D84" s="7">
        <v>287.36218069</v>
      </c>
      <c r="E84" s="6" t="s">
        <v>195</v>
      </c>
      <c r="F84" s="6" t="s">
        <v>542</v>
      </c>
      <c r="G84" s="6" t="s">
        <v>550</v>
      </c>
    </row>
    <row r="85" spans="2:7" x14ac:dyDescent="0.45">
      <c r="B85" s="6" t="s">
        <v>202</v>
      </c>
      <c r="C85" s="6" t="s">
        <v>203</v>
      </c>
      <c r="D85" s="7">
        <v>244.93118140000001</v>
      </c>
      <c r="E85" s="6" t="s">
        <v>204</v>
      </c>
      <c r="F85" s="6" t="s">
        <v>542</v>
      </c>
      <c r="G85" s="6" t="s">
        <v>550</v>
      </c>
    </row>
    <row r="86" spans="2:7" x14ac:dyDescent="0.45">
      <c r="B86" s="6" t="s">
        <v>199</v>
      </c>
      <c r="C86" s="6" t="s">
        <v>200</v>
      </c>
      <c r="D86" s="7">
        <v>199.78889656999999</v>
      </c>
      <c r="E86" s="6" t="s">
        <v>201</v>
      </c>
      <c r="F86" s="6" t="s">
        <v>542</v>
      </c>
      <c r="G86" s="6" t="s">
        <v>550</v>
      </c>
    </row>
    <row r="87" spans="2:7" x14ac:dyDescent="0.45">
      <c r="B87" s="6" t="s">
        <v>208</v>
      </c>
      <c r="C87" s="6" t="s">
        <v>209</v>
      </c>
      <c r="D87" s="7">
        <v>176.08321531000001</v>
      </c>
      <c r="E87" s="6" t="s">
        <v>210</v>
      </c>
      <c r="F87" s="6" t="s">
        <v>542</v>
      </c>
      <c r="G87" s="6" t="s">
        <v>550</v>
      </c>
    </row>
    <row r="88" spans="2:7" x14ac:dyDescent="0.45">
      <c r="B88" s="6" t="s">
        <v>205</v>
      </c>
      <c r="C88" s="6" t="s">
        <v>206</v>
      </c>
      <c r="D88" s="7">
        <v>161.80314041</v>
      </c>
      <c r="E88" s="6" t="s">
        <v>207</v>
      </c>
      <c r="F88" s="6" t="s">
        <v>542</v>
      </c>
      <c r="G88" s="6" t="s">
        <v>550</v>
      </c>
    </row>
    <row r="89" spans="2:7" x14ac:dyDescent="0.45">
      <c r="B89" s="6" t="s">
        <v>211</v>
      </c>
      <c r="C89" s="6" t="s">
        <v>212</v>
      </c>
      <c r="D89" s="7">
        <v>138.52085664000001</v>
      </c>
      <c r="E89" s="6" t="s">
        <v>213</v>
      </c>
      <c r="F89" s="6" t="s">
        <v>542</v>
      </c>
      <c r="G89" s="6" t="s">
        <v>550</v>
      </c>
    </row>
    <row r="90" spans="2:7" x14ac:dyDescent="0.45">
      <c r="B90" s="6" t="s">
        <v>214</v>
      </c>
      <c r="C90" s="6" t="s">
        <v>215</v>
      </c>
      <c r="D90" s="7">
        <v>130.98192603000001</v>
      </c>
      <c r="E90" s="6" t="s">
        <v>216</v>
      </c>
      <c r="F90" s="6" t="s">
        <v>542</v>
      </c>
      <c r="G90" s="6" t="s">
        <v>550</v>
      </c>
    </row>
    <row r="91" spans="2:7" x14ac:dyDescent="0.45">
      <c r="B91" s="8" t="s">
        <v>217</v>
      </c>
      <c r="C91" s="8" t="s">
        <v>218</v>
      </c>
      <c r="D91" s="9">
        <v>164802.59556094999</v>
      </c>
      <c r="E91" s="8" t="s">
        <v>219</v>
      </c>
      <c r="F91" s="8" t="s">
        <v>542</v>
      </c>
      <c r="G91" s="8" t="s">
        <v>553</v>
      </c>
    </row>
    <row r="92" spans="2:7" x14ac:dyDescent="0.45">
      <c r="B92" s="8" t="s">
        <v>230</v>
      </c>
      <c r="C92" s="8" t="s">
        <v>231</v>
      </c>
      <c r="D92" s="9">
        <v>71838.793041070006</v>
      </c>
      <c r="E92" s="8" t="s">
        <v>232</v>
      </c>
      <c r="F92" s="8" t="s">
        <v>542</v>
      </c>
      <c r="G92" s="8" t="s">
        <v>552</v>
      </c>
    </row>
    <row r="93" spans="2:7" x14ac:dyDescent="0.45">
      <c r="B93" s="8" t="s">
        <v>223</v>
      </c>
      <c r="C93" s="8" t="s">
        <v>224</v>
      </c>
      <c r="D93" s="9">
        <v>67897.056777160004</v>
      </c>
      <c r="E93" s="8" t="s">
        <v>219</v>
      </c>
      <c r="F93" s="8" t="s">
        <v>542</v>
      </c>
      <c r="G93" s="8" t="s">
        <v>552</v>
      </c>
    </row>
    <row r="94" spans="2:7" x14ac:dyDescent="0.45">
      <c r="B94" s="8" t="s">
        <v>220</v>
      </c>
      <c r="C94" s="8" t="s">
        <v>221</v>
      </c>
      <c r="D94" s="9">
        <v>52559.358713759997</v>
      </c>
      <c r="E94" s="8" t="s">
        <v>222</v>
      </c>
      <c r="F94" s="8" t="s">
        <v>542</v>
      </c>
      <c r="G94" s="8" t="s">
        <v>552</v>
      </c>
    </row>
    <row r="95" spans="2:7" x14ac:dyDescent="0.45">
      <c r="B95" s="8" t="s">
        <v>225</v>
      </c>
      <c r="C95" s="8" t="s">
        <v>226</v>
      </c>
      <c r="D95" s="9">
        <v>39379.614576909997</v>
      </c>
      <c r="E95" s="8" t="s">
        <v>227</v>
      </c>
      <c r="F95" s="8" t="s">
        <v>542</v>
      </c>
      <c r="G95" s="8" t="s">
        <v>552</v>
      </c>
    </row>
    <row r="96" spans="2:7" x14ac:dyDescent="0.45">
      <c r="B96" s="8" t="s">
        <v>228</v>
      </c>
      <c r="C96" s="8" t="s">
        <v>229</v>
      </c>
      <c r="D96" s="9">
        <v>29006.766411240002</v>
      </c>
      <c r="E96" s="8" t="s">
        <v>219</v>
      </c>
      <c r="F96" s="8" t="s">
        <v>542</v>
      </c>
      <c r="G96" s="8" t="s">
        <v>552</v>
      </c>
    </row>
    <row r="97" spans="2:7" x14ac:dyDescent="0.45">
      <c r="B97" s="8" t="s">
        <v>250</v>
      </c>
      <c r="C97" s="8" t="s">
        <v>251</v>
      </c>
      <c r="D97" s="9">
        <v>22097.709769519999</v>
      </c>
      <c r="E97" s="8" t="s">
        <v>232</v>
      </c>
      <c r="F97" s="8" t="s">
        <v>542</v>
      </c>
      <c r="G97" s="8" t="s">
        <v>552</v>
      </c>
    </row>
    <row r="98" spans="2:7" x14ac:dyDescent="0.45">
      <c r="B98" s="8" t="s">
        <v>235</v>
      </c>
      <c r="C98" s="8" t="s">
        <v>236</v>
      </c>
      <c r="D98" s="9">
        <v>21215.888951860001</v>
      </c>
      <c r="E98" s="8" t="s">
        <v>227</v>
      </c>
      <c r="F98" s="8" t="s">
        <v>542</v>
      </c>
      <c r="G98" s="8" t="s">
        <v>552</v>
      </c>
    </row>
    <row r="99" spans="2:7" x14ac:dyDescent="0.45">
      <c r="B99" s="8" t="s">
        <v>233</v>
      </c>
      <c r="C99" s="8" t="s">
        <v>234</v>
      </c>
      <c r="D99" s="9">
        <v>15374.80251041</v>
      </c>
      <c r="E99" s="8" t="s">
        <v>222</v>
      </c>
      <c r="F99" s="8" t="s">
        <v>542</v>
      </c>
      <c r="G99" s="8" t="s">
        <v>552</v>
      </c>
    </row>
    <row r="100" spans="2:7" x14ac:dyDescent="0.45">
      <c r="B100" s="8" t="s">
        <v>237</v>
      </c>
      <c r="C100" s="8" t="s">
        <v>238</v>
      </c>
      <c r="D100" s="9">
        <v>13051.44116276</v>
      </c>
      <c r="E100" s="8" t="s">
        <v>219</v>
      </c>
      <c r="F100" s="8" t="s">
        <v>542</v>
      </c>
      <c r="G100" s="8" t="s">
        <v>552</v>
      </c>
    </row>
    <row r="101" spans="2:7" x14ac:dyDescent="0.45">
      <c r="B101" s="8" t="s">
        <v>239</v>
      </c>
      <c r="C101" s="8" t="s">
        <v>240</v>
      </c>
      <c r="D101" s="9">
        <v>7938.6186935200003</v>
      </c>
      <c r="E101" s="8" t="s">
        <v>241</v>
      </c>
      <c r="F101" s="8" t="s">
        <v>542</v>
      </c>
      <c r="G101" s="8" t="s">
        <v>552</v>
      </c>
    </row>
    <row r="102" spans="2:7" x14ac:dyDescent="0.45">
      <c r="B102" s="8" t="s">
        <v>242</v>
      </c>
      <c r="C102" s="8" t="s">
        <v>243</v>
      </c>
      <c r="D102" s="9">
        <v>3842.0758922700002</v>
      </c>
      <c r="E102" s="8" t="s">
        <v>222</v>
      </c>
      <c r="F102" s="8" t="s">
        <v>542</v>
      </c>
      <c r="G102" s="8" t="s">
        <v>552</v>
      </c>
    </row>
    <row r="103" spans="2:7" x14ac:dyDescent="0.45">
      <c r="B103" s="8" t="s">
        <v>246</v>
      </c>
      <c r="C103" s="8" t="s">
        <v>247</v>
      </c>
      <c r="D103" s="9">
        <v>3809.6632090399999</v>
      </c>
      <c r="E103" s="8" t="s">
        <v>241</v>
      </c>
      <c r="F103" s="8" t="s">
        <v>542</v>
      </c>
      <c r="G103" s="8" t="s">
        <v>552</v>
      </c>
    </row>
    <row r="104" spans="2:7" x14ac:dyDescent="0.45">
      <c r="B104" s="8" t="s">
        <v>244</v>
      </c>
      <c r="C104" s="8" t="s">
        <v>245</v>
      </c>
      <c r="D104" s="9">
        <v>3540.29384011</v>
      </c>
      <c r="E104" s="8" t="s">
        <v>222</v>
      </c>
      <c r="F104" s="8" t="s">
        <v>542</v>
      </c>
      <c r="G104" s="8" t="s">
        <v>552</v>
      </c>
    </row>
    <row r="105" spans="2:7" x14ac:dyDescent="0.45">
      <c r="B105" s="8" t="s">
        <v>248</v>
      </c>
      <c r="C105" s="8" t="s">
        <v>249</v>
      </c>
      <c r="D105" s="9">
        <v>3310.3925477600001</v>
      </c>
      <c r="E105" s="8" t="s">
        <v>241</v>
      </c>
      <c r="F105" s="8" t="s">
        <v>542</v>
      </c>
      <c r="G105" s="8" t="s">
        <v>552</v>
      </c>
    </row>
    <row r="106" spans="2:7" x14ac:dyDescent="0.45">
      <c r="B106" s="8" t="s">
        <v>252</v>
      </c>
      <c r="C106" s="8" t="s">
        <v>253</v>
      </c>
      <c r="D106" s="9">
        <v>1070.4305638999999</v>
      </c>
      <c r="E106" s="8" t="s">
        <v>254</v>
      </c>
      <c r="F106" s="8" t="s">
        <v>542</v>
      </c>
      <c r="G106" s="8" t="s">
        <v>552</v>
      </c>
    </row>
    <row r="107" spans="2:7" x14ac:dyDescent="0.45">
      <c r="B107" s="8" t="s">
        <v>255</v>
      </c>
      <c r="C107" s="8" t="s">
        <v>256</v>
      </c>
      <c r="D107" s="9">
        <v>293.68222609999998</v>
      </c>
      <c r="E107" s="8" t="s">
        <v>257</v>
      </c>
      <c r="F107" s="8" t="s">
        <v>542</v>
      </c>
      <c r="G107" s="8" t="s">
        <v>552</v>
      </c>
    </row>
    <row r="108" spans="2:7" x14ac:dyDescent="0.45">
      <c r="B108" s="6" t="s">
        <v>285</v>
      </c>
      <c r="C108" s="6" t="s">
        <v>286</v>
      </c>
      <c r="D108" s="7">
        <v>36018.939847660004</v>
      </c>
      <c r="E108" s="6" t="s">
        <v>528</v>
      </c>
      <c r="F108" s="6" t="s">
        <v>542</v>
      </c>
      <c r="G108" s="6" t="s">
        <v>555</v>
      </c>
    </row>
    <row r="109" spans="2:7" x14ac:dyDescent="0.45">
      <c r="B109" s="6" t="s">
        <v>280</v>
      </c>
      <c r="C109" s="6" t="s">
        <v>281</v>
      </c>
      <c r="D109" s="7">
        <v>23624.024804379998</v>
      </c>
      <c r="E109" s="6" t="s">
        <v>503</v>
      </c>
      <c r="F109" s="6" t="s">
        <v>542</v>
      </c>
      <c r="G109" s="6" t="s">
        <v>554</v>
      </c>
    </row>
    <row r="110" spans="2:7" x14ac:dyDescent="0.45">
      <c r="B110" s="6" t="s">
        <v>263</v>
      </c>
      <c r="C110" s="6" t="s">
        <v>264</v>
      </c>
      <c r="D110" s="7">
        <v>23508.252732019999</v>
      </c>
      <c r="E110" s="6" t="s">
        <v>265</v>
      </c>
      <c r="F110" s="6" t="s">
        <v>542</v>
      </c>
      <c r="G110" s="6" t="s">
        <v>554</v>
      </c>
    </row>
    <row r="111" spans="2:7" x14ac:dyDescent="0.45">
      <c r="B111" s="6" t="s">
        <v>508</v>
      </c>
      <c r="C111" s="6" t="s">
        <v>509</v>
      </c>
      <c r="D111" s="7">
        <v>20947.40437176</v>
      </c>
      <c r="E111" s="6" t="s">
        <v>537</v>
      </c>
      <c r="F111" s="6" t="s">
        <v>542</v>
      </c>
      <c r="G111" s="6" t="s">
        <v>554</v>
      </c>
    </row>
    <row r="112" spans="2:7" x14ac:dyDescent="0.45">
      <c r="B112" s="6" t="s">
        <v>277</v>
      </c>
      <c r="C112" s="6" t="s">
        <v>278</v>
      </c>
      <c r="D112" s="7">
        <v>18733.225140369999</v>
      </c>
      <c r="E112" s="6" t="s">
        <v>279</v>
      </c>
      <c r="F112" s="6" t="s">
        <v>542</v>
      </c>
      <c r="G112" s="6" t="s">
        <v>554</v>
      </c>
    </row>
    <row r="113" spans="2:7" x14ac:dyDescent="0.45">
      <c r="B113" s="6" t="s">
        <v>266</v>
      </c>
      <c r="C113" s="6" t="s">
        <v>267</v>
      </c>
      <c r="D113" s="7">
        <v>18187.23424519</v>
      </c>
      <c r="E113" s="6" t="s">
        <v>540</v>
      </c>
      <c r="F113" s="6" t="s">
        <v>542</v>
      </c>
      <c r="G113" s="6" t="s">
        <v>554</v>
      </c>
    </row>
    <row r="114" spans="2:7" x14ac:dyDescent="0.45">
      <c r="B114" s="6" t="s">
        <v>287</v>
      </c>
      <c r="C114" s="6" t="s">
        <v>288</v>
      </c>
      <c r="D114" s="7">
        <v>17802.52742971</v>
      </c>
      <c r="E114" s="6" t="s">
        <v>289</v>
      </c>
      <c r="F114" s="6" t="s">
        <v>542</v>
      </c>
      <c r="G114" s="6" t="s">
        <v>554</v>
      </c>
    </row>
    <row r="115" spans="2:7" x14ac:dyDescent="0.45">
      <c r="B115" s="6" t="s">
        <v>523</v>
      </c>
      <c r="C115" s="6" t="s">
        <v>524</v>
      </c>
      <c r="D115" s="7">
        <v>15913.74503525</v>
      </c>
      <c r="E115" s="6" t="s">
        <v>531</v>
      </c>
      <c r="F115" s="6" t="s">
        <v>542</v>
      </c>
      <c r="G115" s="6" t="s">
        <v>554</v>
      </c>
    </row>
    <row r="116" spans="2:7" x14ac:dyDescent="0.45">
      <c r="B116" s="6" t="s">
        <v>510</v>
      </c>
      <c r="C116" s="6" t="s">
        <v>511</v>
      </c>
      <c r="D116" s="7">
        <v>14663.997501440001</v>
      </c>
      <c r="E116" s="6" t="s">
        <v>538</v>
      </c>
      <c r="F116" s="6" t="s">
        <v>542</v>
      </c>
      <c r="G116" s="6" t="s">
        <v>554</v>
      </c>
    </row>
    <row r="117" spans="2:7" x14ac:dyDescent="0.45">
      <c r="B117" s="6" t="s">
        <v>274</v>
      </c>
      <c r="C117" s="6" t="s">
        <v>275</v>
      </c>
      <c r="D117" s="7">
        <v>13674.73402328</v>
      </c>
      <c r="E117" s="6" t="s">
        <v>276</v>
      </c>
      <c r="F117" s="6" t="s">
        <v>542</v>
      </c>
      <c r="G117" s="6" t="s">
        <v>554</v>
      </c>
    </row>
    <row r="118" spans="2:7" x14ac:dyDescent="0.45">
      <c r="B118" s="6" t="s">
        <v>271</v>
      </c>
      <c r="C118" s="6" t="s">
        <v>272</v>
      </c>
      <c r="D118" s="7">
        <v>11376.40737456</v>
      </c>
      <c r="E118" s="6" t="s">
        <v>273</v>
      </c>
      <c r="F118" s="6" t="s">
        <v>542</v>
      </c>
      <c r="G118" s="6" t="s">
        <v>554</v>
      </c>
    </row>
    <row r="119" spans="2:7" x14ac:dyDescent="0.45">
      <c r="B119" s="6" t="s">
        <v>525</v>
      </c>
      <c r="C119" s="6" t="s">
        <v>526</v>
      </c>
      <c r="D119" s="7">
        <v>9938.3736157999992</v>
      </c>
      <c r="E119" s="6" t="s">
        <v>530</v>
      </c>
      <c r="F119" s="6" t="s">
        <v>542</v>
      </c>
      <c r="G119" s="6" t="s">
        <v>554</v>
      </c>
    </row>
    <row r="120" spans="2:7" x14ac:dyDescent="0.45">
      <c r="B120" s="6" t="s">
        <v>514</v>
      </c>
      <c r="C120" s="6" t="s">
        <v>515</v>
      </c>
      <c r="D120" s="7">
        <v>9792.8750588799994</v>
      </c>
      <c r="E120" s="6" t="s">
        <v>535</v>
      </c>
      <c r="F120" s="6" t="s">
        <v>542</v>
      </c>
      <c r="G120" s="6" t="s">
        <v>554</v>
      </c>
    </row>
    <row r="121" spans="2:7" x14ac:dyDescent="0.45">
      <c r="B121" s="6" t="s">
        <v>518</v>
      </c>
      <c r="C121" s="6" t="s">
        <v>519</v>
      </c>
      <c r="D121" s="7">
        <v>9686.7237779299994</v>
      </c>
      <c r="E121" s="6" t="s">
        <v>533</v>
      </c>
      <c r="F121" s="6" t="s">
        <v>542</v>
      </c>
      <c r="G121" s="6" t="s">
        <v>554</v>
      </c>
    </row>
    <row r="122" spans="2:7" x14ac:dyDescent="0.45">
      <c r="B122" s="6" t="s">
        <v>309</v>
      </c>
      <c r="C122" s="6" t="s">
        <v>310</v>
      </c>
      <c r="D122" s="7">
        <v>9364.2934377300007</v>
      </c>
      <c r="E122" s="6" t="s">
        <v>311</v>
      </c>
      <c r="F122" s="6" t="s">
        <v>542</v>
      </c>
      <c r="G122" s="6" t="s">
        <v>554</v>
      </c>
    </row>
    <row r="123" spans="2:7" x14ac:dyDescent="0.45">
      <c r="B123" s="6" t="s">
        <v>521</v>
      </c>
      <c r="C123" s="6" t="s">
        <v>522</v>
      </c>
      <c r="D123" s="7">
        <v>8830.1407603700009</v>
      </c>
      <c r="E123" s="6" t="s">
        <v>532</v>
      </c>
      <c r="F123" s="6" t="s">
        <v>542</v>
      </c>
      <c r="G123" s="6" t="s">
        <v>554</v>
      </c>
    </row>
    <row r="124" spans="2:7" x14ac:dyDescent="0.45">
      <c r="B124" s="6" t="s">
        <v>290</v>
      </c>
      <c r="C124" s="6" t="s">
        <v>291</v>
      </c>
      <c r="D124" s="7">
        <v>8198.7158854499994</v>
      </c>
      <c r="E124" s="6" t="s">
        <v>292</v>
      </c>
      <c r="F124" s="6" t="s">
        <v>542</v>
      </c>
      <c r="G124" s="6" t="s">
        <v>554</v>
      </c>
    </row>
    <row r="125" spans="2:7" x14ac:dyDescent="0.45">
      <c r="B125" s="6" t="s">
        <v>293</v>
      </c>
      <c r="C125" s="6" t="s">
        <v>294</v>
      </c>
      <c r="D125" s="7">
        <v>7840.26428708</v>
      </c>
      <c r="E125" s="6" t="s">
        <v>295</v>
      </c>
      <c r="F125" s="6" t="s">
        <v>542</v>
      </c>
      <c r="G125" s="6" t="s">
        <v>554</v>
      </c>
    </row>
    <row r="126" spans="2:7" x14ac:dyDescent="0.45">
      <c r="B126" s="6" t="s">
        <v>512</v>
      </c>
      <c r="C126" s="6" t="s">
        <v>513</v>
      </c>
      <c r="D126" s="7">
        <v>7364.1253103600002</v>
      </c>
      <c r="E126" s="6" t="s">
        <v>536</v>
      </c>
      <c r="F126" s="6" t="s">
        <v>542</v>
      </c>
      <c r="G126" s="6" t="s">
        <v>554</v>
      </c>
    </row>
    <row r="127" spans="2:7" x14ac:dyDescent="0.45">
      <c r="B127" s="6" t="s">
        <v>296</v>
      </c>
      <c r="C127" s="6" t="s">
        <v>297</v>
      </c>
      <c r="D127" s="7">
        <v>5224.2839185900002</v>
      </c>
      <c r="E127" s="6" t="s">
        <v>298</v>
      </c>
      <c r="F127" s="6" t="s">
        <v>542</v>
      </c>
      <c r="G127" s="6" t="s">
        <v>554</v>
      </c>
    </row>
    <row r="128" spans="2:7" x14ac:dyDescent="0.45">
      <c r="B128" s="6" t="s">
        <v>307</v>
      </c>
      <c r="C128" s="6" t="s">
        <v>308</v>
      </c>
      <c r="D128" s="7">
        <v>4568.9286314700003</v>
      </c>
      <c r="E128" s="6" t="s">
        <v>505</v>
      </c>
      <c r="F128" s="6" t="s">
        <v>542</v>
      </c>
      <c r="G128" s="6" t="s">
        <v>554</v>
      </c>
    </row>
    <row r="129" spans="2:7" x14ac:dyDescent="0.45">
      <c r="B129" s="6" t="s">
        <v>315</v>
      </c>
      <c r="C129" s="6" t="s">
        <v>316</v>
      </c>
      <c r="D129" s="7">
        <v>3927.9192124900001</v>
      </c>
      <c r="E129" s="6" t="s">
        <v>317</v>
      </c>
      <c r="F129" s="6" t="s">
        <v>542</v>
      </c>
      <c r="G129" s="6" t="s">
        <v>554</v>
      </c>
    </row>
    <row r="130" spans="2:7" x14ac:dyDescent="0.45">
      <c r="B130" s="6" t="s">
        <v>318</v>
      </c>
      <c r="C130" s="6" t="s">
        <v>319</v>
      </c>
      <c r="D130" s="7">
        <v>1495.1282836299999</v>
      </c>
      <c r="E130" s="6" t="s">
        <v>320</v>
      </c>
      <c r="F130" s="6" t="s">
        <v>542</v>
      </c>
      <c r="G130" s="6" t="s">
        <v>554</v>
      </c>
    </row>
    <row r="131" spans="2:7" x14ac:dyDescent="0.45">
      <c r="B131" s="6" t="s">
        <v>119</v>
      </c>
      <c r="C131" s="6" t="s">
        <v>120</v>
      </c>
      <c r="D131" s="7">
        <v>1020.94098663</v>
      </c>
      <c r="E131" s="6" t="s">
        <v>121</v>
      </c>
      <c r="F131" s="6" t="s">
        <v>542</v>
      </c>
      <c r="G131" s="6" t="s">
        <v>554</v>
      </c>
    </row>
    <row r="132" spans="2:7" x14ac:dyDescent="0.45">
      <c r="B132" s="6" t="s">
        <v>327</v>
      </c>
      <c r="C132" s="6" t="s">
        <v>328</v>
      </c>
      <c r="D132" s="7">
        <v>491.46616595</v>
      </c>
      <c r="E132" s="6" t="s">
        <v>329</v>
      </c>
      <c r="F132" s="6" t="s">
        <v>542</v>
      </c>
      <c r="G132" s="6" t="s">
        <v>554</v>
      </c>
    </row>
    <row r="133" spans="2:7" x14ac:dyDescent="0.45">
      <c r="B133" s="6" t="s">
        <v>330</v>
      </c>
      <c r="C133" s="6" t="s">
        <v>331</v>
      </c>
      <c r="D133" s="7">
        <v>429.70847056999997</v>
      </c>
      <c r="E133" s="6" t="s">
        <v>332</v>
      </c>
      <c r="F133" s="6" t="s">
        <v>542</v>
      </c>
      <c r="G133" s="6" t="s">
        <v>554</v>
      </c>
    </row>
    <row r="134" spans="2:7" x14ac:dyDescent="0.45">
      <c r="B134" s="6" t="s">
        <v>321</v>
      </c>
      <c r="C134" s="6" t="s">
        <v>322</v>
      </c>
      <c r="D134" s="7">
        <v>315.63668128</v>
      </c>
      <c r="E134" s="6" t="s">
        <v>323</v>
      </c>
      <c r="F134" s="6" t="s">
        <v>542</v>
      </c>
      <c r="G134" s="6" t="s">
        <v>554</v>
      </c>
    </row>
    <row r="135" spans="2:7" x14ac:dyDescent="0.45">
      <c r="B135" s="6" t="s">
        <v>333</v>
      </c>
      <c r="C135" s="6" t="s">
        <v>334</v>
      </c>
      <c r="D135" s="7">
        <v>294.15219844000001</v>
      </c>
      <c r="E135" s="6" t="s">
        <v>335</v>
      </c>
      <c r="F135" s="6" t="s">
        <v>542</v>
      </c>
      <c r="G135" s="6" t="s">
        <v>554</v>
      </c>
    </row>
    <row r="136" spans="2:7" x14ac:dyDescent="0.45">
      <c r="B136" s="6" t="s">
        <v>324</v>
      </c>
      <c r="C136" s="6" t="s">
        <v>325</v>
      </c>
      <c r="D136" s="7">
        <v>288.29418292999998</v>
      </c>
      <c r="E136" s="6" t="s">
        <v>326</v>
      </c>
      <c r="F136" s="6" t="s">
        <v>542</v>
      </c>
      <c r="G136" s="6" t="s">
        <v>554</v>
      </c>
    </row>
    <row r="137" spans="2:7" x14ac:dyDescent="0.45">
      <c r="B137" s="6" t="s">
        <v>336</v>
      </c>
      <c r="C137" s="6" t="s">
        <v>337</v>
      </c>
      <c r="D137" s="7">
        <v>94.189997579999996</v>
      </c>
      <c r="E137" s="6" t="s">
        <v>338</v>
      </c>
      <c r="F137" s="6" t="s">
        <v>542</v>
      </c>
      <c r="G137" s="6" t="s">
        <v>554</v>
      </c>
    </row>
    <row r="138" spans="2:7" x14ac:dyDescent="0.45">
      <c r="B138" s="6" t="s">
        <v>354</v>
      </c>
      <c r="C138" s="6" t="s">
        <v>355</v>
      </c>
      <c r="D138" s="7">
        <v>90.991580459999994</v>
      </c>
      <c r="E138" s="6" t="s">
        <v>356</v>
      </c>
      <c r="F138" s="6" t="s">
        <v>542</v>
      </c>
      <c r="G138" s="6" t="s">
        <v>554</v>
      </c>
    </row>
    <row r="139" spans="2:7" x14ac:dyDescent="0.45">
      <c r="B139" s="6" t="s">
        <v>342</v>
      </c>
      <c r="C139" s="6" t="s">
        <v>343</v>
      </c>
      <c r="D139" s="7">
        <v>87.816571940000003</v>
      </c>
      <c r="E139" s="6" t="s">
        <v>344</v>
      </c>
      <c r="F139" s="6" t="s">
        <v>542</v>
      </c>
      <c r="G139" s="6" t="s">
        <v>554</v>
      </c>
    </row>
    <row r="140" spans="2:7" x14ac:dyDescent="0.45">
      <c r="B140" s="6" t="s">
        <v>348</v>
      </c>
      <c r="C140" s="6" t="s">
        <v>349</v>
      </c>
      <c r="D140" s="7">
        <v>83.220983930000003</v>
      </c>
      <c r="E140" s="6" t="s">
        <v>350</v>
      </c>
      <c r="F140" s="6" t="s">
        <v>542</v>
      </c>
      <c r="G140" s="6" t="s">
        <v>554</v>
      </c>
    </row>
    <row r="141" spans="2:7" x14ac:dyDescent="0.45">
      <c r="B141" s="6" t="s">
        <v>351</v>
      </c>
      <c r="C141" s="6" t="s">
        <v>352</v>
      </c>
      <c r="D141" s="7">
        <v>72.164546630000004</v>
      </c>
      <c r="E141" s="6" t="s">
        <v>353</v>
      </c>
      <c r="F141" s="6" t="s">
        <v>542</v>
      </c>
      <c r="G141" s="6" t="s">
        <v>554</v>
      </c>
    </row>
    <row r="142" spans="2:7" x14ac:dyDescent="0.45">
      <c r="B142" s="6" t="s">
        <v>345</v>
      </c>
      <c r="C142" s="6" t="s">
        <v>346</v>
      </c>
      <c r="D142" s="7">
        <v>65.707737159999994</v>
      </c>
      <c r="E142" s="6" t="s">
        <v>347</v>
      </c>
      <c r="F142" s="6" t="s">
        <v>542</v>
      </c>
      <c r="G142" s="6" t="s">
        <v>554</v>
      </c>
    </row>
    <row r="143" spans="2:7" x14ac:dyDescent="0.45">
      <c r="B143" s="6" t="s">
        <v>339</v>
      </c>
      <c r="C143" s="6" t="s">
        <v>340</v>
      </c>
      <c r="D143" s="7">
        <v>42.02337876</v>
      </c>
      <c r="E143" s="6" t="s">
        <v>341</v>
      </c>
      <c r="F143" s="6" t="s">
        <v>542</v>
      </c>
      <c r="G143" s="6" t="s">
        <v>554</v>
      </c>
    </row>
    <row r="144" spans="2:7" x14ac:dyDescent="0.45">
      <c r="B144" s="8" t="s">
        <v>357</v>
      </c>
      <c r="C144" s="8" t="s">
        <v>358</v>
      </c>
      <c r="D144" s="9">
        <v>79731.375539639994</v>
      </c>
      <c r="E144" s="8" t="s">
        <v>359</v>
      </c>
      <c r="F144" s="8" t="s">
        <v>545</v>
      </c>
      <c r="G144" s="8" t="s">
        <v>557</v>
      </c>
    </row>
    <row r="145" spans="2:7" x14ac:dyDescent="0.45">
      <c r="B145" s="8" t="s">
        <v>360</v>
      </c>
      <c r="C145" s="8" t="s">
        <v>361</v>
      </c>
      <c r="D145" s="9">
        <v>72891.106415350005</v>
      </c>
      <c r="E145" s="8" t="s">
        <v>362</v>
      </c>
      <c r="F145" s="8" t="s">
        <v>544</v>
      </c>
      <c r="G145" s="8" t="s">
        <v>556</v>
      </c>
    </row>
    <row r="146" spans="2:7" x14ac:dyDescent="0.45">
      <c r="B146" s="8" t="s">
        <v>363</v>
      </c>
      <c r="C146" s="8" t="s">
        <v>364</v>
      </c>
      <c r="D146" s="9">
        <v>43045.324867739997</v>
      </c>
      <c r="E146" s="8" t="s">
        <v>365</v>
      </c>
      <c r="F146" s="8" t="s">
        <v>544</v>
      </c>
      <c r="G146" s="8" t="s">
        <v>556</v>
      </c>
    </row>
    <row r="147" spans="2:7" x14ac:dyDescent="0.45">
      <c r="B147" s="8" t="s">
        <v>366</v>
      </c>
      <c r="C147" s="8" t="s">
        <v>367</v>
      </c>
      <c r="D147" s="9">
        <v>22405.60647748</v>
      </c>
      <c r="E147" s="8" t="s">
        <v>368</v>
      </c>
      <c r="F147" s="8" t="s">
        <v>544</v>
      </c>
      <c r="G147" s="8" t="s">
        <v>556</v>
      </c>
    </row>
    <row r="148" spans="2:7" x14ac:dyDescent="0.45">
      <c r="B148" s="8" t="s">
        <v>372</v>
      </c>
      <c r="C148" s="8" t="s">
        <v>373</v>
      </c>
      <c r="D148" s="9">
        <v>9091.9710643599992</v>
      </c>
      <c r="E148" s="8" t="s">
        <v>374</v>
      </c>
      <c r="F148" s="8" t="s">
        <v>544</v>
      </c>
      <c r="G148" s="8" t="s">
        <v>556</v>
      </c>
    </row>
    <row r="149" spans="2:7" x14ac:dyDescent="0.45">
      <c r="B149" s="8" t="s">
        <v>369</v>
      </c>
      <c r="C149" s="8" t="s">
        <v>370</v>
      </c>
      <c r="D149" s="9">
        <v>7321.4790043100002</v>
      </c>
      <c r="E149" s="8" t="s">
        <v>371</v>
      </c>
      <c r="F149" s="8" t="s">
        <v>544</v>
      </c>
      <c r="G149" s="8" t="s">
        <v>556</v>
      </c>
    </row>
    <row r="150" spans="2:7" x14ac:dyDescent="0.45">
      <c r="B150" s="8" t="s">
        <v>375</v>
      </c>
      <c r="C150" s="8" t="s">
        <v>376</v>
      </c>
      <c r="D150" s="9">
        <v>6550.2373165899999</v>
      </c>
      <c r="E150" s="8" t="s">
        <v>377</v>
      </c>
      <c r="F150" s="8" t="s">
        <v>544</v>
      </c>
      <c r="G150" s="8" t="s">
        <v>556</v>
      </c>
    </row>
    <row r="151" spans="2:7" x14ac:dyDescent="0.45">
      <c r="B151" s="8" t="s">
        <v>378</v>
      </c>
      <c r="C151" s="8" t="s">
        <v>379</v>
      </c>
      <c r="D151" s="9">
        <v>2080.7181041399999</v>
      </c>
      <c r="E151" s="8" t="s">
        <v>380</v>
      </c>
      <c r="F151" s="8" t="s">
        <v>544</v>
      </c>
      <c r="G151" s="8" t="s">
        <v>556</v>
      </c>
    </row>
    <row r="152" spans="2:7" x14ac:dyDescent="0.45">
      <c r="B152" s="8" t="s">
        <v>381</v>
      </c>
      <c r="C152" s="8" t="s">
        <v>382</v>
      </c>
      <c r="D152" s="9">
        <v>601.50426212000002</v>
      </c>
      <c r="E152" s="8" t="s">
        <v>383</v>
      </c>
      <c r="F152" s="8" t="s">
        <v>544</v>
      </c>
      <c r="G152" s="8" t="s">
        <v>556</v>
      </c>
    </row>
    <row r="153" spans="2:7" x14ac:dyDescent="0.45">
      <c r="B153" s="8" t="s">
        <v>431</v>
      </c>
      <c r="C153" s="8" t="s">
        <v>432</v>
      </c>
      <c r="D153" s="9">
        <v>187.26915084999999</v>
      </c>
      <c r="E153" s="8" t="s">
        <v>433</v>
      </c>
      <c r="F153" s="8" t="s">
        <v>544</v>
      </c>
      <c r="G153" s="8" t="s">
        <v>556</v>
      </c>
    </row>
    <row r="154" spans="2:7" x14ac:dyDescent="0.45">
      <c r="B154" s="8" t="s">
        <v>434</v>
      </c>
      <c r="C154" s="8" t="s">
        <v>506</v>
      </c>
      <c r="D154" s="9">
        <v>112.90431506</v>
      </c>
      <c r="E154" s="8" t="s">
        <v>435</v>
      </c>
      <c r="F154" s="8" t="s">
        <v>544</v>
      </c>
      <c r="G154" s="8" t="s">
        <v>556</v>
      </c>
    </row>
    <row r="155" spans="2:7" x14ac:dyDescent="0.45">
      <c r="B155" s="6" t="s">
        <v>384</v>
      </c>
      <c r="C155" s="6" t="s">
        <v>385</v>
      </c>
      <c r="D155" s="7">
        <v>2882.62280556</v>
      </c>
      <c r="E155" s="6" t="s">
        <v>386</v>
      </c>
      <c r="F155" s="6" t="s">
        <v>544</v>
      </c>
      <c r="G155" s="6" t="s">
        <v>559</v>
      </c>
    </row>
    <row r="156" spans="2:7" x14ac:dyDescent="0.45">
      <c r="B156" s="6" t="s">
        <v>387</v>
      </c>
      <c r="C156" s="6" t="s">
        <v>388</v>
      </c>
      <c r="D156" s="7">
        <v>1160.24404347</v>
      </c>
      <c r="E156" s="6" t="s">
        <v>389</v>
      </c>
      <c r="F156" s="6" t="s">
        <v>544</v>
      </c>
      <c r="G156" s="6" t="s">
        <v>558</v>
      </c>
    </row>
    <row r="157" spans="2:7" x14ac:dyDescent="0.45">
      <c r="B157" s="6" t="s">
        <v>399</v>
      </c>
      <c r="C157" s="6" t="s">
        <v>400</v>
      </c>
      <c r="D157" s="7">
        <v>528.13479198000005</v>
      </c>
      <c r="E157" s="6" t="s">
        <v>401</v>
      </c>
      <c r="F157" s="6" t="s">
        <v>544</v>
      </c>
      <c r="G157" s="6" t="s">
        <v>558</v>
      </c>
    </row>
    <row r="158" spans="2:7" x14ac:dyDescent="0.45">
      <c r="B158" s="6" t="s">
        <v>396</v>
      </c>
      <c r="C158" s="6" t="s">
        <v>397</v>
      </c>
      <c r="D158" s="7">
        <v>366.76562888000001</v>
      </c>
      <c r="E158" s="6" t="s">
        <v>398</v>
      </c>
      <c r="F158" s="6" t="s">
        <v>544</v>
      </c>
      <c r="G158" s="6" t="s">
        <v>558</v>
      </c>
    </row>
    <row r="159" spans="2:7" x14ac:dyDescent="0.45">
      <c r="B159" s="6" t="s">
        <v>390</v>
      </c>
      <c r="C159" s="6" t="s">
        <v>391</v>
      </c>
      <c r="D159" s="7">
        <v>208.04740072000001</v>
      </c>
      <c r="E159" s="6" t="s">
        <v>392</v>
      </c>
      <c r="F159" s="6" t="s">
        <v>544</v>
      </c>
      <c r="G159" s="6" t="s">
        <v>558</v>
      </c>
    </row>
    <row r="160" spans="2:7" x14ac:dyDescent="0.45">
      <c r="B160" s="6" t="s">
        <v>393</v>
      </c>
      <c r="C160" s="6" t="s">
        <v>394</v>
      </c>
      <c r="D160" s="7">
        <v>131.19421742</v>
      </c>
      <c r="E160" s="6" t="s">
        <v>395</v>
      </c>
      <c r="F160" s="6" t="s">
        <v>544</v>
      </c>
      <c r="G160" s="6" t="s">
        <v>558</v>
      </c>
    </row>
    <row r="161" spans="2:7" x14ac:dyDescent="0.45">
      <c r="B161" s="6" t="s">
        <v>402</v>
      </c>
      <c r="C161" s="6" t="s">
        <v>403</v>
      </c>
      <c r="D161" s="7">
        <v>82.28340523</v>
      </c>
      <c r="E161" s="6" t="s">
        <v>404</v>
      </c>
      <c r="F161" s="6" t="s">
        <v>544</v>
      </c>
      <c r="G161" s="6" t="s">
        <v>558</v>
      </c>
    </row>
    <row r="162" spans="2:7" x14ac:dyDescent="0.45">
      <c r="B162" s="8" t="s">
        <v>405</v>
      </c>
      <c r="C162" s="8" t="s">
        <v>406</v>
      </c>
      <c r="D162" s="9">
        <v>18199.577467949999</v>
      </c>
      <c r="E162" s="8" t="s">
        <v>407</v>
      </c>
      <c r="F162" s="8" t="s">
        <v>544</v>
      </c>
      <c r="G162" s="8" t="s">
        <v>561</v>
      </c>
    </row>
    <row r="163" spans="2:7" x14ac:dyDescent="0.45">
      <c r="B163" s="8" t="s">
        <v>408</v>
      </c>
      <c r="C163" s="8" t="s">
        <v>409</v>
      </c>
      <c r="D163" s="9">
        <v>6231.0693804299999</v>
      </c>
      <c r="E163" s="8" t="s">
        <v>410</v>
      </c>
      <c r="F163" s="8" t="s">
        <v>544</v>
      </c>
      <c r="G163" s="8" t="s">
        <v>560</v>
      </c>
    </row>
    <row r="164" spans="2:7" x14ac:dyDescent="0.45">
      <c r="B164" s="8" t="s">
        <v>414</v>
      </c>
      <c r="C164" s="8" t="s">
        <v>415</v>
      </c>
      <c r="D164" s="9">
        <v>5933.83907378</v>
      </c>
      <c r="E164" s="8" t="s">
        <v>416</v>
      </c>
      <c r="F164" s="8" t="s">
        <v>544</v>
      </c>
      <c r="G164" s="8" t="s">
        <v>560</v>
      </c>
    </row>
    <row r="165" spans="2:7" x14ac:dyDescent="0.45">
      <c r="B165" s="8" t="s">
        <v>411</v>
      </c>
      <c r="C165" s="8" t="s">
        <v>412</v>
      </c>
      <c r="D165" s="9">
        <v>4708.4448192899999</v>
      </c>
      <c r="E165" s="8" t="s">
        <v>413</v>
      </c>
      <c r="F165" s="8" t="s">
        <v>544</v>
      </c>
      <c r="G165" s="8" t="s">
        <v>560</v>
      </c>
    </row>
    <row r="166" spans="2:7" x14ac:dyDescent="0.45">
      <c r="B166" s="8" t="s">
        <v>417</v>
      </c>
      <c r="C166" s="8" t="s">
        <v>418</v>
      </c>
      <c r="D166" s="9">
        <v>3570.2581255700002</v>
      </c>
      <c r="E166" s="8" t="s">
        <v>419</v>
      </c>
      <c r="F166" s="8" t="s">
        <v>544</v>
      </c>
      <c r="G166" s="8" t="s">
        <v>560</v>
      </c>
    </row>
    <row r="167" spans="2:7" x14ac:dyDescent="0.45">
      <c r="B167" s="8" t="s">
        <v>426</v>
      </c>
      <c r="C167" s="8" t="s">
        <v>427</v>
      </c>
      <c r="D167" s="9">
        <v>3171.0135744499999</v>
      </c>
      <c r="E167" s="8" t="s">
        <v>407</v>
      </c>
      <c r="F167" s="8" t="s">
        <v>544</v>
      </c>
      <c r="G167" s="8" t="s">
        <v>560</v>
      </c>
    </row>
    <row r="168" spans="2:7" x14ac:dyDescent="0.45">
      <c r="B168" s="8" t="s">
        <v>420</v>
      </c>
      <c r="C168" s="8" t="s">
        <v>421</v>
      </c>
      <c r="D168" s="9">
        <v>2446.3066787799999</v>
      </c>
      <c r="E168" s="8" t="s">
        <v>422</v>
      </c>
      <c r="F168" s="8" t="s">
        <v>544</v>
      </c>
      <c r="G168" s="8" t="s">
        <v>560</v>
      </c>
    </row>
    <row r="169" spans="2:7" x14ac:dyDescent="0.45">
      <c r="B169" s="8" t="s">
        <v>428</v>
      </c>
      <c r="C169" s="8" t="s">
        <v>429</v>
      </c>
      <c r="D169" s="9">
        <v>1137.82528228</v>
      </c>
      <c r="E169" s="8" t="s">
        <v>430</v>
      </c>
      <c r="F169" s="8" t="s">
        <v>544</v>
      </c>
      <c r="G169" s="8" t="s">
        <v>560</v>
      </c>
    </row>
    <row r="170" spans="2:7" x14ac:dyDescent="0.45">
      <c r="B170" s="8" t="s">
        <v>423</v>
      </c>
      <c r="C170" s="8" t="s">
        <v>424</v>
      </c>
      <c r="D170" s="9">
        <v>859.82195181999998</v>
      </c>
      <c r="E170" s="8" t="s">
        <v>425</v>
      </c>
      <c r="F170" s="8" t="s">
        <v>544</v>
      </c>
      <c r="G170" s="8" t="s">
        <v>560</v>
      </c>
    </row>
    <row r="171" spans="2:7" x14ac:dyDescent="0.45">
      <c r="B171" s="8" t="s">
        <v>436</v>
      </c>
      <c r="C171" s="8" t="s">
        <v>437</v>
      </c>
      <c r="D171" s="9">
        <v>219.46019949000001</v>
      </c>
      <c r="E171" s="8" t="s">
        <v>438</v>
      </c>
      <c r="F171" s="8" t="s">
        <v>544</v>
      </c>
      <c r="G171" s="8" t="s">
        <v>560</v>
      </c>
    </row>
    <row r="172" spans="2:7" x14ac:dyDescent="0.45">
      <c r="B172" s="8" t="s">
        <v>439</v>
      </c>
      <c r="C172" s="8" t="s">
        <v>440</v>
      </c>
      <c r="D172" s="9">
        <v>51.072265809999998</v>
      </c>
      <c r="E172" s="8" t="s">
        <v>441</v>
      </c>
      <c r="F172" s="8" t="s">
        <v>544</v>
      </c>
      <c r="G172" s="8" t="s">
        <v>560</v>
      </c>
    </row>
    <row r="173" spans="2:7" x14ac:dyDescent="0.45">
      <c r="B173" s="6" t="s">
        <v>442</v>
      </c>
      <c r="C173" s="6" t="s">
        <v>443</v>
      </c>
      <c r="D173" s="7">
        <v>38484.336648110002</v>
      </c>
      <c r="E173" s="6" t="s">
        <v>444</v>
      </c>
      <c r="F173" s="6" t="s">
        <v>544</v>
      </c>
      <c r="G173" s="6" t="s">
        <v>563</v>
      </c>
    </row>
    <row r="174" spans="2:7" x14ac:dyDescent="0.45">
      <c r="B174" s="6" t="s">
        <v>445</v>
      </c>
      <c r="C174" s="6" t="s">
        <v>446</v>
      </c>
      <c r="D174" s="7">
        <v>17736.850261740001</v>
      </c>
      <c r="E174" s="6" t="s">
        <v>447</v>
      </c>
      <c r="F174" s="6" t="s">
        <v>544</v>
      </c>
      <c r="G174" s="6" t="s">
        <v>562</v>
      </c>
    </row>
    <row r="175" spans="2:7" x14ac:dyDescent="0.45">
      <c r="B175" s="6" t="s">
        <v>507</v>
      </c>
      <c r="C175" s="6" t="s">
        <v>527</v>
      </c>
      <c r="D175" s="7">
        <v>12842.76049592</v>
      </c>
      <c r="E175" s="6" t="s">
        <v>529</v>
      </c>
      <c r="F175" s="6" t="s">
        <v>544</v>
      </c>
      <c r="G175" s="6" t="s">
        <v>562</v>
      </c>
    </row>
    <row r="176" spans="2:7" x14ac:dyDescent="0.45">
      <c r="B176" s="6" t="s">
        <v>448</v>
      </c>
      <c r="C176" s="6" t="s">
        <v>449</v>
      </c>
      <c r="D176" s="7">
        <v>10133.53245855</v>
      </c>
      <c r="E176" s="6" t="s">
        <v>450</v>
      </c>
      <c r="F176" s="6" t="s">
        <v>544</v>
      </c>
      <c r="G176" s="6" t="s">
        <v>562</v>
      </c>
    </row>
    <row r="177" spans="2:7" x14ac:dyDescent="0.45">
      <c r="B177" s="6" t="s">
        <v>451</v>
      </c>
      <c r="C177" s="6" t="s">
        <v>452</v>
      </c>
      <c r="D177" s="7">
        <v>6983.9971117200002</v>
      </c>
      <c r="E177" s="6" t="s">
        <v>453</v>
      </c>
      <c r="F177" s="6" t="s">
        <v>544</v>
      </c>
      <c r="G177" s="6" t="s">
        <v>562</v>
      </c>
    </row>
    <row r="178" spans="2:7" x14ac:dyDescent="0.45">
      <c r="B178" s="6" t="s">
        <v>457</v>
      </c>
      <c r="C178" s="6" t="s">
        <v>458</v>
      </c>
      <c r="D178" s="7">
        <v>3668.9624766900001</v>
      </c>
      <c r="E178" s="6" t="s">
        <v>459</v>
      </c>
      <c r="F178" s="6" t="s">
        <v>544</v>
      </c>
      <c r="G178" s="6" t="s">
        <v>562</v>
      </c>
    </row>
    <row r="179" spans="2:7" x14ac:dyDescent="0.45">
      <c r="B179" s="6" t="s">
        <v>454</v>
      </c>
      <c r="C179" s="6" t="s">
        <v>455</v>
      </c>
      <c r="D179" s="7">
        <v>3199.7043566299999</v>
      </c>
      <c r="E179" s="6" t="s">
        <v>456</v>
      </c>
      <c r="F179" s="6" t="s">
        <v>544</v>
      </c>
      <c r="G179" s="6" t="s">
        <v>562</v>
      </c>
    </row>
    <row r="180" spans="2:7" x14ac:dyDescent="0.45">
      <c r="B180" s="6" t="s">
        <v>460</v>
      </c>
      <c r="C180" s="6" t="s">
        <v>461</v>
      </c>
      <c r="D180" s="7">
        <v>531.67814340999996</v>
      </c>
      <c r="E180" s="6" t="s">
        <v>462</v>
      </c>
      <c r="F180" s="6" t="s">
        <v>544</v>
      </c>
      <c r="G180" s="6" t="s">
        <v>562</v>
      </c>
    </row>
    <row r="181" spans="2:7" x14ac:dyDescent="0.45">
      <c r="B181" s="6" t="s">
        <v>463</v>
      </c>
      <c r="C181" s="6" t="s">
        <v>464</v>
      </c>
      <c r="D181" s="7">
        <v>417.47406153999998</v>
      </c>
      <c r="E181" s="6" t="s">
        <v>465</v>
      </c>
      <c r="F181" s="6" t="s">
        <v>544</v>
      </c>
      <c r="G181" s="6" t="s">
        <v>562</v>
      </c>
    </row>
    <row r="182" spans="2:7" x14ac:dyDescent="0.45">
      <c r="B182" s="8" t="s">
        <v>466</v>
      </c>
      <c r="C182" s="8" t="s">
        <v>467</v>
      </c>
      <c r="D182" s="9">
        <v>9750.1603537600004</v>
      </c>
      <c r="E182" s="8" t="s">
        <v>468</v>
      </c>
      <c r="F182" s="8" t="s">
        <v>544</v>
      </c>
      <c r="G182" s="8" t="s">
        <v>565</v>
      </c>
    </row>
    <row r="183" spans="2:7" x14ac:dyDescent="0.45">
      <c r="B183" s="8" t="s">
        <v>472</v>
      </c>
      <c r="C183" s="8" t="s">
        <v>473</v>
      </c>
      <c r="D183" s="9">
        <v>5352.66507671</v>
      </c>
      <c r="E183" s="8" t="s">
        <v>474</v>
      </c>
      <c r="F183" s="8" t="s">
        <v>544</v>
      </c>
      <c r="G183" s="8" t="s">
        <v>564</v>
      </c>
    </row>
    <row r="184" spans="2:7" x14ac:dyDescent="0.45">
      <c r="B184" s="8" t="s">
        <v>475</v>
      </c>
      <c r="C184" s="8" t="s">
        <v>476</v>
      </c>
      <c r="D184" s="9">
        <v>4925.47335621</v>
      </c>
      <c r="E184" s="8" t="s">
        <v>477</v>
      </c>
      <c r="F184" s="8" t="s">
        <v>544</v>
      </c>
      <c r="G184" s="8" t="s">
        <v>564</v>
      </c>
    </row>
    <row r="185" spans="2:7" x14ac:dyDescent="0.45">
      <c r="B185" s="8" t="s">
        <v>469</v>
      </c>
      <c r="C185" s="8" t="s">
        <v>470</v>
      </c>
      <c r="D185" s="9">
        <v>3549.37203357</v>
      </c>
      <c r="E185" s="8" t="s">
        <v>471</v>
      </c>
      <c r="F185" s="8" t="s">
        <v>544</v>
      </c>
      <c r="G185" s="8" t="s">
        <v>564</v>
      </c>
    </row>
    <row r="186" spans="2:7" x14ac:dyDescent="0.45">
      <c r="B186" s="8" t="s">
        <v>478</v>
      </c>
      <c r="C186" s="8" t="s">
        <v>479</v>
      </c>
      <c r="D186" s="9">
        <v>2950.4566358299999</v>
      </c>
      <c r="E186" s="8" t="s">
        <v>480</v>
      </c>
      <c r="F186" s="8" t="s">
        <v>544</v>
      </c>
      <c r="G186" s="8" t="s">
        <v>564</v>
      </c>
    </row>
    <row r="187" spans="2:7" x14ac:dyDescent="0.45">
      <c r="B187" s="8" t="s">
        <v>484</v>
      </c>
      <c r="C187" s="8" t="s">
        <v>485</v>
      </c>
      <c r="D187" s="9">
        <v>1915.40088973</v>
      </c>
      <c r="E187" s="8" t="s">
        <v>486</v>
      </c>
      <c r="F187" s="8" t="s">
        <v>544</v>
      </c>
      <c r="G187" s="8" t="s">
        <v>564</v>
      </c>
    </row>
    <row r="188" spans="2:7" x14ac:dyDescent="0.45">
      <c r="B188" s="8" t="s">
        <v>487</v>
      </c>
      <c r="C188" s="8" t="s">
        <v>488</v>
      </c>
      <c r="D188" s="9">
        <v>1797.6926521400001</v>
      </c>
      <c r="E188" s="8" t="s">
        <v>489</v>
      </c>
      <c r="F188" s="8" t="s">
        <v>544</v>
      </c>
      <c r="G188" s="8" t="s">
        <v>564</v>
      </c>
    </row>
    <row r="189" spans="2:7" x14ac:dyDescent="0.45">
      <c r="B189" s="8" t="s">
        <v>481</v>
      </c>
      <c r="C189" s="8" t="s">
        <v>482</v>
      </c>
      <c r="D189" s="9">
        <v>1444.49871945</v>
      </c>
      <c r="E189" s="8" t="s">
        <v>483</v>
      </c>
      <c r="F189" s="8" t="s">
        <v>544</v>
      </c>
      <c r="G189" s="8" t="s">
        <v>564</v>
      </c>
    </row>
    <row r="190" spans="2:7" x14ac:dyDescent="0.45">
      <c r="B190" s="8" t="s">
        <v>496</v>
      </c>
      <c r="C190" s="8" t="s">
        <v>497</v>
      </c>
      <c r="D190" s="9">
        <v>599.66833862999999</v>
      </c>
      <c r="E190" s="8" t="s">
        <v>498</v>
      </c>
      <c r="F190" s="8" t="s">
        <v>544</v>
      </c>
      <c r="G190" s="8" t="s">
        <v>564</v>
      </c>
    </row>
    <row r="191" spans="2:7" x14ac:dyDescent="0.45">
      <c r="B191" s="8" t="s">
        <v>490</v>
      </c>
      <c r="C191" s="8" t="s">
        <v>491</v>
      </c>
      <c r="D191" s="9">
        <v>530.40510345999996</v>
      </c>
      <c r="E191" s="8" t="s">
        <v>492</v>
      </c>
      <c r="F191" s="8" t="s">
        <v>544</v>
      </c>
      <c r="G191" s="8" t="s">
        <v>564</v>
      </c>
    </row>
    <row r="192" spans="2:7" x14ac:dyDescent="0.45">
      <c r="B192" s="8" t="s">
        <v>493</v>
      </c>
      <c r="C192" s="8" t="s">
        <v>494</v>
      </c>
      <c r="D192" s="9">
        <v>401.54518525999998</v>
      </c>
      <c r="E192" s="8" t="s">
        <v>495</v>
      </c>
      <c r="F192" s="8" t="s">
        <v>544</v>
      </c>
      <c r="G192" s="8" t="s">
        <v>564</v>
      </c>
    </row>
    <row r="193" spans="2:7" x14ac:dyDescent="0.45">
      <c r="B193" s="8" t="s">
        <v>499</v>
      </c>
      <c r="C193" s="8" t="s">
        <v>500</v>
      </c>
      <c r="D193" s="9">
        <v>51.590996820000001</v>
      </c>
      <c r="E193" s="8" t="s">
        <v>501</v>
      </c>
      <c r="F193" s="8" t="s">
        <v>544</v>
      </c>
      <c r="G193" s="8" t="s">
        <v>564</v>
      </c>
    </row>
  </sheetData>
  <phoneticPr fontId="2" type="noConversion"/>
  <conditionalFormatting sqref="C144:C168">
    <cfRule type="containsText" dxfId="1" priority="1" operator="containsText" text="레버리지">
      <formula>NOT(ISERROR(SEARCH("레버리지",C144)))</formula>
    </cfRule>
    <cfRule type="containsText" dxfId="0" priority="2" operator="containsText" text="인버스">
      <formula>NOT(ISERROR(SEARCH("인버스",C144)))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F957-315D-4460-A7BD-33A2EAA9C820}">
  <dimension ref="B1:L63"/>
  <sheetViews>
    <sheetView tabSelected="1" zoomScale="89" zoomScaleNormal="89" workbookViewId="0">
      <selection activeCell="H23" sqref="H23"/>
    </sheetView>
  </sheetViews>
  <sheetFormatPr defaultRowHeight="16.5" x14ac:dyDescent="0.45"/>
  <cols>
    <col min="1" max="1" width="8.6640625" style="34"/>
    <col min="2" max="2" width="7.33203125" style="34" bestFit="1" customWidth="1"/>
    <col min="3" max="3" width="11.6640625" style="34" bestFit="1" customWidth="1"/>
    <col min="4" max="4" width="29" style="34" bestFit="1" customWidth="1"/>
    <col min="5" max="5" width="8.4140625" style="39" bestFit="1" customWidth="1"/>
    <col min="6" max="6" width="6.08203125" style="40" bestFit="1" customWidth="1"/>
    <col min="7" max="7" width="8.6640625" style="37"/>
    <col min="8" max="8" width="7.33203125" style="37" bestFit="1" customWidth="1"/>
    <col min="9" max="9" width="11.6640625" style="37" bestFit="1" customWidth="1"/>
    <col min="10" max="10" width="29" style="34" bestFit="1" customWidth="1"/>
    <col min="11" max="11" width="8.4140625" style="34" bestFit="1" customWidth="1"/>
    <col min="12" max="12" width="7" style="34" bestFit="1" customWidth="1"/>
    <col min="13" max="13" width="8.6640625" style="34"/>
    <col min="14" max="14" width="5.83203125" style="34" bestFit="1" customWidth="1"/>
    <col min="15" max="15" width="6.75" style="34" bestFit="1" customWidth="1"/>
    <col min="16" max="16" width="7.08203125" style="34" bestFit="1" customWidth="1"/>
    <col min="17" max="16384" width="8.6640625" style="34"/>
  </cols>
  <sheetData>
    <row r="1" spans="2:12" x14ac:dyDescent="0.45">
      <c r="G1" s="34"/>
      <c r="H1" s="34"/>
      <c r="I1" s="34"/>
    </row>
    <row r="2" spans="2:12" x14ac:dyDescent="0.45">
      <c r="B2" s="49" t="s">
        <v>704</v>
      </c>
      <c r="C2" s="49" t="s">
        <v>705</v>
      </c>
      <c r="D2" s="51" t="s">
        <v>706</v>
      </c>
      <c r="E2" s="50" t="s">
        <v>707</v>
      </c>
      <c r="F2" s="45" t="s">
        <v>708</v>
      </c>
      <c r="G2" s="34"/>
      <c r="H2" s="49" t="s">
        <v>712</v>
      </c>
      <c r="I2" s="49" t="s">
        <v>705</v>
      </c>
      <c r="J2" s="51" t="s">
        <v>706</v>
      </c>
      <c r="K2" s="50" t="s">
        <v>707</v>
      </c>
      <c r="L2" s="45" t="s">
        <v>708</v>
      </c>
    </row>
    <row r="3" spans="2:12" x14ac:dyDescent="0.45">
      <c r="B3" s="48" t="s">
        <v>709</v>
      </c>
      <c r="C3" s="62" t="s">
        <v>715</v>
      </c>
      <c r="D3" s="41" t="s">
        <v>221</v>
      </c>
      <c r="E3" s="52">
        <v>1.5</v>
      </c>
      <c r="F3" s="42">
        <f>E3/10</f>
        <v>0.15</v>
      </c>
      <c r="G3" s="34"/>
      <c r="H3" s="48" t="s">
        <v>709</v>
      </c>
      <c r="I3" s="62" t="s">
        <v>715</v>
      </c>
      <c r="J3" s="41" t="s">
        <v>221</v>
      </c>
      <c r="K3" s="52">
        <v>1.2</v>
      </c>
      <c r="L3" s="42">
        <f>K3/10</f>
        <v>0.12</v>
      </c>
    </row>
    <row r="4" spans="2:12" x14ac:dyDescent="0.45">
      <c r="B4" s="48"/>
      <c r="C4" s="46"/>
      <c r="D4" s="34" t="s">
        <v>226</v>
      </c>
      <c r="E4" s="53">
        <v>0.5</v>
      </c>
      <c r="F4" s="43">
        <f t="shared" ref="F4:F19" si="0">E4/10</f>
        <v>0.05</v>
      </c>
      <c r="G4" s="34"/>
      <c r="H4" s="48"/>
      <c r="I4" s="46"/>
      <c r="J4" s="34" t="s">
        <v>226</v>
      </c>
      <c r="K4" s="53">
        <v>0.5</v>
      </c>
      <c r="L4" s="43">
        <f t="shared" ref="L4:L18" si="1">K4/10</f>
        <v>0.05</v>
      </c>
    </row>
    <row r="5" spans="2:12" x14ac:dyDescent="0.45">
      <c r="B5" s="48"/>
      <c r="C5" s="46"/>
      <c r="D5" s="34" t="s">
        <v>251</v>
      </c>
      <c r="E5" s="53">
        <v>0.4</v>
      </c>
      <c r="F5" s="43">
        <f t="shared" si="0"/>
        <v>0.04</v>
      </c>
      <c r="G5" s="34"/>
      <c r="H5" s="48"/>
      <c r="I5" s="46"/>
      <c r="J5" s="34" t="s">
        <v>251</v>
      </c>
      <c r="K5" s="53">
        <v>0.8</v>
      </c>
      <c r="L5" s="43">
        <f t="shared" si="1"/>
        <v>0.08</v>
      </c>
    </row>
    <row r="6" spans="2:12" x14ac:dyDescent="0.45">
      <c r="B6" s="48"/>
      <c r="C6" s="47"/>
      <c r="D6" s="56" t="s">
        <v>719</v>
      </c>
      <c r="E6" s="54">
        <f>SUM(E3:E5)</f>
        <v>2.4</v>
      </c>
      <c r="F6" s="44">
        <f t="shared" si="0"/>
        <v>0.24</v>
      </c>
      <c r="G6" s="34"/>
      <c r="H6" s="48"/>
      <c r="I6" s="47"/>
      <c r="J6" s="56" t="s">
        <v>719</v>
      </c>
      <c r="K6" s="54">
        <f>SUM(K3:K5)</f>
        <v>2.5</v>
      </c>
      <c r="L6" s="44">
        <f t="shared" si="1"/>
        <v>0.25</v>
      </c>
    </row>
    <row r="7" spans="2:12" x14ac:dyDescent="0.45">
      <c r="B7" s="48"/>
      <c r="C7" s="62" t="s">
        <v>716</v>
      </c>
      <c r="D7" s="41" t="s">
        <v>509</v>
      </c>
      <c r="E7" s="52">
        <v>0.6</v>
      </c>
      <c r="F7" s="42">
        <f t="shared" si="0"/>
        <v>0.06</v>
      </c>
      <c r="G7" s="34"/>
      <c r="H7" s="48"/>
      <c r="I7" s="62" t="s">
        <v>716</v>
      </c>
      <c r="J7" s="41" t="s">
        <v>509</v>
      </c>
      <c r="K7" s="52">
        <v>0.4</v>
      </c>
      <c r="L7" s="42">
        <f t="shared" si="1"/>
        <v>0.04</v>
      </c>
    </row>
    <row r="8" spans="2:12" x14ac:dyDescent="0.45">
      <c r="B8" s="48"/>
      <c r="C8" s="46"/>
      <c r="D8" s="34" t="s">
        <v>278</v>
      </c>
      <c r="E8" s="53">
        <v>0.3</v>
      </c>
      <c r="F8" s="43">
        <f t="shared" si="0"/>
        <v>0.03</v>
      </c>
      <c r="G8" s="34"/>
      <c r="H8" s="48"/>
      <c r="I8" s="46"/>
      <c r="J8" s="34" t="s">
        <v>278</v>
      </c>
      <c r="K8" s="53">
        <v>0.35</v>
      </c>
      <c r="L8" s="43">
        <f t="shared" si="1"/>
        <v>3.4999999999999996E-2</v>
      </c>
    </row>
    <row r="9" spans="2:12" x14ac:dyDescent="0.45">
      <c r="B9" s="48"/>
      <c r="C9" s="46"/>
      <c r="D9" s="34" t="s">
        <v>288</v>
      </c>
      <c r="E9" s="53">
        <v>0.2</v>
      </c>
      <c r="F9" s="43">
        <f t="shared" si="0"/>
        <v>0.02</v>
      </c>
      <c r="G9" s="34"/>
      <c r="H9" s="48"/>
      <c r="I9" s="46"/>
      <c r="J9" s="34" t="s">
        <v>288</v>
      </c>
      <c r="K9" s="53">
        <v>0.3</v>
      </c>
      <c r="L9" s="43">
        <f t="shared" si="1"/>
        <v>0.03</v>
      </c>
    </row>
    <row r="10" spans="2:12" x14ac:dyDescent="0.45">
      <c r="B10" s="48"/>
      <c r="C10" s="46"/>
      <c r="D10" s="34" t="s">
        <v>310</v>
      </c>
      <c r="E10" s="53">
        <v>0.2</v>
      </c>
      <c r="F10" s="43">
        <f t="shared" si="0"/>
        <v>0.02</v>
      </c>
      <c r="G10" s="34"/>
      <c r="H10" s="48"/>
      <c r="I10" s="46"/>
      <c r="J10" s="34" t="s">
        <v>310</v>
      </c>
      <c r="K10" s="53">
        <v>0.45</v>
      </c>
      <c r="L10" s="43">
        <f t="shared" si="1"/>
        <v>4.4999999999999998E-2</v>
      </c>
    </row>
    <row r="11" spans="2:12" x14ac:dyDescent="0.45">
      <c r="B11" s="48"/>
      <c r="C11" s="47"/>
      <c r="D11" s="56" t="s">
        <v>720</v>
      </c>
      <c r="E11" s="60">
        <f>SUM(E7:E10)</f>
        <v>1.2999999999999998</v>
      </c>
      <c r="F11" s="61">
        <f t="shared" si="0"/>
        <v>0.12999999999999998</v>
      </c>
      <c r="G11" s="34"/>
      <c r="H11" s="48"/>
      <c r="I11" s="47"/>
      <c r="J11" s="56" t="s">
        <v>720</v>
      </c>
      <c r="K11" s="60">
        <f>SUM(K7:K10)</f>
        <v>1.5</v>
      </c>
      <c r="L11" s="61">
        <f t="shared" si="1"/>
        <v>0.15</v>
      </c>
    </row>
    <row r="12" spans="2:12" x14ac:dyDescent="0.45">
      <c r="B12" s="48"/>
      <c r="C12" s="62" t="s">
        <v>717</v>
      </c>
      <c r="D12" s="41" t="s">
        <v>31</v>
      </c>
      <c r="E12" s="52">
        <v>1.5</v>
      </c>
      <c r="F12" s="42">
        <f t="shared" si="0"/>
        <v>0.15</v>
      </c>
      <c r="G12" s="34"/>
      <c r="H12" s="48"/>
      <c r="I12" s="62" t="s">
        <v>717</v>
      </c>
      <c r="J12" s="41" t="s">
        <v>31</v>
      </c>
      <c r="K12" s="52">
        <v>1.3</v>
      </c>
      <c r="L12" s="42">
        <f t="shared" si="1"/>
        <v>0.13</v>
      </c>
    </row>
    <row r="13" spans="2:12" x14ac:dyDescent="0.45">
      <c r="B13" s="48"/>
      <c r="C13" s="46"/>
      <c r="D13" s="34" t="s">
        <v>45</v>
      </c>
      <c r="E13" s="53">
        <v>0.5</v>
      </c>
      <c r="F13" s="43">
        <f t="shared" si="0"/>
        <v>0.05</v>
      </c>
      <c r="G13" s="34"/>
      <c r="H13" s="48"/>
      <c r="I13" s="46"/>
      <c r="J13" s="34" t="s">
        <v>45</v>
      </c>
      <c r="K13" s="53">
        <v>0.8</v>
      </c>
      <c r="L13" s="43">
        <f t="shared" si="1"/>
        <v>0.08</v>
      </c>
    </row>
    <row r="14" spans="2:12" x14ac:dyDescent="0.45">
      <c r="B14" s="48"/>
      <c r="C14" s="46"/>
      <c r="D14" s="34" t="s">
        <v>50</v>
      </c>
      <c r="E14" s="53">
        <v>0.3</v>
      </c>
      <c r="F14" s="43">
        <f t="shared" si="0"/>
        <v>0.03</v>
      </c>
      <c r="G14" s="34"/>
      <c r="H14" s="48"/>
      <c r="I14" s="46"/>
      <c r="J14" s="34" t="s">
        <v>50</v>
      </c>
      <c r="K14" s="53">
        <v>0.4</v>
      </c>
      <c r="L14" s="43">
        <f t="shared" si="1"/>
        <v>0.04</v>
      </c>
    </row>
    <row r="15" spans="2:12" x14ac:dyDescent="0.45">
      <c r="B15" s="48"/>
      <c r="C15" s="47"/>
      <c r="D15" s="56" t="s">
        <v>721</v>
      </c>
      <c r="E15" s="60">
        <f>SUM(E12:E14)</f>
        <v>2.2999999999999998</v>
      </c>
      <c r="F15" s="61">
        <f t="shared" si="0"/>
        <v>0.22999999999999998</v>
      </c>
      <c r="G15" s="34"/>
      <c r="H15" s="48"/>
      <c r="I15" s="47"/>
      <c r="J15" s="56" t="s">
        <v>721</v>
      </c>
      <c r="K15" s="60">
        <f>SUM(K12:K14)</f>
        <v>2.5</v>
      </c>
      <c r="L15" s="61">
        <f t="shared" si="1"/>
        <v>0.25</v>
      </c>
    </row>
    <row r="16" spans="2:12" x14ac:dyDescent="0.45">
      <c r="B16" s="48"/>
      <c r="C16" s="62" t="s">
        <v>718</v>
      </c>
      <c r="D16" s="41" t="s">
        <v>313</v>
      </c>
      <c r="E16" s="52">
        <v>0.3</v>
      </c>
      <c r="F16" s="42">
        <f t="shared" si="0"/>
        <v>0.03</v>
      </c>
      <c r="G16" s="34"/>
      <c r="H16" s="48"/>
      <c r="I16" s="62" t="s">
        <v>718</v>
      </c>
      <c r="J16" s="41" t="s">
        <v>313</v>
      </c>
      <c r="K16" s="52">
        <v>0.3</v>
      </c>
      <c r="L16" s="42">
        <f t="shared" si="1"/>
        <v>0.03</v>
      </c>
    </row>
    <row r="17" spans="2:12" x14ac:dyDescent="0.45">
      <c r="B17" s="48"/>
      <c r="C17" s="46"/>
      <c r="D17" s="34" t="s">
        <v>517</v>
      </c>
      <c r="E17" s="53">
        <v>0.2</v>
      </c>
      <c r="F17" s="43">
        <f t="shared" si="0"/>
        <v>0.02</v>
      </c>
      <c r="G17" s="34"/>
      <c r="H17" s="48"/>
      <c r="I17" s="46"/>
      <c r="J17" s="34" t="s">
        <v>517</v>
      </c>
      <c r="K17" s="53">
        <v>0.2</v>
      </c>
      <c r="L17" s="43">
        <f t="shared" si="1"/>
        <v>0.02</v>
      </c>
    </row>
    <row r="18" spans="2:12" x14ac:dyDescent="0.45">
      <c r="B18" s="48"/>
      <c r="C18" s="47"/>
      <c r="D18" s="56" t="s">
        <v>722</v>
      </c>
      <c r="E18" s="60">
        <f>SUM(E16:E17)</f>
        <v>0.5</v>
      </c>
      <c r="F18" s="61">
        <f t="shared" si="0"/>
        <v>0.05</v>
      </c>
      <c r="G18" s="34"/>
      <c r="H18" s="48"/>
      <c r="I18" s="47"/>
      <c r="J18" s="56" t="s">
        <v>722</v>
      </c>
      <c r="K18" s="60">
        <f>SUM(K16:K17)</f>
        <v>0.5</v>
      </c>
      <c r="L18" s="61">
        <f t="shared" si="1"/>
        <v>0.05</v>
      </c>
    </row>
    <row r="19" spans="2:12" ht="17" customHeight="1" x14ac:dyDescent="0.45">
      <c r="B19" s="48"/>
      <c r="C19" s="62" t="s">
        <v>713</v>
      </c>
      <c r="D19" s="41" t="s">
        <v>7</v>
      </c>
      <c r="E19" s="55">
        <v>0.5</v>
      </c>
      <c r="F19" s="42">
        <f t="shared" si="0"/>
        <v>0.05</v>
      </c>
      <c r="G19" s="34"/>
      <c r="H19" s="48"/>
      <c r="I19" s="34" t="s">
        <v>713</v>
      </c>
    </row>
    <row r="20" spans="2:12" x14ac:dyDescent="0.45">
      <c r="B20" s="48"/>
      <c r="C20" s="47"/>
      <c r="D20" s="57" t="s">
        <v>714</v>
      </c>
      <c r="E20" s="58">
        <f>E19</f>
        <v>0.5</v>
      </c>
      <c r="F20" s="59">
        <f>F19</f>
        <v>0.05</v>
      </c>
      <c r="G20" s="34"/>
      <c r="H20" s="48"/>
      <c r="I20" s="34"/>
    </row>
    <row r="21" spans="2:12" x14ac:dyDescent="0.45">
      <c r="B21" s="48"/>
      <c r="C21" s="63" t="s">
        <v>710</v>
      </c>
      <c r="D21" s="64"/>
      <c r="E21" s="65">
        <f>E6+E11+E15+E18</f>
        <v>6.5</v>
      </c>
      <c r="F21" s="66">
        <f>F6+F11+F15+F18+F20</f>
        <v>0.70000000000000007</v>
      </c>
      <c r="G21" s="34"/>
      <c r="H21" s="35" t="s">
        <v>711</v>
      </c>
      <c r="I21" s="35"/>
      <c r="J21" s="35"/>
      <c r="K21" s="38">
        <f>K6+K11+K15+K18</f>
        <v>7</v>
      </c>
      <c r="L21" s="36">
        <f>L6+L11+L15+L18</f>
        <v>0.70000000000000007</v>
      </c>
    </row>
    <row r="22" spans="2:12" x14ac:dyDescent="0.45">
      <c r="B22" s="34" t="s">
        <v>723</v>
      </c>
      <c r="G22" s="34"/>
      <c r="H22" s="34" t="s">
        <v>723</v>
      </c>
      <c r="I22" s="34"/>
    </row>
    <row r="23" spans="2:12" x14ac:dyDescent="0.45">
      <c r="G23" s="34"/>
      <c r="H23" s="34"/>
      <c r="I23" s="34"/>
    </row>
    <row r="24" spans="2:12" x14ac:dyDescent="0.45">
      <c r="G24" s="34"/>
      <c r="H24" s="34"/>
      <c r="I24" s="34"/>
    </row>
    <row r="25" spans="2:12" x14ac:dyDescent="0.45">
      <c r="G25" s="34"/>
      <c r="H25" s="34"/>
      <c r="I25" s="34"/>
    </row>
    <row r="26" spans="2:12" x14ac:dyDescent="0.45">
      <c r="G26" s="34"/>
      <c r="H26" s="34"/>
      <c r="I26" s="34"/>
    </row>
    <row r="27" spans="2:12" x14ac:dyDescent="0.45">
      <c r="G27" s="34"/>
      <c r="H27" s="34"/>
      <c r="I27" s="34"/>
    </row>
    <row r="28" spans="2:12" x14ac:dyDescent="0.45">
      <c r="G28" s="34"/>
      <c r="H28" s="34"/>
      <c r="I28" s="34"/>
    </row>
    <row r="29" spans="2:12" x14ac:dyDescent="0.45">
      <c r="G29" s="34"/>
      <c r="H29" s="34"/>
      <c r="I29" s="34"/>
    </row>
    <row r="30" spans="2:12" x14ac:dyDescent="0.45">
      <c r="G30" s="34"/>
      <c r="H30" s="34"/>
      <c r="I30" s="34"/>
    </row>
    <row r="31" spans="2:12" x14ac:dyDescent="0.45">
      <c r="G31" s="34"/>
      <c r="H31" s="34"/>
      <c r="I31" s="34"/>
    </row>
    <row r="32" spans="2:12" x14ac:dyDescent="0.45">
      <c r="G32" s="34"/>
      <c r="H32" s="34"/>
      <c r="I32" s="34"/>
    </row>
    <row r="33" spans="7:9" x14ac:dyDescent="0.45">
      <c r="G33" s="34"/>
      <c r="H33" s="34"/>
      <c r="I33" s="34"/>
    </row>
    <row r="34" spans="7:9" x14ac:dyDescent="0.45">
      <c r="G34" s="34"/>
      <c r="H34" s="34"/>
      <c r="I34" s="34"/>
    </row>
    <row r="35" spans="7:9" x14ac:dyDescent="0.45">
      <c r="G35" s="34"/>
      <c r="H35" s="34"/>
      <c r="I35" s="34"/>
    </row>
    <row r="36" spans="7:9" x14ac:dyDescent="0.45">
      <c r="G36" s="34"/>
      <c r="H36" s="34"/>
      <c r="I36" s="34"/>
    </row>
    <row r="37" spans="7:9" x14ac:dyDescent="0.45">
      <c r="G37" s="34"/>
      <c r="H37" s="34"/>
      <c r="I37" s="34"/>
    </row>
    <row r="38" spans="7:9" x14ac:dyDescent="0.45">
      <c r="G38" s="34"/>
      <c r="H38" s="34"/>
      <c r="I38" s="34"/>
    </row>
    <row r="39" spans="7:9" x14ac:dyDescent="0.45">
      <c r="G39" s="34"/>
      <c r="H39" s="34"/>
      <c r="I39" s="34"/>
    </row>
    <row r="40" spans="7:9" x14ac:dyDescent="0.45">
      <c r="G40" s="34"/>
      <c r="H40" s="34"/>
      <c r="I40" s="34"/>
    </row>
    <row r="41" spans="7:9" x14ac:dyDescent="0.45">
      <c r="G41" s="34"/>
      <c r="H41" s="34"/>
      <c r="I41" s="34"/>
    </row>
    <row r="42" spans="7:9" x14ac:dyDescent="0.45">
      <c r="G42" s="34"/>
      <c r="H42" s="34"/>
      <c r="I42" s="34"/>
    </row>
    <row r="43" spans="7:9" x14ac:dyDescent="0.45">
      <c r="G43" s="34"/>
      <c r="H43" s="34"/>
      <c r="I43" s="34"/>
    </row>
    <row r="44" spans="7:9" x14ac:dyDescent="0.45">
      <c r="G44" s="34"/>
      <c r="H44" s="34"/>
      <c r="I44" s="34"/>
    </row>
    <row r="45" spans="7:9" x14ac:dyDescent="0.45">
      <c r="G45" s="34"/>
      <c r="H45" s="34"/>
      <c r="I45" s="34"/>
    </row>
    <row r="46" spans="7:9" x14ac:dyDescent="0.45">
      <c r="G46" s="34"/>
      <c r="H46" s="34"/>
      <c r="I46" s="34"/>
    </row>
    <row r="47" spans="7:9" x14ac:dyDescent="0.45">
      <c r="G47" s="34"/>
      <c r="H47" s="34"/>
      <c r="I47" s="34"/>
    </row>
    <row r="48" spans="7:9" x14ac:dyDescent="0.45">
      <c r="G48" s="34"/>
      <c r="H48" s="34"/>
      <c r="I48" s="34"/>
    </row>
    <row r="49" spans="7:9" x14ac:dyDescent="0.45">
      <c r="G49" s="34"/>
      <c r="H49" s="34"/>
      <c r="I49" s="34"/>
    </row>
    <row r="50" spans="7:9" x14ac:dyDescent="0.45">
      <c r="G50" s="34"/>
      <c r="H50" s="34"/>
      <c r="I50" s="34"/>
    </row>
    <row r="51" spans="7:9" x14ac:dyDescent="0.45">
      <c r="G51" s="34"/>
      <c r="H51" s="34"/>
      <c r="I51" s="34"/>
    </row>
    <row r="52" spans="7:9" x14ac:dyDescent="0.45">
      <c r="G52" s="34"/>
      <c r="H52" s="34"/>
      <c r="I52" s="34"/>
    </row>
    <row r="53" spans="7:9" x14ac:dyDescent="0.45">
      <c r="G53" s="34"/>
      <c r="H53" s="34"/>
      <c r="I53" s="34"/>
    </row>
    <row r="54" spans="7:9" x14ac:dyDescent="0.45">
      <c r="G54" s="34"/>
      <c r="H54" s="34"/>
      <c r="I54" s="34"/>
    </row>
    <row r="55" spans="7:9" x14ac:dyDescent="0.45">
      <c r="G55" s="34"/>
      <c r="H55" s="34"/>
      <c r="I55" s="34"/>
    </row>
    <row r="56" spans="7:9" x14ac:dyDescent="0.45">
      <c r="G56" s="34"/>
      <c r="H56" s="34"/>
      <c r="I56" s="34"/>
    </row>
    <row r="57" spans="7:9" x14ac:dyDescent="0.45">
      <c r="G57" s="34"/>
      <c r="H57" s="34"/>
      <c r="I57" s="34"/>
    </row>
    <row r="58" spans="7:9" x14ac:dyDescent="0.45">
      <c r="G58" s="34"/>
      <c r="H58" s="34"/>
      <c r="I58" s="34"/>
    </row>
    <row r="59" spans="7:9" x14ac:dyDescent="0.45">
      <c r="G59" s="34"/>
      <c r="H59" s="34"/>
      <c r="I59" s="34"/>
    </row>
    <row r="60" spans="7:9" x14ac:dyDescent="0.45">
      <c r="G60" s="34"/>
      <c r="H60" s="34"/>
      <c r="I60" s="34"/>
    </row>
    <row r="61" spans="7:9" x14ac:dyDescent="0.45">
      <c r="G61" s="34"/>
      <c r="H61" s="34"/>
      <c r="I61" s="34"/>
    </row>
    <row r="62" spans="7:9" x14ac:dyDescent="0.45">
      <c r="G62" s="34"/>
      <c r="H62" s="34"/>
      <c r="I62" s="34"/>
    </row>
    <row r="63" spans="7:9" x14ac:dyDescent="0.45">
      <c r="G63" s="34"/>
      <c r="H63" s="34"/>
      <c r="I63" s="34"/>
    </row>
  </sheetData>
  <mergeCells count="13">
    <mergeCell ref="H21:J21"/>
    <mergeCell ref="H3:H20"/>
    <mergeCell ref="C19:C20"/>
    <mergeCell ref="C21:D21"/>
    <mergeCell ref="B3:B21"/>
    <mergeCell ref="I3:I6"/>
    <mergeCell ref="I7:I11"/>
    <mergeCell ref="I12:I15"/>
    <mergeCell ref="I16:I18"/>
    <mergeCell ref="C3:C6"/>
    <mergeCell ref="C12:C15"/>
    <mergeCell ref="C16:C18"/>
    <mergeCell ref="C7:C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9165-C059-45CC-8A0D-83D290454E78}">
  <dimension ref="B2:D104"/>
  <sheetViews>
    <sheetView zoomScale="25" zoomScaleNormal="25" workbookViewId="0">
      <selection activeCell="E63" sqref="E63"/>
    </sheetView>
  </sheetViews>
  <sheetFormatPr defaultRowHeight="19.5" x14ac:dyDescent="0.45"/>
  <cols>
    <col min="1" max="1" width="8.6640625" style="18"/>
    <col min="2" max="2" width="63.5" style="18" bestFit="1" customWidth="1"/>
    <col min="3" max="3" width="42.25" style="18" customWidth="1"/>
    <col min="4" max="4" width="8.33203125" style="18" bestFit="1" customWidth="1"/>
    <col min="5" max="16380" width="8.6640625" style="18"/>
    <col min="16381" max="16381" width="61.5" style="18" bestFit="1" customWidth="1"/>
    <col min="16382" max="16384" width="8.6640625" style="18"/>
  </cols>
  <sheetData>
    <row r="2" spans="2:4" x14ac:dyDescent="0.45">
      <c r="B2" s="19" t="s">
        <v>567</v>
      </c>
    </row>
    <row r="3" spans="2:4" x14ac:dyDescent="0.45">
      <c r="B3" s="20" t="s">
        <v>633</v>
      </c>
    </row>
    <row r="5" spans="2:4" ht="20" thickBot="1" x14ac:dyDescent="0.5">
      <c r="B5" s="21" t="s">
        <v>568</v>
      </c>
    </row>
    <row r="6" spans="2:4" ht="20" thickBot="1" x14ac:dyDescent="0.5">
      <c r="B6" s="14" t="s">
        <v>634</v>
      </c>
      <c r="C6" s="15" t="s">
        <v>635</v>
      </c>
      <c r="D6" s="16" t="s">
        <v>636</v>
      </c>
    </row>
    <row r="7" spans="2:4" ht="20" thickBot="1" x14ac:dyDescent="0.5">
      <c r="B7" s="22" t="s">
        <v>278</v>
      </c>
      <c r="C7" s="23" t="s">
        <v>569</v>
      </c>
      <c r="D7" s="24">
        <v>0.28100000000000003</v>
      </c>
    </row>
    <row r="8" spans="2:4" ht="20" thickBot="1" x14ac:dyDescent="0.5">
      <c r="B8" s="25" t="s">
        <v>637</v>
      </c>
      <c r="C8" s="23" t="s">
        <v>570</v>
      </c>
      <c r="D8" s="24">
        <v>0.24199999999999999</v>
      </c>
    </row>
    <row r="9" spans="2:4" ht="20" thickBot="1" x14ac:dyDescent="0.5">
      <c r="B9" s="26" t="s">
        <v>638</v>
      </c>
      <c r="C9" s="23" t="s">
        <v>571</v>
      </c>
      <c r="D9" s="24">
        <v>0.20899999999999999</v>
      </c>
    </row>
    <row r="10" spans="2:4" ht="20" thickBot="1" x14ac:dyDescent="0.5">
      <c r="B10" s="27"/>
      <c r="C10" s="23" t="s">
        <v>572</v>
      </c>
      <c r="D10" s="24">
        <v>0.155</v>
      </c>
    </row>
    <row r="11" spans="2:4" ht="20" thickBot="1" x14ac:dyDescent="0.5">
      <c r="B11" s="27"/>
      <c r="C11" s="23" t="s">
        <v>573</v>
      </c>
      <c r="D11" s="24">
        <v>3.3000000000000002E-2</v>
      </c>
    </row>
    <row r="12" spans="2:4" ht="20" thickBot="1" x14ac:dyDescent="0.5">
      <c r="B12" s="27"/>
      <c r="C12" s="23" t="s">
        <v>574</v>
      </c>
      <c r="D12" s="24">
        <v>2.5999999999999999E-2</v>
      </c>
    </row>
    <row r="13" spans="2:4" ht="20" thickBot="1" x14ac:dyDescent="0.5">
      <c r="B13" s="27"/>
      <c r="C13" s="23" t="s">
        <v>575</v>
      </c>
      <c r="D13" s="24">
        <v>1.4999999999999999E-2</v>
      </c>
    </row>
    <row r="14" spans="2:4" ht="20" thickBot="1" x14ac:dyDescent="0.5">
      <c r="B14" s="27"/>
      <c r="C14" s="23" t="s">
        <v>639</v>
      </c>
      <c r="D14" s="24">
        <v>0.01</v>
      </c>
    </row>
    <row r="15" spans="2:4" ht="20" thickBot="1" x14ac:dyDescent="0.5">
      <c r="B15" s="28"/>
      <c r="C15" s="23" t="s">
        <v>640</v>
      </c>
      <c r="D15" s="24">
        <v>3.9E-2</v>
      </c>
    </row>
    <row r="16" spans="2:4" ht="20" thickBot="1" x14ac:dyDescent="0.5">
      <c r="B16" s="29" t="s">
        <v>641</v>
      </c>
      <c r="C16" s="30"/>
      <c r="D16" s="30"/>
    </row>
    <row r="17" spans="2:4" ht="20" thickBot="1" x14ac:dyDescent="0.5">
      <c r="B17" s="22" t="s">
        <v>288</v>
      </c>
      <c r="C17" s="23" t="s">
        <v>576</v>
      </c>
      <c r="D17" s="31" t="s">
        <v>577</v>
      </c>
    </row>
    <row r="18" spans="2:4" ht="20" thickBot="1" x14ac:dyDescent="0.5">
      <c r="B18" s="25" t="s">
        <v>642</v>
      </c>
      <c r="C18" s="23" t="s">
        <v>578</v>
      </c>
      <c r="D18" s="31" t="s">
        <v>579</v>
      </c>
    </row>
    <row r="19" spans="2:4" ht="20" thickBot="1" x14ac:dyDescent="0.5">
      <c r="B19" s="26" t="s">
        <v>643</v>
      </c>
      <c r="C19" s="23" t="s">
        <v>571</v>
      </c>
      <c r="D19" s="31" t="s">
        <v>579</v>
      </c>
    </row>
    <row r="20" spans="2:4" ht="20" thickBot="1" x14ac:dyDescent="0.5">
      <c r="B20" s="27"/>
      <c r="C20" s="23" t="s">
        <v>580</v>
      </c>
      <c r="D20" s="31" t="s">
        <v>581</v>
      </c>
    </row>
    <row r="21" spans="2:4" ht="20" thickBot="1" x14ac:dyDescent="0.5">
      <c r="B21" s="27"/>
      <c r="C21" s="23" t="s">
        <v>582</v>
      </c>
      <c r="D21" s="31" t="s">
        <v>583</v>
      </c>
    </row>
    <row r="22" spans="2:4" ht="20" thickBot="1" x14ac:dyDescent="0.5">
      <c r="B22" s="27"/>
      <c r="C22" s="23" t="s">
        <v>644</v>
      </c>
      <c r="D22" s="31" t="s">
        <v>645</v>
      </c>
    </row>
    <row r="23" spans="2:4" ht="20" thickBot="1" x14ac:dyDescent="0.5">
      <c r="B23" s="28"/>
      <c r="C23" s="23" t="s">
        <v>646</v>
      </c>
      <c r="D23" s="31" t="s">
        <v>623</v>
      </c>
    </row>
    <row r="24" spans="2:4" ht="20" thickBot="1" x14ac:dyDescent="0.5">
      <c r="B24" s="29" t="s">
        <v>647</v>
      </c>
      <c r="C24" s="30"/>
      <c r="D24" s="30"/>
    </row>
    <row r="25" spans="2:4" ht="20" thickBot="1" x14ac:dyDescent="0.5">
      <c r="B25" s="22" t="s">
        <v>519</v>
      </c>
      <c r="C25" s="23" t="s">
        <v>585</v>
      </c>
      <c r="D25" s="24">
        <v>0.192</v>
      </c>
    </row>
    <row r="26" spans="2:4" ht="20" thickBot="1" x14ac:dyDescent="0.5">
      <c r="B26" s="25" t="s">
        <v>637</v>
      </c>
      <c r="C26" s="23" t="s">
        <v>586</v>
      </c>
      <c r="D26" s="24">
        <v>0.14099999999999999</v>
      </c>
    </row>
    <row r="27" spans="2:4" ht="20" thickBot="1" x14ac:dyDescent="0.5">
      <c r="B27" s="26" t="s">
        <v>648</v>
      </c>
      <c r="C27" s="23" t="s">
        <v>587</v>
      </c>
      <c r="D27" s="24">
        <v>0.08</v>
      </c>
    </row>
    <row r="28" spans="2:4" ht="20" thickBot="1" x14ac:dyDescent="0.5">
      <c r="B28" s="27"/>
      <c r="C28" s="23" t="s">
        <v>588</v>
      </c>
      <c r="D28" s="24">
        <v>6.7000000000000004E-2</v>
      </c>
    </row>
    <row r="29" spans="2:4" ht="20" thickBot="1" x14ac:dyDescent="0.5">
      <c r="B29" s="27"/>
      <c r="C29" s="23" t="s">
        <v>589</v>
      </c>
      <c r="D29" s="24">
        <v>6.2E-2</v>
      </c>
    </row>
    <row r="30" spans="2:4" ht="20" thickBot="1" x14ac:dyDescent="0.5">
      <c r="B30" s="28"/>
      <c r="C30" s="23" t="s">
        <v>649</v>
      </c>
      <c r="D30" s="31" t="s">
        <v>650</v>
      </c>
    </row>
    <row r="31" spans="2:4" ht="20" thickBot="1" x14ac:dyDescent="0.5">
      <c r="B31" s="29" t="s">
        <v>651</v>
      </c>
      <c r="C31" s="30"/>
      <c r="D31" s="30"/>
    </row>
    <row r="32" spans="2:4" ht="20" thickBot="1" x14ac:dyDescent="0.5">
      <c r="B32" s="22" t="s">
        <v>513</v>
      </c>
      <c r="C32" s="23" t="s">
        <v>590</v>
      </c>
      <c r="D32" s="31" t="s">
        <v>591</v>
      </c>
    </row>
    <row r="33" spans="2:4" ht="20" thickBot="1" x14ac:dyDescent="0.5">
      <c r="B33" s="25" t="s">
        <v>652</v>
      </c>
      <c r="C33" s="23" t="s">
        <v>592</v>
      </c>
      <c r="D33" s="31" t="s">
        <v>593</v>
      </c>
    </row>
    <row r="34" spans="2:4" ht="20" thickBot="1" x14ac:dyDescent="0.5">
      <c r="B34" s="26" t="s">
        <v>653</v>
      </c>
      <c r="C34" s="23" t="s">
        <v>594</v>
      </c>
      <c r="D34" s="31" t="s">
        <v>581</v>
      </c>
    </row>
    <row r="35" spans="2:4" ht="20" thickBot="1" x14ac:dyDescent="0.5">
      <c r="B35" s="27"/>
      <c r="C35" s="23" t="s">
        <v>595</v>
      </c>
      <c r="D35" s="31" t="s">
        <v>596</v>
      </c>
    </row>
    <row r="36" spans="2:4" ht="20" thickBot="1" x14ac:dyDescent="0.5">
      <c r="B36" s="27"/>
      <c r="C36" s="23" t="s">
        <v>597</v>
      </c>
      <c r="D36" s="31" t="s">
        <v>583</v>
      </c>
    </row>
    <row r="37" spans="2:4" ht="20" thickBot="1" x14ac:dyDescent="0.5">
      <c r="B37" s="27"/>
      <c r="C37" s="23" t="s">
        <v>598</v>
      </c>
      <c r="D37" s="31" t="s">
        <v>599</v>
      </c>
    </row>
    <row r="38" spans="2:4" ht="20" thickBot="1" x14ac:dyDescent="0.5">
      <c r="B38" s="28"/>
      <c r="C38" s="23" t="s">
        <v>654</v>
      </c>
      <c r="D38" s="31" t="s">
        <v>581</v>
      </c>
    </row>
    <row r="39" spans="2:4" ht="20" thickBot="1" x14ac:dyDescent="0.5">
      <c r="B39" s="29" t="s">
        <v>655</v>
      </c>
      <c r="C39" s="30"/>
      <c r="D39" s="30"/>
    </row>
    <row r="40" spans="2:4" ht="20" thickBot="1" x14ac:dyDescent="0.5">
      <c r="B40" s="22" t="s">
        <v>310</v>
      </c>
      <c r="C40" s="23" t="s">
        <v>600</v>
      </c>
      <c r="D40" s="24">
        <v>0.16500000000000001</v>
      </c>
    </row>
    <row r="41" spans="2:4" ht="20" thickBot="1" x14ac:dyDescent="0.5">
      <c r="B41" s="25" t="s">
        <v>656</v>
      </c>
      <c r="C41" s="23" t="s">
        <v>601</v>
      </c>
      <c r="D41" s="24">
        <v>0.151</v>
      </c>
    </row>
    <row r="42" spans="2:4" ht="20" thickBot="1" x14ac:dyDescent="0.5">
      <c r="B42" s="26" t="s">
        <v>657</v>
      </c>
      <c r="C42" s="23" t="s">
        <v>602</v>
      </c>
      <c r="D42" s="24">
        <v>0.14799999999999999</v>
      </c>
    </row>
    <row r="43" spans="2:4" ht="20" thickBot="1" x14ac:dyDescent="0.5">
      <c r="B43" s="27"/>
      <c r="C43" s="23" t="s">
        <v>603</v>
      </c>
      <c r="D43" s="24">
        <v>0.14599999999999999</v>
      </c>
    </row>
    <row r="44" spans="2:4" ht="20" thickBot="1" x14ac:dyDescent="0.5">
      <c r="B44" s="27"/>
      <c r="C44" s="23" t="s">
        <v>604</v>
      </c>
      <c r="D44" s="24">
        <v>0.13700000000000001</v>
      </c>
    </row>
    <row r="45" spans="2:4" ht="20" thickBot="1" x14ac:dyDescent="0.5">
      <c r="B45" s="27"/>
      <c r="C45" s="23" t="s">
        <v>605</v>
      </c>
      <c r="D45" s="24">
        <v>6.7000000000000004E-2</v>
      </c>
    </row>
    <row r="46" spans="2:4" ht="20" thickBot="1" x14ac:dyDescent="0.5">
      <c r="B46" s="27"/>
      <c r="C46" s="23" t="s">
        <v>606</v>
      </c>
      <c r="D46" s="24">
        <v>5.6000000000000001E-2</v>
      </c>
    </row>
    <row r="47" spans="2:4" ht="20" thickBot="1" x14ac:dyDescent="0.5">
      <c r="B47" s="27"/>
      <c r="C47" s="23" t="s">
        <v>607</v>
      </c>
      <c r="D47" s="24">
        <v>5.1999999999999998E-2</v>
      </c>
    </row>
    <row r="48" spans="2:4" ht="20" thickBot="1" x14ac:dyDescent="0.5">
      <c r="B48" s="27"/>
      <c r="C48" s="23" t="s">
        <v>608</v>
      </c>
      <c r="D48" s="24">
        <v>4.2999999999999997E-2</v>
      </c>
    </row>
    <row r="49" spans="2:4" ht="20" thickBot="1" x14ac:dyDescent="0.5">
      <c r="B49" s="28"/>
      <c r="C49" s="23" t="s">
        <v>609</v>
      </c>
      <c r="D49" s="24">
        <v>2.5999999999999999E-2</v>
      </c>
    </row>
    <row r="50" spans="2:4" ht="20" thickBot="1" x14ac:dyDescent="0.5">
      <c r="B50" s="29" t="s">
        <v>658</v>
      </c>
      <c r="C50" s="30"/>
      <c r="D50" s="30"/>
    </row>
    <row r="51" spans="2:4" ht="20" thickBot="1" x14ac:dyDescent="0.5">
      <c r="B51" s="22" t="s">
        <v>515</v>
      </c>
      <c r="C51" s="23" t="s">
        <v>610</v>
      </c>
      <c r="D51" s="31" t="s">
        <v>611</v>
      </c>
    </row>
    <row r="52" spans="2:4" ht="20" thickBot="1" x14ac:dyDescent="0.5">
      <c r="B52" s="25" t="s">
        <v>659</v>
      </c>
      <c r="C52" s="23" t="s">
        <v>612</v>
      </c>
      <c r="D52" s="31" t="s">
        <v>611</v>
      </c>
    </row>
    <row r="53" spans="2:4" ht="20" thickBot="1" x14ac:dyDescent="0.5">
      <c r="B53" s="26" t="s">
        <v>660</v>
      </c>
      <c r="C53" s="23" t="s">
        <v>613</v>
      </c>
      <c r="D53" s="31" t="s">
        <v>611</v>
      </c>
    </row>
    <row r="54" spans="2:4" ht="20" thickBot="1" x14ac:dyDescent="0.5">
      <c r="B54" s="27"/>
      <c r="C54" s="23" t="s">
        <v>614</v>
      </c>
      <c r="D54" s="31" t="s">
        <v>615</v>
      </c>
    </row>
    <row r="55" spans="2:4" ht="20" thickBot="1" x14ac:dyDescent="0.5">
      <c r="B55" s="27"/>
      <c r="C55" s="23" t="s">
        <v>661</v>
      </c>
      <c r="D55" s="31" t="s">
        <v>615</v>
      </c>
    </row>
    <row r="56" spans="2:4" ht="20" thickBot="1" x14ac:dyDescent="0.5">
      <c r="B56" s="27"/>
      <c r="C56" s="23" t="s">
        <v>662</v>
      </c>
      <c r="D56" s="31" t="s">
        <v>615</v>
      </c>
    </row>
    <row r="57" spans="2:4" ht="20" thickBot="1" x14ac:dyDescent="0.5">
      <c r="B57" s="28"/>
      <c r="C57" s="23" t="s">
        <v>663</v>
      </c>
      <c r="D57" s="31" t="s">
        <v>616</v>
      </c>
    </row>
    <row r="58" spans="2:4" ht="20" thickBot="1" x14ac:dyDescent="0.5">
      <c r="B58" s="32" t="s">
        <v>664</v>
      </c>
      <c r="C58" s="33"/>
      <c r="D58" s="33"/>
    </row>
    <row r="59" spans="2:4" ht="20" thickBot="1" x14ac:dyDescent="0.5">
      <c r="B59" s="21" t="s">
        <v>617</v>
      </c>
    </row>
    <row r="60" spans="2:4" ht="20" thickBot="1" x14ac:dyDescent="0.5">
      <c r="B60" s="14" t="s">
        <v>634</v>
      </c>
      <c r="C60" s="15" t="s">
        <v>635</v>
      </c>
      <c r="D60" s="16" t="s">
        <v>636</v>
      </c>
    </row>
    <row r="61" spans="2:4" ht="20" thickBot="1" x14ac:dyDescent="0.5">
      <c r="B61" s="22" t="s">
        <v>313</v>
      </c>
      <c r="C61" s="23" t="s">
        <v>618</v>
      </c>
      <c r="D61" s="31" t="s">
        <v>593</v>
      </c>
    </row>
    <row r="62" spans="2:4" ht="20" thickBot="1" x14ac:dyDescent="0.5">
      <c r="B62" s="25" t="s">
        <v>656</v>
      </c>
      <c r="C62" s="23" t="s">
        <v>619</v>
      </c>
      <c r="D62" s="31" t="s">
        <v>584</v>
      </c>
    </row>
    <row r="63" spans="2:4" ht="20" thickBot="1" x14ac:dyDescent="0.5">
      <c r="B63" s="26" t="s">
        <v>665</v>
      </c>
      <c r="C63" s="23" t="s">
        <v>620</v>
      </c>
      <c r="D63" s="31" t="s">
        <v>596</v>
      </c>
    </row>
    <row r="64" spans="2:4" ht="20" thickBot="1" x14ac:dyDescent="0.5">
      <c r="B64" s="27"/>
      <c r="C64" s="23" t="s">
        <v>666</v>
      </c>
      <c r="D64" s="31" t="s">
        <v>621</v>
      </c>
    </row>
    <row r="65" spans="2:4" ht="20" thickBot="1" x14ac:dyDescent="0.5">
      <c r="B65" s="27"/>
      <c r="C65" s="23" t="s">
        <v>622</v>
      </c>
      <c r="D65" s="31" t="s">
        <v>623</v>
      </c>
    </row>
    <row r="66" spans="2:4" ht="20" thickBot="1" x14ac:dyDescent="0.5">
      <c r="B66" s="28"/>
      <c r="C66" s="23" t="s">
        <v>667</v>
      </c>
      <c r="D66" s="31" t="s">
        <v>624</v>
      </c>
    </row>
    <row r="67" spans="2:4" ht="20" thickBot="1" x14ac:dyDescent="0.5">
      <c r="B67" s="29" t="s">
        <v>668</v>
      </c>
      <c r="C67" s="30"/>
      <c r="D67" s="30"/>
    </row>
    <row r="68" spans="2:4" ht="20" thickBot="1" x14ac:dyDescent="0.5">
      <c r="B68" s="22" t="s">
        <v>300</v>
      </c>
      <c r="C68" s="23" t="s">
        <v>625</v>
      </c>
      <c r="D68" s="24">
        <v>0.17699999999999999</v>
      </c>
    </row>
    <row r="69" spans="2:4" ht="20" thickBot="1" x14ac:dyDescent="0.5">
      <c r="B69" s="25" t="s">
        <v>659</v>
      </c>
      <c r="C69" s="23" t="s">
        <v>670</v>
      </c>
      <c r="D69" s="24">
        <v>0.13100000000000001</v>
      </c>
    </row>
    <row r="70" spans="2:4" ht="20" thickBot="1" x14ac:dyDescent="0.5">
      <c r="B70" s="26" t="s">
        <v>669</v>
      </c>
      <c r="C70" s="23" t="s">
        <v>671</v>
      </c>
      <c r="D70" s="24">
        <v>0.123</v>
      </c>
    </row>
    <row r="71" spans="2:4" ht="20" thickBot="1" x14ac:dyDescent="0.5">
      <c r="B71" s="27"/>
      <c r="C71" s="23" t="s">
        <v>672</v>
      </c>
      <c r="D71" s="24">
        <v>0.11899999999999999</v>
      </c>
    </row>
    <row r="72" spans="2:4" ht="20" thickBot="1" x14ac:dyDescent="0.5">
      <c r="B72" s="27"/>
      <c r="C72" s="23" t="s">
        <v>673</v>
      </c>
      <c r="D72" s="24">
        <v>0.11700000000000001</v>
      </c>
    </row>
    <row r="73" spans="2:4" ht="20" thickBot="1" x14ac:dyDescent="0.5">
      <c r="B73" s="27"/>
      <c r="C73" s="23" t="s">
        <v>674</v>
      </c>
      <c r="D73" s="24">
        <v>0.114</v>
      </c>
    </row>
    <row r="74" spans="2:4" ht="20" thickBot="1" x14ac:dyDescent="0.5">
      <c r="B74" s="27"/>
      <c r="C74" s="23" t="s">
        <v>675</v>
      </c>
      <c r="D74" s="24">
        <v>7.9000000000000001E-2</v>
      </c>
    </row>
    <row r="75" spans="2:4" ht="20" thickBot="1" x14ac:dyDescent="0.5">
      <c r="B75" s="27"/>
      <c r="C75" s="23" t="s">
        <v>676</v>
      </c>
      <c r="D75" s="24">
        <v>5.1999999999999998E-2</v>
      </c>
    </row>
    <row r="76" spans="2:4" ht="20" thickBot="1" x14ac:dyDescent="0.5">
      <c r="B76" s="27"/>
      <c r="C76" s="23" t="s">
        <v>677</v>
      </c>
      <c r="D76" s="24">
        <v>4.4999999999999998E-2</v>
      </c>
    </row>
    <row r="77" spans="2:4" ht="20" thickBot="1" x14ac:dyDescent="0.5">
      <c r="B77" s="28"/>
      <c r="C77" s="23" t="s">
        <v>678</v>
      </c>
      <c r="D77" s="24">
        <v>4.2999999999999997E-2</v>
      </c>
    </row>
    <row r="78" spans="2:4" ht="20" thickBot="1" x14ac:dyDescent="0.5">
      <c r="B78" s="29" t="s">
        <v>679</v>
      </c>
      <c r="C78" s="30"/>
      <c r="D78" s="30"/>
    </row>
    <row r="79" spans="2:4" ht="20" thickBot="1" x14ac:dyDescent="0.5">
      <c r="B79" s="22" t="s">
        <v>259</v>
      </c>
      <c r="C79" s="23" t="s">
        <v>618</v>
      </c>
      <c r="D79" s="31" t="s">
        <v>593</v>
      </c>
    </row>
    <row r="80" spans="2:4" ht="20" thickBot="1" x14ac:dyDescent="0.5">
      <c r="B80" s="25" t="s">
        <v>656</v>
      </c>
      <c r="C80" s="23" t="s">
        <v>703</v>
      </c>
      <c r="D80" s="31" t="s">
        <v>593</v>
      </c>
    </row>
    <row r="81" spans="2:4" ht="20" thickBot="1" x14ac:dyDescent="0.5">
      <c r="B81" s="26" t="s">
        <v>680</v>
      </c>
      <c r="C81" s="23" t="s">
        <v>626</v>
      </c>
      <c r="D81" s="31" t="s">
        <v>593</v>
      </c>
    </row>
    <row r="82" spans="2:4" ht="20" thickBot="1" x14ac:dyDescent="0.5">
      <c r="B82" s="27"/>
      <c r="C82" s="23" t="s">
        <v>627</v>
      </c>
      <c r="D82" s="31" t="s">
        <v>584</v>
      </c>
    </row>
    <row r="83" spans="2:4" ht="20" thickBot="1" x14ac:dyDescent="0.5">
      <c r="B83" s="27"/>
      <c r="C83" s="23" t="s">
        <v>628</v>
      </c>
      <c r="D83" s="31" t="s">
        <v>629</v>
      </c>
    </row>
    <row r="84" spans="2:4" ht="20" thickBot="1" x14ac:dyDescent="0.5">
      <c r="B84" s="28"/>
      <c r="C84" s="23" t="s">
        <v>681</v>
      </c>
      <c r="D84" s="31" t="s">
        <v>581</v>
      </c>
    </row>
    <row r="85" spans="2:4" ht="20" thickBot="1" x14ac:dyDescent="0.5">
      <c r="B85" s="32" t="s">
        <v>682</v>
      </c>
      <c r="C85" s="33"/>
      <c r="D85" s="33"/>
    </row>
    <row r="86" spans="2:4" ht="20" thickBot="1" x14ac:dyDescent="0.5">
      <c r="B86" s="21" t="s">
        <v>630</v>
      </c>
    </row>
    <row r="87" spans="2:4" ht="20" thickBot="1" x14ac:dyDescent="0.5">
      <c r="B87" s="14" t="s">
        <v>634</v>
      </c>
      <c r="C87" s="15" t="s">
        <v>635</v>
      </c>
      <c r="D87" s="16" t="s">
        <v>636</v>
      </c>
    </row>
    <row r="88" spans="2:4" ht="20" thickBot="1" x14ac:dyDescent="0.5">
      <c r="B88" s="22" t="s">
        <v>85</v>
      </c>
      <c r="C88" s="23" t="s">
        <v>692</v>
      </c>
      <c r="D88" s="24">
        <v>3.5999999999999997E-2</v>
      </c>
    </row>
    <row r="89" spans="2:4" ht="20" thickBot="1" x14ac:dyDescent="0.5">
      <c r="B89" s="25" t="s">
        <v>659</v>
      </c>
      <c r="C89" s="23" t="s">
        <v>693</v>
      </c>
      <c r="D89" s="24">
        <v>3.4000000000000002E-2</v>
      </c>
    </row>
    <row r="90" spans="2:4" ht="20" thickBot="1" x14ac:dyDescent="0.5">
      <c r="B90" s="26" t="s">
        <v>683</v>
      </c>
      <c r="C90" s="23" t="s">
        <v>694</v>
      </c>
      <c r="D90" s="24">
        <v>2.8000000000000001E-2</v>
      </c>
    </row>
    <row r="91" spans="2:4" ht="20" thickBot="1" x14ac:dyDescent="0.5">
      <c r="B91" s="27"/>
      <c r="C91" s="23" t="s">
        <v>695</v>
      </c>
      <c r="D91" s="24">
        <v>2.8000000000000001E-2</v>
      </c>
    </row>
    <row r="92" spans="2:4" ht="20" thickBot="1" x14ac:dyDescent="0.5">
      <c r="B92" s="27"/>
      <c r="C92" s="23" t="s">
        <v>696</v>
      </c>
      <c r="D92" s="24">
        <v>2.5999999999999999E-2</v>
      </c>
    </row>
    <row r="93" spans="2:4" ht="20" thickBot="1" x14ac:dyDescent="0.5">
      <c r="B93" s="27"/>
      <c r="C93" s="23" t="s">
        <v>697</v>
      </c>
      <c r="D93" s="24">
        <v>1.9E-2</v>
      </c>
    </row>
    <row r="94" spans="2:4" ht="20" thickBot="1" x14ac:dyDescent="0.5">
      <c r="B94" s="27"/>
      <c r="C94" s="23" t="s">
        <v>684</v>
      </c>
      <c r="D94" s="24">
        <v>1.6E-2</v>
      </c>
    </row>
    <row r="95" spans="2:4" ht="20" thickBot="1" x14ac:dyDescent="0.5">
      <c r="B95" s="28"/>
      <c r="C95" s="23" t="s">
        <v>698</v>
      </c>
      <c r="D95" s="31" t="s">
        <v>685</v>
      </c>
    </row>
    <row r="96" spans="2:4" ht="20" thickBot="1" x14ac:dyDescent="0.5">
      <c r="B96" s="29" t="s">
        <v>686</v>
      </c>
      <c r="C96" s="30"/>
      <c r="D96" s="30"/>
    </row>
    <row r="97" spans="2:4" ht="20" thickBot="1" x14ac:dyDescent="0.5">
      <c r="B97" s="22" t="s">
        <v>687</v>
      </c>
      <c r="C97" s="23" t="s">
        <v>699</v>
      </c>
      <c r="D97" s="31" t="s">
        <v>611</v>
      </c>
    </row>
    <row r="98" spans="2:4" ht="20" thickBot="1" x14ac:dyDescent="0.5">
      <c r="B98" s="25" t="s">
        <v>656</v>
      </c>
      <c r="C98" s="23" t="s">
        <v>700</v>
      </c>
      <c r="D98" s="31" t="s">
        <v>611</v>
      </c>
    </row>
    <row r="99" spans="2:4" ht="20" thickBot="1" x14ac:dyDescent="0.5">
      <c r="B99" s="26" t="s">
        <v>688</v>
      </c>
      <c r="C99" s="23" t="s">
        <v>689</v>
      </c>
      <c r="D99" s="31" t="s">
        <v>611</v>
      </c>
    </row>
    <row r="100" spans="2:4" ht="20" thickBot="1" x14ac:dyDescent="0.5">
      <c r="B100" s="27"/>
      <c r="C100" s="23" t="s">
        <v>701</v>
      </c>
      <c r="D100" s="31" t="s">
        <v>611</v>
      </c>
    </row>
    <row r="101" spans="2:4" ht="20" thickBot="1" x14ac:dyDescent="0.5">
      <c r="B101" s="27"/>
      <c r="C101" s="23" t="s">
        <v>631</v>
      </c>
      <c r="D101" s="31" t="s">
        <v>611</v>
      </c>
    </row>
    <row r="102" spans="2:4" ht="20" thickBot="1" x14ac:dyDescent="0.5">
      <c r="B102" s="28"/>
      <c r="C102" s="23" t="s">
        <v>702</v>
      </c>
      <c r="D102" s="31" t="s">
        <v>632</v>
      </c>
    </row>
    <row r="103" spans="2:4" ht="20" thickBot="1" x14ac:dyDescent="0.5">
      <c r="B103" s="32" t="s">
        <v>690</v>
      </c>
      <c r="C103" s="33"/>
      <c r="D103" s="33"/>
    </row>
    <row r="104" spans="2:4" x14ac:dyDescent="0.45">
      <c r="B104" s="17" t="s">
        <v>691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ETF리스트</vt:lpstr>
      <vt:lpstr>모델 포트폴리오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230025</dc:creator>
  <cp:lastModifiedBy>채현기</cp:lastModifiedBy>
  <dcterms:created xsi:type="dcterms:W3CDTF">2025-04-13T23:26:04Z</dcterms:created>
  <dcterms:modified xsi:type="dcterms:W3CDTF">2026-05-28T12:50:32Z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4CHmpu4P91ocaObXcJ5uWg==</vt:lpwstr>
  </property>
  <property fmtid="{D5CDD505-2E9C-101B-9397-08002B2CF9AE}" pid="3" name="DST date">
    <vt:lpwstr>20260310104808</vt:lpwstr>
  </property>
</Properties>
</file>